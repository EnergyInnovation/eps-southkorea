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South Korea\Models\eps-southkorea\InputData\elec\CCaMC\"/>
    </mc:Choice>
  </mc:AlternateContent>
  <xr:revisionPtr revIDLastSave="0" documentId="13_ncr:1_{AD5FEB02-42B2-46F7-BE36-3642B611718F}" xr6:coauthVersionLast="47" xr6:coauthVersionMax="47" xr10:uidLastSave="{00000000-0000-0000-0000-000000000000}"/>
  <bookViews>
    <workbookView xWindow="760" yWindow="760" windowWidth="28800" windowHeight="15450" tabRatio="892" firstSheet="8" activeTab="12" xr2:uid="{9DA7FCEA-5A1C-4F4D-B571-DEE990F477EE}"/>
  </bookViews>
  <sheets>
    <sheet name="About" sheetId="2" r:id="rId1"/>
    <sheet name="KRW" sheetId="9" r:id="rId2"/>
    <sheet name="NREL ATB" sheetId="45" r:id="rId3"/>
    <sheet name="Calculation" sheetId="30" r:id="rId4"/>
    <sheet name="US Values &gt;" sheetId="31" r:id="rId5"/>
    <sheet name="CCaMC-ACAPEXpUC US" sheetId="41" r:id="rId6"/>
    <sheet name="CCaMC-AFOaMCpUC US" sheetId="32" r:id="rId7"/>
    <sheet name="CCaMC-VOaMCpUC US" sheetId="36" r:id="rId8"/>
    <sheet name="CCaMC-BSCpUC US" sheetId="39" r:id="rId9"/>
    <sheet name="CCaMC-BCCpUC US" sheetId="38" r:id="rId10"/>
    <sheet name="CCaMC-BCCUSRCpUC US" sheetId="44" r:id="rId11"/>
    <sheet name="CCaMC-ACAPEXpUC" sheetId="40" r:id="rId12"/>
    <sheet name="CCaMC-AFOaMCpUC" sheetId="7" r:id="rId13"/>
    <sheet name="CCaMC-VOaMCpUC" sheetId="8" r:id="rId14"/>
    <sheet name="CCaMC-BCCpUC" sheetId="18" r:id="rId15"/>
    <sheet name="CCaMC-SLCCpUC" sheetId="42" r:id="rId16"/>
    <sheet name="CCaMC-BSCpUC" sheetId="19" r:id="rId17"/>
    <sheet name="CCaMC-BCCUSRCpUC" sheetId="43" r:id="rId18"/>
  </sheets>
  <definedNames>
    <definedName name="_xlnm._FilterDatabase" localSheetId="2" hidden="1">'NREL ATB'!$A$73:$AE$94</definedName>
    <definedName name="cpi_2019_to_2012">About!$A$96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5" i="42" l="1"/>
  <c r="AE15" i="18"/>
  <c r="AD15" i="42"/>
  <c r="AD15" i="18"/>
  <c r="AC15" i="42"/>
  <c r="AC15" i="18"/>
  <c r="AB15" i="42"/>
  <c r="AB15" i="18"/>
  <c r="AA15" i="42"/>
  <c r="AA15" i="18"/>
  <c r="Z15" i="42"/>
  <c r="Z15" i="18"/>
  <c r="Y15" i="42"/>
  <c r="Y15" i="18"/>
  <c r="X15" i="42"/>
  <c r="X15" i="18"/>
  <c r="W15" i="42"/>
  <c r="W15" i="18"/>
  <c r="V15" i="42"/>
  <c r="V15" i="18"/>
  <c r="U15" i="42"/>
  <c r="U15" i="18"/>
  <c r="T15" i="42"/>
  <c r="T15" i="18"/>
  <c r="S15" i="42"/>
  <c r="S15" i="18"/>
  <c r="R15" i="42"/>
  <c r="R15" i="18"/>
  <c r="Q15" i="42"/>
  <c r="Q15" i="18"/>
  <c r="P15" i="42"/>
  <c r="P15" i="18"/>
  <c r="O15" i="42"/>
  <c r="O15" i="18"/>
  <c r="N15" i="42"/>
  <c r="N15" i="18"/>
  <c r="M15" i="42"/>
  <c r="M15" i="18"/>
  <c r="L15" i="42"/>
  <c r="L15" i="18"/>
  <c r="K15" i="42"/>
  <c r="K15" i="18"/>
  <c r="J15" i="42"/>
  <c r="J15" i="18"/>
  <c r="I15" i="42"/>
  <c r="I15" i="18"/>
  <c r="H15" i="42"/>
  <c r="H15" i="18"/>
  <c r="G15" i="42"/>
  <c r="G15" i="18"/>
  <c r="F15" i="42"/>
  <c r="F15" i="18"/>
  <c r="E15" i="42"/>
  <c r="E15" i="18"/>
  <c r="D15" i="42"/>
  <c r="D15" i="18"/>
  <c r="C15" i="42"/>
  <c r="C15" i="18"/>
  <c r="B15" i="42"/>
  <c r="B15" i="18"/>
  <c r="AE8" i="42"/>
  <c r="AE8" i="18"/>
  <c r="AD8" i="42"/>
  <c r="AD8" i="18"/>
  <c r="AC8" i="42"/>
  <c r="AC8" i="18"/>
  <c r="AB8" i="42"/>
  <c r="AB8" i="18"/>
  <c r="AA8" i="42"/>
  <c r="AA8" i="18"/>
  <c r="Z8" i="42"/>
  <c r="Z8" i="18"/>
  <c r="Y8" i="42"/>
  <c r="Y8" i="18"/>
  <c r="X8" i="42"/>
  <c r="X8" i="18"/>
  <c r="W8" i="42"/>
  <c r="W8" i="18"/>
  <c r="V8" i="42"/>
  <c r="V8" i="18"/>
  <c r="U8" i="42"/>
  <c r="U8" i="18"/>
  <c r="T8" i="42"/>
  <c r="T8" i="18"/>
  <c r="S8" i="42"/>
  <c r="S8" i="18"/>
  <c r="R8" i="42"/>
  <c r="R8" i="18"/>
  <c r="Q8" i="42"/>
  <c r="Q8" i="18"/>
  <c r="P8" i="42"/>
  <c r="P8" i="18"/>
  <c r="O8" i="42"/>
  <c r="O8" i="18"/>
  <c r="N8" i="42"/>
  <c r="N8" i="18"/>
  <c r="M8" i="42"/>
  <c r="M8" i="18"/>
  <c r="L8" i="42"/>
  <c r="L8" i="18"/>
  <c r="K8" i="42"/>
  <c r="K8" i="18"/>
  <c r="J8" i="42"/>
  <c r="J8" i="18"/>
  <c r="I8" i="42"/>
  <c r="I8" i="18"/>
  <c r="H8" i="42"/>
  <c r="H8" i="18"/>
  <c r="G8" i="42"/>
  <c r="G8" i="18"/>
  <c r="F8" i="42"/>
  <c r="F8" i="18"/>
  <c r="E8" i="42"/>
  <c r="E8" i="18"/>
  <c r="D8" i="42"/>
  <c r="D8" i="18"/>
  <c r="C8" i="42"/>
  <c r="C8" i="18"/>
  <c r="B8" i="42"/>
  <c r="B8" i="18"/>
  <c r="AE7" i="42"/>
  <c r="AE7" i="18"/>
  <c r="AD7" i="42"/>
  <c r="AD7" i="18"/>
  <c r="AC7" i="42"/>
  <c r="AC7" i="18"/>
  <c r="AB7" i="42"/>
  <c r="AB7" i="18"/>
  <c r="AA7" i="42"/>
  <c r="AA7" i="18"/>
  <c r="Z7" i="42"/>
  <c r="Z7" i="18"/>
  <c r="Y7" i="42"/>
  <c r="Y7" i="18"/>
  <c r="X7" i="42"/>
  <c r="X7" i="18"/>
  <c r="W7" i="42"/>
  <c r="W7" i="18"/>
  <c r="V7" i="42"/>
  <c r="V7" i="18"/>
  <c r="U7" i="42"/>
  <c r="U7" i="18"/>
  <c r="T7" i="42"/>
  <c r="T7" i="18"/>
  <c r="S7" i="42"/>
  <c r="S7" i="18"/>
  <c r="R7" i="42"/>
  <c r="R7" i="18"/>
  <c r="Q7" i="42"/>
  <c r="Q7" i="18"/>
  <c r="P7" i="42"/>
  <c r="P7" i="18"/>
  <c r="O7" i="42"/>
  <c r="O7" i="18"/>
  <c r="N7" i="42"/>
  <c r="N7" i="18"/>
  <c r="M7" i="42"/>
  <c r="M7" i="18"/>
  <c r="L7" i="42"/>
  <c r="L7" i="18"/>
  <c r="K7" i="42"/>
  <c r="K7" i="18"/>
  <c r="J7" i="42"/>
  <c r="J7" i="18"/>
  <c r="I7" i="42"/>
  <c r="I7" i="18"/>
  <c r="H7" i="42"/>
  <c r="H7" i="18"/>
  <c r="G7" i="42"/>
  <c r="G7" i="18"/>
  <c r="F7" i="42"/>
  <c r="F7" i="18"/>
  <c r="E7" i="42"/>
  <c r="E7" i="18"/>
  <c r="D7" i="42"/>
  <c r="D7" i="18"/>
  <c r="C7" i="42"/>
  <c r="C7" i="18"/>
  <c r="B7" i="42"/>
  <c r="B7" i="18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3" i="30"/>
  <c r="B112" i="30"/>
  <c r="B111" i="30"/>
  <c r="DX2" i="7"/>
  <c r="DX3" i="7"/>
  <c r="DX4" i="7"/>
  <c r="DX5" i="7"/>
  <c r="DX6" i="7"/>
  <c r="DX7" i="7"/>
  <c r="DX8" i="7"/>
  <c r="DX9" i="7"/>
  <c r="DX10" i="7"/>
  <c r="DX11" i="7"/>
  <c r="DX12" i="7"/>
  <c r="DX13" i="7"/>
  <c r="DX14" i="7"/>
  <c r="DX15" i="7"/>
  <c r="DX16" i="7"/>
  <c r="DX17" i="7"/>
  <c r="DX18" i="7"/>
  <c r="DX19" i="7"/>
  <c r="DX20" i="7"/>
  <c r="DX21" i="7"/>
  <c r="DX22" i="7"/>
  <c r="DX23" i="7"/>
  <c r="DX24" i="7"/>
  <c r="DX25" i="7"/>
  <c r="DY3" i="7"/>
  <c r="DY4" i="7"/>
  <c r="DY5" i="7"/>
  <c r="DY6" i="7"/>
  <c r="DY7" i="7"/>
  <c r="DY8" i="7"/>
  <c r="DY9" i="7"/>
  <c r="DY10" i="7"/>
  <c r="DY11" i="7"/>
  <c r="DY12" i="7"/>
  <c r="DY13" i="7"/>
  <c r="DY14" i="7"/>
  <c r="DY15" i="7"/>
  <c r="DY16" i="7"/>
  <c r="DY17" i="7"/>
  <c r="DY18" i="7"/>
  <c r="DY19" i="7"/>
  <c r="DY20" i="7"/>
  <c r="DY21" i="7"/>
  <c r="DY22" i="7"/>
  <c r="DY23" i="7"/>
  <c r="DY24" i="7"/>
  <c r="DY25" i="7"/>
  <c r="DY2" i="7"/>
  <c r="DY2" i="40"/>
  <c r="DX2" i="40" s="1"/>
  <c r="DW2" i="40" s="1"/>
  <c r="DV2" i="40" s="1"/>
  <c r="DU2" i="40" s="1"/>
  <c r="DT2" i="40" s="1"/>
  <c r="DS2" i="40" s="1"/>
  <c r="DR2" i="40" s="1"/>
  <c r="DQ2" i="40" s="1"/>
  <c r="DP2" i="40" s="1"/>
  <c r="DO2" i="40" s="1"/>
  <c r="DN2" i="40" s="1"/>
  <c r="DM2" i="40" s="1"/>
  <c r="DL2" i="40" s="1"/>
  <c r="DK2" i="40" s="1"/>
  <c r="DJ2" i="40" s="1"/>
  <c r="DI2" i="40" s="1"/>
  <c r="DH2" i="40" s="1"/>
  <c r="DG2" i="40" s="1"/>
  <c r="DF2" i="40" s="1"/>
  <c r="DE2" i="40" s="1"/>
  <c r="DD2" i="40" s="1"/>
  <c r="DC2" i="40" s="1"/>
  <c r="DB2" i="40" s="1"/>
  <c r="DA2" i="40" s="1"/>
  <c r="CZ2" i="40" s="1"/>
  <c r="CY2" i="40" s="1"/>
  <c r="CX2" i="40" s="1"/>
  <c r="CW2" i="40" s="1"/>
  <c r="CV2" i="40" s="1"/>
  <c r="CU2" i="40" s="1"/>
  <c r="CT2" i="40" s="1"/>
  <c r="CS2" i="40" s="1"/>
  <c r="CR2" i="40" s="1"/>
  <c r="CQ2" i="40" s="1"/>
  <c r="CP2" i="40" s="1"/>
  <c r="CO2" i="40" s="1"/>
  <c r="CN2" i="40" s="1"/>
  <c r="CM2" i="40" s="1"/>
  <c r="CL2" i="40" s="1"/>
  <c r="CK2" i="40" s="1"/>
  <c r="CJ2" i="40" s="1"/>
  <c r="CI2" i="40" s="1"/>
  <c r="CH2" i="40" s="1"/>
  <c r="CG2" i="40" s="1"/>
  <c r="CF2" i="40" s="1"/>
  <c r="CE2" i="40" s="1"/>
  <c r="CD2" i="40" s="1"/>
  <c r="CC2" i="40" s="1"/>
  <c r="CB2" i="40" s="1"/>
  <c r="CA2" i="40" s="1"/>
  <c r="BZ2" i="40" s="1"/>
  <c r="BY2" i="40" s="1"/>
  <c r="BX2" i="40" s="1"/>
  <c r="BW2" i="40" s="1"/>
  <c r="BV2" i="40" s="1"/>
  <c r="BU2" i="40" s="1"/>
  <c r="BT2" i="40" s="1"/>
  <c r="BS2" i="40" s="1"/>
  <c r="BR2" i="40" s="1"/>
  <c r="BQ2" i="40" s="1"/>
  <c r="BP2" i="40" s="1"/>
  <c r="BO2" i="40" s="1"/>
  <c r="BN2" i="40" s="1"/>
  <c r="BM2" i="40" s="1"/>
  <c r="BL2" i="40" s="1"/>
  <c r="BK2" i="40" s="1"/>
  <c r="BJ2" i="40" s="1"/>
  <c r="BI2" i="40" s="1"/>
  <c r="BH2" i="40" s="1"/>
  <c r="BG2" i="40" s="1"/>
  <c r="BF2" i="40" s="1"/>
  <c r="BE2" i="40" s="1"/>
  <c r="BD2" i="40" s="1"/>
  <c r="BC2" i="40" s="1"/>
  <c r="BB2" i="40" s="1"/>
  <c r="BA2" i="40" s="1"/>
  <c r="AZ2" i="40" s="1"/>
  <c r="AY2" i="40" s="1"/>
  <c r="AX2" i="40" s="1"/>
  <c r="AW2" i="40" s="1"/>
  <c r="AV2" i="40" s="1"/>
  <c r="AU2" i="40" s="1"/>
  <c r="AT2" i="40" s="1"/>
  <c r="AS2" i="40" s="1"/>
  <c r="AR2" i="40" s="1"/>
  <c r="AQ2" i="40" s="1"/>
  <c r="AP2" i="40" s="1"/>
  <c r="AO2" i="40" s="1"/>
  <c r="AN2" i="40" s="1"/>
  <c r="AM2" i="40" s="1"/>
  <c r="AL2" i="40" s="1"/>
  <c r="AK2" i="40" s="1"/>
  <c r="AJ2" i="40" s="1"/>
  <c r="AI2" i="40" s="1"/>
  <c r="AH2" i="40" s="1"/>
  <c r="AG2" i="40" s="1"/>
  <c r="AF2" i="40" s="1"/>
  <c r="AE2" i="40" s="1"/>
  <c r="AD2" i="40" s="1"/>
  <c r="AC2" i="40" s="1"/>
  <c r="AB2" i="40" s="1"/>
  <c r="AA2" i="40" s="1"/>
  <c r="Z2" i="40" s="1"/>
  <c r="Y2" i="40" s="1"/>
  <c r="X2" i="40" s="1"/>
  <c r="W2" i="40" s="1"/>
  <c r="V2" i="40" s="1"/>
  <c r="U2" i="40" s="1"/>
  <c r="T2" i="40" s="1"/>
  <c r="S2" i="40" s="1"/>
  <c r="R2" i="40" s="1"/>
  <c r="Q2" i="40" s="1"/>
  <c r="P2" i="40" s="1"/>
  <c r="O2" i="40" s="1"/>
  <c r="N2" i="40" s="1"/>
  <c r="M2" i="40" s="1"/>
  <c r="L2" i="40" s="1"/>
  <c r="K2" i="40" s="1"/>
  <c r="J2" i="40" s="1"/>
  <c r="I2" i="40" s="1"/>
  <c r="H2" i="40" s="1"/>
  <c r="G2" i="40" s="1"/>
  <c r="F2" i="40" s="1"/>
  <c r="E2" i="40" s="1"/>
  <c r="D2" i="40" s="1"/>
  <c r="C2" i="40" s="1"/>
  <c r="B2" i="40" s="1"/>
  <c r="CP3" i="40"/>
  <c r="CO3" i="40" s="1"/>
  <c r="CN3" i="40" s="1"/>
  <c r="CM3" i="40" s="1"/>
  <c r="CL3" i="40" s="1"/>
  <c r="CK3" i="40" s="1"/>
  <c r="CJ3" i="40" s="1"/>
  <c r="CI3" i="40" s="1"/>
  <c r="CH3" i="40" s="1"/>
  <c r="CG3" i="40" s="1"/>
  <c r="CF3" i="40" s="1"/>
  <c r="CE3" i="40" s="1"/>
  <c r="CD3" i="40" s="1"/>
  <c r="CC3" i="40" s="1"/>
  <c r="CB3" i="40" s="1"/>
  <c r="CA3" i="40" s="1"/>
  <c r="BZ3" i="40" s="1"/>
  <c r="BY3" i="40" s="1"/>
  <c r="BX3" i="40" s="1"/>
  <c r="BW3" i="40" s="1"/>
  <c r="BV3" i="40" s="1"/>
  <c r="BU3" i="40" s="1"/>
  <c r="BT3" i="40" s="1"/>
  <c r="BS3" i="40" s="1"/>
  <c r="BR3" i="40" s="1"/>
  <c r="BQ3" i="40" s="1"/>
  <c r="BP3" i="40" s="1"/>
  <c r="BO3" i="40" s="1"/>
  <c r="BN3" i="40" s="1"/>
  <c r="BM3" i="40" s="1"/>
  <c r="BL3" i="40" s="1"/>
  <c r="BK3" i="40" s="1"/>
  <c r="BJ3" i="40" s="1"/>
  <c r="BI3" i="40" s="1"/>
  <c r="BH3" i="40" s="1"/>
  <c r="BG3" i="40" s="1"/>
  <c r="BF3" i="40" s="1"/>
  <c r="BE3" i="40" s="1"/>
  <c r="BD3" i="40" s="1"/>
  <c r="BC3" i="40" s="1"/>
  <c r="BB3" i="40" s="1"/>
  <c r="BA3" i="40" s="1"/>
  <c r="AZ3" i="40" s="1"/>
  <c r="AY3" i="40" s="1"/>
  <c r="AX3" i="40" s="1"/>
  <c r="AW3" i="40" s="1"/>
  <c r="AV3" i="40" s="1"/>
  <c r="AU3" i="40" s="1"/>
  <c r="AT3" i="40" s="1"/>
  <c r="AS3" i="40" s="1"/>
  <c r="AR3" i="40" s="1"/>
  <c r="AQ3" i="40" s="1"/>
  <c r="AP3" i="40" s="1"/>
  <c r="AO3" i="40" s="1"/>
  <c r="AN3" i="40" s="1"/>
  <c r="AM3" i="40" s="1"/>
  <c r="AL3" i="40" s="1"/>
  <c r="AK3" i="40" s="1"/>
  <c r="AJ3" i="40" s="1"/>
  <c r="AI3" i="40" s="1"/>
  <c r="AH3" i="40" s="1"/>
  <c r="AG3" i="40" s="1"/>
  <c r="AF3" i="40" s="1"/>
  <c r="AE3" i="40" s="1"/>
  <c r="AD3" i="40" s="1"/>
  <c r="AC3" i="40" s="1"/>
  <c r="AB3" i="40" s="1"/>
  <c r="AA3" i="40" s="1"/>
  <c r="Z3" i="40" s="1"/>
  <c r="Y3" i="40" s="1"/>
  <c r="X3" i="40" s="1"/>
  <c r="W3" i="40" s="1"/>
  <c r="V3" i="40" s="1"/>
  <c r="U3" i="40" s="1"/>
  <c r="T3" i="40" s="1"/>
  <c r="S3" i="40" s="1"/>
  <c r="R3" i="40" s="1"/>
  <c r="Q3" i="40" s="1"/>
  <c r="P3" i="40" s="1"/>
  <c r="O3" i="40" s="1"/>
  <c r="N3" i="40" s="1"/>
  <c r="M3" i="40" s="1"/>
  <c r="L3" i="40" s="1"/>
  <c r="K3" i="40" s="1"/>
  <c r="J3" i="40" s="1"/>
  <c r="I3" i="40" s="1"/>
  <c r="H3" i="40" s="1"/>
  <c r="G3" i="40" s="1"/>
  <c r="F3" i="40" s="1"/>
  <c r="E3" i="40" s="1"/>
  <c r="D3" i="40" s="1"/>
  <c r="C3" i="40" s="1"/>
  <c r="B3" i="40" s="1"/>
  <c r="CQ3" i="40"/>
  <c r="DX3" i="40"/>
  <c r="DW3" i="40" s="1"/>
  <c r="DV3" i="40" s="1"/>
  <c r="DU3" i="40" s="1"/>
  <c r="DT3" i="40" s="1"/>
  <c r="DS3" i="40" s="1"/>
  <c r="DR3" i="40" s="1"/>
  <c r="DQ3" i="40" s="1"/>
  <c r="DP3" i="40" s="1"/>
  <c r="DO3" i="40" s="1"/>
  <c r="DN3" i="40" s="1"/>
  <c r="DM3" i="40" s="1"/>
  <c r="DL3" i="40" s="1"/>
  <c r="DK3" i="40" s="1"/>
  <c r="DJ3" i="40" s="1"/>
  <c r="DI3" i="40" s="1"/>
  <c r="DH3" i="40" s="1"/>
  <c r="DG3" i="40" s="1"/>
  <c r="DF3" i="40" s="1"/>
  <c r="DE3" i="40" s="1"/>
  <c r="DD3" i="40" s="1"/>
  <c r="DC3" i="40" s="1"/>
  <c r="DB3" i="40" s="1"/>
  <c r="DA3" i="40" s="1"/>
  <c r="CZ3" i="40" s="1"/>
  <c r="CY3" i="40" s="1"/>
  <c r="CX3" i="40" s="1"/>
  <c r="CW3" i="40" s="1"/>
  <c r="CV3" i="40" s="1"/>
  <c r="CU3" i="40" s="1"/>
  <c r="CT3" i="40" s="1"/>
  <c r="CS3" i="40" s="1"/>
  <c r="CR3" i="40" s="1"/>
  <c r="DY3" i="40"/>
  <c r="DA4" i="40"/>
  <c r="CZ4" i="40" s="1"/>
  <c r="CY4" i="40" s="1"/>
  <c r="CX4" i="40" s="1"/>
  <c r="CW4" i="40" s="1"/>
  <c r="CV4" i="40" s="1"/>
  <c r="CU4" i="40" s="1"/>
  <c r="CT4" i="40" s="1"/>
  <c r="CS4" i="40" s="1"/>
  <c r="CR4" i="40" s="1"/>
  <c r="CQ4" i="40" s="1"/>
  <c r="CP4" i="40" s="1"/>
  <c r="CO4" i="40" s="1"/>
  <c r="CN4" i="40" s="1"/>
  <c r="CM4" i="40" s="1"/>
  <c r="CL4" i="40" s="1"/>
  <c r="CK4" i="40" s="1"/>
  <c r="CJ4" i="40" s="1"/>
  <c r="CI4" i="40" s="1"/>
  <c r="CH4" i="40" s="1"/>
  <c r="CG4" i="40" s="1"/>
  <c r="CF4" i="40" s="1"/>
  <c r="CE4" i="40" s="1"/>
  <c r="CD4" i="40" s="1"/>
  <c r="CC4" i="40" s="1"/>
  <c r="CB4" i="40" s="1"/>
  <c r="CA4" i="40" s="1"/>
  <c r="BZ4" i="40" s="1"/>
  <c r="BY4" i="40" s="1"/>
  <c r="BX4" i="40" s="1"/>
  <c r="BW4" i="40" s="1"/>
  <c r="BV4" i="40" s="1"/>
  <c r="BU4" i="40" s="1"/>
  <c r="BT4" i="40" s="1"/>
  <c r="BS4" i="40" s="1"/>
  <c r="BR4" i="40" s="1"/>
  <c r="BQ4" i="40" s="1"/>
  <c r="BP4" i="40" s="1"/>
  <c r="BO4" i="40" s="1"/>
  <c r="BN4" i="40" s="1"/>
  <c r="BM4" i="40" s="1"/>
  <c r="BL4" i="40" s="1"/>
  <c r="BK4" i="40" s="1"/>
  <c r="BJ4" i="40" s="1"/>
  <c r="BI4" i="40" s="1"/>
  <c r="BH4" i="40" s="1"/>
  <c r="BG4" i="40" s="1"/>
  <c r="BF4" i="40" s="1"/>
  <c r="BE4" i="40" s="1"/>
  <c r="BD4" i="40" s="1"/>
  <c r="BC4" i="40" s="1"/>
  <c r="BB4" i="40" s="1"/>
  <c r="BA4" i="40" s="1"/>
  <c r="AZ4" i="40" s="1"/>
  <c r="AY4" i="40" s="1"/>
  <c r="AX4" i="40" s="1"/>
  <c r="AW4" i="40" s="1"/>
  <c r="AV4" i="40" s="1"/>
  <c r="AU4" i="40" s="1"/>
  <c r="AT4" i="40" s="1"/>
  <c r="AS4" i="40" s="1"/>
  <c r="AR4" i="40" s="1"/>
  <c r="AQ4" i="40" s="1"/>
  <c r="AP4" i="40" s="1"/>
  <c r="AO4" i="40" s="1"/>
  <c r="AN4" i="40" s="1"/>
  <c r="AM4" i="40" s="1"/>
  <c r="AL4" i="40" s="1"/>
  <c r="AK4" i="40" s="1"/>
  <c r="AJ4" i="40" s="1"/>
  <c r="AI4" i="40" s="1"/>
  <c r="AH4" i="40" s="1"/>
  <c r="AG4" i="40" s="1"/>
  <c r="AF4" i="40" s="1"/>
  <c r="AE4" i="40" s="1"/>
  <c r="AD4" i="40" s="1"/>
  <c r="AC4" i="40" s="1"/>
  <c r="AB4" i="40" s="1"/>
  <c r="AA4" i="40" s="1"/>
  <c r="Z4" i="40" s="1"/>
  <c r="Y4" i="40" s="1"/>
  <c r="X4" i="40" s="1"/>
  <c r="W4" i="40" s="1"/>
  <c r="V4" i="40" s="1"/>
  <c r="U4" i="40" s="1"/>
  <c r="T4" i="40" s="1"/>
  <c r="S4" i="40" s="1"/>
  <c r="R4" i="40" s="1"/>
  <c r="Q4" i="40" s="1"/>
  <c r="P4" i="40" s="1"/>
  <c r="O4" i="40" s="1"/>
  <c r="N4" i="40" s="1"/>
  <c r="M4" i="40" s="1"/>
  <c r="L4" i="40" s="1"/>
  <c r="K4" i="40" s="1"/>
  <c r="J4" i="40" s="1"/>
  <c r="I4" i="40" s="1"/>
  <c r="H4" i="40" s="1"/>
  <c r="G4" i="40" s="1"/>
  <c r="F4" i="40" s="1"/>
  <c r="E4" i="40" s="1"/>
  <c r="D4" i="40" s="1"/>
  <c r="C4" i="40" s="1"/>
  <c r="B4" i="40" s="1"/>
  <c r="DY4" i="40"/>
  <c r="DX4" i="40" s="1"/>
  <c r="DW4" i="40" s="1"/>
  <c r="DV4" i="40" s="1"/>
  <c r="DU4" i="40" s="1"/>
  <c r="DT4" i="40" s="1"/>
  <c r="DS4" i="40" s="1"/>
  <c r="DR4" i="40" s="1"/>
  <c r="DQ4" i="40" s="1"/>
  <c r="DP4" i="40" s="1"/>
  <c r="DO4" i="40" s="1"/>
  <c r="DN4" i="40" s="1"/>
  <c r="DM4" i="40" s="1"/>
  <c r="DL4" i="40" s="1"/>
  <c r="DK4" i="40" s="1"/>
  <c r="DJ4" i="40" s="1"/>
  <c r="DI4" i="40" s="1"/>
  <c r="DH4" i="40" s="1"/>
  <c r="DG4" i="40" s="1"/>
  <c r="DF4" i="40" s="1"/>
  <c r="DE4" i="40" s="1"/>
  <c r="DD4" i="40" s="1"/>
  <c r="DC4" i="40" s="1"/>
  <c r="DB4" i="40" s="1"/>
  <c r="DU5" i="40"/>
  <c r="DT5" i="40" s="1"/>
  <c r="DS5" i="40" s="1"/>
  <c r="DR5" i="40" s="1"/>
  <c r="DQ5" i="40" s="1"/>
  <c r="DP5" i="40" s="1"/>
  <c r="DO5" i="40" s="1"/>
  <c r="DN5" i="40" s="1"/>
  <c r="DM5" i="40" s="1"/>
  <c r="DL5" i="40" s="1"/>
  <c r="DK5" i="40" s="1"/>
  <c r="DJ5" i="40" s="1"/>
  <c r="DI5" i="40" s="1"/>
  <c r="DH5" i="40" s="1"/>
  <c r="DG5" i="40" s="1"/>
  <c r="DF5" i="40" s="1"/>
  <c r="DE5" i="40" s="1"/>
  <c r="DD5" i="40" s="1"/>
  <c r="DC5" i="40" s="1"/>
  <c r="DB5" i="40" s="1"/>
  <c r="DA5" i="40" s="1"/>
  <c r="CZ5" i="40" s="1"/>
  <c r="CY5" i="40" s="1"/>
  <c r="CX5" i="40" s="1"/>
  <c r="CW5" i="40" s="1"/>
  <c r="CV5" i="40" s="1"/>
  <c r="CU5" i="40" s="1"/>
  <c r="CT5" i="40" s="1"/>
  <c r="CS5" i="40" s="1"/>
  <c r="CR5" i="40" s="1"/>
  <c r="CQ5" i="40" s="1"/>
  <c r="CP5" i="40" s="1"/>
  <c r="CO5" i="40" s="1"/>
  <c r="CN5" i="40" s="1"/>
  <c r="CM5" i="40" s="1"/>
  <c r="CL5" i="40" s="1"/>
  <c r="CK5" i="40" s="1"/>
  <c r="CJ5" i="40" s="1"/>
  <c r="CI5" i="40" s="1"/>
  <c r="CH5" i="40" s="1"/>
  <c r="CG5" i="40" s="1"/>
  <c r="CF5" i="40" s="1"/>
  <c r="CE5" i="40" s="1"/>
  <c r="CD5" i="40" s="1"/>
  <c r="CC5" i="40" s="1"/>
  <c r="CB5" i="40" s="1"/>
  <c r="CA5" i="40" s="1"/>
  <c r="BZ5" i="40" s="1"/>
  <c r="BY5" i="40" s="1"/>
  <c r="BX5" i="40" s="1"/>
  <c r="BW5" i="40" s="1"/>
  <c r="BV5" i="40" s="1"/>
  <c r="BU5" i="40" s="1"/>
  <c r="BT5" i="40" s="1"/>
  <c r="BS5" i="40" s="1"/>
  <c r="BR5" i="40" s="1"/>
  <c r="BQ5" i="40" s="1"/>
  <c r="BP5" i="40" s="1"/>
  <c r="BO5" i="40" s="1"/>
  <c r="BN5" i="40" s="1"/>
  <c r="BM5" i="40" s="1"/>
  <c r="BL5" i="40" s="1"/>
  <c r="BK5" i="40" s="1"/>
  <c r="BJ5" i="40" s="1"/>
  <c r="BI5" i="40" s="1"/>
  <c r="BH5" i="40" s="1"/>
  <c r="BG5" i="40" s="1"/>
  <c r="BF5" i="40" s="1"/>
  <c r="BE5" i="40" s="1"/>
  <c r="BD5" i="40" s="1"/>
  <c r="BC5" i="40" s="1"/>
  <c r="BB5" i="40" s="1"/>
  <c r="BA5" i="40" s="1"/>
  <c r="AZ5" i="40" s="1"/>
  <c r="AY5" i="40" s="1"/>
  <c r="AX5" i="40" s="1"/>
  <c r="AW5" i="40" s="1"/>
  <c r="AV5" i="40" s="1"/>
  <c r="AU5" i="40" s="1"/>
  <c r="AT5" i="40" s="1"/>
  <c r="AS5" i="40" s="1"/>
  <c r="AR5" i="40" s="1"/>
  <c r="AQ5" i="40" s="1"/>
  <c r="AP5" i="40" s="1"/>
  <c r="AO5" i="40" s="1"/>
  <c r="AN5" i="40" s="1"/>
  <c r="AM5" i="40" s="1"/>
  <c r="AL5" i="40" s="1"/>
  <c r="AK5" i="40" s="1"/>
  <c r="AJ5" i="40" s="1"/>
  <c r="AI5" i="40" s="1"/>
  <c r="AH5" i="40" s="1"/>
  <c r="AG5" i="40" s="1"/>
  <c r="AF5" i="40" s="1"/>
  <c r="AE5" i="40" s="1"/>
  <c r="AD5" i="40" s="1"/>
  <c r="AC5" i="40" s="1"/>
  <c r="AB5" i="40" s="1"/>
  <c r="AA5" i="40" s="1"/>
  <c r="Z5" i="40" s="1"/>
  <c r="Y5" i="40" s="1"/>
  <c r="X5" i="40" s="1"/>
  <c r="W5" i="40" s="1"/>
  <c r="V5" i="40" s="1"/>
  <c r="U5" i="40" s="1"/>
  <c r="T5" i="40" s="1"/>
  <c r="S5" i="40" s="1"/>
  <c r="R5" i="40" s="1"/>
  <c r="Q5" i="40" s="1"/>
  <c r="P5" i="40" s="1"/>
  <c r="O5" i="40" s="1"/>
  <c r="N5" i="40" s="1"/>
  <c r="M5" i="40" s="1"/>
  <c r="L5" i="40" s="1"/>
  <c r="K5" i="40" s="1"/>
  <c r="J5" i="40" s="1"/>
  <c r="I5" i="40" s="1"/>
  <c r="H5" i="40" s="1"/>
  <c r="G5" i="40" s="1"/>
  <c r="F5" i="40" s="1"/>
  <c r="E5" i="40" s="1"/>
  <c r="D5" i="40" s="1"/>
  <c r="C5" i="40" s="1"/>
  <c r="B5" i="40" s="1"/>
  <c r="DY5" i="40"/>
  <c r="DX5" i="40" s="1"/>
  <c r="DW5" i="40" s="1"/>
  <c r="DV5" i="40" s="1"/>
  <c r="DW6" i="40"/>
  <c r="DV6" i="40" s="1"/>
  <c r="DU6" i="40" s="1"/>
  <c r="DT6" i="40" s="1"/>
  <c r="DS6" i="40" s="1"/>
  <c r="DR6" i="40" s="1"/>
  <c r="DQ6" i="40" s="1"/>
  <c r="DP6" i="40" s="1"/>
  <c r="DO6" i="40" s="1"/>
  <c r="DN6" i="40" s="1"/>
  <c r="DM6" i="40" s="1"/>
  <c r="DL6" i="40" s="1"/>
  <c r="DK6" i="40" s="1"/>
  <c r="DJ6" i="40" s="1"/>
  <c r="DI6" i="40" s="1"/>
  <c r="DH6" i="40" s="1"/>
  <c r="DG6" i="40" s="1"/>
  <c r="DF6" i="40" s="1"/>
  <c r="DE6" i="40" s="1"/>
  <c r="DD6" i="40" s="1"/>
  <c r="DC6" i="40" s="1"/>
  <c r="DB6" i="40" s="1"/>
  <c r="DA6" i="40" s="1"/>
  <c r="CZ6" i="40" s="1"/>
  <c r="CY6" i="40" s="1"/>
  <c r="CX6" i="40" s="1"/>
  <c r="CW6" i="40" s="1"/>
  <c r="CV6" i="40" s="1"/>
  <c r="CU6" i="40" s="1"/>
  <c r="CT6" i="40" s="1"/>
  <c r="CS6" i="40" s="1"/>
  <c r="CR6" i="40" s="1"/>
  <c r="CQ6" i="40" s="1"/>
  <c r="CP6" i="40" s="1"/>
  <c r="CO6" i="40" s="1"/>
  <c r="CN6" i="40" s="1"/>
  <c r="CM6" i="40" s="1"/>
  <c r="CL6" i="40" s="1"/>
  <c r="CK6" i="40" s="1"/>
  <c r="CJ6" i="40" s="1"/>
  <c r="CI6" i="40" s="1"/>
  <c r="CH6" i="40" s="1"/>
  <c r="CG6" i="40" s="1"/>
  <c r="CF6" i="40" s="1"/>
  <c r="CE6" i="40" s="1"/>
  <c r="CD6" i="40" s="1"/>
  <c r="CC6" i="40" s="1"/>
  <c r="CB6" i="40" s="1"/>
  <c r="CA6" i="40" s="1"/>
  <c r="BZ6" i="40" s="1"/>
  <c r="BY6" i="40" s="1"/>
  <c r="BX6" i="40" s="1"/>
  <c r="BW6" i="40" s="1"/>
  <c r="BV6" i="40" s="1"/>
  <c r="BU6" i="40" s="1"/>
  <c r="BT6" i="40" s="1"/>
  <c r="BS6" i="40" s="1"/>
  <c r="BR6" i="40" s="1"/>
  <c r="BQ6" i="40" s="1"/>
  <c r="BP6" i="40" s="1"/>
  <c r="BO6" i="40" s="1"/>
  <c r="BN6" i="40" s="1"/>
  <c r="BM6" i="40" s="1"/>
  <c r="BL6" i="40" s="1"/>
  <c r="BK6" i="40" s="1"/>
  <c r="BJ6" i="40" s="1"/>
  <c r="BI6" i="40" s="1"/>
  <c r="BH6" i="40" s="1"/>
  <c r="BG6" i="40" s="1"/>
  <c r="BF6" i="40" s="1"/>
  <c r="BE6" i="40" s="1"/>
  <c r="BD6" i="40" s="1"/>
  <c r="BC6" i="40" s="1"/>
  <c r="BB6" i="40" s="1"/>
  <c r="BA6" i="40" s="1"/>
  <c r="AZ6" i="40" s="1"/>
  <c r="AY6" i="40" s="1"/>
  <c r="AX6" i="40" s="1"/>
  <c r="AW6" i="40" s="1"/>
  <c r="AV6" i="40" s="1"/>
  <c r="AU6" i="40" s="1"/>
  <c r="AT6" i="40" s="1"/>
  <c r="AS6" i="40" s="1"/>
  <c r="AR6" i="40" s="1"/>
  <c r="AQ6" i="40" s="1"/>
  <c r="AP6" i="40" s="1"/>
  <c r="AO6" i="40" s="1"/>
  <c r="AN6" i="40" s="1"/>
  <c r="AM6" i="40" s="1"/>
  <c r="AL6" i="40" s="1"/>
  <c r="AK6" i="40" s="1"/>
  <c r="AJ6" i="40" s="1"/>
  <c r="AI6" i="40" s="1"/>
  <c r="AH6" i="40" s="1"/>
  <c r="AG6" i="40" s="1"/>
  <c r="AF6" i="40" s="1"/>
  <c r="AE6" i="40" s="1"/>
  <c r="AD6" i="40" s="1"/>
  <c r="AC6" i="40" s="1"/>
  <c r="AB6" i="40" s="1"/>
  <c r="AA6" i="40" s="1"/>
  <c r="Z6" i="40" s="1"/>
  <c r="Y6" i="40" s="1"/>
  <c r="X6" i="40" s="1"/>
  <c r="W6" i="40" s="1"/>
  <c r="V6" i="40" s="1"/>
  <c r="U6" i="40" s="1"/>
  <c r="T6" i="40" s="1"/>
  <c r="S6" i="40" s="1"/>
  <c r="R6" i="40" s="1"/>
  <c r="Q6" i="40" s="1"/>
  <c r="P6" i="40" s="1"/>
  <c r="O6" i="40" s="1"/>
  <c r="N6" i="40" s="1"/>
  <c r="M6" i="40" s="1"/>
  <c r="L6" i="40" s="1"/>
  <c r="K6" i="40" s="1"/>
  <c r="J6" i="40" s="1"/>
  <c r="I6" i="40" s="1"/>
  <c r="H6" i="40" s="1"/>
  <c r="G6" i="40" s="1"/>
  <c r="F6" i="40" s="1"/>
  <c r="E6" i="40" s="1"/>
  <c r="D6" i="40" s="1"/>
  <c r="C6" i="40" s="1"/>
  <c r="B6" i="40" s="1"/>
  <c r="DX6" i="40"/>
  <c r="DY6" i="40"/>
  <c r="DG9" i="40"/>
  <c r="DF9" i="40" s="1"/>
  <c r="DE9" i="40" s="1"/>
  <c r="DD9" i="40" s="1"/>
  <c r="DC9" i="40" s="1"/>
  <c r="DB9" i="40" s="1"/>
  <c r="DA9" i="40" s="1"/>
  <c r="CZ9" i="40" s="1"/>
  <c r="CY9" i="40" s="1"/>
  <c r="CX9" i="40" s="1"/>
  <c r="CW9" i="40" s="1"/>
  <c r="CV9" i="40" s="1"/>
  <c r="CU9" i="40" s="1"/>
  <c r="CT9" i="40" s="1"/>
  <c r="CS9" i="40" s="1"/>
  <c r="CR9" i="40" s="1"/>
  <c r="CQ9" i="40" s="1"/>
  <c r="CP9" i="40" s="1"/>
  <c r="CO9" i="40" s="1"/>
  <c r="CN9" i="40" s="1"/>
  <c r="CM9" i="40" s="1"/>
  <c r="CL9" i="40" s="1"/>
  <c r="CK9" i="40" s="1"/>
  <c r="CJ9" i="40" s="1"/>
  <c r="CI9" i="40" s="1"/>
  <c r="CH9" i="40" s="1"/>
  <c r="CG9" i="40" s="1"/>
  <c r="CF9" i="40" s="1"/>
  <c r="CE9" i="40" s="1"/>
  <c r="CD9" i="40" s="1"/>
  <c r="CC9" i="40" s="1"/>
  <c r="CB9" i="40" s="1"/>
  <c r="CA9" i="40" s="1"/>
  <c r="BZ9" i="40" s="1"/>
  <c r="BY9" i="40" s="1"/>
  <c r="BX9" i="40" s="1"/>
  <c r="BW9" i="40" s="1"/>
  <c r="BV9" i="40" s="1"/>
  <c r="BU9" i="40" s="1"/>
  <c r="BT9" i="40" s="1"/>
  <c r="BS9" i="40" s="1"/>
  <c r="BR9" i="40" s="1"/>
  <c r="BQ9" i="40" s="1"/>
  <c r="BP9" i="40" s="1"/>
  <c r="BO9" i="40" s="1"/>
  <c r="BN9" i="40" s="1"/>
  <c r="BM9" i="40" s="1"/>
  <c r="BL9" i="40" s="1"/>
  <c r="BK9" i="40" s="1"/>
  <c r="BJ9" i="40" s="1"/>
  <c r="BI9" i="40" s="1"/>
  <c r="BH9" i="40" s="1"/>
  <c r="BG9" i="40" s="1"/>
  <c r="BF9" i="40" s="1"/>
  <c r="BE9" i="40" s="1"/>
  <c r="BD9" i="40" s="1"/>
  <c r="BC9" i="40" s="1"/>
  <c r="BB9" i="40" s="1"/>
  <c r="BA9" i="40" s="1"/>
  <c r="AZ9" i="40" s="1"/>
  <c r="AY9" i="40" s="1"/>
  <c r="AX9" i="40" s="1"/>
  <c r="AW9" i="40" s="1"/>
  <c r="AV9" i="40" s="1"/>
  <c r="AU9" i="40" s="1"/>
  <c r="AT9" i="40" s="1"/>
  <c r="AS9" i="40" s="1"/>
  <c r="AR9" i="40" s="1"/>
  <c r="AQ9" i="40" s="1"/>
  <c r="AP9" i="40" s="1"/>
  <c r="AO9" i="40" s="1"/>
  <c r="AN9" i="40" s="1"/>
  <c r="AM9" i="40" s="1"/>
  <c r="AL9" i="40" s="1"/>
  <c r="AK9" i="40" s="1"/>
  <c r="AJ9" i="40" s="1"/>
  <c r="AI9" i="40" s="1"/>
  <c r="AH9" i="40" s="1"/>
  <c r="AG9" i="40" s="1"/>
  <c r="AF9" i="40" s="1"/>
  <c r="AE9" i="40" s="1"/>
  <c r="AD9" i="40" s="1"/>
  <c r="AC9" i="40" s="1"/>
  <c r="AB9" i="40" s="1"/>
  <c r="AA9" i="40" s="1"/>
  <c r="Z9" i="40" s="1"/>
  <c r="Y9" i="40" s="1"/>
  <c r="X9" i="40" s="1"/>
  <c r="W9" i="40" s="1"/>
  <c r="V9" i="40" s="1"/>
  <c r="U9" i="40" s="1"/>
  <c r="T9" i="40" s="1"/>
  <c r="S9" i="40" s="1"/>
  <c r="R9" i="40" s="1"/>
  <c r="Q9" i="40" s="1"/>
  <c r="P9" i="40" s="1"/>
  <c r="O9" i="40" s="1"/>
  <c r="N9" i="40" s="1"/>
  <c r="M9" i="40" s="1"/>
  <c r="L9" i="40" s="1"/>
  <c r="K9" i="40" s="1"/>
  <c r="J9" i="40" s="1"/>
  <c r="I9" i="40" s="1"/>
  <c r="H9" i="40" s="1"/>
  <c r="G9" i="40" s="1"/>
  <c r="F9" i="40" s="1"/>
  <c r="E9" i="40" s="1"/>
  <c r="D9" i="40" s="1"/>
  <c r="C9" i="40" s="1"/>
  <c r="B9" i="40" s="1"/>
  <c r="DY9" i="40"/>
  <c r="DX9" i="40" s="1"/>
  <c r="DW9" i="40" s="1"/>
  <c r="DV9" i="40" s="1"/>
  <c r="DU9" i="40" s="1"/>
  <c r="DT9" i="40" s="1"/>
  <c r="DS9" i="40" s="1"/>
  <c r="DR9" i="40" s="1"/>
  <c r="DQ9" i="40" s="1"/>
  <c r="DP9" i="40" s="1"/>
  <c r="DO9" i="40" s="1"/>
  <c r="DN9" i="40" s="1"/>
  <c r="DM9" i="40" s="1"/>
  <c r="DL9" i="40" s="1"/>
  <c r="DK9" i="40" s="1"/>
  <c r="DJ9" i="40" s="1"/>
  <c r="DI9" i="40" s="1"/>
  <c r="DH9" i="40" s="1"/>
  <c r="DY10" i="40"/>
  <c r="DX10" i="40" s="1"/>
  <c r="DW10" i="40" s="1"/>
  <c r="DV10" i="40" s="1"/>
  <c r="DU10" i="40" s="1"/>
  <c r="DT10" i="40" s="1"/>
  <c r="DS10" i="40" s="1"/>
  <c r="DR10" i="40" s="1"/>
  <c r="DQ10" i="40" s="1"/>
  <c r="DP10" i="40" s="1"/>
  <c r="DO10" i="40" s="1"/>
  <c r="DN10" i="40" s="1"/>
  <c r="DM10" i="40" s="1"/>
  <c r="DL10" i="40" s="1"/>
  <c r="DK10" i="40" s="1"/>
  <c r="DJ10" i="40" s="1"/>
  <c r="DI10" i="40" s="1"/>
  <c r="DH10" i="40" s="1"/>
  <c r="DG10" i="40" s="1"/>
  <c r="DF10" i="40" s="1"/>
  <c r="DE10" i="40" s="1"/>
  <c r="DD10" i="40" s="1"/>
  <c r="DC10" i="40" s="1"/>
  <c r="DB10" i="40" s="1"/>
  <c r="DA10" i="40" s="1"/>
  <c r="CZ10" i="40" s="1"/>
  <c r="CY10" i="40" s="1"/>
  <c r="CX10" i="40" s="1"/>
  <c r="CW10" i="40" s="1"/>
  <c r="CV10" i="40" s="1"/>
  <c r="CU10" i="40" s="1"/>
  <c r="CT10" i="40" s="1"/>
  <c r="CS10" i="40" s="1"/>
  <c r="CR10" i="40" s="1"/>
  <c r="CQ10" i="40" s="1"/>
  <c r="CP10" i="40" s="1"/>
  <c r="CO10" i="40" s="1"/>
  <c r="CN10" i="40" s="1"/>
  <c r="CM10" i="40" s="1"/>
  <c r="CL10" i="40" s="1"/>
  <c r="CK10" i="40" s="1"/>
  <c r="CJ10" i="40" s="1"/>
  <c r="CI10" i="40" s="1"/>
  <c r="CH10" i="40" s="1"/>
  <c r="CG10" i="40" s="1"/>
  <c r="CF10" i="40" s="1"/>
  <c r="CE10" i="40" s="1"/>
  <c r="CD10" i="40" s="1"/>
  <c r="CC10" i="40" s="1"/>
  <c r="CB10" i="40" s="1"/>
  <c r="CA10" i="40" s="1"/>
  <c r="BZ10" i="40" s="1"/>
  <c r="BY10" i="40" s="1"/>
  <c r="BX10" i="40" s="1"/>
  <c r="BW10" i="40" s="1"/>
  <c r="BV10" i="40" s="1"/>
  <c r="BU10" i="40" s="1"/>
  <c r="BT10" i="40" s="1"/>
  <c r="BS10" i="40" s="1"/>
  <c r="BR10" i="40" s="1"/>
  <c r="BQ10" i="40" s="1"/>
  <c r="BP10" i="40" s="1"/>
  <c r="BO10" i="40" s="1"/>
  <c r="BN10" i="40" s="1"/>
  <c r="BM10" i="40" s="1"/>
  <c r="BL10" i="40" s="1"/>
  <c r="BK10" i="40" s="1"/>
  <c r="BJ10" i="40" s="1"/>
  <c r="BI10" i="40" s="1"/>
  <c r="BH10" i="40" s="1"/>
  <c r="BG10" i="40" s="1"/>
  <c r="BF10" i="40" s="1"/>
  <c r="BE10" i="40" s="1"/>
  <c r="BD10" i="40" s="1"/>
  <c r="BC10" i="40" s="1"/>
  <c r="BB10" i="40" s="1"/>
  <c r="BA10" i="40" s="1"/>
  <c r="AZ10" i="40" s="1"/>
  <c r="AY10" i="40" s="1"/>
  <c r="AX10" i="40" s="1"/>
  <c r="AW10" i="40" s="1"/>
  <c r="AV10" i="40" s="1"/>
  <c r="AU10" i="40" s="1"/>
  <c r="AT10" i="40" s="1"/>
  <c r="AS10" i="40" s="1"/>
  <c r="AR10" i="40" s="1"/>
  <c r="AQ10" i="40" s="1"/>
  <c r="AP10" i="40" s="1"/>
  <c r="AO10" i="40" s="1"/>
  <c r="AN10" i="40" s="1"/>
  <c r="AM10" i="40" s="1"/>
  <c r="AL10" i="40" s="1"/>
  <c r="AK10" i="40" s="1"/>
  <c r="AJ10" i="40" s="1"/>
  <c r="AI10" i="40" s="1"/>
  <c r="AH10" i="40" s="1"/>
  <c r="AG10" i="40" s="1"/>
  <c r="AF10" i="40" s="1"/>
  <c r="AE10" i="40" s="1"/>
  <c r="AD10" i="40" s="1"/>
  <c r="AC10" i="40" s="1"/>
  <c r="AB10" i="40" s="1"/>
  <c r="AA10" i="40" s="1"/>
  <c r="Z10" i="40" s="1"/>
  <c r="Y10" i="40" s="1"/>
  <c r="X10" i="40" s="1"/>
  <c r="W10" i="40" s="1"/>
  <c r="V10" i="40" s="1"/>
  <c r="U10" i="40" s="1"/>
  <c r="T10" i="40" s="1"/>
  <c r="S10" i="40" s="1"/>
  <c r="R10" i="40" s="1"/>
  <c r="Q10" i="40" s="1"/>
  <c r="P10" i="40" s="1"/>
  <c r="O10" i="40" s="1"/>
  <c r="N10" i="40" s="1"/>
  <c r="M10" i="40" s="1"/>
  <c r="L10" i="40" s="1"/>
  <c r="K10" i="40" s="1"/>
  <c r="J10" i="40" s="1"/>
  <c r="I10" i="40" s="1"/>
  <c r="H10" i="40" s="1"/>
  <c r="G10" i="40" s="1"/>
  <c r="F10" i="40" s="1"/>
  <c r="E10" i="40" s="1"/>
  <c r="D10" i="40" s="1"/>
  <c r="C10" i="40" s="1"/>
  <c r="B10" i="40" s="1"/>
  <c r="CG11" i="40"/>
  <c r="CF11" i="40" s="1"/>
  <c r="CE11" i="40" s="1"/>
  <c r="CD11" i="40" s="1"/>
  <c r="CC11" i="40" s="1"/>
  <c r="CB11" i="40" s="1"/>
  <c r="CA11" i="40" s="1"/>
  <c r="BZ11" i="40" s="1"/>
  <c r="BY11" i="40" s="1"/>
  <c r="BX11" i="40" s="1"/>
  <c r="BW11" i="40" s="1"/>
  <c r="BV11" i="40" s="1"/>
  <c r="BU11" i="40" s="1"/>
  <c r="BT11" i="40" s="1"/>
  <c r="BS11" i="40" s="1"/>
  <c r="BR11" i="40" s="1"/>
  <c r="BQ11" i="40" s="1"/>
  <c r="BP11" i="40" s="1"/>
  <c r="BO11" i="40" s="1"/>
  <c r="BN11" i="40" s="1"/>
  <c r="BM11" i="40" s="1"/>
  <c r="BL11" i="40" s="1"/>
  <c r="BK11" i="40" s="1"/>
  <c r="BJ11" i="40" s="1"/>
  <c r="BI11" i="40" s="1"/>
  <c r="BH11" i="40" s="1"/>
  <c r="BG11" i="40" s="1"/>
  <c r="BF11" i="40" s="1"/>
  <c r="BE11" i="40" s="1"/>
  <c r="BD11" i="40" s="1"/>
  <c r="BC11" i="40" s="1"/>
  <c r="BB11" i="40" s="1"/>
  <c r="BA11" i="40" s="1"/>
  <c r="AZ11" i="40" s="1"/>
  <c r="AY11" i="40" s="1"/>
  <c r="AX11" i="40" s="1"/>
  <c r="AW11" i="40" s="1"/>
  <c r="AV11" i="40" s="1"/>
  <c r="AU11" i="40" s="1"/>
  <c r="AT11" i="40" s="1"/>
  <c r="AS11" i="40" s="1"/>
  <c r="AR11" i="40" s="1"/>
  <c r="AQ11" i="40" s="1"/>
  <c r="AP11" i="40" s="1"/>
  <c r="AO11" i="40" s="1"/>
  <c r="AN11" i="40" s="1"/>
  <c r="AM11" i="40" s="1"/>
  <c r="AL11" i="40" s="1"/>
  <c r="AK11" i="40" s="1"/>
  <c r="AJ11" i="40" s="1"/>
  <c r="AI11" i="40" s="1"/>
  <c r="AH11" i="40" s="1"/>
  <c r="AG11" i="40" s="1"/>
  <c r="AF11" i="40" s="1"/>
  <c r="AE11" i="40" s="1"/>
  <c r="AD11" i="40" s="1"/>
  <c r="AC11" i="40" s="1"/>
  <c r="AB11" i="40" s="1"/>
  <c r="AA11" i="40" s="1"/>
  <c r="Z11" i="40" s="1"/>
  <c r="Y11" i="40" s="1"/>
  <c r="X11" i="40" s="1"/>
  <c r="W11" i="40" s="1"/>
  <c r="V11" i="40" s="1"/>
  <c r="U11" i="40" s="1"/>
  <c r="T11" i="40" s="1"/>
  <c r="S11" i="40" s="1"/>
  <c r="R11" i="40" s="1"/>
  <c r="Q11" i="40" s="1"/>
  <c r="P11" i="40" s="1"/>
  <c r="O11" i="40" s="1"/>
  <c r="N11" i="40" s="1"/>
  <c r="M11" i="40" s="1"/>
  <c r="L11" i="40" s="1"/>
  <c r="K11" i="40" s="1"/>
  <c r="J11" i="40" s="1"/>
  <c r="I11" i="40" s="1"/>
  <c r="H11" i="40" s="1"/>
  <c r="G11" i="40" s="1"/>
  <c r="F11" i="40" s="1"/>
  <c r="E11" i="40" s="1"/>
  <c r="D11" i="40" s="1"/>
  <c r="C11" i="40" s="1"/>
  <c r="B11" i="40" s="1"/>
  <c r="DW11" i="40"/>
  <c r="DV11" i="40" s="1"/>
  <c r="DU11" i="40" s="1"/>
  <c r="DT11" i="40" s="1"/>
  <c r="DS11" i="40" s="1"/>
  <c r="DR11" i="40" s="1"/>
  <c r="DQ11" i="40" s="1"/>
  <c r="DP11" i="40" s="1"/>
  <c r="DO11" i="40" s="1"/>
  <c r="DN11" i="40" s="1"/>
  <c r="DM11" i="40" s="1"/>
  <c r="DL11" i="40" s="1"/>
  <c r="DK11" i="40" s="1"/>
  <c r="DJ11" i="40" s="1"/>
  <c r="DI11" i="40" s="1"/>
  <c r="DH11" i="40" s="1"/>
  <c r="DG11" i="40" s="1"/>
  <c r="DF11" i="40" s="1"/>
  <c r="DE11" i="40" s="1"/>
  <c r="DD11" i="40" s="1"/>
  <c r="DC11" i="40" s="1"/>
  <c r="DB11" i="40" s="1"/>
  <c r="DA11" i="40" s="1"/>
  <c r="CZ11" i="40" s="1"/>
  <c r="CY11" i="40" s="1"/>
  <c r="CX11" i="40" s="1"/>
  <c r="CW11" i="40" s="1"/>
  <c r="CV11" i="40" s="1"/>
  <c r="CU11" i="40" s="1"/>
  <c r="CT11" i="40" s="1"/>
  <c r="CS11" i="40" s="1"/>
  <c r="CR11" i="40" s="1"/>
  <c r="CQ11" i="40" s="1"/>
  <c r="CP11" i="40" s="1"/>
  <c r="CO11" i="40" s="1"/>
  <c r="CN11" i="40" s="1"/>
  <c r="CM11" i="40" s="1"/>
  <c r="CL11" i="40" s="1"/>
  <c r="CK11" i="40" s="1"/>
  <c r="CJ11" i="40" s="1"/>
  <c r="CI11" i="40" s="1"/>
  <c r="CH11" i="40" s="1"/>
  <c r="DY11" i="40"/>
  <c r="DX11" i="40" s="1"/>
  <c r="DU12" i="40"/>
  <c r="DT12" i="40" s="1"/>
  <c r="DS12" i="40" s="1"/>
  <c r="DR12" i="40" s="1"/>
  <c r="DQ12" i="40" s="1"/>
  <c r="DP12" i="40" s="1"/>
  <c r="DO12" i="40" s="1"/>
  <c r="DN12" i="40" s="1"/>
  <c r="DM12" i="40" s="1"/>
  <c r="DL12" i="40" s="1"/>
  <c r="DK12" i="40" s="1"/>
  <c r="DJ12" i="40" s="1"/>
  <c r="DI12" i="40" s="1"/>
  <c r="DH12" i="40" s="1"/>
  <c r="DG12" i="40" s="1"/>
  <c r="DF12" i="40" s="1"/>
  <c r="DE12" i="40" s="1"/>
  <c r="DD12" i="40" s="1"/>
  <c r="DC12" i="40" s="1"/>
  <c r="DB12" i="40" s="1"/>
  <c r="DA12" i="40" s="1"/>
  <c r="CZ12" i="40" s="1"/>
  <c r="CY12" i="40" s="1"/>
  <c r="CX12" i="40" s="1"/>
  <c r="CW12" i="40" s="1"/>
  <c r="CV12" i="40" s="1"/>
  <c r="CU12" i="40" s="1"/>
  <c r="CT12" i="40" s="1"/>
  <c r="CS12" i="40" s="1"/>
  <c r="CR12" i="40" s="1"/>
  <c r="CQ12" i="40" s="1"/>
  <c r="CP12" i="40" s="1"/>
  <c r="CO12" i="40" s="1"/>
  <c r="CN12" i="40" s="1"/>
  <c r="CM12" i="40" s="1"/>
  <c r="CL12" i="40" s="1"/>
  <c r="CK12" i="40" s="1"/>
  <c r="CJ12" i="40" s="1"/>
  <c r="CI12" i="40" s="1"/>
  <c r="CH12" i="40" s="1"/>
  <c r="CG12" i="40" s="1"/>
  <c r="CF12" i="40" s="1"/>
  <c r="CE12" i="40" s="1"/>
  <c r="CD12" i="40" s="1"/>
  <c r="CC12" i="40" s="1"/>
  <c r="CB12" i="40" s="1"/>
  <c r="CA12" i="40" s="1"/>
  <c r="BZ12" i="40" s="1"/>
  <c r="BY12" i="40" s="1"/>
  <c r="BX12" i="40" s="1"/>
  <c r="BW12" i="40" s="1"/>
  <c r="BV12" i="40" s="1"/>
  <c r="BU12" i="40" s="1"/>
  <c r="BT12" i="40" s="1"/>
  <c r="BS12" i="40" s="1"/>
  <c r="BR12" i="40" s="1"/>
  <c r="BQ12" i="40" s="1"/>
  <c r="BP12" i="40" s="1"/>
  <c r="BO12" i="40" s="1"/>
  <c r="BN12" i="40" s="1"/>
  <c r="BM12" i="40" s="1"/>
  <c r="BL12" i="40" s="1"/>
  <c r="BK12" i="40" s="1"/>
  <c r="BJ12" i="40" s="1"/>
  <c r="BI12" i="40" s="1"/>
  <c r="BH12" i="40" s="1"/>
  <c r="BG12" i="40" s="1"/>
  <c r="BF12" i="40" s="1"/>
  <c r="BE12" i="40" s="1"/>
  <c r="BD12" i="40" s="1"/>
  <c r="BC12" i="40" s="1"/>
  <c r="BB12" i="40" s="1"/>
  <c r="BA12" i="40" s="1"/>
  <c r="AZ12" i="40" s="1"/>
  <c r="AY12" i="40" s="1"/>
  <c r="AX12" i="40" s="1"/>
  <c r="AW12" i="40" s="1"/>
  <c r="AV12" i="40" s="1"/>
  <c r="AU12" i="40" s="1"/>
  <c r="AT12" i="40" s="1"/>
  <c r="AS12" i="40" s="1"/>
  <c r="AR12" i="40" s="1"/>
  <c r="AQ12" i="40" s="1"/>
  <c r="AP12" i="40" s="1"/>
  <c r="AO12" i="40" s="1"/>
  <c r="AN12" i="40" s="1"/>
  <c r="AM12" i="40" s="1"/>
  <c r="AL12" i="40" s="1"/>
  <c r="AK12" i="40" s="1"/>
  <c r="AJ12" i="40" s="1"/>
  <c r="AI12" i="40" s="1"/>
  <c r="AH12" i="40" s="1"/>
  <c r="AG12" i="40" s="1"/>
  <c r="AF12" i="40" s="1"/>
  <c r="AE12" i="40" s="1"/>
  <c r="AD12" i="40" s="1"/>
  <c r="AC12" i="40" s="1"/>
  <c r="AB12" i="40" s="1"/>
  <c r="AA12" i="40" s="1"/>
  <c r="Z12" i="40" s="1"/>
  <c r="Y12" i="40" s="1"/>
  <c r="X12" i="40" s="1"/>
  <c r="W12" i="40" s="1"/>
  <c r="V12" i="40" s="1"/>
  <c r="U12" i="40" s="1"/>
  <c r="T12" i="40" s="1"/>
  <c r="S12" i="40" s="1"/>
  <c r="R12" i="40" s="1"/>
  <c r="Q12" i="40" s="1"/>
  <c r="P12" i="40" s="1"/>
  <c r="O12" i="40" s="1"/>
  <c r="N12" i="40" s="1"/>
  <c r="M12" i="40" s="1"/>
  <c r="L12" i="40" s="1"/>
  <c r="K12" i="40" s="1"/>
  <c r="J12" i="40" s="1"/>
  <c r="I12" i="40" s="1"/>
  <c r="H12" i="40" s="1"/>
  <c r="G12" i="40" s="1"/>
  <c r="F12" i="40" s="1"/>
  <c r="E12" i="40" s="1"/>
  <c r="D12" i="40" s="1"/>
  <c r="C12" i="40" s="1"/>
  <c r="B12" i="40" s="1"/>
  <c r="DY12" i="40"/>
  <c r="DX12" i="40" s="1"/>
  <c r="DW12" i="40" s="1"/>
  <c r="DV12" i="40" s="1"/>
  <c r="DK13" i="40"/>
  <c r="DJ13" i="40" s="1"/>
  <c r="DI13" i="40" s="1"/>
  <c r="DH13" i="40" s="1"/>
  <c r="DG13" i="40" s="1"/>
  <c r="DF13" i="40" s="1"/>
  <c r="DE13" i="40" s="1"/>
  <c r="DD13" i="40" s="1"/>
  <c r="DC13" i="40" s="1"/>
  <c r="DB13" i="40" s="1"/>
  <c r="DA13" i="40" s="1"/>
  <c r="CZ13" i="40" s="1"/>
  <c r="CY13" i="40" s="1"/>
  <c r="CX13" i="40" s="1"/>
  <c r="CW13" i="40" s="1"/>
  <c r="CV13" i="40" s="1"/>
  <c r="CU13" i="40" s="1"/>
  <c r="CT13" i="40" s="1"/>
  <c r="CS13" i="40" s="1"/>
  <c r="CR13" i="40" s="1"/>
  <c r="CQ13" i="40" s="1"/>
  <c r="CP13" i="40" s="1"/>
  <c r="CO13" i="40" s="1"/>
  <c r="CN13" i="40" s="1"/>
  <c r="CM13" i="40" s="1"/>
  <c r="CL13" i="40" s="1"/>
  <c r="CK13" i="40" s="1"/>
  <c r="CJ13" i="40" s="1"/>
  <c r="CI13" i="40" s="1"/>
  <c r="CH13" i="40" s="1"/>
  <c r="CG13" i="40" s="1"/>
  <c r="CF13" i="40" s="1"/>
  <c r="CE13" i="40" s="1"/>
  <c r="CD13" i="40" s="1"/>
  <c r="CC13" i="40" s="1"/>
  <c r="CB13" i="40" s="1"/>
  <c r="CA13" i="40" s="1"/>
  <c r="BZ13" i="40" s="1"/>
  <c r="BY13" i="40" s="1"/>
  <c r="BX13" i="40" s="1"/>
  <c r="BW13" i="40" s="1"/>
  <c r="BV13" i="40" s="1"/>
  <c r="BU13" i="40" s="1"/>
  <c r="BT13" i="40" s="1"/>
  <c r="BS13" i="40" s="1"/>
  <c r="BR13" i="40" s="1"/>
  <c r="BQ13" i="40" s="1"/>
  <c r="BP13" i="40" s="1"/>
  <c r="BO13" i="40" s="1"/>
  <c r="BN13" i="40" s="1"/>
  <c r="BM13" i="40" s="1"/>
  <c r="BL13" i="40" s="1"/>
  <c r="BK13" i="40" s="1"/>
  <c r="BJ13" i="40" s="1"/>
  <c r="BI13" i="40" s="1"/>
  <c r="BH13" i="40" s="1"/>
  <c r="BG13" i="40" s="1"/>
  <c r="BF13" i="40" s="1"/>
  <c r="BE13" i="40" s="1"/>
  <c r="BD13" i="40" s="1"/>
  <c r="BC13" i="40" s="1"/>
  <c r="BB13" i="40" s="1"/>
  <c r="BA13" i="40" s="1"/>
  <c r="AZ13" i="40" s="1"/>
  <c r="AY13" i="40" s="1"/>
  <c r="AX13" i="40" s="1"/>
  <c r="AW13" i="40" s="1"/>
  <c r="AV13" i="40" s="1"/>
  <c r="AU13" i="40" s="1"/>
  <c r="AT13" i="40" s="1"/>
  <c r="AS13" i="40" s="1"/>
  <c r="AR13" i="40" s="1"/>
  <c r="AQ13" i="40" s="1"/>
  <c r="AP13" i="40" s="1"/>
  <c r="AO13" i="40" s="1"/>
  <c r="AN13" i="40" s="1"/>
  <c r="AM13" i="40" s="1"/>
  <c r="AL13" i="40" s="1"/>
  <c r="AK13" i="40" s="1"/>
  <c r="AJ13" i="40" s="1"/>
  <c r="AI13" i="40" s="1"/>
  <c r="AH13" i="40" s="1"/>
  <c r="AG13" i="40" s="1"/>
  <c r="AF13" i="40" s="1"/>
  <c r="AE13" i="40" s="1"/>
  <c r="AD13" i="40" s="1"/>
  <c r="AC13" i="40" s="1"/>
  <c r="AB13" i="40" s="1"/>
  <c r="AA13" i="40" s="1"/>
  <c r="Z13" i="40" s="1"/>
  <c r="Y13" i="40" s="1"/>
  <c r="X13" i="40" s="1"/>
  <c r="W13" i="40" s="1"/>
  <c r="V13" i="40" s="1"/>
  <c r="U13" i="40" s="1"/>
  <c r="T13" i="40" s="1"/>
  <c r="S13" i="40" s="1"/>
  <c r="R13" i="40" s="1"/>
  <c r="Q13" i="40" s="1"/>
  <c r="P13" i="40" s="1"/>
  <c r="O13" i="40" s="1"/>
  <c r="N13" i="40" s="1"/>
  <c r="M13" i="40" s="1"/>
  <c r="L13" i="40" s="1"/>
  <c r="K13" i="40" s="1"/>
  <c r="J13" i="40" s="1"/>
  <c r="I13" i="40" s="1"/>
  <c r="H13" i="40" s="1"/>
  <c r="G13" i="40" s="1"/>
  <c r="F13" i="40" s="1"/>
  <c r="E13" i="40" s="1"/>
  <c r="D13" i="40" s="1"/>
  <c r="C13" i="40" s="1"/>
  <c r="B13" i="40" s="1"/>
  <c r="DL13" i="40"/>
  <c r="DX13" i="40"/>
  <c r="DW13" i="40" s="1"/>
  <c r="DV13" i="40" s="1"/>
  <c r="DU13" i="40" s="1"/>
  <c r="DT13" i="40" s="1"/>
  <c r="DS13" i="40" s="1"/>
  <c r="DR13" i="40" s="1"/>
  <c r="DQ13" i="40" s="1"/>
  <c r="DP13" i="40" s="1"/>
  <c r="DO13" i="40" s="1"/>
  <c r="DN13" i="40" s="1"/>
  <c r="DM13" i="40" s="1"/>
  <c r="DY13" i="40"/>
  <c r="DG14" i="40"/>
  <c r="DF14" i="40" s="1"/>
  <c r="DE14" i="40" s="1"/>
  <c r="DD14" i="40" s="1"/>
  <c r="DC14" i="40" s="1"/>
  <c r="DB14" i="40" s="1"/>
  <c r="DA14" i="40" s="1"/>
  <c r="CZ14" i="40" s="1"/>
  <c r="CY14" i="40" s="1"/>
  <c r="CX14" i="40" s="1"/>
  <c r="CW14" i="40" s="1"/>
  <c r="CV14" i="40" s="1"/>
  <c r="CU14" i="40" s="1"/>
  <c r="CT14" i="40" s="1"/>
  <c r="CS14" i="40" s="1"/>
  <c r="CR14" i="40" s="1"/>
  <c r="CQ14" i="40" s="1"/>
  <c r="CP14" i="40" s="1"/>
  <c r="CO14" i="40" s="1"/>
  <c r="CN14" i="40" s="1"/>
  <c r="CM14" i="40" s="1"/>
  <c r="CL14" i="40" s="1"/>
  <c r="CK14" i="40" s="1"/>
  <c r="CJ14" i="40" s="1"/>
  <c r="CI14" i="40" s="1"/>
  <c r="CH14" i="40" s="1"/>
  <c r="CG14" i="40" s="1"/>
  <c r="CF14" i="40" s="1"/>
  <c r="CE14" i="40" s="1"/>
  <c r="CD14" i="40" s="1"/>
  <c r="CC14" i="40" s="1"/>
  <c r="CB14" i="40" s="1"/>
  <c r="CA14" i="40" s="1"/>
  <c r="BZ14" i="40" s="1"/>
  <c r="BY14" i="40" s="1"/>
  <c r="BX14" i="40" s="1"/>
  <c r="BW14" i="40" s="1"/>
  <c r="BV14" i="40" s="1"/>
  <c r="BU14" i="40" s="1"/>
  <c r="BT14" i="40" s="1"/>
  <c r="BS14" i="40" s="1"/>
  <c r="BR14" i="40" s="1"/>
  <c r="BQ14" i="40" s="1"/>
  <c r="BP14" i="40" s="1"/>
  <c r="BO14" i="40" s="1"/>
  <c r="BN14" i="40" s="1"/>
  <c r="BM14" i="40" s="1"/>
  <c r="BL14" i="40" s="1"/>
  <c r="BK14" i="40" s="1"/>
  <c r="BJ14" i="40" s="1"/>
  <c r="BI14" i="40" s="1"/>
  <c r="BH14" i="40" s="1"/>
  <c r="BG14" i="40" s="1"/>
  <c r="BF14" i="40" s="1"/>
  <c r="BE14" i="40" s="1"/>
  <c r="BD14" i="40" s="1"/>
  <c r="BC14" i="40" s="1"/>
  <c r="BB14" i="40" s="1"/>
  <c r="BA14" i="40" s="1"/>
  <c r="AZ14" i="40" s="1"/>
  <c r="AY14" i="40" s="1"/>
  <c r="AX14" i="40" s="1"/>
  <c r="AW14" i="40" s="1"/>
  <c r="AV14" i="40" s="1"/>
  <c r="AU14" i="40" s="1"/>
  <c r="AT14" i="40" s="1"/>
  <c r="AS14" i="40" s="1"/>
  <c r="AR14" i="40" s="1"/>
  <c r="AQ14" i="40" s="1"/>
  <c r="AP14" i="40" s="1"/>
  <c r="AO14" i="40" s="1"/>
  <c r="AN14" i="40" s="1"/>
  <c r="AM14" i="40" s="1"/>
  <c r="AL14" i="40" s="1"/>
  <c r="AK14" i="40" s="1"/>
  <c r="AJ14" i="40" s="1"/>
  <c r="AI14" i="40" s="1"/>
  <c r="AH14" i="40" s="1"/>
  <c r="AG14" i="40" s="1"/>
  <c r="AF14" i="40" s="1"/>
  <c r="AE14" i="40" s="1"/>
  <c r="AD14" i="40" s="1"/>
  <c r="AC14" i="40" s="1"/>
  <c r="AB14" i="40" s="1"/>
  <c r="AA14" i="40" s="1"/>
  <c r="Z14" i="40" s="1"/>
  <c r="Y14" i="40" s="1"/>
  <c r="X14" i="40" s="1"/>
  <c r="W14" i="40" s="1"/>
  <c r="V14" i="40" s="1"/>
  <c r="U14" i="40" s="1"/>
  <c r="T14" i="40" s="1"/>
  <c r="S14" i="40" s="1"/>
  <c r="R14" i="40" s="1"/>
  <c r="Q14" i="40" s="1"/>
  <c r="P14" i="40" s="1"/>
  <c r="O14" i="40" s="1"/>
  <c r="N14" i="40" s="1"/>
  <c r="M14" i="40" s="1"/>
  <c r="L14" i="40" s="1"/>
  <c r="K14" i="40" s="1"/>
  <c r="J14" i="40" s="1"/>
  <c r="I14" i="40" s="1"/>
  <c r="H14" i="40" s="1"/>
  <c r="G14" i="40" s="1"/>
  <c r="F14" i="40" s="1"/>
  <c r="E14" i="40" s="1"/>
  <c r="D14" i="40" s="1"/>
  <c r="C14" i="40" s="1"/>
  <c r="B14" i="40" s="1"/>
  <c r="DT14" i="40"/>
  <c r="DS14" i="40" s="1"/>
  <c r="DR14" i="40" s="1"/>
  <c r="DQ14" i="40" s="1"/>
  <c r="DP14" i="40" s="1"/>
  <c r="DO14" i="40" s="1"/>
  <c r="DN14" i="40" s="1"/>
  <c r="DM14" i="40" s="1"/>
  <c r="DL14" i="40" s="1"/>
  <c r="DK14" i="40" s="1"/>
  <c r="DJ14" i="40" s="1"/>
  <c r="DI14" i="40" s="1"/>
  <c r="DH14" i="40" s="1"/>
  <c r="DY14" i="40"/>
  <c r="DX14" i="40" s="1"/>
  <c r="DW14" i="40" s="1"/>
  <c r="DV14" i="40" s="1"/>
  <c r="DU14" i="40" s="1"/>
  <c r="DR16" i="40"/>
  <c r="DQ16" i="40" s="1"/>
  <c r="DP16" i="40" s="1"/>
  <c r="DO16" i="40" s="1"/>
  <c r="DN16" i="40" s="1"/>
  <c r="DM16" i="40" s="1"/>
  <c r="DL16" i="40" s="1"/>
  <c r="DK16" i="40" s="1"/>
  <c r="DJ16" i="40" s="1"/>
  <c r="DI16" i="40" s="1"/>
  <c r="DH16" i="40" s="1"/>
  <c r="DG16" i="40" s="1"/>
  <c r="DF16" i="40" s="1"/>
  <c r="DE16" i="40" s="1"/>
  <c r="DD16" i="40" s="1"/>
  <c r="DC16" i="40" s="1"/>
  <c r="DB16" i="40" s="1"/>
  <c r="DA16" i="40" s="1"/>
  <c r="CZ16" i="40" s="1"/>
  <c r="CY16" i="40" s="1"/>
  <c r="CX16" i="40" s="1"/>
  <c r="CW16" i="40" s="1"/>
  <c r="CV16" i="40" s="1"/>
  <c r="CU16" i="40" s="1"/>
  <c r="CT16" i="40" s="1"/>
  <c r="CS16" i="40" s="1"/>
  <c r="CR16" i="40" s="1"/>
  <c r="CQ16" i="40" s="1"/>
  <c r="CP16" i="40" s="1"/>
  <c r="CO16" i="40" s="1"/>
  <c r="CN16" i="40" s="1"/>
  <c r="CM16" i="40" s="1"/>
  <c r="CL16" i="40" s="1"/>
  <c r="CK16" i="40" s="1"/>
  <c r="CJ16" i="40" s="1"/>
  <c r="CI16" i="40" s="1"/>
  <c r="CH16" i="40" s="1"/>
  <c r="CG16" i="40" s="1"/>
  <c r="CF16" i="40" s="1"/>
  <c r="CE16" i="40" s="1"/>
  <c r="CD16" i="40" s="1"/>
  <c r="CC16" i="40" s="1"/>
  <c r="CB16" i="40" s="1"/>
  <c r="CA16" i="40" s="1"/>
  <c r="BZ16" i="40" s="1"/>
  <c r="BY16" i="40" s="1"/>
  <c r="BX16" i="40" s="1"/>
  <c r="BW16" i="40" s="1"/>
  <c r="BV16" i="40" s="1"/>
  <c r="BU16" i="40" s="1"/>
  <c r="BT16" i="40" s="1"/>
  <c r="BS16" i="40" s="1"/>
  <c r="BR16" i="40" s="1"/>
  <c r="BQ16" i="40" s="1"/>
  <c r="BP16" i="40" s="1"/>
  <c r="BO16" i="40" s="1"/>
  <c r="BN16" i="40" s="1"/>
  <c r="BM16" i="40" s="1"/>
  <c r="BL16" i="40" s="1"/>
  <c r="BK16" i="40" s="1"/>
  <c r="BJ16" i="40" s="1"/>
  <c r="BI16" i="40" s="1"/>
  <c r="BH16" i="40" s="1"/>
  <c r="BG16" i="40" s="1"/>
  <c r="BF16" i="40" s="1"/>
  <c r="BE16" i="40" s="1"/>
  <c r="BD16" i="40" s="1"/>
  <c r="BC16" i="40" s="1"/>
  <c r="BB16" i="40" s="1"/>
  <c r="BA16" i="40" s="1"/>
  <c r="AZ16" i="40" s="1"/>
  <c r="AY16" i="40" s="1"/>
  <c r="AX16" i="40" s="1"/>
  <c r="AW16" i="40" s="1"/>
  <c r="AV16" i="40" s="1"/>
  <c r="AU16" i="40" s="1"/>
  <c r="AT16" i="40" s="1"/>
  <c r="AS16" i="40" s="1"/>
  <c r="AR16" i="40" s="1"/>
  <c r="AQ16" i="40" s="1"/>
  <c r="AP16" i="40" s="1"/>
  <c r="AO16" i="40" s="1"/>
  <c r="AN16" i="40" s="1"/>
  <c r="AM16" i="40" s="1"/>
  <c r="AL16" i="40" s="1"/>
  <c r="AK16" i="40" s="1"/>
  <c r="AJ16" i="40" s="1"/>
  <c r="AI16" i="40" s="1"/>
  <c r="AH16" i="40" s="1"/>
  <c r="AG16" i="40" s="1"/>
  <c r="AF16" i="40" s="1"/>
  <c r="AE16" i="40" s="1"/>
  <c r="AD16" i="40" s="1"/>
  <c r="AC16" i="40" s="1"/>
  <c r="AB16" i="40" s="1"/>
  <c r="AA16" i="40" s="1"/>
  <c r="Z16" i="40" s="1"/>
  <c r="Y16" i="40" s="1"/>
  <c r="X16" i="40" s="1"/>
  <c r="W16" i="40" s="1"/>
  <c r="V16" i="40" s="1"/>
  <c r="U16" i="40" s="1"/>
  <c r="T16" i="40" s="1"/>
  <c r="S16" i="40" s="1"/>
  <c r="R16" i="40" s="1"/>
  <c r="Q16" i="40" s="1"/>
  <c r="P16" i="40" s="1"/>
  <c r="O16" i="40" s="1"/>
  <c r="N16" i="40" s="1"/>
  <c r="M16" i="40" s="1"/>
  <c r="L16" i="40" s="1"/>
  <c r="K16" i="40" s="1"/>
  <c r="J16" i="40" s="1"/>
  <c r="I16" i="40" s="1"/>
  <c r="H16" i="40" s="1"/>
  <c r="G16" i="40" s="1"/>
  <c r="F16" i="40" s="1"/>
  <c r="E16" i="40" s="1"/>
  <c r="D16" i="40" s="1"/>
  <c r="C16" i="40" s="1"/>
  <c r="B16" i="40" s="1"/>
  <c r="DT16" i="40"/>
  <c r="DS16" i="40" s="1"/>
  <c r="DU16" i="40"/>
  <c r="DV16" i="40"/>
  <c r="DY16" i="40"/>
  <c r="DX16" i="40" s="1"/>
  <c r="DW16" i="40" s="1"/>
  <c r="DY17" i="40"/>
  <c r="DX17" i="40" s="1"/>
  <c r="DW17" i="40" s="1"/>
  <c r="DV17" i="40" s="1"/>
  <c r="DU17" i="40" s="1"/>
  <c r="DT17" i="40" s="1"/>
  <c r="DS17" i="40" s="1"/>
  <c r="DR17" i="40" s="1"/>
  <c r="DQ17" i="40" s="1"/>
  <c r="DP17" i="40" s="1"/>
  <c r="DO17" i="40" s="1"/>
  <c r="DN17" i="40" s="1"/>
  <c r="DM17" i="40" s="1"/>
  <c r="DL17" i="40" s="1"/>
  <c r="DK17" i="40" s="1"/>
  <c r="DJ17" i="40" s="1"/>
  <c r="DI17" i="40" s="1"/>
  <c r="DH17" i="40" s="1"/>
  <c r="DG17" i="40" s="1"/>
  <c r="DF17" i="40" s="1"/>
  <c r="DE17" i="40" s="1"/>
  <c r="DD17" i="40" s="1"/>
  <c r="DC17" i="40" s="1"/>
  <c r="DB17" i="40" s="1"/>
  <c r="DA17" i="40" s="1"/>
  <c r="CZ17" i="40" s="1"/>
  <c r="CY17" i="40" s="1"/>
  <c r="CX17" i="40" s="1"/>
  <c r="CW17" i="40" s="1"/>
  <c r="CV17" i="40" s="1"/>
  <c r="CU17" i="40" s="1"/>
  <c r="CT17" i="40" s="1"/>
  <c r="CS17" i="40" s="1"/>
  <c r="CR17" i="40" s="1"/>
  <c r="CQ17" i="40" s="1"/>
  <c r="CP17" i="40" s="1"/>
  <c r="CO17" i="40" s="1"/>
  <c r="CN17" i="40" s="1"/>
  <c r="CM17" i="40" s="1"/>
  <c r="CL17" i="40" s="1"/>
  <c r="CK17" i="40" s="1"/>
  <c r="CJ17" i="40" s="1"/>
  <c r="CI17" i="40" s="1"/>
  <c r="CH17" i="40" s="1"/>
  <c r="CG17" i="40" s="1"/>
  <c r="CF17" i="40" s="1"/>
  <c r="CE17" i="40" s="1"/>
  <c r="CD17" i="40" s="1"/>
  <c r="CC17" i="40" s="1"/>
  <c r="CB17" i="40" s="1"/>
  <c r="CA17" i="40" s="1"/>
  <c r="BZ17" i="40" s="1"/>
  <c r="BY17" i="40" s="1"/>
  <c r="BX17" i="40" s="1"/>
  <c r="BW17" i="40" s="1"/>
  <c r="BV17" i="40" s="1"/>
  <c r="BU17" i="40" s="1"/>
  <c r="BT17" i="40" s="1"/>
  <c r="BS17" i="40" s="1"/>
  <c r="BR17" i="40" s="1"/>
  <c r="BQ17" i="40" s="1"/>
  <c r="BP17" i="40" s="1"/>
  <c r="BO17" i="40" s="1"/>
  <c r="BN17" i="40" s="1"/>
  <c r="BM17" i="40" s="1"/>
  <c r="BL17" i="40" s="1"/>
  <c r="BK17" i="40" s="1"/>
  <c r="BJ17" i="40" s="1"/>
  <c r="BI17" i="40" s="1"/>
  <c r="BH17" i="40" s="1"/>
  <c r="BG17" i="40" s="1"/>
  <c r="BF17" i="40" s="1"/>
  <c r="BE17" i="40" s="1"/>
  <c r="BD17" i="40" s="1"/>
  <c r="BC17" i="40" s="1"/>
  <c r="BB17" i="40" s="1"/>
  <c r="BA17" i="40" s="1"/>
  <c r="AZ17" i="40" s="1"/>
  <c r="AY17" i="40" s="1"/>
  <c r="AX17" i="40" s="1"/>
  <c r="AW17" i="40" s="1"/>
  <c r="AV17" i="40" s="1"/>
  <c r="AU17" i="40" s="1"/>
  <c r="AT17" i="40" s="1"/>
  <c r="AS17" i="40" s="1"/>
  <c r="AR17" i="40" s="1"/>
  <c r="AQ17" i="40" s="1"/>
  <c r="AP17" i="40" s="1"/>
  <c r="AO17" i="40" s="1"/>
  <c r="AN17" i="40" s="1"/>
  <c r="AM17" i="40" s="1"/>
  <c r="AL17" i="40" s="1"/>
  <c r="AK17" i="40" s="1"/>
  <c r="AJ17" i="40" s="1"/>
  <c r="AI17" i="40" s="1"/>
  <c r="AH17" i="40" s="1"/>
  <c r="AG17" i="40" s="1"/>
  <c r="AF17" i="40" s="1"/>
  <c r="AE17" i="40" s="1"/>
  <c r="AD17" i="40" s="1"/>
  <c r="AC17" i="40" s="1"/>
  <c r="AB17" i="40" s="1"/>
  <c r="AA17" i="40" s="1"/>
  <c r="Z17" i="40" s="1"/>
  <c r="Y17" i="40" s="1"/>
  <c r="X17" i="40" s="1"/>
  <c r="W17" i="40" s="1"/>
  <c r="V17" i="40" s="1"/>
  <c r="U17" i="40" s="1"/>
  <c r="T17" i="40" s="1"/>
  <c r="S17" i="40" s="1"/>
  <c r="R17" i="40" s="1"/>
  <c r="Q17" i="40" s="1"/>
  <c r="P17" i="40" s="1"/>
  <c r="O17" i="40" s="1"/>
  <c r="N17" i="40" s="1"/>
  <c r="M17" i="40" s="1"/>
  <c r="L17" i="40" s="1"/>
  <c r="K17" i="40" s="1"/>
  <c r="J17" i="40" s="1"/>
  <c r="I17" i="40" s="1"/>
  <c r="H17" i="40" s="1"/>
  <c r="G17" i="40" s="1"/>
  <c r="F17" i="40" s="1"/>
  <c r="E17" i="40" s="1"/>
  <c r="D17" i="40" s="1"/>
  <c r="C17" i="40" s="1"/>
  <c r="B17" i="40" s="1"/>
  <c r="DY18" i="40"/>
  <c r="DX18" i="40" s="1"/>
  <c r="DW18" i="40" s="1"/>
  <c r="DV18" i="40" s="1"/>
  <c r="DU18" i="40" s="1"/>
  <c r="DT18" i="40" s="1"/>
  <c r="DS18" i="40" s="1"/>
  <c r="DR18" i="40" s="1"/>
  <c r="DQ18" i="40" s="1"/>
  <c r="DP18" i="40" s="1"/>
  <c r="DO18" i="40" s="1"/>
  <c r="DN18" i="40" s="1"/>
  <c r="DM18" i="40" s="1"/>
  <c r="DL18" i="40" s="1"/>
  <c r="DK18" i="40" s="1"/>
  <c r="DJ18" i="40" s="1"/>
  <c r="DI18" i="40" s="1"/>
  <c r="DH18" i="40" s="1"/>
  <c r="DG18" i="40" s="1"/>
  <c r="DF18" i="40" s="1"/>
  <c r="DE18" i="40" s="1"/>
  <c r="DD18" i="40" s="1"/>
  <c r="DC18" i="40" s="1"/>
  <c r="DB18" i="40" s="1"/>
  <c r="DA18" i="40" s="1"/>
  <c r="CZ18" i="40" s="1"/>
  <c r="CY18" i="40" s="1"/>
  <c r="CX18" i="40" s="1"/>
  <c r="CW18" i="40" s="1"/>
  <c r="CV18" i="40" s="1"/>
  <c r="CU18" i="40" s="1"/>
  <c r="CT18" i="40" s="1"/>
  <c r="CS18" i="40" s="1"/>
  <c r="CR18" i="40" s="1"/>
  <c r="CQ18" i="40" s="1"/>
  <c r="CP18" i="40" s="1"/>
  <c r="CO18" i="40" s="1"/>
  <c r="CN18" i="40" s="1"/>
  <c r="CM18" i="40" s="1"/>
  <c r="CL18" i="40" s="1"/>
  <c r="CK18" i="40" s="1"/>
  <c r="CJ18" i="40" s="1"/>
  <c r="CI18" i="40" s="1"/>
  <c r="CH18" i="40" s="1"/>
  <c r="CG18" i="40" s="1"/>
  <c r="CF18" i="40" s="1"/>
  <c r="CE18" i="40" s="1"/>
  <c r="CD18" i="40" s="1"/>
  <c r="CC18" i="40" s="1"/>
  <c r="CB18" i="40" s="1"/>
  <c r="CA18" i="40" s="1"/>
  <c r="BZ18" i="40" s="1"/>
  <c r="BY18" i="40" s="1"/>
  <c r="BX18" i="40" s="1"/>
  <c r="BW18" i="40" s="1"/>
  <c r="BV18" i="40" s="1"/>
  <c r="BU18" i="40" s="1"/>
  <c r="BT18" i="40" s="1"/>
  <c r="BS18" i="40" s="1"/>
  <c r="BR18" i="40" s="1"/>
  <c r="BQ18" i="40" s="1"/>
  <c r="BP18" i="40" s="1"/>
  <c r="BO18" i="40" s="1"/>
  <c r="BN18" i="40" s="1"/>
  <c r="BM18" i="40" s="1"/>
  <c r="BL18" i="40" s="1"/>
  <c r="BK18" i="40" s="1"/>
  <c r="BJ18" i="40" s="1"/>
  <c r="BI18" i="40" s="1"/>
  <c r="BH18" i="40" s="1"/>
  <c r="BG18" i="40" s="1"/>
  <c r="BF18" i="40" s="1"/>
  <c r="BE18" i="40" s="1"/>
  <c r="BD18" i="40" s="1"/>
  <c r="BC18" i="40" s="1"/>
  <c r="BB18" i="40" s="1"/>
  <c r="BA18" i="40" s="1"/>
  <c r="AZ18" i="40" s="1"/>
  <c r="AY18" i="40" s="1"/>
  <c r="AX18" i="40" s="1"/>
  <c r="AW18" i="40" s="1"/>
  <c r="AV18" i="40" s="1"/>
  <c r="AU18" i="40" s="1"/>
  <c r="AT18" i="40" s="1"/>
  <c r="AS18" i="40" s="1"/>
  <c r="AR18" i="40" s="1"/>
  <c r="AQ18" i="40" s="1"/>
  <c r="AP18" i="40" s="1"/>
  <c r="AO18" i="40" s="1"/>
  <c r="AN18" i="40" s="1"/>
  <c r="AM18" i="40" s="1"/>
  <c r="AL18" i="40" s="1"/>
  <c r="AK18" i="40" s="1"/>
  <c r="AJ18" i="40" s="1"/>
  <c r="AI18" i="40" s="1"/>
  <c r="AH18" i="40" s="1"/>
  <c r="AG18" i="40" s="1"/>
  <c r="AF18" i="40" s="1"/>
  <c r="AE18" i="40" s="1"/>
  <c r="AD18" i="40" s="1"/>
  <c r="AC18" i="40" s="1"/>
  <c r="AB18" i="40" s="1"/>
  <c r="AA18" i="40" s="1"/>
  <c r="Z18" i="40" s="1"/>
  <c r="Y18" i="40" s="1"/>
  <c r="X18" i="40" s="1"/>
  <c r="W18" i="40" s="1"/>
  <c r="V18" i="40" s="1"/>
  <c r="U18" i="40" s="1"/>
  <c r="T18" i="40" s="1"/>
  <c r="S18" i="40" s="1"/>
  <c r="R18" i="40" s="1"/>
  <c r="Q18" i="40" s="1"/>
  <c r="P18" i="40" s="1"/>
  <c r="O18" i="40" s="1"/>
  <c r="N18" i="40" s="1"/>
  <c r="M18" i="40" s="1"/>
  <c r="L18" i="40" s="1"/>
  <c r="K18" i="40" s="1"/>
  <c r="J18" i="40" s="1"/>
  <c r="I18" i="40" s="1"/>
  <c r="H18" i="40" s="1"/>
  <c r="G18" i="40" s="1"/>
  <c r="F18" i="40" s="1"/>
  <c r="E18" i="40" s="1"/>
  <c r="D18" i="40" s="1"/>
  <c r="C18" i="40" s="1"/>
  <c r="B18" i="40" s="1"/>
  <c r="DT19" i="40"/>
  <c r="DS19" i="40" s="1"/>
  <c r="DR19" i="40" s="1"/>
  <c r="DQ19" i="40" s="1"/>
  <c r="DP19" i="40" s="1"/>
  <c r="DO19" i="40" s="1"/>
  <c r="DN19" i="40" s="1"/>
  <c r="DM19" i="40" s="1"/>
  <c r="DL19" i="40" s="1"/>
  <c r="DK19" i="40" s="1"/>
  <c r="DJ19" i="40" s="1"/>
  <c r="DI19" i="40" s="1"/>
  <c r="DH19" i="40" s="1"/>
  <c r="DG19" i="40" s="1"/>
  <c r="DF19" i="40" s="1"/>
  <c r="DE19" i="40" s="1"/>
  <c r="DD19" i="40" s="1"/>
  <c r="DC19" i="40" s="1"/>
  <c r="DB19" i="40" s="1"/>
  <c r="DA19" i="40" s="1"/>
  <c r="CZ19" i="40" s="1"/>
  <c r="CY19" i="40" s="1"/>
  <c r="CX19" i="40" s="1"/>
  <c r="CW19" i="40" s="1"/>
  <c r="CV19" i="40" s="1"/>
  <c r="CU19" i="40" s="1"/>
  <c r="CT19" i="40" s="1"/>
  <c r="CS19" i="40" s="1"/>
  <c r="CR19" i="40" s="1"/>
  <c r="CQ19" i="40" s="1"/>
  <c r="CP19" i="40" s="1"/>
  <c r="CO19" i="40" s="1"/>
  <c r="CN19" i="40" s="1"/>
  <c r="CM19" i="40" s="1"/>
  <c r="CL19" i="40" s="1"/>
  <c r="CK19" i="40" s="1"/>
  <c r="CJ19" i="40" s="1"/>
  <c r="CI19" i="40" s="1"/>
  <c r="CH19" i="40" s="1"/>
  <c r="CG19" i="40" s="1"/>
  <c r="CF19" i="40" s="1"/>
  <c r="CE19" i="40" s="1"/>
  <c r="CD19" i="40" s="1"/>
  <c r="CC19" i="40" s="1"/>
  <c r="CB19" i="40" s="1"/>
  <c r="CA19" i="40" s="1"/>
  <c r="BZ19" i="40" s="1"/>
  <c r="BY19" i="40" s="1"/>
  <c r="BX19" i="40" s="1"/>
  <c r="BW19" i="40" s="1"/>
  <c r="BV19" i="40" s="1"/>
  <c r="BU19" i="40" s="1"/>
  <c r="BT19" i="40" s="1"/>
  <c r="BS19" i="40" s="1"/>
  <c r="BR19" i="40" s="1"/>
  <c r="BQ19" i="40" s="1"/>
  <c r="BP19" i="40" s="1"/>
  <c r="BO19" i="40" s="1"/>
  <c r="BN19" i="40" s="1"/>
  <c r="BM19" i="40" s="1"/>
  <c r="BL19" i="40" s="1"/>
  <c r="BK19" i="40" s="1"/>
  <c r="BJ19" i="40" s="1"/>
  <c r="BI19" i="40" s="1"/>
  <c r="BH19" i="40" s="1"/>
  <c r="BG19" i="40" s="1"/>
  <c r="BF19" i="40" s="1"/>
  <c r="BE19" i="40" s="1"/>
  <c r="BD19" i="40" s="1"/>
  <c r="BC19" i="40" s="1"/>
  <c r="BB19" i="40" s="1"/>
  <c r="BA19" i="40" s="1"/>
  <c r="AZ19" i="40" s="1"/>
  <c r="AY19" i="40" s="1"/>
  <c r="AX19" i="40" s="1"/>
  <c r="AW19" i="40" s="1"/>
  <c r="AV19" i="40" s="1"/>
  <c r="AU19" i="40" s="1"/>
  <c r="AT19" i="40" s="1"/>
  <c r="AS19" i="40" s="1"/>
  <c r="AR19" i="40" s="1"/>
  <c r="AQ19" i="40" s="1"/>
  <c r="AP19" i="40" s="1"/>
  <c r="AO19" i="40" s="1"/>
  <c r="AN19" i="40" s="1"/>
  <c r="AM19" i="40" s="1"/>
  <c r="AL19" i="40" s="1"/>
  <c r="AK19" i="40" s="1"/>
  <c r="AJ19" i="40" s="1"/>
  <c r="AI19" i="40" s="1"/>
  <c r="AH19" i="40" s="1"/>
  <c r="AG19" i="40" s="1"/>
  <c r="AF19" i="40" s="1"/>
  <c r="AE19" i="40" s="1"/>
  <c r="AD19" i="40" s="1"/>
  <c r="AC19" i="40" s="1"/>
  <c r="AB19" i="40" s="1"/>
  <c r="AA19" i="40" s="1"/>
  <c r="Z19" i="40" s="1"/>
  <c r="Y19" i="40" s="1"/>
  <c r="X19" i="40" s="1"/>
  <c r="W19" i="40" s="1"/>
  <c r="V19" i="40" s="1"/>
  <c r="U19" i="40" s="1"/>
  <c r="T19" i="40" s="1"/>
  <c r="S19" i="40" s="1"/>
  <c r="R19" i="40" s="1"/>
  <c r="Q19" i="40" s="1"/>
  <c r="P19" i="40" s="1"/>
  <c r="O19" i="40" s="1"/>
  <c r="N19" i="40" s="1"/>
  <c r="M19" i="40" s="1"/>
  <c r="L19" i="40" s="1"/>
  <c r="K19" i="40" s="1"/>
  <c r="J19" i="40" s="1"/>
  <c r="I19" i="40" s="1"/>
  <c r="H19" i="40" s="1"/>
  <c r="G19" i="40" s="1"/>
  <c r="F19" i="40" s="1"/>
  <c r="E19" i="40" s="1"/>
  <c r="D19" i="40" s="1"/>
  <c r="C19" i="40" s="1"/>
  <c r="B19" i="40" s="1"/>
  <c r="DX19" i="40"/>
  <c r="DW19" i="40" s="1"/>
  <c r="DV19" i="40" s="1"/>
  <c r="DU19" i="40" s="1"/>
  <c r="DY19" i="40"/>
  <c r="DM20" i="40"/>
  <c r="DL20" i="40" s="1"/>
  <c r="DK20" i="40" s="1"/>
  <c r="DJ20" i="40" s="1"/>
  <c r="DI20" i="40" s="1"/>
  <c r="DH20" i="40" s="1"/>
  <c r="DG20" i="40" s="1"/>
  <c r="DF20" i="40" s="1"/>
  <c r="DE20" i="40" s="1"/>
  <c r="DD20" i="40" s="1"/>
  <c r="DC20" i="40" s="1"/>
  <c r="DB20" i="40" s="1"/>
  <c r="DA20" i="40" s="1"/>
  <c r="CZ20" i="40" s="1"/>
  <c r="CY20" i="40" s="1"/>
  <c r="CX20" i="40" s="1"/>
  <c r="CW20" i="40" s="1"/>
  <c r="CV20" i="40" s="1"/>
  <c r="CU20" i="40" s="1"/>
  <c r="CT20" i="40" s="1"/>
  <c r="CS20" i="40" s="1"/>
  <c r="CR20" i="40" s="1"/>
  <c r="CQ20" i="40" s="1"/>
  <c r="CP20" i="40" s="1"/>
  <c r="CO20" i="40" s="1"/>
  <c r="CN20" i="40" s="1"/>
  <c r="CM20" i="40" s="1"/>
  <c r="CL20" i="40" s="1"/>
  <c r="CK20" i="40" s="1"/>
  <c r="CJ20" i="40" s="1"/>
  <c r="CI20" i="40" s="1"/>
  <c r="CH20" i="40" s="1"/>
  <c r="CG20" i="40" s="1"/>
  <c r="CF20" i="40" s="1"/>
  <c r="CE20" i="40" s="1"/>
  <c r="CD20" i="40" s="1"/>
  <c r="CC20" i="40" s="1"/>
  <c r="CB20" i="40" s="1"/>
  <c r="CA20" i="40" s="1"/>
  <c r="BZ20" i="40" s="1"/>
  <c r="BY20" i="40" s="1"/>
  <c r="BX20" i="40" s="1"/>
  <c r="BW20" i="40" s="1"/>
  <c r="BV20" i="40" s="1"/>
  <c r="BU20" i="40" s="1"/>
  <c r="BT20" i="40" s="1"/>
  <c r="BS20" i="40" s="1"/>
  <c r="BR20" i="40" s="1"/>
  <c r="BQ20" i="40" s="1"/>
  <c r="BP20" i="40" s="1"/>
  <c r="BO20" i="40" s="1"/>
  <c r="BN20" i="40" s="1"/>
  <c r="BM20" i="40" s="1"/>
  <c r="BL20" i="40" s="1"/>
  <c r="BK20" i="40" s="1"/>
  <c r="BJ20" i="40" s="1"/>
  <c r="BI20" i="40" s="1"/>
  <c r="BH20" i="40" s="1"/>
  <c r="BG20" i="40" s="1"/>
  <c r="BF20" i="40" s="1"/>
  <c r="BE20" i="40" s="1"/>
  <c r="BD20" i="40" s="1"/>
  <c r="BC20" i="40" s="1"/>
  <c r="BB20" i="40" s="1"/>
  <c r="BA20" i="40" s="1"/>
  <c r="AZ20" i="40" s="1"/>
  <c r="AY20" i="40" s="1"/>
  <c r="AX20" i="40" s="1"/>
  <c r="AW20" i="40" s="1"/>
  <c r="AV20" i="40" s="1"/>
  <c r="AU20" i="40" s="1"/>
  <c r="AT20" i="40" s="1"/>
  <c r="AS20" i="40" s="1"/>
  <c r="AR20" i="40" s="1"/>
  <c r="AQ20" i="40" s="1"/>
  <c r="AP20" i="40" s="1"/>
  <c r="AO20" i="40" s="1"/>
  <c r="AN20" i="40" s="1"/>
  <c r="AM20" i="40" s="1"/>
  <c r="AL20" i="40" s="1"/>
  <c r="AK20" i="40" s="1"/>
  <c r="AJ20" i="40" s="1"/>
  <c r="AI20" i="40" s="1"/>
  <c r="AH20" i="40" s="1"/>
  <c r="AG20" i="40" s="1"/>
  <c r="AF20" i="40" s="1"/>
  <c r="AE20" i="40" s="1"/>
  <c r="AD20" i="40" s="1"/>
  <c r="AC20" i="40" s="1"/>
  <c r="AB20" i="40" s="1"/>
  <c r="AA20" i="40" s="1"/>
  <c r="Z20" i="40" s="1"/>
  <c r="Y20" i="40" s="1"/>
  <c r="X20" i="40" s="1"/>
  <c r="W20" i="40" s="1"/>
  <c r="V20" i="40" s="1"/>
  <c r="U20" i="40" s="1"/>
  <c r="T20" i="40" s="1"/>
  <c r="S20" i="40" s="1"/>
  <c r="R20" i="40" s="1"/>
  <c r="Q20" i="40" s="1"/>
  <c r="P20" i="40" s="1"/>
  <c r="O20" i="40" s="1"/>
  <c r="N20" i="40" s="1"/>
  <c r="M20" i="40" s="1"/>
  <c r="L20" i="40" s="1"/>
  <c r="K20" i="40" s="1"/>
  <c r="J20" i="40" s="1"/>
  <c r="I20" i="40" s="1"/>
  <c r="H20" i="40" s="1"/>
  <c r="G20" i="40" s="1"/>
  <c r="F20" i="40" s="1"/>
  <c r="E20" i="40" s="1"/>
  <c r="D20" i="40" s="1"/>
  <c r="C20" i="40" s="1"/>
  <c r="B20" i="40" s="1"/>
  <c r="DW20" i="40"/>
  <c r="DV20" i="40" s="1"/>
  <c r="DU20" i="40" s="1"/>
  <c r="DT20" i="40" s="1"/>
  <c r="DS20" i="40" s="1"/>
  <c r="DR20" i="40" s="1"/>
  <c r="DQ20" i="40" s="1"/>
  <c r="DP20" i="40" s="1"/>
  <c r="DO20" i="40" s="1"/>
  <c r="DN20" i="40" s="1"/>
  <c r="DX20" i="40"/>
  <c r="DY20" i="40"/>
  <c r="DU21" i="40"/>
  <c r="DT21" i="40" s="1"/>
  <c r="DS21" i="40" s="1"/>
  <c r="DR21" i="40" s="1"/>
  <c r="DQ21" i="40" s="1"/>
  <c r="DP21" i="40" s="1"/>
  <c r="DO21" i="40" s="1"/>
  <c r="DN21" i="40" s="1"/>
  <c r="DM21" i="40" s="1"/>
  <c r="DL21" i="40" s="1"/>
  <c r="DK21" i="40" s="1"/>
  <c r="DJ21" i="40" s="1"/>
  <c r="DI21" i="40" s="1"/>
  <c r="DH21" i="40" s="1"/>
  <c r="DG21" i="40" s="1"/>
  <c r="DF21" i="40" s="1"/>
  <c r="DE21" i="40" s="1"/>
  <c r="DD21" i="40" s="1"/>
  <c r="DC21" i="40" s="1"/>
  <c r="DB21" i="40" s="1"/>
  <c r="DA21" i="40" s="1"/>
  <c r="CZ21" i="40" s="1"/>
  <c r="CY21" i="40" s="1"/>
  <c r="CX21" i="40" s="1"/>
  <c r="CW21" i="40" s="1"/>
  <c r="CV21" i="40" s="1"/>
  <c r="CU21" i="40" s="1"/>
  <c r="CT21" i="40" s="1"/>
  <c r="CS21" i="40" s="1"/>
  <c r="CR21" i="40" s="1"/>
  <c r="CQ21" i="40" s="1"/>
  <c r="CP21" i="40" s="1"/>
  <c r="CO21" i="40" s="1"/>
  <c r="CN21" i="40" s="1"/>
  <c r="CM21" i="40" s="1"/>
  <c r="CL21" i="40" s="1"/>
  <c r="CK21" i="40" s="1"/>
  <c r="CJ21" i="40" s="1"/>
  <c r="CI21" i="40" s="1"/>
  <c r="CH21" i="40" s="1"/>
  <c r="CG21" i="40" s="1"/>
  <c r="CF21" i="40" s="1"/>
  <c r="CE21" i="40" s="1"/>
  <c r="CD21" i="40" s="1"/>
  <c r="CC21" i="40" s="1"/>
  <c r="CB21" i="40" s="1"/>
  <c r="CA21" i="40" s="1"/>
  <c r="BZ21" i="40" s="1"/>
  <c r="BY21" i="40" s="1"/>
  <c r="BX21" i="40" s="1"/>
  <c r="BW21" i="40" s="1"/>
  <c r="BV21" i="40" s="1"/>
  <c r="BU21" i="40" s="1"/>
  <c r="BT21" i="40" s="1"/>
  <c r="BS21" i="40" s="1"/>
  <c r="BR21" i="40" s="1"/>
  <c r="BQ21" i="40" s="1"/>
  <c r="BP21" i="40" s="1"/>
  <c r="BO21" i="40" s="1"/>
  <c r="BN21" i="40" s="1"/>
  <c r="BM21" i="40" s="1"/>
  <c r="BL21" i="40" s="1"/>
  <c r="BK21" i="40" s="1"/>
  <c r="BJ21" i="40" s="1"/>
  <c r="BI21" i="40" s="1"/>
  <c r="BH21" i="40" s="1"/>
  <c r="BG21" i="40" s="1"/>
  <c r="BF21" i="40" s="1"/>
  <c r="BE21" i="40" s="1"/>
  <c r="BD21" i="40" s="1"/>
  <c r="BC21" i="40" s="1"/>
  <c r="BB21" i="40" s="1"/>
  <c r="BA21" i="40" s="1"/>
  <c r="AZ21" i="40" s="1"/>
  <c r="AY21" i="40" s="1"/>
  <c r="AX21" i="40" s="1"/>
  <c r="AW21" i="40" s="1"/>
  <c r="AV21" i="40" s="1"/>
  <c r="AU21" i="40" s="1"/>
  <c r="AT21" i="40" s="1"/>
  <c r="AS21" i="40" s="1"/>
  <c r="AR21" i="40" s="1"/>
  <c r="AQ21" i="40" s="1"/>
  <c r="AP21" i="40" s="1"/>
  <c r="AO21" i="40" s="1"/>
  <c r="AN21" i="40" s="1"/>
  <c r="AM21" i="40" s="1"/>
  <c r="AL21" i="40" s="1"/>
  <c r="AK21" i="40" s="1"/>
  <c r="AJ21" i="40" s="1"/>
  <c r="AI21" i="40" s="1"/>
  <c r="AH21" i="40" s="1"/>
  <c r="AG21" i="40" s="1"/>
  <c r="AF21" i="40" s="1"/>
  <c r="AE21" i="40" s="1"/>
  <c r="AD21" i="40" s="1"/>
  <c r="AC21" i="40" s="1"/>
  <c r="AB21" i="40" s="1"/>
  <c r="AA21" i="40" s="1"/>
  <c r="Z21" i="40" s="1"/>
  <c r="Y21" i="40" s="1"/>
  <c r="X21" i="40" s="1"/>
  <c r="W21" i="40" s="1"/>
  <c r="V21" i="40" s="1"/>
  <c r="U21" i="40" s="1"/>
  <c r="T21" i="40" s="1"/>
  <c r="S21" i="40" s="1"/>
  <c r="R21" i="40" s="1"/>
  <c r="Q21" i="40" s="1"/>
  <c r="P21" i="40" s="1"/>
  <c r="O21" i="40" s="1"/>
  <c r="N21" i="40" s="1"/>
  <c r="M21" i="40" s="1"/>
  <c r="L21" i="40" s="1"/>
  <c r="K21" i="40" s="1"/>
  <c r="J21" i="40" s="1"/>
  <c r="I21" i="40" s="1"/>
  <c r="H21" i="40" s="1"/>
  <c r="G21" i="40" s="1"/>
  <c r="F21" i="40" s="1"/>
  <c r="E21" i="40" s="1"/>
  <c r="D21" i="40" s="1"/>
  <c r="C21" i="40" s="1"/>
  <c r="B21" i="40" s="1"/>
  <c r="DY21" i="40"/>
  <c r="DX21" i="40" s="1"/>
  <c r="DW21" i="40" s="1"/>
  <c r="DV21" i="40" s="1"/>
  <c r="DY22" i="40"/>
  <c r="DX22" i="40" s="1"/>
  <c r="DW22" i="40" s="1"/>
  <c r="DV22" i="40" s="1"/>
  <c r="DU22" i="40" s="1"/>
  <c r="DT22" i="40" s="1"/>
  <c r="DS22" i="40" s="1"/>
  <c r="DR22" i="40" s="1"/>
  <c r="DQ22" i="40" s="1"/>
  <c r="DP22" i="40" s="1"/>
  <c r="DO22" i="40" s="1"/>
  <c r="DN22" i="40" s="1"/>
  <c r="DM22" i="40" s="1"/>
  <c r="DL22" i="40" s="1"/>
  <c r="DK22" i="40" s="1"/>
  <c r="DJ22" i="40" s="1"/>
  <c r="DI22" i="40" s="1"/>
  <c r="DH22" i="40" s="1"/>
  <c r="DG22" i="40" s="1"/>
  <c r="DF22" i="40" s="1"/>
  <c r="DE22" i="40" s="1"/>
  <c r="DD22" i="40" s="1"/>
  <c r="DC22" i="40" s="1"/>
  <c r="DB22" i="40" s="1"/>
  <c r="DA22" i="40" s="1"/>
  <c r="CZ22" i="40" s="1"/>
  <c r="CY22" i="40" s="1"/>
  <c r="CX22" i="40" s="1"/>
  <c r="CW22" i="40" s="1"/>
  <c r="CV22" i="40" s="1"/>
  <c r="CU22" i="40" s="1"/>
  <c r="CT22" i="40" s="1"/>
  <c r="CS22" i="40" s="1"/>
  <c r="CR22" i="40" s="1"/>
  <c r="CQ22" i="40" s="1"/>
  <c r="CP22" i="40" s="1"/>
  <c r="CO22" i="40" s="1"/>
  <c r="CN22" i="40" s="1"/>
  <c r="CM22" i="40" s="1"/>
  <c r="CL22" i="40" s="1"/>
  <c r="CK22" i="40" s="1"/>
  <c r="CJ22" i="40" s="1"/>
  <c r="CI22" i="40" s="1"/>
  <c r="CH22" i="40" s="1"/>
  <c r="CG22" i="40" s="1"/>
  <c r="CF22" i="40" s="1"/>
  <c r="CE22" i="40" s="1"/>
  <c r="CD22" i="40" s="1"/>
  <c r="CC22" i="40" s="1"/>
  <c r="CB22" i="40" s="1"/>
  <c r="CA22" i="40" s="1"/>
  <c r="BZ22" i="40" s="1"/>
  <c r="BY22" i="40" s="1"/>
  <c r="BX22" i="40" s="1"/>
  <c r="BW22" i="40" s="1"/>
  <c r="BV22" i="40" s="1"/>
  <c r="BU22" i="40" s="1"/>
  <c r="BT22" i="40" s="1"/>
  <c r="BS22" i="40" s="1"/>
  <c r="BR22" i="40" s="1"/>
  <c r="BQ22" i="40" s="1"/>
  <c r="BP22" i="40" s="1"/>
  <c r="BO22" i="40" s="1"/>
  <c r="BN22" i="40" s="1"/>
  <c r="BM22" i="40" s="1"/>
  <c r="BL22" i="40" s="1"/>
  <c r="BK22" i="40" s="1"/>
  <c r="BJ22" i="40" s="1"/>
  <c r="BI22" i="40" s="1"/>
  <c r="BH22" i="40" s="1"/>
  <c r="BG22" i="40" s="1"/>
  <c r="BF22" i="40" s="1"/>
  <c r="BE22" i="40" s="1"/>
  <c r="BD22" i="40" s="1"/>
  <c r="BC22" i="40" s="1"/>
  <c r="BB22" i="40" s="1"/>
  <c r="BA22" i="40" s="1"/>
  <c r="AZ22" i="40" s="1"/>
  <c r="AY22" i="40" s="1"/>
  <c r="AX22" i="40" s="1"/>
  <c r="AW22" i="40" s="1"/>
  <c r="AV22" i="40" s="1"/>
  <c r="AU22" i="40" s="1"/>
  <c r="AT22" i="40" s="1"/>
  <c r="AS22" i="40" s="1"/>
  <c r="AR22" i="40" s="1"/>
  <c r="AQ22" i="40" s="1"/>
  <c r="AP22" i="40" s="1"/>
  <c r="AO22" i="40" s="1"/>
  <c r="AN22" i="40" s="1"/>
  <c r="AM22" i="40" s="1"/>
  <c r="AL22" i="40" s="1"/>
  <c r="AK22" i="40" s="1"/>
  <c r="AJ22" i="40" s="1"/>
  <c r="AI22" i="40" s="1"/>
  <c r="AH22" i="40" s="1"/>
  <c r="AG22" i="40" s="1"/>
  <c r="AF22" i="40" s="1"/>
  <c r="AE22" i="40" s="1"/>
  <c r="AD22" i="40" s="1"/>
  <c r="AC22" i="40" s="1"/>
  <c r="AB22" i="40" s="1"/>
  <c r="AA22" i="40" s="1"/>
  <c r="Z22" i="40" s="1"/>
  <c r="Y22" i="40" s="1"/>
  <c r="X22" i="40" s="1"/>
  <c r="W22" i="40" s="1"/>
  <c r="V22" i="40" s="1"/>
  <c r="U22" i="40" s="1"/>
  <c r="T22" i="40" s="1"/>
  <c r="S22" i="40" s="1"/>
  <c r="R22" i="40" s="1"/>
  <c r="Q22" i="40" s="1"/>
  <c r="P22" i="40" s="1"/>
  <c r="O22" i="40" s="1"/>
  <c r="N22" i="40" s="1"/>
  <c r="M22" i="40" s="1"/>
  <c r="L22" i="40" s="1"/>
  <c r="K22" i="40" s="1"/>
  <c r="J22" i="40" s="1"/>
  <c r="I22" i="40" s="1"/>
  <c r="H22" i="40" s="1"/>
  <c r="G22" i="40" s="1"/>
  <c r="F22" i="40" s="1"/>
  <c r="E22" i="40" s="1"/>
  <c r="D22" i="40" s="1"/>
  <c r="C22" i="40" s="1"/>
  <c r="B22" i="40" s="1"/>
  <c r="DW23" i="40"/>
  <c r="DV23" i="40" s="1"/>
  <c r="DU23" i="40" s="1"/>
  <c r="DT23" i="40" s="1"/>
  <c r="DS23" i="40" s="1"/>
  <c r="DR23" i="40" s="1"/>
  <c r="DQ23" i="40" s="1"/>
  <c r="DP23" i="40" s="1"/>
  <c r="DO23" i="40" s="1"/>
  <c r="DN23" i="40" s="1"/>
  <c r="DM23" i="40" s="1"/>
  <c r="DL23" i="40" s="1"/>
  <c r="DK23" i="40" s="1"/>
  <c r="DJ23" i="40" s="1"/>
  <c r="DI23" i="40" s="1"/>
  <c r="DH23" i="40" s="1"/>
  <c r="DG23" i="40" s="1"/>
  <c r="DF23" i="40" s="1"/>
  <c r="DE23" i="40" s="1"/>
  <c r="DD23" i="40" s="1"/>
  <c r="DC23" i="40" s="1"/>
  <c r="DB23" i="40" s="1"/>
  <c r="DA23" i="40" s="1"/>
  <c r="CZ23" i="40" s="1"/>
  <c r="CY23" i="40" s="1"/>
  <c r="CX23" i="40" s="1"/>
  <c r="CW23" i="40" s="1"/>
  <c r="CV23" i="40" s="1"/>
  <c r="CU23" i="40" s="1"/>
  <c r="CT23" i="40" s="1"/>
  <c r="CS23" i="40" s="1"/>
  <c r="CR23" i="40" s="1"/>
  <c r="CQ23" i="40" s="1"/>
  <c r="CP23" i="40" s="1"/>
  <c r="CO23" i="40" s="1"/>
  <c r="CN23" i="40" s="1"/>
  <c r="CM23" i="40" s="1"/>
  <c r="CL23" i="40" s="1"/>
  <c r="CK23" i="40" s="1"/>
  <c r="CJ23" i="40" s="1"/>
  <c r="CI23" i="40" s="1"/>
  <c r="CH23" i="40" s="1"/>
  <c r="CG23" i="40" s="1"/>
  <c r="CF23" i="40" s="1"/>
  <c r="CE23" i="40" s="1"/>
  <c r="CD23" i="40" s="1"/>
  <c r="CC23" i="40" s="1"/>
  <c r="CB23" i="40" s="1"/>
  <c r="CA23" i="40" s="1"/>
  <c r="BZ23" i="40" s="1"/>
  <c r="BY23" i="40" s="1"/>
  <c r="BX23" i="40" s="1"/>
  <c r="BW23" i="40" s="1"/>
  <c r="BV23" i="40" s="1"/>
  <c r="BU23" i="40" s="1"/>
  <c r="BT23" i="40" s="1"/>
  <c r="BS23" i="40" s="1"/>
  <c r="BR23" i="40" s="1"/>
  <c r="BQ23" i="40" s="1"/>
  <c r="BP23" i="40" s="1"/>
  <c r="BO23" i="40" s="1"/>
  <c r="BN23" i="40" s="1"/>
  <c r="BM23" i="40" s="1"/>
  <c r="BL23" i="40" s="1"/>
  <c r="BK23" i="40" s="1"/>
  <c r="BJ23" i="40" s="1"/>
  <c r="BI23" i="40" s="1"/>
  <c r="BH23" i="40" s="1"/>
  <c r="BG23" i="40" s="1"/>
  <c r="BF23" i="40" s="1"/>
  <c r="BE23" i="40" s="1"/>
  <c r="BD23" i="40" s="1"/>
  <c r="BC23" i="40" s="1"/>
  <c r="BB23" i="40" s="1"/>
  <c r="BA23" i="40" s="1"/>
  <c r="AZ23" i="40" s="1"/>
  <c r="AY23" i="40" s="1"/>
  <c r="AX23" i="40" s="1"/>
  <c r="AW23" i="40" s="1"/>
  <c r="AV23" i="40" s="1"/>
  <c r="AU23" i="40" s="1"/>
  <c r="AT23" i="40" s="1"/>
  <c r="AS23" i="40" s="1"/>
  <c r="AR23" i="40" s="1"/>
  <c r="AQ23" i="40" s="1"/>
  <c r="AP23" i="40" s="1"/>
  <c r="AO23" i="40" s="1"/>
  <c r="AN23" i="40" s="1"/>
  <c r="AM23" i="40" s="1"/>
  <c r="AL23" i="40" s="1"/>
  <c r="AK23" i="40" s="1"/>
  <c r="AJ23" i="40" s="1"/>
  <c r="AI23" i="40" s="1"/>
  <c r="AH23" i="40" s="1"/>
  <c r="AG23" i="40" s="1"/>
  <c r="AF23" i="40" s="1"/>
  <c r="AE23" i="40" s="1"/>
  <c r="AD23" i="40" s="1"/>
  <c r="AC23" i="40" s="1"/>
  <c r="AB23" i="40" s="1"/>
  <c r="AA23" i="40" s="1"/>
  <c r="Z23" i="40" s="1"/>
  <c r="Y23" i="40" s="1"/>
  <c r="X23" i="40" s="1"/>
  <c r="W23" i="40" s="1"/>
  <c r="V23" i="40" s="1"/>
  <c r="U23" i="40" s="1"/>
  <c r="T23" i="40" s="1"/>
  <c r="S23" i="40" s="1"/>
  <c r="R23" i="40" s="1"/>
  <c r="Q23" i="40" s="1"/>
  <c r="P23" i="40" s="1"/>
  <c r="O23" i="40" s="1"/>
  <c r="N23" i="40" s="1"/>
  <c r="M23" i="40" s="1"/>
  <c r="L23" i="40" s="1"/>
  <c r="K23" i="40" s="1"/>
  <c r="J23" i="40" s="1"/>
  <c r="I23" i="40" s="1"/>
  <c r="H23" i="40" s="1"/>
  <c r="G23" i="40" s="1"/>
  <c r="F23" i="40" s="1"/>
  <c r="E23" i="40" s="1"/>
  <c r="D23" i="40" s="1"/>
  <c r="C23" i="40" s="1"/>
  <c r="B23" i="40" s="1"/>
  <c r="DY23" i="40"/>
  <c r="DX23" i="40" s="1"/>
  <c r="DV24" i="40"/>
  <c r="DU24" i="40" s="1"/>
  <c r="DT24" i="40" s="1"/>
  <c r="DS24" i="40" s="1"/>
  <c r="DR24" i="40" s="1"/>
  <c r="DQ24" i="40" s="1"/>
  <c r="DP24" i="40" s="1"/>
  <c r="DO24" i="40" s="1"/>
  <c r="DN24" i="40" s="1"/>
  <c r="DM24" i="40" s="1"/>
  <c r="DL24" i="40" s="1"/>
  <c r="DK24" i="40" s="1"/>
  <c r="DJ24" i="40" s="1"/>
  <c r="DI24" i="40" s="1"/>
  <c r="DH24" i="40" s="1"/>
  <c r="DG24" i="40" s="1"/>
  <c r="DF24" i="40" s="1"/>
  <c r="DE24" i="40" s="1"/>
  <c r="DD24" i="40" s="1"/>
  <c r="DC24" i="40" s="1"/>
  <c r="DB24" i="40" s="1"/>
  <c r="DA24" i="40" s="1"/>
  <c r="CZ24" i="40" s="1"/>
  <c r="CY24" i="40" s="1"/>
  <c r="CX24" i="40" s="1"/>
  <c r="CW24" i="40" s="1"/>
  <c r="CV24" i="40" s="1"/>
  <c r="CU24" i="40" s="1"/>
  <c r="CT24" i="40" s="1"/>
  <c r="CS24" i="40" s="1"/>
  <c r="CR24" i="40" s="1"/>
  <c r="CQ24" i="40" s="1"/>
  <c r="CP24" i="40" s="1"/>
  <c r="CO24" i="40" s="1"/>
  <c r="CN24" i="40" s="1"/>
  <c r="CM24" i="40" s="1"/>
  <c r="CL24" i="40" s="1"/>
  <c r="CK24" i="40" s="1"/>
  <c r="CJ24" i="40" s="1"/>
  <c r="CI24" i="40" s="1"/>
  <c r="CH24" i="40" s="1"/>
  <c r="CG24" i="40" s="1"/>
  <c r="CF24" i="40" s="1"/>
  <c r="CE24" i="40" s="1"/>
  <c r="CD24" i="40" s="1"/>
  <c r="CC24" i="40" s="1"/>
  <c r="CB24" i="40" s="1"/>
  <c r="CA24" i="40" s="1"/>
  <c r="BZ24" i="40" s="1"/>
  <c r="BY24" i="40" s="1"/>
  <c r="BX24" i="40" s="1"/>
  <c r="BW24" i="40" s="1"/>
  <c r="BV24" i="40" s="1"/>
  <c r="BU24" i="40" s="1"/>
  <c r="BT24" i="40" s="1"/>
  <c r="BS24" i="40" s="1"/>
  <c r="BR24" i="40" s="1"/>
  <c r="BQ24" i="40" s="1"/>
  <c r="BP24" i="40" s="1"/>
  <c r="BO24" i="40" s="1"/>
  <c r="BN24" i="40" s="1"/>
  <c r="BM24" i="40" s="1"/>
  <c r="BL24" i="40" s="1"/>
  <c r="BK24" i="40" s="1"/>
  <c r="BJ24" i="40" s="1"/>
  <c r="BI24" i="40" s="1"/>
  <c r="BH24" i="40" s="1"/>
  <c r="BG24" i="40" s="1"/>
  <c r="BF24" i="40" s="1"/>
  <c r="BE24" i="40" s="1"/>
  <c r="BD24" i="40" s="1"/>
  <c r="BC24" i="40" s="1"/>
  <c r="BB24" i="40" s="1"/>
  <c r="BA24" i="40" s="1"/>
  <c r="AZ24" i="40" s="1"/>
  <c r="AY24" i="40" s="1"/>
  <c r="AX24" i="40" s="1"/>
  <c r="AW24" i="40" s="1"/>
  <c r="AV24" i="40" s="1"/>
  <c r="AU24" i="40" s="1"/>
  <c r="AT24" i="40" s="1"/>
  <c r="AS24" i="40" s="1"/>
  <c r="AR24" i="40" s="1"/>
  <c r="AQ24" i="40" s="1"/>
  <c r="AP24" i="40" s="1"/>
  <c r="AO24" i="40" s="1"/>
  <c r="AN24" i="40" s="1"/>
  <c r="AM24" i="40" s="1"/>
  <c r="AL24" i="40" s="1"/>
  <c r="AK24" i="40" s="1"/>
  <c r="AJ24" i="40" s="1"/>
  <c r="AI24" i="40" s="1"/>
  <c r="AH24" i="40" s="1"/>
  <c r="AG24" i="40" s="1"/>
  <c r="AF24" i="40" s="1"/>
  <c r="AE24" i="40" s="1"/>
  <c r="AD24" i="40" s="1"/>
  <c r="AC24" i="40" s="1"/>
  <c r="AB24" i="40" s="1"/>
  <c r="AA24" i="40" s="1"/>
  <c r="Z24" i="40" s="1"/>
  <c r="Y24" i="40" s="1"/>
  <c r="X24" i="40" s="1"/>
  <c r="W24" i="40" s="1"/>
  <c r="V24" i="40" s="1"/>
  <c r="U24" i="40" s="1"/>
  <c r="T24" i="40" s="1"/>
  <c r="S24" i="40" s="1"/>
  <c r="R24" i="40" s="1"/>
  <c r="Q24" i="40" s="1"/>
  <c r="P24" i="40" s="1"/>
  <c r="O24" i="40" s="1"/>
  <c r="N24" i="40" s="1"/>
  <c r="M24" i="40" s="1"/>
  <c r="L24" i="40" s="1"/>
  <c r="K24" i="40" s="1"/>
  <c r="J24" i="40" s="1"/>
  <c r="I24" i="40" s="1"/>
  <c r="H24" i="40" s="1"/>
  <c r="G24" i="40" s="1"/>
  <c r="F24" i="40" s="1"/>
  <c r="E24" i="40" s="1"/>
  <c r="D24" i="40" s="1"/>
  <c r="C24" i="40" s="1"/>
  <c r="B24" i="40" s="1"/>
  <c r="DW24" i="40"/>
  <c r="DX24" i="40"/>
  <c r="DY24" i="40"/>
  <c r="DY25" i="40"/>
  <c r="DX25" i="40" s="1"/>
  <c r="DW25" i="40" s="1"/>
  <c r="DV25" i="40" s="1"/>
  <c r="DU25" i="40" s="1"/>
  <c r="DT25" i="40" s="1"/>
  <c r="DS25" i="40" s="1"/>
  <c r="DR25" i="40" s="1"/>
  <c r="DQ25" i="40" s="1"/>
  <c r="DP25" i="40" s="1"/>
  <c r="DO25" i="40" s="1"/>
  <c r="DN25" i="40" s="1"/>
  <c r="DM25" i="40" s="1"/>
  <c r="DL25" i="40" s="1"/>
  <c r="DK25" i="40" s="1"/>
  <c r="DJ25" i="40" s="1"/>
  <c r="DI25" i="40" s="1"/>
  <c r="DH25" i="40" s="1"/>
  <c r="DG25" i="40" s="1"/>
  <c r="DF25" i="40" s="1"/>
  <c r="DE25" i="40" s="1"/>
  <c r="DD25" i="40" s="1"/>
  <c r="DC25" i="40" s="1"/>
  <c r="DB25" i="40" s="1"/>
  <c r="DA25" i="40" s="1"/>
  <c r="CZ25" i="40" s="1"/>
  <c r="CY25" i="40" s="1"/>
  <c r="CX25" i="40" s="1"/>
  <c r="CW25" i="40" s="1"/>
  <c r="CV25" i="40" s="1"/>
  <c r="CU25" i="40" s="1"/>
  <c r="CT25" i="40" s="1"/>
  <c r="CS25" i="40" s="1"/>
  <c r="CR25" i="40" s="1"/>
  <c r="CQ25" i="40" s="1"/>
  <c r="CP25" i="40" s="1"/>
  <c r="CO25" i="40" s="1"/>
  <c r="CN25" i="40" s="1"/>
  <c r="CM25" i="40" s="1"/>
  <c r="CL25" i="40" s="1"/>
  <c r="CK25" i="40" s="1"/>
  <c r="CJ25" i="40" s="1"/>
  <c r="CI25" i="40" s="1"/>
  <c r="CH25" i="40" s="1"/>
  <c r="CG25" i="40" s="1"/>
  <c r="CF25" i="40" s="1"/>
  <c r="CE25" i="40" s="1"/>
  <c r="CD25" i="40" s="1"/>
  <c r="CC25" i="40" s="1"/>
  <c r="CB25" i="40" s="1"/>
  <c r="CA25" i="40" s="1"/>
  <c r="BZ25" i="40" s="1"/>
  <c r="BY25" i="40" s="1"/>
  <c r="BX25" i="40" s="1"/>
  <c r="BW25" i="40" s="1"/>
  <c r="BV25" i="40" s="1"/>
  <c r="BU25" i="40" s="1"/>
  <c r="BT25" i="40" s="1"/>
  <c r="BS25" i="40" s="1"/>
  <c r="BR25" i="40" s="1"/>
  <c r="BQ25" i="40" s="1"/>
  <c r="BP25" i="40" s="1"/>
  <c r="BO25" i="40" s="1"/>
  <c r="BN25" i="40" s="1"/>
  <c r="BM25" i="40" s="1"/>
  <c r="BL25" i="40" s="1"/>
  <c r="BK25" i="40" s="1"/>
  <c r="BJ25" i="40" s="1"/>
  <c r="BI25" i="40" s="1"/>
  <c r="BH25" i="40" s="1"/>
  <c r="BG25" i="40" s="1"/>
  <c r="BF25" i="40" s="1"/>
  <c r="BE25" i="40" s="1"/>
  <c r="BD25" i="40" s="1"/>
  <c r="BC25" i="40" s="1"/>
  <c r="BB25" i="40" s="1"/>
  <c r="BA25" i="40" s="1"/>
  <c r="AZ25" i="40" s="1"/>
  <c r="AY25" i="40" s="1"/>
  <c r="AX25" i="40" s="1"/>
  <c r="AW25" i="40" s="1"/>
  <c r="AV25" i="40" s="1"/>
  <c r="AU25" i="40" s="1"/>
  <c r="AT25" i="40" s="1"/>
  <c r="AS25" i="40" s="1"/>
  <c r="AR25" i="40" s="1"/>
  <c r="AQ25" i="40" s="1"/>
  <c r="AP25" i="40" s="1"/>
  <c r="AO25" i="40" s="1"/>
  <c r="AN25" i="40" s="1"/>
  <c r="AM25" i="40" s="1"/>
  <c r="AL25" i="40" s="1"/>
  <c r="AK25" i="40" s="1"/>
  <c r="AJ25" i="40" s="1"/>
  <c r="AI25" i="40" s="1"/>
  <c r="AH25" i="40" s="1"/>
  <c r="AG25" i="40" s="1"/>
  <c r="AF25" i="40" s="1"/>
  <c r="AE25" i="40" s="1"/>
  <c r="AD25" i="40" s="1"/>
  <c r="AC25" i="40" s="1"/>
  <c r="AB25" i="40" s="1"/>
  <c r="AA25" i="40" s="1"/>
  <c r="Z25" i="40" s="1"/>
  <c r="Y25" i="40" s="1"/>
  <c r="X25" i="40" s="1"/>
  <c r="W25" i="40" s="1"/>
  <c r="V25" i="40" s="1"/>
  <c r="U25" i="40" s="1"/>
  <c r="T25" i="40" s="1"/>
  <c r="S25" i="40" s="1"/>
  <c r="R25" i="40" s="1"/>
  <c r="Q25" i="40" s="1"/>
  <c r="P25" i="40" s="1"/>
  <c r="O25" i="40" s="1"/>
  <c r="N25" i="40" s="1"/>
  <c r="M25" i="40" s="1"/>
  <c r="L25" i="40" s="1"/>
  <c r="K25" i="40" s="1"/>
  <c r="J25" i="40" s="1"/>
  <c r="I25" i="40" s="1"/>
  <c r="H25" i="40" s="1"/>
  <c r="G25" i="40" s="1"/>
  <c r="F25" i="40" s="1"/>
  <c r="E25" i="40" s="1"/>
  <c r="D25" i="40" s="1"/>
  <c r="C25" i="40" s="1"/>
  <c r="B25" i="40" s="1"/>
  <c r="DZ2" i="40"/>
  <c r="DZ3" i="40"/>
  <c r="DZ4" i="40"/>
  <c r="DZ5" i="40"/>
  <c r="DZ6" i="40"/>
  <c r="DZ9" i="40"/>
  <c r="DZ10" i="40"/>
  <c r="DZ11" i="40"/>
  <c r="DZ12" i="40"/>
  <c r="DZ13" i="40"/>
  <c r="DZ14" i="40"/>
  <c r="DZ16" i="40"/>
  <c r="DZ17" i="40"/>
  <c r="DZ18" i="40"/>
  <c r="DZ19" i="40"/>
  <c r="DZ20" i="40"/>
  <c r="DZ21" i="40"/>
  <c r="DZ22" i="40"/>
  <c r="DZ23" i="40"/>
  <c r="DZ24" i="40"/>
  <c r="DZ25" i="40"/>
  <c r="EA3" i="40"/>
  <c r="EA4" i="40"/>
  <c r="EA5" i="40"/>
  <c r="EA6" i="40"/>
  <c r="EA9" i="40"/>
  <c r="EA10" i="40"/>
  <c r="EA11" i="40"/>
  <c r="EA12" i="40"/>
  <c r="EA13" i="40"/>
  <c r="EA14" i="40"/>
  <c r="EA16" i="40"/>
  <c r="EA17" i="40"/>
  <c r="EA18" i="40"/>
  <c r="EA19" i="40"/>
  <c r="EA20" i="40"/>
  <c r="EA21" i="40"/>
  <c r="EA22" i="40"/>
  <c r="EA23" i="40"/>
  <c r="EA24" i="40"/>
  <c r="EA25" i="40"/>
  <c r="EA2" i="40"/>
  <c r="DW7" i="7" l="1"/>
  <c r="DV7" i="7" s="1"/>
  <c r="DW25" i="7"/>
  <c r="DV25" i="7" s="1"/>
  <c r="DU25" i="7" s="1"/>
  <c r="DW8" i="7"/>
  <c r="DV8" i="7" s="1"/>
  <c r="DU8" i="7" s="1"/>
  <c r="DT8" i="7" s="1"/>
  <c r="DS8" i="7" s="1"/>
  <c r="DR8" i="7" s="1"/>
  <c r="DQ8" i="7" s="1"/>
  <c r="DP8" i="7" s="1"/>
  <c r="DO8" i="7" s="1"/>
  <c r="DN8" i="7" s="1"/>
  <c r="DM8" i="7" s="1"/>
  <c r="DL8" i="7" s="1"/>
  <c r="DK8" i="7" s="1"/>
  <c r="DJ8" i="7" s="1"/>
  <c r="DI8" i="7" s="1"/>
  <c r="DH8" i="7" s="1"/>
  <c r="DG8" i="7" s="1"/>
  <c r="DF8" i="7" s="1"/>
  <c r="DE8" i="7" s="1"/>
  <c r="DD8" i="7" s="1"/>
  <c r="DC8" i="7" s="1"/>
  <c r="DB8" i="7" s="1"/>
  <c r="DA8" i="7" s="1"/>
  <c r="CZ8" i="7" s="1"/>
  <c r="CY8" i="7" s="1"/>
  <c r="CX8" i="7" s="1"/>
  <c r="CW8" i="7" s="1"/>
  <c r="CV8" i="7" s="1"/>
  <c r="CU8" i="7" s="1"/>
  <c r="CT8" i="7" s="1"/>
  <c r="CS8" i="7" s="1"/>
  <c r="CR8" i="7" s="1"/>
  <c r="CQ8" i="7" s="1"/>
  <c r="CP8" i="7" s="1"/>
  <c r="CO8" i="7" s="1"/>
  <c r="CN8" i="7" s="1"/>
  <c r="CM8" i="7" s="1"/>
  <c r="CL8" i="7" s="1"/>
  <c r="CK8" i="7" s="1"/>
  <c r="CJ8" i="7" s="1"/>
  <c r="CI8" i="7" s="1"/>
  <c r="CH8" i="7" s="1"/>
  <c r="CG8" i="7" s="1"/>
  <c r="CF8" i="7" s="1"/>
  <c r="CE8" i="7" s="1"/>
  <c r="CD8" i="7" s="1"/>
  <c r="CC8" i="7" s="1"/>
  <c r="CB8" i="7" s="1"/>
  <c r="CA8" i="7" s="1"/>
  <c r="BZ8" i="7" s="1"/>
  <c r="BY8" i="7" s="1"/>
  <c r="BX8" i="7" s="1"/>
  <c r="BW8" i="7" s="1"/>
  <c r="BV8" i="7" s="1"/>
  <c r="BU8" i="7" s="1"/>
  <c r="BT8" i="7" s="1"/>
  <c r="BS8" i="7" s="1"/>
  <c r="BR8" i="7" s="1"/>
  <c r="BQ8" i="7" s="1"/>
  <c r="BP8" i="7" s="1"/>
  <c r="BO8" i="7" s="1"/>
  <c r="BN8" i="7" s="1"/>
  <c r="BM8" i="7" s="1"/>
  <c r="BL8" i="7" s="1"/>
  <c r="BK8" i="7" s="1"/>
  <c r="DW9" i="7"/>
  <c r="DV9" i="7" s="1"/>
  <c r="DU9" i="7" s="1"/>
  <c r="DT9" i="7" s="1"/>
  <c r="DS9" i="7" s="1"/>
  <c r="DR9" i="7" s="1"/>
  <c r="DQ9" i="7" s="1"/>
  <c r="DP9" i="7" s="1"/>
  <c r="DO9" i="7" s="1"/>
  <c r="DN9" i="7" s="1"/>
  <c r="DM9" i="7" s="1"/>
  <c r="DL9" i="7" s="1"/>
  <c r="DK9" i="7" s="1"/>
  <c r="DJ9" i="7" s="1"/>
  <c r="DI9" i="7" s="1"/>
  <c r="DH9" i="7" s="1"/>
  <c r="DG9" i="7" s="1"/>
  <c r="DF9" i="7" s="1"/>
  <c r="DE9" i="7" s="1"/>
  <c r="DD9" i="7" s="1"/>
  <c r="DC9" i="7" s="1"/>
  <c r="DB9" i="7" s="1"/>
  <c r="DA9" i="7" s="1"/>
  <c r="CZ9" i="7" s="1"/>
  <c r="CY9" i="7" s="1"/>
  <c r="CX9" i="7" s="1"/>
  <c r="CW9" i="7" s="1"/>
  <c r="CV9" i="7" s="1"/>
  <c r="CU9" i="7" s="1"/>
  <c r="CT9" i="7" s="1"/>
  <c r="CS9" i="7" s="1"/>
  <c r="CR9" i="7" s="1"/>
  <c r="CQ9" i="7" s="1"/>
  <c r="CP9" i="7" s="1"/>
  <c r="CO9" i="7" s="1"/>
  <c r="CN9" i="7" s="1"/>
  <c r="CM9" i="7" s="1"/>
  <c r="CL9" i="7" s="1"/>
  <c r="CK9" i="7" s="1"/>
  <c r="CJ9" i="7" s="1"/>
  <c r="CI9" i="7" s="1"/>
  <c r="CH9" i="7" s="1"/>
  <c r="CG9" i="7" s="1"/>
  <c r="CF9" i="7" s="1"/>
  <c r="CE9" i="7" s="1"/>
  <c r="CD9" i="7" s="1"/>
  <c r="CC9" i="7" s="1"/>
  <c r="CB9" i="7" s="1"/>
  <c r="CA9" i="7" s="1"/>
  <c r="BZ9" i="7" s="1"/>
  <c r="BY9" i="7" s="1"/>
  <c r="BX9" i="7" s="1"/>
  <c r="BW9" i="7" s="1"/>
  <c r="BV9" i="7" s="1"/>
  <c r="BU9" i="7" s="1"/>
  <c r="BT9" i="7" s="1"/>
  <c r="BS9" i="7" s="1"/>
  <c r="BR9" i="7" s="1"/>
  <c r="BQ9" i="7" s="1"/>
  <c r="BP9" i="7" s="1"/>
  <c r="BO9" i="7" s="1"/>
  <c r="BN9" i="7" s="1"/>
  <c r="BM9" i="7" s="1"/>
  <c r="BL9" i="7" s="1"/>
  <c r="BK9" i="7" s="1"/>
  <c r="BJ9" i="7" s="1"/>
  <c r="BI9" i="7" s="1"/>
  <c r="BH9" i="7" s="1"/>
  <c r="BG9" i="7" s="1"/>
  <c r="BF9" i="7" s="1"/>
  <c r="BE9" i="7" s="1"/>
  <c r="BD9" i="7" s="1"/>
  <c r="BC9" i="7" s="1"/>
  <c r="BB9" i="7" s="1"/>
  <c r="BA9" i="7" s="1"/>
  <c r="AZ9" i="7" s="1"/>
  <c r="AY9" i="7" s="1"/>
  <c r="AX9" i="7" s="1"/>
  <c r="AW9" i="7" s="1"/>
  <c r="AV9" i="7" s="1"/>
  <c r="AU9" i="7" s="1"/>
  <c r="AT9" i="7" s="1"/>
  <c r="AS9" i="7" s="1"/>
  <c r="AR9" i="7" s="1"/>
  <c r="AQ9" i="7" s="1"/>
  <c r="AP9" i="7" s="1"/>
  <c r="AO9" i="7" s="1"/>
  <c r="AN9" i="7" s="1"/>
  <c r="AM9" i="7" s="1"/>
  <c r="AL9" i="7" s="1"/>
  <c r="AK9" i="7" s="1"/>
  <c r="AJ9" i="7" s="1"/>
  <c r="AI9" i="7" s="1"/>
  <c r="AH9" i="7" s="1"/>
  <c r="AG9" i="7" s="1"/>
  <c r="AF9" i="7" s="1"/>
  <c r="AE9" i="7" s="1"/>
  <c r="AD9" i="7" s="1"/>
  <c r="AC9" i="7" s="1"/>
  <c r="AB9" i="7" s="1"/>
  <c r="AA9" i="7" s="1"/>
  <c r="Z9" i="7" s="1"/>
  <c r="Y9" i="7" s="1"/>
  <c r="X9" i="7" s="1"/>
  <c r="W9" i="7" s="1"/>
  <c r="V9" i="7" s="1"/>
  <c r="U9" i="7" s="1"/>
  <c r="T9" i="7" s="1"/>
  <c r="S9" i="7" s="1"/>
  <c r="R9" i="7" s="1"/>
  <c r="Q9" i="7" s="1"/>
  <c r="P9" i="7" s="1"/>
  <c r="O9" i="7" s="1"/>
  <c r="N9" i="7" s="1"/>
  <c r="M9" i="7" s="1"/>
  <c r="L9" i="7" s="1"/>
  <c r="K9" i="7" s="1"/>
  <c r="J9" i="7" s="1"/>
  <c r="I9" i="7" s="1"/>
  <c r="H9" i="7" s="1"/>
  <c r="G9" i="7" s="1"/>
  <c r="F9" i="7" s="1"/>
  <c r="E9" i="7" s="1"/>
  <c r="D9" i="7" s="1"/>
  <c r="C9" i="7" s="1"/>
  <c r="DW10" i="7"/>
  <c r="DV10" i="7" s="1"/>
  <c r="DU10" i="7" s="1"/>
  <c r="DT10" i="7" s="1"/>
  <c r="DS10" i="7" s="1"/>
  <c r="DR10" i="7" s="1"/>
  <c r="DQ10" i="7" s="1"/>
  <c r="DP10" i="7" s="1"/>
  <c r="DO10" i="7" s="1"/>
  <c r="DN10" i="7" s="1"/>
  <c r="DM10" i="7" s="1"/>
  <c r="DL10" i="7" s="1"/>
  <c r="DK10" i="7" s="1"/>
  <c r="DJ10" i="7" s="1"/>
  <c r="DI10" i="7" s="1"/>
  <c r="DH10" i="7" s="1"/>
  <c r="DG10" i="7" s="1"/>
  <c r="DF10" i="7" s="1"/>
  <c r="DE10" i="7" s="1"/>
  <c r="DD10" i="7" s="1"/>
  <c r="DC10" i="7" s="1"/>
  <c r="DB10" i="7" s="1"/>
  <c r="DA10" i="7" s="1"/>
  <c r="CZ10" i="7" s="1"/>
  <c r="CY10" i="7" s="1"/>
  <c r="CX10" i="7" s="1"/>
  <c r="CW10" i="7" s="1"/>
  <c r="CV10" i="7" s="1"/>
  <c r="CU10" i="7" s="1"/>
  <c r="CT10" i="7" s="1"/>
  <c r="CS10" i="7" s="1"/>
  <c r="CR10" i="7" s="1"/>
  <c r="CQ10" i="7" s="1"/>
  <c r="CP10" i="7" s="1"/>
  <c r="CO10" i="7" s="1"/>
  <c r="CN10" i="7" s="1"/>
  <c r="CM10" i="7" s="1"/>
  <c r="CL10" i="7" s="1"/>
  <c r="CK10" i="7" s="1"/>
  <c r="CJ10" i="7" s="1"/>
  <c r="CI10" i="7" s="1"/>
  <c r="CH10" i="7" s="1"/>
  <c r="CG10" i="7" s="1"/>
  <c r="CF10" i="7" s="1"/>
  <c r="CE10" i="7" s="1"/>
  <c r="CD10" i="7" s="1"/>
  <c r="CC10" i="7" s="1"/>
  <c r="CB10" i="7" s="1"/>
  <c r="CA10" i="7" s="1"/>
  <c r="BZ10" i="7" s="1"/>
  <c r="BY10" i="7" s="1"/>
  <c r="BX10" i="7" s="1"/>
  <c r="BW10" i="7" s="1"/>
  <c r="BV10" i="7" s="1"/>
  <c r="BU10" i="7" s="1"/>
  <c r="BT10" i="7" s="1"/>
  <c r="BS10" i="7" s="1"/>
  <c r="BR10" i="7" s="1"/>
  <c r="BQ10" i="7" s="1"/>
  <c r="BP10" i="7" s="1"/>
  <c r="BO10" i="7" s="1"/>
  <c r="BN10" i="7" s="1"/>
  <c r="BM10" i="7" s="1"/>
  <c r="BL10" i="7" s="1"/>
  <c r="BK10" i="7" s="1"/>
  <c r="BJ10" i="7" s="1"/>
  <c r="BI10" i="7" s="1"/>
  <c r="BH10" i="7" s="1"/>
  <c r="BG10" i="7" s="1"/>
  <c r="BF10" i="7" s="1"/>
  <c r="BE10" i="7" s="1"/>
  <c r="BD10" i="7" s="1"/>
  <c r="BC10" i="7" s="1"/>
  <c r="BB10" i="7" s="1"/>
  <c r="BA10" i="7" s="1"/>
  <c r="AZ10" i="7" s="1"/>
  <c r="AY10" i="7" s="1"/>
  <c r="AX10" i="7" s="1"/>
  <c r="AW10" i="7" s="1"/>
  <c r="AV10" i="7" s="1"/>
  <c r="AU10" i="7" s="1"/>
  <c r="AT10" i="7" s="1"/>
  <c r="AS10" i="7" s="1"/>
  <c r="AR10" i="7" s="1"/>
  <c r="AQ10" i="7" s="1"/>
  <c r="AP10" i="7" s="1"/>
  <c r="AO10" i="7" s="1"/>
  <c r="AN10" i="7" s="1"/>
  <c r="AM10" i="7" s="1"/>
  <c r="AL10" i="7" s="1"/>
  <c r="AK10" i="7" s="1"/>
  <c r="AJ10" i="7" s="1"/>
  <c r="AI10" i="7" s="1"/>
  <c r="AH10" i="7" s="1"/>
  <c r="AG10" i="7" s="1"/>
  <c r="AF10" i="7" s="1"/>
  <c r="AE10" i="7" s="1"/>
  <c r="AD10" i="7" s="1"/>
  <c r="AC10" i="7" s="1"/>
  <c r="AB10" i="7" s="1"/>
  <c r="AA10" i="7" s="1"/>
  <c r="Z10" i="7" s="1"/>
  <c r="Y10" i="7" s="1"/>
  <c r="X10" i="7" s="1"/>
  <c r="W10" i="7" s="1"/>
  <c r="V10" i="7" s="1"/>
  <c r="U10" i="7" s="1"/>
  <c r="T10" i="7" s="1"/>
  <c r="S10" i="7" s="1"/>
  <c r="R10" i="7" s="1"/>
  <c r="Q10" i="7" s="1"/>
  <c r="P10" i="7" s="1"/>
  <c r="O10" i="7" s="1"/>
  <c r="N10" i="7" s="1"/>
  <c r="M10" i="7" s="1"/>
  <c r="L10" i="7" s="1"/>
  <c r="K10" i="7" s="1"/>
  <c r="J10" i="7" s="1"/>
  <c r="I10" i="7" s="1"/>
  <c r="H10" i="7" s="1"/>
  <c r="G10" i="7" s="1"/>
  <c r="F10" i="7" s="1"/>
  <c r="E10" i="7" s="1"/>
  <c r="D10" i="7" s="1"/>
  <c r="C10" i="7" s="1"/>
  <c r="DW11" i="7"/>
  <c r="DV11" i="7" s="1"/>
  <c r="DU11" i="7" s="1"/>
  <c r="DT11" i="7" s="1"/>
  <c r="DS11" i="7" s="1"/>
  <c r="DR11" i="7" s="1"/>
  <c r="DQ11" i="7" s="1"/>
  <c r="DP11" i="7" s="1"/>
  <c r="DO11" i="7" s="1"/>
  <c r="DN11" i="7" s="1"/>
  <c r="DM11" i="7" s="1"/>
  <c r="DL11" i="7" s="1"/>
  <c r="DK11" i="7" s="1"/>
  <c r="DJ11" i="7" s="1"/>
  <c r="DI11" i="7" s="1"/>
  <c r="DH11" i="7" s="1"/>
  <c r="DG11" i="7" s="1"/>
  <c r="DF11" i="7" s="1"/>
  <c r="DE11" i="7" s="1"/>
  <c r="DD11" i="7" s="1"/>
  <c r="DC11" i="7" s="1"/>
  <c r="DB11" i="7" s="1"/>
  <c r="DA11" i="7" s="1"/>
  <c r="CZ11" i="7" s="1"/>
  <c r="CY11" i="7" s="1"/>
  <c r="CX11" i="7" s="1"/>
  <c r="CW11" i="7" s="1"/>
  <c r="CV11" i="7" s="1"/>
  <c r="CU11" i="7" s="1"/>
  <c r="CT11" i="7" s="1"/>
  <c r="CS11" i="7" s="1"/>
  <c r="CR11" i="7" s="1"/>
  <c r="CQ11" i="7" s="1"/>
  <c r="CP11" i="7" s="1"/>
  <c r="CO11" i="7" s="1"/>
  <c r="CN11" i="7" s="1"/>
  <c r="CM11" i="7" s="1"/>
  <c r="CL11" i="7" s="1"/>
  <c r="CK11" i="7" s="1"/>
  <c r="CJ11" i="7" s="1"/>
  <c r="CI11" i="7" s="1"/>
  <c r="CH11" i="7" s="1"/>
  <c r="CG11" i="7" s="1"/>
  <c r="CF11" i="7" s="1"/>
  <c r="CE11" i="7" s="1"/>
  <c r="CD11" i="7" s="1"/>
  <c r="CC11" i="7" s="1"/>
  <c r="CB11" i="7" s="1"/>
  <c r="CA11" i="7" s="1"/>
  <c r="BZ11" i="7" s="1"/>
  <c r="BY11" i="7" s="1"/>
  <c r="BX11" i="7" s="1"/>
  <c r="BW11" i="7" s="1"/>
  <c r="BV11" i="7" s="1"/>
  <c r="BU11" i="7" s="1"/>
  <c r="BT11" i="7" s="1"/>
  <c r="BS11" i="7" s="1"/>
  <c r="BR11" i="7" s="1"/>
  <c r="BQ11" i="7" s="1"/>
  <c r="BP11" i="7" s="1"/>
  <c r="BO11" i="7" s="1"/>
  <c r="BN11" i="7" s="1"/>
  <c r="BM11" i="7" s="1"/>
  <c r="BL11" i="7" s="1"/>
  <c r="BK11" i="7" s="1"/>
  <c r="BJ11" i="7" s="1"/>
  <c r="BI11" i="7" s="1"/>
  <c r="BH11" i="7" s="1"/>
  <c r="BG11" i="7" s="1"/>
  <c r="BF11" i="7" s="1"/>
  <c r="BE11" i="7" s="1"/>
  <c r="BD11" i="7" s="1"/>
  <c r="BC11" i="7" s="1"/>
  <c r="BB11" i="7" s="1"/>
  <c r="BA11" i="7" s="1"/>
  <c r="AZ11" i="7" s="1"/>
  <c r="AY11" i="7" s="1"/>
  <c r="AX11" i="7" s="1"/>
  <c r="AW11" i="7" s="1"/>
  <c r="AV11" i="7" s="1"/>
  <c r="AU11" i="7" s="1"/>
  <c r="AT11" i="7" s="1"/>
  <c r="AS11" i="7" s="1"/>
  <c r="AR11" i="7" s="1"/>
  <c r="AQ11" i="7" s="1"/>
  <c r="AP11" i="7" s="1"/>
  <c r="AO11" i="7" s="1"/>
  <c r="AN11" i="7" s="1"/>
  <c r="AM11" i="7" s="1"/>
  <c r="AL11" i="7" s="1"/>
  <c r="AK11" i="7" s="1"/>
  <c r="AJ11" i="7" s="1"/>
  <c r="AI11" i="7" s="1"/>
  <c r="AH11" i="7" s="1"/>
  <c r="AG11" i="7" s="1"/>
  <c r="AF11" i="7" s="1"/>
  <c r="AE11" i="7" s="1"/>
  <c r="AD11" i="7" s="1"/>
  <c r="AC11" i="7" s="1"/>
  <c r="AB11" i="7" s="1"/>
  <c r="AA11" i="7" s="1"/>
  <c r="Z11" i="7" s="1"/>
  <c r="Y11" i="7" s="1"/>
  <c r="X11" i="7" s="1"/>
  <c r="W11" i="7" s="1"/>
  <c r="V11" i="7" s="1"/>
  <c r="U11" i="7" s="1"/>
  <c r="T11" i="7" s="1"/>
  <c r="S11" i="7" s="1"/>
  <c r="R11" i="7" s="1"/>
  <c r="Q11" i="7" s="1"/>
  <c r="P11" i="7" s="1"/>
  <c r="O11" i="7" s="1"/>
  <c r="N11" i="7" s="1"/>
  <c r="M11" i="7" s="1"/>
  <c r="L11" i="7" s="1"/>
  <c r="K11" i="7" s="1"/>
  <c r="J11" i="7" s="1"/>
  <c r="I11" i="7" s="1"/>
  <c r="H11" i="7" s="1"/>
  <c r="G11" i="7" s="1"/>
  <c r="F11" i="7" s="1"/>
  <c r="E11" i="7" s="1"/>
  <c r="D11" i="7" s="1"/>
  <c r="C11" i="7" s="1"/>
  <c r="DW12" i="7"/>
  <c r="DV12" i="7" s="1"/>
  <c r="DU12" i="7" s="1"/>
  <c r="DT12" i="7" s="1"/>
  <c r="DS12" i="7" s="1"/>
  <c r="DR12" i="7" s="1"/>
  <c r="DQ12" i="7" s="1"/>
  <c r="DP12" i="7" s="1"/>
  <c r="DO12" i="7" s="1"/>
  <c r="DN12" i="7" s="1"/>
  <c r="DM12" i="7" s="1"/>
  <c r="DL12" i="7" s="1"/>
  <c r="DK12" i="7" s="1"/>
  <c r="DJ12" i="7" s="1"/>
  <c r="DI12" i="7" s="1"/>
  <c r="DH12" i="7" s="1"/>
  <c r="DG12" i="7" s="1"/>
  <c r="DF12" i="7" s="1"/>
  <c r="DE12" i="7" s="1"/>
  <c r="DD12" i="7" s="1"/>
  <c r="DC12" i="7" s="1"/>
  <c r="DB12" i="7" s="1"/>
  <c r="DA12" i="7" s="1"/>
  <c r="CZ12" i="7" s="1"/>
  <c r="CY12" i="7" s="1"/>
  <c r="CX12" i="7" s="1"/>
  <c r="CW12" i="7" s="1"/>
  <c r="CV12" i="7" s="1"/>
  <c r="CU12" i="7" s="1"/>
  <c r="CT12" i="7" s="1"/>
  <c r="CS12" i="7" s="1"/>
  <c r="CR12" i="7" s="1"/>
  <c r="CQ12" i="7" s="1"/>
  <c r="CP12" i="7" s="1"/>
  <c r="CO12" i="7" s="1"/>
  <c r="CN12" i="7" s="1"/>
  <c r="CM12" i="7" s="1"/>
  <c r="CL12" i="7" s="1"/>
  <c r="CK12" i="7" s="1"/>
  <c r="CJ12" i="7" s="1"/>
  <c r="CI12" i="7" s="1"/>
  <c r="CH12" i="7" s="1"/>
  <c r="CG12" i="7" s="1"/>
  <c r="CF12" i="7" s="1"/>
  <c r="CE12" i="7" s="1"/>
  <c r="CD12" i="7" s="1"/>
  <c r="CC12" i="7" s="1"/>
  <c r="CB12" i="7" s="1"/>
  <c r="CA12" i="7" s="1"/>
  <c r="BZ12" i="7" s="1"/>
  <c r="BY12" i="7" s="1"/>
  <c r="BX12" i="7" s="1"/>
  <c r="BW12" i="7" s="1"/>
  <c r="BV12" i="7" s="1"/>
  <c r="BU12" i="7" s="1"/>
  <c r="BT12" i="7" s="1"/>
  <c r="BS12" i="7" s="1"/>
  <c r="BR12" i="7" s="1"/>
  <c r="BQ12" i="7" s="1"/>
  <c r="BP12" i="7" s="1"/>
  <c r="BO12" i="7" s="1"/>
  <c r="BN12" i="7" s="1"/>
  <c r="BM12" i="7" s="1"/>
  <c r="BL12" i="7" s="1"/>
  <c r="BK12" i="7" s="1"/>
  <c r="BJ12" i="7" s="1"/>
  <c r="BI12" i="7" s="1"/>
  <c r="BH12" i="7" s="1"/>
  <c r="BG12" i="7" s="1"/>
  <c r="BF12" i="7" s="1"/>
  <c r="BE12" i="7" s="1"/>
  <c r="BD12" i="7" s="1"/>
  <c r="BC12" i="7" s="1"/>
  <c r="BB12" i="7" s="1"/>
  <c r="BA12" i="7" s="1"/>
  <c r="AZ12" i="7" s="1"/>
  <c r="AY12" i="7" s="1"/>
  <c r="AX12" i="7" s="1"/>
  <c r="AW12" i="7" s="1"/>
  <c r="AV12" i="7" s="1"/>
  <c r="AU12" i="7" s="1"/>
  <c r="AT12" i="7" s="1"/>
  <c r="AS12" i="7" s="1"/>
  <c r="AR12" i="7" s="1"/>
  <c r="AQ12" i="7" s="1"/>
  <c r="AP12" i="7" s="1"/>
  <c r="AO12" i="7" s="1"/>
  <c r="AN12" i="7" s="1"/>
  <c r="AM12" i="7" s="1"/>
  <c r="AL12" i="7" s="1"/>
  <c r="AK12" i="7" s="1"/>
  <c r="AJ12" i="7" s="1"/>
  <c r="AI12" i="7" s="1"/>
  <c r="AH12" i="7" s="1"/>
  <c r="AG12" i="7" s="1"/>
  <c r="AF12" i="7" s="1"/>
  <c r="AE12" i="7" s="1"/>
  <c r="AD12" i="7" s="1"/>
  <c r="AC12" i="7" s="1"/>
  <c r="AB12" i="7" s="1"/>
  <c r="AA12" i="7" s="1"/>
  <c r="Z12" i="7" s="1"/>
  <c r="Y12" i="7" s="1"/>
  <c r="X12" i="7" s="1"/>
  <c r="W12" i="7" s="1"/>
  <c r="V12" i="7" s="1"/>
  <c r="U12" i="7" s="1"/>
  <c r="T12" i="7" s="1"/>
  <c r="S12" i="7" s="1"/>
  <c r="R12" i="7" s="1"/>
  <c r="Q12" i="7" s="1"/>
  <c r="P12" i="7" s="1"/>
  <c r="O12" i="7" s="1"/>
  <c r="N12" i="7" s="1"/>
  <c r="M12" i="7" s="1"/>
  <c r="L12" i="7" s="1"/>
  <c r="K12" i="7" s="1"/>
  <c r="J12" i="7" s="1"/>
  <c r="I12" i="7" s="1"/>
  <c r="H12" i="7" s="1"/>
  <c r="G12" i="7" s="1"/>
  <c r="F12" i="7" s="1"/>
  <c r="E12" i="7" s="1"/>
  <c r="D12" i="7" s="1"/>
  <c r="C12" i="7" s="1"/>
  <c r="DW13" i="7"/>
  <c r="DV13" i="7" s="1"/>
  <c r="DU13" i="7" s="1"/>
  <c r="DT13" i="7" s="1"/>
  <c r="DS13" i="7" s="1"/>
  <c r="DR13" i="7" s="1"/>
  <c r="DQ13" i="7" s="1"/>
  <c r="DP13" i="7" s="1"/>
  <c r="DO13" i="7" s="1"/>
  <c r="DN13" i="7" s="1"/>
  <c r="DM13" i="7" s="1"/>
  <c r="DL13" i="7" s="1"/>
  <c r="DK13" i="7" s="1"/>
  <c r="DJ13" i="7" s="1"/>
  <c r="DI13" i="7" s="1"/>
  <c r="DH13" i="7" s="1"/>
  <c r="DG13" i="7" s="1"/>
  <c r="DF13" i="7" s="1"/>
  <c r="DE13" i="7" s="1"/>
  <c r="DD13" i="7" s="1"/>
  <c r="DC13" i="7" s="1"/>
  <c r="DB13" i="7" s="1"/>
  <c r="DA13" i="7" s="1"/>
  <c r="CZ13" i="7" s="1"/>
  <c r="CY13" i="7" s="1"/>
  <c r="CX13" i="7" s="1"/>
  <c r="CW13" i="7" s="1"/>
  <c r="CV13" i="7" s="1"/>
  <c r="CU13" i="7" s="1"/>
  <c r="CT13" i="7" s="1"/>
  <c r="CS13" i="7" s="1"/>
  <c r="CR13" i="7" s="1"/>
  <c r="CQ13" i="7" s="1"/>
  <c r="CP13" i="7" s="1"/>
  <c r="CO13" i="7" s="1"/>
  <c r="CN13" i="7" s="1"/>
  <c r="CM13" i="7" s="1"/>
  <c r="CL13" i="7" s="1"/>
  <c r="CK13" i="7" s="1"/>
  <c r="CJ13" i="7" s="1"/>
  <c r="CI13" i="7" s="1"/>
  <c r="CH13" i="7" s="1"/>
  <c r="CG13" i="7" s="1"/>
  <c r="CF13" i="7" s="1"/>
  <c r="CE13" i="7" s="1"/>
  <c r="CD13" i="7" s="1"/>
  <c r="CC13" i="7" s="1"/>
  <c r="CB13" i="7" s="1"/>
  <c r="CA13" i="7" s="1"/>
  <c r="BZ13" i="7" s="1"/>
  <c r="BY13" i="7" s="1"/>
  <c r="BX13" i="7" s="1"/>
  <c r="BW13" i="7" s="1"/>
  <c r="BV13" i="7" s="1"/>
  <c r="BU13" i="7" s="1"/>
  <c r="BT13" i="7" s="1"/>
  <c r="BS13" i="7" s="1"/>
  <c r="BR13" i="7" s="1"/>
  <c r="BQ13" i="7" s="1"/>
  <c r="BP13" i="7" s="1"/>
  <c r="BO13" i="7" s="1"/>
  <c r="BN13" i="7" s="1"/>
  <c r="BM13" i="7" s="1"/>
  <c r="BL13" i="7" s="1"/>
  <c r="BK13" i="7" s="1"/>
  <c r="BJ13" i="7" s="1"/>
  <c r="BI13" i="7" s="1"/>
  <c r="BH13" i="7" s="1"/>
  <c r="BG13" i="7" s="1"/>
  <c r="BF13" i="7" s="1"/>
  <c r="BE13" i="7" s="1"/>
  <c r="BD13" i="7" s="1"/>
  <c r="BC13" i="7" s="1"/>
  <c r="BB13" i="7" s="1"/>
  <c r="BA13" i="7" s="1"/>
  <c r="AZ13" i="7" s="1"/>
  <c r="AY13" i="7" s="1"/>
  <c r="AX13" i="7" s="1"/>
  <c r="AW13" i="7" s="1"/>
  <c r="AV13" i="7" s="1"/>
  <c r="AU13" i="7" s="1"/>
  <c r="AT13" i="7" s="1"/>
  <c r="AS13" i="7" s="1"/>
  <c r="AR13" i="7" s="1"/>
  <c r="AQ13" i="7" s="1"/>
  <c r="AP13" i="7" s="1"/>
  <c r="AO13" i="7" s="1"/>
  <c r="AN13" i="7" s="1"/>
  <c r="AM13" i="7" s="1"/>
  <c r="AL13" i="7" s="1"/>
  <c r="AK13" i="7" s="1"/>
  <c r="AJ13" i="7" s="1"/>
  <c r="AI13" i="7" s="1"/>
  <c r="AH13" i="7" s="1"/>
  <c r="AG13" i="7" s="1"/>
  <c r="AF13" i="7" s="1"/>
  <c r="AE13" i="7" s="1"/>
  <c r="AD13" i="7" s="1"/>
  <c r="AC13" i="7" s="1"/>
  <c r="AB13" i="7" s="1"/>
  <c r="AA13" i="7" s="1"/>
  <c r="Z13" i="7" s="1"/>
  <c r="Y13" i="7" s="1"/>
  <c r="X13" i="7" s="1"/>
  <c r="W13" i="7" s="1"/>
  <c r="V13" i="7" s="1"/>
  <c r="U13" i="7" s="1"/>
  <c r="T13" i="7" s="1"/>
  <c r="S13" i="7" s="1"/>
  <c r="R13" i="7" s="1"/>
  <c r="Q13" i="7" s="1"/>
  <c r="P13" i="7" s="1"/>
  <c r="O13" i="7" s="1"/>
  <c r="N13" i="7" s="1"/>
  <c r="M13" i="7" s="1"/>
  <c r="L13" i="7" s="1"/>
  <c r="K13" i="7" s="1"/>
  <c r="J13" i="7" s="1"/>
  <c r="I13" i="7" s="1"/>
  <c r="H13" i="7" s="1"/>
  <c r="G13" i="7" s="1"/>
  <c r="F13" i="7" s="1"/>
  <c r="E13" i="7" s="1"/>
  <c r="D13" i="7" s="1"/>
  <c r="C13" i="7" s="1"/>
  <c r="DW14" i="7"/>
  <c r="DV14" i="7" s="1"/>
  <c r="DU14" i="7" s="1"/>
  <c r="DT14" i="7" s="1"/>
  <c r="DS14" i="7" s="1"/>
  <c r="DR14" i="7" s="1"/>
  <c r="DQ14" i="7" s="1"/>
  <c r="DP14" i="7" s="1"/>
  <c r="DO14" i="7" s="1"/>
  <c r="DN14" i="7" s="1"/>
  <c r="DM14" i="7" s="1"/>
  <c r="DL14" i="7" s="1"/>
  <c r="DK14" i="7" s="1"/>
  <c r="DJ14" i="7" s="1"/>
  <c r="DI14" i="7" s="1"/>
  <c r="DH14" i="7" s="1"/>
  <c r="DG14" i="7" s="1"/>
  <c r="DF14" i="7" s="1"/>
  <c r="DE14" i="7" s="1"/>
  <c r="DD14" i="7" s="1"/>
  <c r="DC14" i="7" s="1"/>
  <c r="DB14" i="7" s="1"/>
  <c r="DA14" i="7" s="1"/>
  <c r="CZ14" i="7" s="1"/>
  <c r="CY14" i="7" s="1"/>
  <c r="CX14" i="7" s="1"/>
  <c r="CW14" i="7" s="1"/>
  <c r="CV14" i="7" s="1"/>
  <c r="CU14" i="7" s="1"/>
  <c r="CT14" i="7" s="1"/>
  <c r="CS14" i="7" s="1"/>
  <c r="CR14" i="7" s="1"/>
  <c r="CQ14" i="7" s="1"/>
  <c r="CP14" i="7" s="1"/>
  <c r="CO14" i="7" s="1"/>
  <c r="CN14" i="7" s="1"/>
  <c r="CM14" i="7" s="1"/>
  <c r="CL14" i="7" s="1"/>
  <c r="CK14" i="7" s="1"/>
  <c r="CJ14" i="7" s="1"/>
  <c r="CI14" i="7" s="1"/>
  <c r="CH14" i="7" s="1"/>
  <c r="CG14" i="7" s="1"/>
  <c r="CF14" i="7" s="1"/>
  <c r="CE14" i="7" s="1"/>
  <c r="CD14" i="7" s="1"/>
  <c r="CC14" i="7" s="1"/>
  <c r="CB14" i="7" s="1"/>
  <c r="CA14" i="7" s="1"/>
  <c r="BZ14" i="7" s="1"/>
  <c r="BY14" i="7" s="1"/>
  <c r="BX14" i="7" s="1"/>
  <c r="BW14" i="7" s="1"/>
  <c r="BV14" i="7" s="1"/>
  <c r="BU14" i="7" s="1"/>
  <c r="BT14" i="7" s="1"/>
  <c r="BS14" i="7" s="1"/>
  <c r="BR14" i="7" s="1"/>
  <c r="BQ14" i="7" s="1"/>
  <c r="BP14" i="7" s="1"/>
  <c r="BO14" i="7" s="1"/>
  <c r="BN14" i="7" s="1"/>
  <c r="BM14" i="7" s="1"/>
  <c r="BL14" i="7" s="1"/>
  <c r="BK14" i="7" s="1"/>
  <c r="BJ14" i="7" s="1"/>
  <c r="BI14" i="7" s="1"/>
  <c r="BH14" i="7" s="1"/>
  <c r="BG14" i="7" s="1"/>
  <c r="BF14" i="7" s="1"/>
  <c r="BE14" i="7" s="1"/>
  <c r="BD14" i="7" s="1"/>
  <c r="BC14" i="7" s="1"/>
  <c r="BB14" i="7" s="1"/>
  <c r="BA14" i="7" s="1"/>
  <c r="AZ14" i="7" s="1"/>
  <c r="AY14" i="7" s="1"/>
  <c r="AX14" i="7" s="1"/>
  <c r="AW14" i="7" s="1"/>
  <c r="AV14" i="7" s="1"/>
  <c r="AU14" i="7" s="1"/>
  <c r="AT14" i="7" s="1"/>
  <c r="AS14" i="7" s="1"/>
  <c r="AR14" i="7" s="1"/>
  <c r="AQ14" i="7" s="1"/>
  <c r="AP14" i="7" s="1"/>
  <c r="AO14" i="7" s="1"/>
  <c r="AN14" i="7" s="1"/>
  <c r="AM14" i="7" s="1"/>
  <c r="AL14" i="7" s="1"/>
  <c r="AK14" i="7" s="1"/>
  <c r="AJ14" i="7" s="1"/>
  <c r="AI14" i="7" s="1"/>
  <c r="AH14" i="7" s="1"/>
  <c r="AG14" i="7" s="1"/>
  <c r="AF14" i="7" s="1"/>
  <c r="AE14" i="7" s="1"/>
  <c r="AD14" i="7" s="1"/>
  <c r="AC14" i="7" s="1"/>
  <c r="AB14" i="7" s="1"/>
  <c r="AA14" i="7" s="1"/>
  <c r="Z14" i="7" s="1"/>
  <c r="Y14" i="7" s="1"/>
  <c r="X14" i="7" s="1"/>
  <c r="W14" i="7" s="1"/>
  <c r="V14" i="7" s="1"/>
  <c r="U14" i="7" s="1"/>
  <c r="T14" i="7" s="1"/>
  <c r="S14" i="7" s="1"/>
  <c r="R14" i="7" s="1"/>
  <c r="Q14" i="7" s="1"/>
  <c r="P14" i="7" s="1"/>
  <c r="O14" i="7" s="1"/>
  <c r="N14" i="7" s="1"/>
  <c r="M14" i="7" s="1"/>
  <c r="L14" i="7" s="1"/>
  <c r="K14" i="7" s="1"/>
  <c r="J14" i="7" s="1"/>
  <c r="I14" i="7" s="1"/>
  <c r="H14" i="7" s="1"/>
  <c r="G14" i="7" s="1"/>
  <c r="F14" i="7" s="1"/>
  <c r="E14" i="7" s="1"/>
  <c r="D14" i="7" s="1"/>
  <c r="C14" i="7" s="1"/>
  <c r="DW20" i="7"/>
  <c r="DV20" i="7" s="1"/>
  <c r="DU20" i="7" s="1"/>
  <c r="DT20" i="7" s="1"/>
  <c r="DS20" i="7" s="1"/>
  <c r="DR20" i="7" s="1"/>
  <c r="DW21" i="7"/>
  <c r="DV21" i="7" s="1"/>
  <c r="DU21" i="7" s="1"/>
  <c r="DT21" i="7" s="1"/>
  <c r="DS21" i="7" s="1"/>
  <c r="DR21" i="7" s="1"/>
  <c r="DQ21" i="7" s="1"/>
  <c r="DP21" i="7" s="1"/>
  <c r="DO21" i="7" s="1"/>
  <c r="DN21" i="7" s="1"/>
  <c r="DM21" i="7" s="1"/>
  <c r="DL21" i="7" s="1"/>
  <c r="DK21" i="7" s="1"/>
  <c r="DJ21" i="7" s="1"/>
  <c r="DI21" i="7" s="1"/>
  <c r="DH21" i="7" s="1"/>
  <c r="DG21" i="7" s="1"/>
  <c r="DF21" i="7" s="1"/>
  <c r="DE21" i="7" s="1"/>
  <c r="DD21" i="7" s="1"/>
  <c r="DC21" i="7" s="1"/>
  <c r="DB21" i="7" s="1"/>
  <c r="DA21" i="7" s="1"/>
  <c r="CZ21" i="7" s="1"/>
  <c r="CY21" i="7" s="1"/>
  <c r="CX21" i="7" s="1"/>
  <c r="CW21" i="7" s="1"/>
  <c r="CV21" i="7" s="1"/>
  <c r="CU21" i="7" s="1"/>
  <c r="CT21" i="7" s="1"/>
  <c r="CS21" i="7" s="1"/>
  <c r="CR21" i="7" s="1"/>
  <c r="CQ21" i="7" s="1"/>
  <c r="CP21" i="7" s="1"/>
  <c r="CO21" i="7" s="1"/>
  <c r="CN21" i="7" s="1"/>
  <c r="CM21" i="7" s="1"/>
  <c r="CL21" i="7" s="1"/>
  <c r="CK21" i="7" s="1"/>
  <c r="CJ21" i="7" s="1"/>
  <c r="CI21" i="7" s="1"/>
  <c r="CH21" i="7" s="1"/>
  <c r="CG21" i="7" s="1"/>
  <c r="CF21" i="7" s="1"/>
  <c r="CE21" i="7" s="1"/>
  <c r="CD21" i="7" s="1"/>
  <c r="CC21" i="7" s="1"/>
  <c r="CB21" i="7" s="1"/>
  <c r="CA21" i="7" s="1"/>
  <c r="BZ21" i="7" s="1"/>
  <c r="BY21" i="7" s="1"/>
  <c r="BX21" i="7" s="1"/>
  <c r="BW21" i="7" s="1"/>
  <c r="BV21" i="7" s="1"/>
  <c r="BU21" i="7" s="1"/>
  <c r="BT21" i="7" s="1"/>
  <c r="BS21" i="7" s="1"/>
  <c r="BR21" i="7" s="1"/>
  <c r="BQ21" i="7" s="1"/>
  <c r="BP21" i="7" s="1"/>
  <c r="BO21" i="7" s="1"/>
  <c r="DW22" i="7"/>
  <c r="DV22" i="7" s="1"/>
  <c r="DU22" i="7" s="1"/>
  <c r="DT22" i="7" s="1"/>
  <c r="DS22" i="7" s="1"/>
  <c r="DR22" i="7" s="1"/>
  <c r="DQ22" i="7" s="1"/>
  <c r="DP22" i="7" s="1"/>
  <c r="DO22" i="7" s="1"/>
  <c r="DN22" i="7" s="1"/>
  <c r="DM22" i="7" s="1"/>
  <c r="DL22" i="7" s="1"/>
  <c r="DK22" i="7" s="1"/>
  <c r="DJ22" i="7" s="1"/>
  <c r="DI22" i="7" s="1"/>
  <c r="DH22" i="7" s="1"/>
  <c r="DG22" i="7" s="1"/>
  <c r="DF22" i="7" s="1"/>
  <c r="DE22" i="7" s="1"/>
  <c r="DD22" i="7" s="1"/>
  <c r="DC22" i="7" s="1"/>
  <c r="DB22" i="7" s="1"/>
  <c r="DA22" i="7" s="1"/>
  <c r="CZ22" i="7" s="1"/>
  <c r="CY22" i="7" s="1"/>
  <c r="CX22" i="7" s="1"/>
  <c r="CW22" i="7" s="1"/>
  <c r="CV22" i="7" s="1"/>
  <c r="CU22" i="7" s="1"/>
  <c r="CT22" i="7" s="1"/>
  <c r="CS22" i="7" s="1"/>
  <c r="CR22" i="7" s="1"/>
  <c r="DW15" i="7"/>
  <c r="DV15" i="7" s="1"/>
  <c r="DU15" i="7" s="1"/>
  <c r="DT15" i="7" s="1"/>
  <c r="DS15" i="7" s="1"/>
  <c r="DR15" i="7" s="1"/>
  <c r="DQ15" i="7" s="1"/>
  <c r="DP15" i="7" s="1"/>
  <c r="DO15" i="7" s="1"/>
  <c r="DN15" i="7" s="1"/>
  <c r="DM15" i="7" s="1"/>
  <c r="DL15" i="7" s="1"/>
  <c r="DK15" i="7" s="1"/>
  <c r="DJ15" i="7" s="1"/>
  <c r="DI15" i="7" s="1"/>
  <c r="DH15" i="7" s="1"/>
  <c r="DG15" i="7" s="1"/>
  <c r="DF15" i="7" s="1"/>
  <c r="DE15" i="7" s="1"/>
  <c r="DD15" i="7" s="1"/>
  <c r="DC15" i="7" s="1"/>
  <c r="DB15" i="7" s="1"/>
  <c r="DA15" i="7" s="1"/>
  <c r="CZ15" i="7" s="1"/>
  <c r="CY15" i="7" s="1"/>
  <c r="CX15" i="7" s="1"/>
  <c r="CW15" i="7" s="1"/>
  <c r="CV15" i="7" s="1"/>
  <c r="CU15" i="7" s="1"/>
  <c r="CT15" i="7" s="1"/>
  <c r="CS15" i="7" s="1"/>
  <c r="CR15" i="7" s="1"/>
  <c r="CQ15" i="7" s="1"/>
  <c r="CP15" i="7" s="1"/>
  <c r="CO15" i="7" s="1"/>
  <c r="CN15" i="7" s="1"/>
  <c r="CM15" i="7" s="1"/>
  <c r="CL15" i="7" s="1"/>
  <c r="CK15" i="7" s="1"/>
  <c r="CJ15" i="7" s="1"/>
  <c r="CI15" i="7" s="1"/>
  <c r="CH15" i="7" s="1"/>
  <c r="CG15" i="7" s="1"/>
  <c r="CF15" i="7" s="1"/>
  <c r="CE15" i="7" s="1"/>
  <c r="CD15" i="7" s="1"/>
  <c r="CC15" i="7" s="1"/>
  <c r="CB15" i="7" s="1"/>
  <c r="CA15" i="7" s="1"/>
  <c r="BZ15" i="7" s="1"/>
  <c r="BY15" i="7" s="1"/>
  <c r="BX15" i="7" s="1"/>
  <c r="BW15" i="7" s="1"/>
  <c r="BV15" i="7" s="1"/>
  <c r="BU15" i="7" s="1"/>
  <c r="BT15" i="7" s="1"/>
  <c r="BS15" i="7" s="1"/>
  <c r="BR15" i="7" s="1"/>
  <c r="BQ15" i="7" s="1"/>
  <c r="BP15" i="7" s="1"/>
  <c r="BO15" i="7" s="1"/>
  <c r="BN15" i="7" s="1"/>
  <c r="BM15" i="7" s="1"/>
  <c r="BL15" i="7" s="1"/>
  <c r="BK15" i="7" s="1"/>
  <c r="BJ15" i="7" s="1"/>
  <c r="BI15" i="7" s="1"/>
  <c r="BH15" i="7" s="1"/>
  <c r="BG15" i="7" s="1"/>
  <c r="BF15" i="7" s="1"/>
  <c r="BE15" i="7" s="1"/>
  <c r="BD15" i="7" s="1"/>
  <c r="BC15" i="7" s="1"/>
  <c r="BB15" i="7" s="1"/>
  <c r="BA15" i="7" s="1"/>
  <c r="AZ15" i="7" s="1"/>
  <c r="AY15" i="7" s="1"/>
  <c r="AX15" i="7" s="1"/>
  <c r="AW15" i="7" s="1"/>
  <c r="AV15" i="7" s="1"/>
  <c r="AU15" i="7" s="1"/>
  <c r="AT15" i="7" s="1"/>
  <c r="AS15" i="7" s="1"/>
  <c r="AR15" i="7" s="1"/>
  <c r="AQ15" i="7" s="1"/>
  <c r="AP15" i="7" s="1"/>
  <c r="AO15" i="7" s="1"/>
  <c r="AN15" i="7" s="1"/>
  <c r="AM15" i="7" s="1"/>
  <c r="AL15" i="7" s="1"/>
  <c r="AK15" i="7" s="1"/>
  <c r="AJ15" i="7" s="1"/>
  <c r="AI15" i="7" s="1"/>
  <c r="AH15" i="7" s="1"/>
  <c r="AG15" i="7" s="1"/>
  <c r="AF15" i="7" s="1"/>
  <c r="AE15" i="7" s="1"/>
  <c r="AD15" i="7" s="1"/>
  <c r="AC15" i="7" s="1"/>
  <c r="AB15" i="7" s="1"/>
  <c r="AA15" i="7" s="1"/>
  <c r="Z15" i="7" s="1"/>
  <c r="Y15" i="7" s="1"/>
  <c r="X15" i="7" s="1"/>
  <c r="W15" i="7" s="1"/>
  <c r="V15" i="7" s="1"/>
  <c r="U15" i="7" s="1"/>
  <c r="T15" i="7" s="1"/>
  <c r="S15" i="7" s="1"/>
  <c r="R15" i="7" s="1"/>
  <c r="Q15" i="7" s="1"/>
  <c r="P15" i="7" s="1"/>
  <c r="O15" i="7" s="1"/>
  <c r="N15" i="7" s="1"/>
  <c r="M15" i="7" s="1"/>
  <c r="L15" i="7" s="1"/>
  <c r="K15" i="7" s="1"/>
  <c r="J15" i="7" s="1"/>
  <c r="I15" i="7" s="1"/>
  <c r="H15" i="7" s="1"/>
  <c r="G15" i="7" s="1"/>
  <c r="F15" i="7" s="1"/>
  <c r="E15" i="7" s="1"/>
  <c r="D15" i="7" s="1"/>
  <c r="C15" i="7" s="1"/>
  <c r="DW16" i="7"/>
  <c r="DV16" i="7" s="1"/>
  <c r="DU16" i="7" s="1"/>
  <c r="DT16" i="7" s="1"/>
  <c r="DS16" i="7" s="1"/>
  <c r="DR16" i="7" s="1"/>
  <c r="DQ16" i="7" s="1"/>
  <c r="DP16" i="7" s="1"/>
  <c r="DO16" i="7" s="1"/>
  <c r="DN16" i="7" s="1"/>
  <c r="DM16" i="7" s="1"/>
  <c r="DL16" i="7" s="1"/>
  <c r="DK16" i="7" s="1"/>
  <c r="DJ16" i="7" s="1"/>
  <c r="DI16" i="7" s="1"/>
  <c r="DH16" i="7" s="1"/>
  <c r="DG16" i="7" s="1"/>
  <c r="DF16" i="7" s="1"/>
  <c r="DE16" i="7" s="1"/>
  <c r="DD16" i="7" s="1"/>
  <c r="DC16" i="7" s="1"/>
  <c r="DB16" i="7" s="1"/>
  <c r="DA16" i="7" s="1"/>
  <c r="CZ16" i="7" s="1"/>
  <c r="CY16" i="7" s="1"/>
  <c r="CX16" i="7" s="1"/>
  <c r="CW16" i="7" s="1"/>
  <c r="CV16" i="7" s="1"/>
  <c r="CU16" i="7" s="1"/>
  <c r="CT16" i="7" s="1"/>
  <c r="CS16" i="7" s="1"/>
  <c r="CR16" i="7" s="1"/>
  <c r="CQ16" i="7" s="1"/>
  <c r="CP16" i="7" s="1"/>
  <c r="CO16" i="7" s="1"/>
  <c r="CN16" i="7" s="1"/>
  <c r="CM16" i="7" s="1"/>
  <c r="CL16" i="7" s="1"/>
  <c r="CK16" i="7" s="1"/>
  <c r="CJ16" i="7" s="1"/>
  <c r="CI16" i="7" s="1"/>
  <c r="CH16" i="7" s="1"/>
  <c r="CG16" i="7" s="1"/>
  <c r="CF16" i="7" s="1"/>
  <c r="CE16" i="7" s="1"/>
  <c r="CD16" i="7" s="1"/>
  <c r="CC16" i="7" s="1"/>
  <c r="CB16" i="7" s="1"/>
  <c r="CA16" i="7" s="1"/>
  <c r="BZ16" i="7" s="1"/>
  <c r="BY16" i="7" s="1"/>
  <c r="BX16" i="7" s="1"/>
  <c r="BW16" i="7" s="1"/>
  <c r="BV16" i="7" s="1"/>
  <c r="BU16" i="7" s="1"/>
  <c r="BT16" i="7" s="1"/>
  <c r="BS16" i="7" s="1"/>
  <c r="BR16" i="7" s="1"/>
  <c r="BQ16" i="7" s="1"/>
  <c r="BP16" i="7" s="1"/>
  <c r="BO16" i="7" s="1"/>
  <c r="BN16" i="7" s="1"/>
  <c r="BM16" i="7" s="1"/>
  <c r="BL16" i="7" s="1"/>
  <c r="BK16" i="7" s="1"/>
  <c r="BJ16" i="7" s="1"/>
  <c r="BI16" i="7" s="1"/>
  <c r="BH16" i="7" s="1"/>
  <c r="BG16" i="7" s="1"/>
  <c r="BF16" i="7" s="1"/>
  <c r="BE16" i="7" s="1"/>
  <c r="BD16" i="7" s="1"/>
  <c r="BC16" i="7" s="1"/>
  <c r="BB16" i="7" s="1"/>
  <c r="BA16" i="7" s="1"/>
  <c r="AZ16" i="7" s="1"/>
  <c r="AY16" i="7" s="1"/>
  <c r="AX16" i="7" s="1"/>
  <c r="AW16" i="7" s="1"/>
  <c r="AV16" i="7" s="1"/>
  <c r="AU16" i="7" s="1"/>
  <c r="AT16" i="7" s="1"/>
  <c r="AS16" i="7" s="1"/>
  <c r="AR16" i="7" s="1"/>
  <c r="AQ16" i="7" s="1"/>
  <c r="AP16" i="7" s="1"/>
  <c r="AO16" i="7" s="1"/>
  <c r="AN16" i="7" s="1"/>
  <c r="AM16" i="7" s="1"/>
  <c r="AL16" i="7" s="1"/>
  <c r="AK16" i="7" s="1"/>
  <c r="AJ16" i="7" s="1"/>
  <c r="AI16" i="7" s="1"/>
  <c r="AH16" i="7" s="1"/>
  <c r="AG16" i="7" s="1"/>
  <c r="AF16" i="7" s="1"/>
  <c r="AE16" i="7" s="1"/>
  <c r="AD16" i="7" s="1"/>
  <c r="AC16" i="7" s="1"/>
  <c r="AB16" i="7" s="1"/>
  <c r="AA16" i="7" s="1"/>
  <c r="Z16" i="7" s="1"/>
  <c r="Y16" i="7" s="1"/>
  <c r="X16" i="7" s="1"/>
  <c r="W16" i="7" s="1"/>
  <c r="V16" i="7" s="1"/>
  <c r="U16" i="7" s="1"/>
  <c r="T16" i="7" s="1"/>
  <c r="S16" i="7" s="1"/>
  <c r="R16" i="7" s="1"/>
  <c r="Q16" i="7" s="1"/>
  <c r="P16" i="7" s="1"/>
  <c r="O16" i="7" s="1"/>
  <c r="N16" i="7" s="1"/>
  <c r="M16" i="7" s="1"/>
  <c r="L16" i="7" s="1"/>
  <c r="K16" i="7" s="1"/>
  <c r="J16" i="7" s="1"/>
  <c r="I16" i="7" s="1"/>
  <c r="H16" i="7" s="1"/>
  <c r="G16" i="7" s="1"/>
  <c r="F16" i="7" s="1"/>
  <c r="E16" i="7" s="1"/>
  <c r="D16" i="7" s="1"/>
  <c r="C16" i="7" s="1"/>
  <c r="DW17" i="7"/>
  <c r="DV17" i="7" s="1"/>
  <c r="DU17" i="7" s="1"/>
  <c r="DT17" i="7" s="1"/>
  <c r="DS17" i="7" s="1"/>
  <c r="DR17" i="7" s="1"/>
  <c r="DQ17" i="7" s="1"/>
  <c r="DP17" i="7" s="1"/>
  <c r="DO17" i="7" s="1"/>
  <c r="DN17" i="7" s="1"/>
  <c r="DM17" i="7" s="1"/>
  <c r="DL17" i="7" s="1"/>
  <c r="DK17" i="7" s="1"/>
  <c r="DJ17" i="7" s="1"/>
  <c r="DI17" i="7" s="1"/>
  <c r="DH17" i="7" s="1"/>
  <c r="DG17" i="7" s="1"/>
  <c r="DF17" i="7" s="1"/>
  <c r="DE17" i="7" s="1"/>
  <c r="DD17" i="7" s="1"/>
  <c r="DC17" i="7" s="1"/>
  <c r="DB17" i="7" s="1"/>
  <c r="DA17" i="7" s="1"/>
  <c r="CZ17" i="7" s="1"/>
  <c r="CY17" i="7" s="1"/>
  <c r="CX17" i="7" s="1"/>
  <c r="CW17" i="7" s="1"/>
  <c r="CV17" i="7" s="1"/>
  <c r="CU17" i="7" s="1"/>
  <c r="CT17" i="7" s="1"/>
  <c r="CS17" i="7" s="1"/>
  <c r="CR17" i="7" s="1"/>
  <c r="CQ17" i="7" s="1"/>
  <c r="CP17" i="7" s="1"/>
  <c r="CO17" i="7" s="1"/>
  <c r="CN17" i="7" s="1"/>
  <c r="CM17" i="7" s="1"/>
  <c r="CL17" i="7" s="1"/>
  <c r="CK17" i="7" s="1"/>
  <c r="CJ17" i="7" s="1"/>
  <c r="CI17" i="7" s="1"/>
  <c r="CH17" i="7" s="1"/>
  <c r="CG17" i="7" s="1"/>
  <c r="CF17" i="7" s="1"/>
  <c r="CE17" i="7" s="1"/>
  <c r="CD17" i="7" s="1"/>
  <c r="CC17" i="7" s="1"/>
  <c r="CB17" i="7" s="1"/>
  <c r="CA17" i="7" s="1"/>
  <c r="BZ17" i="7" s="1"/>
  <c r="BY17" i="7" s="1"/>
  <c r="BX17" i="7" s="1"/>
  <c r="BW17" i="7" s="1"/>
  <c r="BV17" i="7" s="1"/>
  <c r="BU17" i="7" s="1"/>
  <c r="BT17" i="7" s="1"/>
  <c r="BS17" i="7" s="1"/>
  <c r="BR17" i="7" s="1"/>
  <c r="BQ17" i="7" s="1"/>
  <c r="BP17" i="7" s="1"/>
  <c r="BO17" i="7" s="1"/>
  <c r="BN17" i="7" s="1"/>
  <c r="BM17" i="7" s="1"/>
  <c r="BL17" i="7" s="1"/>
  <c r="BK17" i="7" s="1"/>
  <c r="BJ17" i="7" s="1"/>
  <c r="BI17" i="7" s="1"/>
  <c r="BH17" i="7" s="1"/>
  <c r="BG17" i="7" s="1"/>
  <c r="BF17" i="7" s="1"/>
  <c r="BE17" i="7" s="1"/>
  <c r="BD17" i="7" s="1"/>
  <c r="BC17" i="7" s="1"/>
  <c r="BB17" i="7" s="1"/>
  <c r="BA17" i="7" s="1"/>
  <c r="AZ17" i="7" s="1"/>
  <c r="AY17" i="7" s="1"/>
  <c r="AX17" i="7" s="1"/>
  <c r="AW17" i="7" s="1"/>
  <c r="AV17" i="7" s="1"/>
  <c r="AU17" i="7" s="1"/>
  <c r="AT17" i="7" s="1"/>
  <c r="AS17" i="7" s="1"/>
  <c r="AR17" i="7" s="1"/>
  <c r="AQ17" i="7" s="1"/>
  <c r="AP17" i="7" s="1"/>
  <c r="AO17" i="7" s="1"/>
  <c r="AN17" i="7" s="1"/>
  <c r="AM17" i="7" s="1"/>
  <c r="AL17" i="7" s="1"/>
  <c r="AK17" i="7" s="1"/>
  <c r="AJ17" i="7" s="1"/>
  <c r="AI17" i="7" s="1"/>
  <c r="AH17" i="7" s="1"/>
  <c r="AG17" i="7" s="1"/>
  <c r="AF17" i="7" s="1"/>
  <c r="AE17" i="7" s="1"/>
  <c r="AD17" i="7" s="1"/>
  <c r="AC17" i="7" s="1"/>
  <c r="AB17" i="7" s="1"/>
  <c r="AA17" i="7" s="1"/>
  <c r="Z17" i="7" s="1"/>
  <c r="Y17" i="7" s="1"/>
  <c r="X17" i="7" s="1"/>
  <c r="W17" i="7" s="1"/>
  <c r="V17" i="7" s="1"/>
  <c r="U17" i="7" s="1"/>
  <c r="T17" i="7" s="1"/>
  <c r="S17" i="7" s="1"/>
  <c r="R17" i="7" s="1"/>
  <c r="Q17" i="7" s="1"/>
  <c r="P17" i="7" s="1"/>
  <c r="O17" i="7" s="1"/>
  <c r="N17" i="7" s="1"/>
  <c r="M17" i="7" s="1"/>
  <c r="L17" i="7" s="1"/>
  <c r="K17" i="7" s="1"/>
  <c r="J17" i="7" s="1"/>
  <c r="I17" i="7" s="1"/>
  <c r="H17" i="7" s="1"/>
  <c r="G17" i="7" s="1"/>
  <c r="F17" i="7" s="1"/>
  <c r="E17" i="7" s="1"/>
  <c r="D17" i="7" s="1"/>
  <c r="C17" i="7" s="1"/>
  <c r="DW18" i="7"/>
  <c r="DV18" i="7" s="1"/>
  <c r="DU18" i="7" s="1"/>
  <c r="DT18" i="7" s="1"/>
  <c r="DS18" i="7" s="1"/>
  <c r="DR18" i="7" s="1"/>
  <c r="DQ18" i="7" s="1"/>
  <c r="DP18" i="7" s="1"/>
  <c r="DO18" i="7" s="1"/>
  <c r="DN18" i="7" s="1"/>
  <c r="DM18" i="7" s="1"/>
  <c r="DL18" i="7" s="1"/>
  <c r="DK18" i="7" s="1"/>
  <c r="DJ18" i="7" s="1"/>
  <c r="DI18" i="7" s="1"/>
  <c r="DH18" i="7" s="1"/>
  <c r="DG18" i="7" s="1"/>
  <c r="DF18" i="7" s="1"/>
  <c r="DE18" i="7" s="1"/>
  <c r="DD18" i="7" s="1"/>
  <c r="DC18" i="7" s="1"/>
  <c r="DB18" i="7" s="1"/>
  <c r="DA18" i="7" s="1"/>
  <c r="CZ18" i="7" s="1"/>
  <c r="CY18" i="7" s="1"/>
  <c r="CX18" i="7" s="1"/>
  <c r="CW18" i="7" s="1"/>
  <c r="CV18" i="7" s="1"/>
  <c r="CU18" i="7" s="1"/>
  <c r="CT18" i="7" s="1"/>
  <c r="CS18" i="7" s="1"/>
  <c r="CR18" i="7" s="1"/>
  <c r="CQ18" i="7" s="1"/>
  <c r="CP18" i="7" s="1"/>
  <c r="CO18" i="7" s="1"/>
  <c r="CN18" i="7" s="1"/>
  <c r="CM18" i="7" s="1"/>
  <c r="CL18" i="7" s="1"/>
  <c r="CK18" i="7" s="1"/>
  <c r="CJ18" i="7" s="1"/>
  <c r="CI18" i="7" s="1"/>
  <c r="CH18" i="7" s="1"/>
  <c r="CG18" i="7" s="1"/>
  <c r="CF18" i="7" s="1"/>
  <c r="CE18" i="7" s="1"/>
  <c r="CD18" i="7" s="1"/>
  <c r="CC18" i="7" s="1"/>
  <c r="CB18" i="7" s="1"/>
  <c r="CA18" i="7" s="1"/>
  <c r="BZ18" i="7" s="1"/>
  <c r="BY18" i="7" s="1"/>
  <c r="BX18" i="7" s="1"/>
  <c r="BW18" i="7" s="1"/>
  <c r="BV18" i="7" s="1"/>
  <c r="BU18" i="7" s="1"/>
  <c r="BT18" i="7" s="1"/>
  <c r="BS18" i="7" s="1"/>
  <c r="BR18" i="7" s="1"/>
  <c r="BQ18" i="7" s="1"/>
  <c r="BP18" i="7" s="1"/>
  <c r="BO18" i="7" s="1"/>
  <c r="BN18" i="7" s="1"/>
  <c r="BM18" i="7" s="1"/>
  <c r="BL18" i="7" s="1"/>
  <c r="BK18" i="7" s="1"/>
  <c r="BJ18" i="7" s="1"/>
  <c r="BI18" i="7" s="1"/>
  <c r="BH18" i="7" s="1"/>
  <c r="BG18" i="7" s="1"/>
  <c r="BF18" i="7" s="1"/>
  <c r="BE18" i="7" s="1"/>
  <c r="BD18" i="7" s="1"/>
  <c r="BC18" i="7" s="1"/>
  <c r="BB18" i="7" s="1"/>
  <c r="BA18" i="7" s="1"/>
  <c r="AZ18" i="7" s="1"/>
  <c r="AY18" i="7" s="1"/>
  <c r="AX18" i="7" s="1"/>
  <c r="AW18" i="7" s="1"/>
  <c r="AV18" i="7" s="1"/>
  <c r="AU18" i="7" s="1"/>
  <c r="AT18" i="7" s="1"/>
  <c r="AS18" i="7" s="1"/>
  <c r="AR18" i="7" s="1"/>
  <c r="AQ18" i="7" s="1"/>
  <c r="AP18" i="7" s="1"/>
  <c r="AO18" i="7" s="1"/>
  <c r="AN18" i="7" s="1"/>
  <c r="AM18" i="7" s="1"/>
  <c r="AL18" i="7" s="1"/>
  <c r="AK18" i="7" s="1"/>
  <c r="AJ18" i="7" s="1"/>
  <c r="AI18" i="7" s="1"/>
  <c r="AH18" i="7" s="1"/>
  <c r="AG18" i="7" s="1"/>
  <c r="AF18" i="7" s="1"/>
  <c r="AE18" i="7" s="1"/>
  <c r="AD18" i="7" s="1"/>
  <c r="AC18" i="7" s="1"/>
  <c r="AB18" i="7" s="1"/>
  <c r="AA18" i="7" s="1"/>
  <c r="Z18" i="7" s="1"/>
  <c r="Y18" i="7" s="1"/>
  <c r="X18" i="7" s="1"/>
  <c r="W18" i="7" s="1"/>
  <c r="V18" i="7" s="1"/>
  <c r="U18" i="7" s="1"/>
  <c r="T18" i="7" s="1"/>
  <c r="S18" i="7" s="1"/>
  <c r="R18" i="7" s="1"/>
  <c r="Q18" i="7" s="1"/>
  <c r="P18" i="7" s="1"/>
  <c r="O18" i="7" s="1"/>
  <c r="N18" i="7" s="1"/>
  <c r="M18" i="7" s="1"/>
  <c r="L18" i="7" s="1"/>
  <c r="K18" i="7" s="1"/>
  <c r="J18" i="7" s="1"/>
  <c r="I18" i="7" s="1"/>
  <c r="H18" i="7" s="1"/>
  <c r="G18" i="7" s="1"/>
  <c r="F18" i="7" s="1"/>
  <c r="E18" i="7" s="1"/>
  <c r="D18" i="7" s="1"/>
  <c r="C18" i="7" s="1"/>
  <c r="DW19" i="7"/>
  <c r="DV19" i="7" s="1"/>
  <c r="DU19" i="7" s="1"/>
  <c r="DT19" i="7" s="1"/>
  <c r="DS19" i="7" s="1"/>
  <c r="DR19" i="7" s="1"/>
  <c r="DQ19" i="7" s="1"/>
  <c r="DP19" i="7" s="1"/>
  <c r="DO19" i="7" s="1"/>
  <c r="DN19" i="7" s="1"/>
  <c r="DM19" i="7" s="1"/>
  <c r="DL19" i="7" s="1"/>
  <c r="DK19" i="7" s="1"/>
  <c r="DJ19" i="7" s="1"/>
  <c r="DI19" i="7" s="1"/>
  <c r="DH19" i="7" s="1"/>
  <c r="DG19" i="7" s="1"/>
  <c r="DF19" i="7" s="1"/>
  <c r="DE19" i="7" s="1"/>
  <c r="DD19" i="7" s="1"/>
  <c r="DC19" i="7" s="1"/>
  <c r="DB19" i="7" s="1"/>
  <c r="DA19" i="7" s="1"/>
  <c r="CZ19" i="7" s="1"/>
  <c r="CY19" i="7" s="1"/>
  <c r="CX19" i="7" s="1"/>
  <c r="CW19" i="7" s="1"/>
  <c r="CV19" i="7" s="1"/>
  <c r="CU19" i="7" s="1"/>
  <c r="CT19" i="7" s="1"/>
  <c r="CS19" i="7" s="1"/>
  <c r="CR19" i="7" s="1"/>
  <c r="CQ19" i="7" s="1"/>
  <c r="CP19" i="7" s="1"/>
  <c r="CO19" i="7" s="1"/>
  <c r="CN19" i="7" s="1"/>
  <c r="CM19" i="7" s="1"/>
  <c r="CL19" i="7" s="1"/>
  <c r="CK19" i="7" s="1"/>
  <c r="CJ19" i="7" s="1"/>
  <c r="CI19" i="7" s="1"/>
  <c r="CH19" i="7" s="1"/>
  <c r="CG19" i="7" s="1"/>
  <c r="CF19" i="7" s="1"/>
  <c r="CE19" i="7" s="1"/>
  <c r="CD19" i="7" s="1"/>
  <c r="CC19" i="7" s="1"/>
  <c r="CB19" i="7" s="1"/>
  <c r="CA19" i="7" s="1"/>
  <c r="BZ19" i="7" s="1"/>
  <c r="BY19" i="7" s="1"/>
  <c r="BX19" i="7" s="1"/>
  <c r="BW19" i="7" s="1"/>
  <c r="BV19" i="7" s="1"/>
  <c r="BU19" i="7" s="1"/>
  <c r="BT19" i="7" s="1"/>
  <c r="BS19" i="7" s="1"/>
  <c r="BR19" i="7" s="1"/>
  <c r="BQ19" i="7" s="1"/>
  <c r="BP19" i="7" s="1"/>
  <c r="BO19" i="7" s="1"/>
  <c r="BN19" i="7" s="1"/>
  <c r="BM19" i="7" s="1"/>
  <c r="BL19" i="7" s="1"/>
  <c r="BK19" i="7" s="1"/>
  <c r="BJ19" i="7" s="1"/>
  <c r="BI19" i="7" s="1"/>
  <c r="BH19" i="7" s="1"/>
  <c r="BG19" i="7" s="1"/>
  <c r="BF19" i="7" s="1"/>
  <c r="BE19" i="7" s="1"/>
  <c r="BD19" i="7" s="1"/>
  <c r="BC19" i="7" s="1"/>
  <c r="BB19" i="7" s="1"/>
  <c r="BA19" i="7" s="1"/>
  <c r="AZ19" i="7" s="1"/>
  <c r="AY19" i="7" s="1"/>
  <c r="AX19" i="7" s="1"/>
  <c r="AW19" i="7" s="1"/>
  <c r="AV19" i="7" s="1"/>
  <c r="AU19" i="7" s="1"/>
  <c r="AT19" i="7" s="1"/>
  <c r="AS19" i="7" s="1"/>
  <c r="AR19" i="7" s="1"/>
  <c r="AQ19" i="7" s="1"/>
  <c r="AP19" i="7" s="1"/>
  <c r="AO19" i="7" s="1"/>
  <c r="AN19" i="7" s="1"/>
  <c r="AM19" i="7" s="1"/>
  <c r="AL19" i="7" s="1"/>
  <c r="AK19" i="7" s="1"/>
  <c r="AJ19" i="7" s="1"/>
  <c r="AI19" i="7" s="1"/>
  <c r="AH19" i="7" s="1"/>
  <c r="AG19" i="7" s="1"/>
  <c r="AF19" i="7" s="1"/>
  <c r="AE19" i="7" s="1"/>
  <c r="AD19" i="7" s="1"/>
  <c r="AC19" i="7" s="1"/>
  <c r="AB19" i="7" s="1"/>
  <c r="AA19" i="7" s="1"/>
  <c r="Z19" i="7" s="1"/>
  <c r="Y19" i="7" s="1"/>
  <c r="X19" i="7" s="1"/>
  <c r="W19" i="7" s="1"/>
  <c r="V19" i="7" s="1"/>
  <c r="U19" i="7" s="1"/>
  <c r="T19" i="7" s="1"/>
  <c r="S19" i="7" s="1"/>
  <c r="R19" i="7" s="1"/>
  <c r="Q19" i="7" s="1"/>
  <c r="P19" i="7" s="1"/>
  <c r="O19" i="7" s="1"/>
  <c r="N19" i="7" s="1"/>
  <c r="M19" i="7" s="1"/>
  <c r="L19" i="7" s="1"/>
  <c r="K19" i="7" s="1"/>
  <c r="J19" i="7" s="1"/>
  <c r="I19" i="7" s="1"/>
  <c r="H19" i="7" s="1"/>
  <c r="G19" i="7" s="1"/>
  <c r="F19" i="7" s="1"/>
  <c r="E19" i="7" s="1"/>
  <c r="D19" i="7" s="1"/>
  <c r="C19" i="7" s="1"/>
  <c r="DQ20" i="7"/>
  <c r="DP20" i="7" s="1"/>
  <c r="DO20" i="7" s="1"/>
  <c r="DN20" i="7" s="1"/>
  <c r="DM20" i="7" s="1"/>
  <c r="DL20" i="7" s="1"/>
  <c r="DK20" i="7" s="1"/>
  <c r="DJ20" i="7" s="1"/>
  <c r="DI20" i="7" s="1"/>
  <c r="DH20" i="7" s="1"/>
  <c r="DG20" i="7" s="1"/>
  <c r="DF20" i="7" s="1"/>
  <c r="DE20" i="7" s="1"/>
  <c r="DD20" i="7" s="1"/>
  <c r="DC20" i="7" s="1"/>
  <c r="DB20" i="7" s="1"/>
  <c r="DA20" i="7" s="1"/>
  <c r="CZ20" i="7" s="1"/>
  <c r="CY20" i="7" s="1"/>
  <c r="CX20" i="7" s="1"/>
  <c r="CW20" i="7" s="1"/>
  <c r="CV20" i="7" s="1"/>
  <c r="CU20" i="7" s="1"/>
  <c r="CT20" i="7" s="1"/>
  <c r="CS20" i="7" s="1"/>
  <c r="CR20" i="7" s="1"/>
  <c r="CQ20" i="7" s="1"/>
  <c r="CP20" i="7" s="1"/>
  <c r="CO20" i="7" s="1"/>
  <c r="CN20" i="7" s="1"/>
  <c r="CM20" i="7" s="1"/>
  <c r="CL20" i="7" s="1"/>
  <c r="CK20" i="7" s="1"/>
  <c r="CJ20" i="7" s="1"/>
  <c r="CI20" i="7" s="1"/>
  <c r="CH20" i="7" s="1"/>
  <c r="CG20" i="7" s="1"/>
  <c r="CF20" i="7" s="1"/>
  <c r="CE20" i="7" s="1"/>
  <c r="CD20" i="7" s="1"/>
  <c r="CC20" i="7" s="1"/>
  <c r="CB20" i="7" s="1"/>
  <c r="CA20" i="7" s="1"/>
  <c r="BZ20" i="7" s="1"/>
  <c r="BY20" i="7" s="1"/>
  <c r="BX20" i="7" s="1"/>
  <c r="BW20" i="7" s="1"/>
  <c r="BV20" i="7" s="1"/>
  <c r="BU20" i="7" s="1"/>
  <c r="BT20" i="7" s="1"/>
  <c r="BS20" i="7" s="1"/>
  <c r="BR20" i="7" s="1"/>
  <c r="BQ20" i="7" s="1"/>
  <c r="BP20" i="7" s="1"/>
  <c r="BO20" i="7" s="1"/>
  <c r="BN20" i="7" s="1"/>
  <c r="BM20" i="7" s="1"/>
  <c r="BL20" i="7" s="1"/>
  <c r="BK20" i="7" s="1"/>
  <c r="BJ20" i="7" s="1"/>
  <c r="BI20" i="7" s="1"/>
  <c r="BH20" i="7" s="1"/>
  <c r="BG20" i="7" s="1"/>
  <c r="BF20" i="7" s="1"/>
  <c r="BE20" i="7" s="1"/>
  <c r="BD20" i="7" s="1"/>
  <c r="BC20" i="7" s="1"/>
  <c r="BB20" i="7" s="1"/>
  <c r="BA20" i="7" s="1"/>
  <c r="AZ20" i="7" s="1"/>
  <c r="AY20" i="7" s="1"/>
  <c r="AX20" i="7" s="1"/>
  <c r="AW20" i="7" s="1"/>
  <c r="AV20" i="7" s="1"/>
  <c r="AU20" i="7" s="1"/>
  <c r="AT20" i="7" s="1"/>
  <c r="AS20" i="7" s="1"/>
  <c r="AR20" i="7" s="1"/>
  <c r="AQ20" i="7" s="1"/>
  <c r="AP20" i="7" s="1"/>
  <c r="AO20" i="7" s="1"/>
  <c r="AN20" i="7" s="1"/>
  <c r="AM20" i="7" s="1"/>
  <c r="AL20" i="7" s="1"/>
  <c r="AK20" i="7" s="1"/>
  <c r="AJ20" i="7" s="1"/>
  <c r="AI20" i="7" s="1"/>
  <c r="AH20" i="7" s="1"/>
  <c r="AG20" i="7" s="1"/>
  <c r="AF20" i="7" s="1"/>
  <c r="AE20" i="7" s="1"/>
  <c r="AD20" i="7" s="1"/>
  <c r="AC20" i="7" s="1"/>
  <c r="AB20" i="7" s="1"/>
  <c r="AA20" i="7" s="1"/>
  <c r="Z20" i="7" s="1"/>
  <c r="Y20" i="7" s="1"/>
  <c r="X20" i="7" s="1"/>
  <c r="W20" i="7" s="1"/>
  <c r="V20" i="7" s="1"/>
  <c r="U20" i="7" s="1"/>
  <c r="T20" i="7" s="1"/>
  <c r="S20" i="7" s="1"/>
  <c r="R20" i="7" s="1"/>
  <c r="Q20" i="7" s="1"/>
  <c r="P20" i="7" s="1"/>
  <c r="O20" i="7" s="1"/>
  <c r="N20" i="7" s="1"/>
  <c r="M20" i="7" s="1"/>
  <c r="L20" i="7" s="1"/>
  <c r="K20" i="7" s="1"/>
  <c r="J20" i="7" s="1"/>
  <c r="I20" i="7" s="1"/>
  <c r="H20" i="7" s="1"/>
  <c r="G20" i="7" s="1"/>
  <c r="F20" i="7" s="1"/>
  <c r="E20" i="7" s="1"/>
  <c r="D20" i="7" s="1"/>
  <c r="C20" i="7" s="1"/>
  <c r="DW23" i="7"/>
  <c r="DV23" i="7" s="1"/>
  <c r="DU23" i="7" s="1"/>
  <c r="DT23" i="7" s="1"/>
  <c r="DS23" i="7" s="1"/>
  <c r="DR23" i="7" s="1"/>
  <c r="DQ23" i="7" s="1"/>
  <c r="DP23" i="7" s="1"/>
  <c r="DO23" i="7" s="1"/>
  <c r="DN23" i="7" s="1"/>
  <c r="DM23" i="7" s="1"/>
  <c r="DL23" i="7" s="1"/>
  <c r="DK23" i="7" s="1"/>
  <c r="DJ23" i="7" s="1"/>
  <c r="DI23" i="7" s="1"/>
  <c r="DH23" i="7" s="1"/>
  <c r="DG23" i="7" s="1"/>
  <c r="DF23" i="7" s="1"/>
  <c r="DE23" i="7" s="1"/>
  <c r="DD23" i="7" s="1"/>
  <c r="DC23" i="7" s="1"/>
  <c r="DB23" i="7" s="1"/>
  <c r="DA23" i="7" s="1"/>
  <c r="CZ23" i="7" s="1"/>
  <c r="CY23" i="7" s="1"/>
  <c r="CX23" i="7" s="1"/>
  <c r="CW23" i="7" s="1"/>
  <c r="CV23" i="7" s="1"/>
  <c r="CU23" i="7" s="1"/>
  <c r="CT23" i="7" s="1"/>
  <c r="CS23" i="7" s="1"/>
  <c r="CR23" i="7" s="1"/>
  <c r="CQ23" i="7" s="1"/>
  <c r="CP23" i="7" s="1"/>
  <c r="CO23" i="7" s="1"/>
  <c r="CN23" i="7" s="1"/>
  <c r="CM23" i="7" s="1"/>
  <c r="CL23" i="7" s="1"/>
  <c r="CK23" i="7" s="1"/>
  <c r="CJ23" i="7" s="1"/>
  <c r="CI23" i="7" s="1"/>
  <c r="CH23" i="7" s="1"/>
  <c r="CG23" i="7" s="1"/>
  <c r="CF23" i="7" s="1"/>
  <c r="CE23" i="7" s="1"/>
  <c r="CD23" i="7" s="1"/>
  <c r="CC23" i="7" s="1"/>
  <c r="CB23" i="7" s="1"/>
  <c r="CA23" i="7" s="1"/>
  <c r="BZ23" i="7" s="1"/>
  <c r="BY23" i="7" s="1"/>
  <c r="BX23" i="7" s="1"/>
  <c r="BW23" i="7" s="1"/>
  <c r="BV23" i="7" s="1"/>
  <c r="BU23" i="7" s="1"/>
  <c r="BT23" i="7" s="1"/>
  <c r="BS23" i="7" s="1"/>
  <c r="BR23" i="7" s="1"/>
  <c r="BQ23" i="7" s="1"/>
  <c r="BP23" i="7" s="1"/>
  <c r="BO23" i="7" s="1"/>
  <c r="BN23" i="7" s="1"/>
  <c r="BM23" i="7" s="1"/>
  <c r="BL23" i="7" s="1"/>
  <c r="BK23" i="7" s="1"/>
  <c r="BJ23" i="7" s="1"/>
  <c r="BI23" i="7" s="1"/>
  <c r="BH23" i="7" s="1"/>
  <c r="BG23" i="7" s="1"/>
  <c r="BF23" i="7" s="1"/>
  <c r="BE23" i="7" s="1"/>
  <c r="BD23" i="7" s="1"/>
  <c r="BC23" i="7" s="1"/>
  <c r="BB23" i="7" s="1"/>
  <c r="BA23" i="7" s="1"/>
  <c r="AZ23" i="7" s="1"/>
  <c r="AY23" i="7" s="1"/>
  <c r="AX23" i="7" s="1"/>
  <c r="AW23" i="7" s="1"/>
  <c r="AV23" i="7" s="1"/>
  <c r="AU23" i="7" s="1"/>
  <c r="AT23" i="7" s="1"/>
  <c r="AS23" i="7" s="1"/>
  <c r="AR23" i="7" s="1"/>
  <c r="AQ23" i="7" s="1"/>
  <c r="AP23" i="7" s="1"/>
  <c r="AO23" i="7" s="1"/>
  <c r="AN23" i="7" s="1"/>
  <c r="AM23" i="7" s="1"/>
  <c r="AL23" i="7" s="1"/>
  <c r="AK23" i="7" s="1"/>
  <c r="AJ23" i="7" s="1"/>
  <c r="AI23" i="7" s="1"/>
  <c r="AH23" i="7" s="1"/>
  <c r="AG23" i="7" s="1"/>
  <c r="AF23" i="7" s="1"/>
  <c r="AE23" i="7" s="1"/>
  <c r="AD23" i="7" s="1"/>
  <c r="AC23" i="7" s="1"/>
  <c r="AB23" i="7" s="1"/>
  <c r="AA23" i="7" s="1"/>
  <c r="Z23" i="7" s="1"/>
  <c r="Y23" i="7" s="1"/>
  <c r="X23" i="7" s="1"/>
  <c r="W23" i="7" s="1"/>
  <c r="V23" i="7" s="1"/>
  <c r="U23" i="7" s="1"/>
  <c r="T23" i="7" s="1"/>
  <c r="S23" i="7" s="1"/>
  <c r="R23" i="7" s="1"/>
  <c r="Q23" i="7" s="1"/>
  <c r="P23" i="7" s="1"/>
  <c r="O23" i="7" s="1"/>
  <c r="N23" i="7" s="1"/>
  <c r="M23" i="7" s="1"/>
  <c r="L23" i="7" s="1"/>
  <c r="K23" i="7" s="1"/>
  <c r="J23" i="7" s="1"/>
  <c r="I23" i="7" s="1"/>
  <c r="H23" i="7" s="1"/>
  <c r="G23" i="7" s="1"/>
  <c r="F23" i="7" s="1"/>
  <c r="E23" i="7" s="1"/>
  <c r="D23" i="7" s="1"/>
  <c r="C23" i="7" s="1"/>
  <c r="DW3" i="7"/>
  <c r="DV3" i="7" s="1"/>
  <c r="DU3" i="7" s="1"/>
  <c r="DW5" i="7"/>
  <c r="DV5" i="7" s="1"/>
  <c r="DU7" i="7"/>
  <c r="DT7" i="7" s="1"/>
  <c r="DS7" i="7" s="1"/>
  <c r="DR7" i="7" s="1"/>
  <c r="DQ7" i="7" s="1"/>
  <c r="DP7" i="7" s="1"/>
  <c r="DT25" i="7"/>
  <c r="DS25" i="7" s="1"/>
  <c r="DR25" i="7" s="1"/>
  <c r="DW2" i="7"/>
  <c r="DV2" i="7" s="1"/>
  <c r="DU2" i="7" s="1"/>
  <c r="DT2" i="7" s="1"/>
  <c r="DS2" i="7" s="1"/>
  <c r="DR2" i="7" s="1"/>
  <c r="DQ2" i="7" s="1"/>
  <c r="DP2" i="7" s="1"/>
  <c r="DO2" i="7" s="1"/>
  <c r="DN2" i="7" s="1"/>
  <c r="DM2" i="7" s="1"/>
  <c r="DT3" i="7"/>
  <c r="DS3" i="7" s="1"/>
  <c r="DR3" i="7" s="1"/>
  <c r="DQ3" i="7" s="1"/>
  <c r="DP3" i="7" s="1"/>
  <c r="DO3" i="7" s="1"/>
  <c r="DN3" i="7" s="1"/>
  <c r="DM3" i="7" s="1"/>
  <c r="DL3" i="7" s="1"/>
  <c r="DK3" i="7" s="1"/>
  <c r="DJ3" i="7" s="1"/>
  <c r="DI3" i="7" s="1"/>
  <c r="DH3" i="7" s="1"/>
  <c r="DG3" i="7" s="1"/>
  <c r="DF3" i="7" s="1"/>
  <c r="DW4" i="7"/>
  <c r="DV4" i="7" s="1"/>
  <c r="DU4" i="7" s="1"/>
  <c r="DT4" i="7" s="1"/>
  <c r="DS4" i="7" s="1"/>
  <c r="DR4" i="7" s="1"/>
  <c r="DQ4" i="7" s="1"/>
  <c r="DP4" i="7" s="1"/>
  <c r="DO4" i="7" s="1"/>
  <c r="DN4" i="7" s="1"/>
  <c r="DM4" i="7" s="1"/>
  <c r="DL4" i="7" s="1"/>
  <c r="DK4" i="7" s="1"/>
  <c r="DJ4" i="7" s="1"/>
  <c r="DI4" i="7" s="1"/>
  <c r="DH4" i="7" s="1"/>
  <c r="DG4" i="7" s="1"/>
  <c r="DF4" i="7" s="1"/>
  <c r="DE4" i="7" s="1"/>
  <c r="DD4" i="7" s="1"/>
  <c r="DC4" i="7" s="1"/>
  <c r="DB4" i="7" s="1"/>
  <c r="DA4" i="7" s="1"/>
  <c r="CZ4" i="7" s="1"/>
  <c r="DO7" i="7"/>
  <c r="DN7" i="7" s="1"/>
  <c r="DM7" i="7" s="1"/>
  <c r="DL7" i="7" s="1"/>
  <c r="DK7" i="7" s="1"/>
  <c r="DJ7" i="7" s="1"/>
  <c r="DI7" i="7" s="1"/>
  <c r="DH7" i="7" s="1"/>
  <c r="DG7" i="7" s="1"/>
  <c r="DF7" i="7" s="1"/>
  <c r="DE7" i="7" s="1"/>
  <c r="DD7" i="7" s="1"/>
  <c r="DC7" i="7" s="1"/>
  <c r="BJ8" i="7"/>
  <c r="BI8" i="7" s="1"/>
  <c r="BH8" i="7" s="1"/>
  <c r="BG8" i="7" s="1"/>
  <c r="BF8" i="7" s="1"/>
  <c r="BE8" i="7" s="1"/>
  <c r="BD8" i="7" s="1"/>
  <c r="BC8" i="7" s="1"/>
  <c r="BB8" i="7" s="1"/>
  <c r="BA8" i="7" s="1"/>
  <c r="AZ8" i="7" s="1"/>
  <c r="AY8" i="7" s="1"/>
  <c r="DQ25" i="7"/>
  <c r="DP25" i="7" s="1"/>
  <c r="DO25" i="7" s="1"/>
  <c r="DN25" i="7" s="1"/>
  <c r="DM25" i="7" s="1"/>
  <c r="DL25" i="7" s="1"/>
  <c r="DK25" i="7" s="1"/>
  <c r="DJ25" i="7" s="1"/>
  <c r="DI25" i="7" s="1"/>
  <c r="DH25" i="7" s="1"/>
  <c r="DG25" i="7" s="1"/>
  <c r="DF25" i="7" s="1"/>
  <c r="DE25" i="7" s="1"/>
  <c r="DD25" i="7" s="1"/>
  <c r="DC25" i="7" s="1"/>
  <c r="DB25" i="7" s="1"/>
  <c r="DA25" i="7" s="1"/>
  <c r="CZ25" i="7" s="1"/>
  <c r="CY25" i="7" s="1"/>
  <c r="CX25" i="7" s="1"/>
  <c r="CW25" i="7" s="1"/>
  <c r="CV25" i="7" s="1"/>
  <c r="CU25" i="7" s="1"/>
  <c r="CT25" i="7" s="1"/>
  <c r="CS25" i="7" s="1"/>
  <c r="CR25" i="7" s="1"/>
  <c r="CQ25" i="7" s="1"/>
  <c r="CP25" i="7" s="1"/>
  <c r="CO25" i="7" s="1"/>
  <c r="DU5" i="7"/>
  <c r="DT5" i="7" s="1"/>
  <c r="DS5" i="7" s="1"/>
  <c r="DR5" i="7" s="1"/>
  <c r="DQ5" i="7" s="1"/>
  <c r="DP5" i="7" s="1"/>
  <c r="DO5" i="7" s="1"/>
  <c r="DN5" i="7" s="1"/>
  <c r="DM5" i="7" s="1"/>
  <c r="DL5" i="7" s="1"/>
  <c r="DK5" i="7" s="1"/>
  <c r="DJ5" i="7" s="1"/>
  <c r="DI5" i="7" s="1"/>
  <c r="DH5" i="7" s="1"/>
  <c r="DG5" i="7" s="1"/>
  <c r="DF5" i="7" s="1"/>
  <c r="DE5" i="7" s="1"/>
  <c r="DD5" i="7" s="1"/>
  <c r="DC5" i="7" s="1"/>
  <c r="DB5" i="7" s="1"/>
  <c r="DA5" i="7" s="1"/>
  <c r="CZ5" i="7" s="1"/>
  <c r="DB7" i="7"/>
  <c r="DA7" i="7" s="1"/>
  <c r="AX8" i="7"/>
  <c r="AW8" i="7" s="1"/>
  <c r="AV8" i="7" s="1"/>
  <c r="AU8" i="7" s="1"/>
  <c r="AT8" i="7" s="1"/>
  <c r="AS8" i="7" s="1"/>
  <c r="AR8" i="7" s="1"/>
  <c r="AQ8" i="7" s="1"/>
  <c r="AP8" i="7" s="1"/>
  <c r="AO8" i="7" s="1"/>
  <c r="AN8" i="7" s="1"/>
  <c r="AM8" i="7" s="1"/>
  <c r="AL8" i="7" s="1"/>
  <c r="AK8" i="7" s="1"/>
  <c r="AJ8" i="7" s="1"/>
  <c r="AI8" i="7" s="1"/>
  <c r="AH8" i="7" s="1"/>
  <c r="AG8" i="7" s="1"/>
  <c r="AF8" i="7" s="1"/>
  <c r="AE8" i="7" s="1"/>
  <c r="AD8" i="7" s="1"/>
  <c r="AC8" i="7" s="1"/>
  <c r="DW24" i="7"/>
  <c r="DV24" i="7" s="1"/>
  <c r="DU24" i="7" s="1"/>
  <c r="DT24" i="7" s="1"/>
  <c r="DS24" i="7" s="1"/>
  <c r="DR24" i="7" s="1"/>
  <c r="DQ24" i="7" s="1"/>
  <c r="DP24" i="7" s="1"/>
  <c r="DO24" i="7" s="1"/>
  <c r="DN24" i="7" s="1"/>
  <c r="DM24" i="7" s="1"/>
  <c r="DL24" i="7" s="1"/>
  <c r="DK24" i="7" s="1"/>
  <c r="DJ24" i="7" s="1"/>
  <c r="DI24" i="7" s="1"/>
  <c r="DH24" i="7" s="1"/>
  <c r="DG24" i="7" s="1"/>
  <c r="DF24" i="7" s="1"/>
  <c r="DE24" i="7" s="1"/>
  <c r="DD24" i="7" s="1"/>
  <c r="DC24" i="7" s="1"/>
  <c r="DB24" i="7" s="1"/>
  <c r="DA24" i="7" s="1"/>
  <c r="CZ24" i="7" s="1"/>
  <c r="CY24" i="7" s="1"/>
  <c r="CX24" i="7" s="1"/>
  <c r="CW24" i="7" s="1"/>
  <c r="CV24" i="7" s="1"/>
  <c r="CU24" i="7" s="1"/>
  <c r="CT24" i="7" s="1"/>
  <c r="CS24" i="7" s="1"/>
  <c r="CR24" i="7" s="1"/>
  <c r="CQ24" i="7" s="1"/>
  <c r="CP24" i="7" s="1"/>
  <c r="CO24" i="7" s="1"/>
  <c r="CN24" i="7" s="1"/>
  <c r="CM24" i="7" s="1"/>
  <c r="CL24" i="7" s="1"/>
  <c r="CK24" i="7" s="1"/>
  <c r="CJ24" i="7" s="1"/>
  <c r="CI24" i="7" s="1"/>
  <c r="CH24" i="7" s="1"/>
  <c r="CG24" i="7" s="1"/>
  <c r="CF24" i="7" s="1"/>
  <c r="CE24" i="7" s="1"/>
  <c r="CD24" i="7" s="1"/>
  <c r="CC24" i="7" s="1"/>
  <c r="CB24" i="7" s="1"/>
  <c r="CA24" i="7" s="1"/>
  <c r="BZ24" i="7" s="1"/>
  <c r="BY24" i="7" s="1"/>
  <c r="BX24" i="7" s="1"/>
  <c r="BW24" i="7" s="1"/>
  <c r="BV24" i="7" s="1"/>
  <c r="BU24" i="7" s="1"/>
  <c r="BT24" i="7" s="1"/>
  <c r="BS24" i="7" s="1"/>
  <c r="BR24" i="7" s="1"/>
  <c r="BQ24" i="7" s="1"/>
  <c r="BP24" i="7" s="1"/>
  <c r="BO24" i="7" s="1"/>
  <c r="BN24" i="7" s="1"/>
  <c r="BM24" i="7" s="1"/>
  <c r="BL24" i="7" s="1"/>
  <c r="BK24" i="7" s="1"/>
  <c r="BJ24" i="7" s="1"/>
  <c r="BI24" i="7" s="1"/>
  <c r="BH24" i="7" s="1"/>
  <c r="BG24" i="7" s="1"/>
  <c r="BF24" i="7" s="1"/>
  <c r="BE24" i="7" s="1"/>
  <c r="BD24" i="7" s="1"/>
  <c r="BC24" i="7" s="1"/>
  <c r="BB24" i="7" s="1"/>
  <c r="BA24" i="7" s="1"/>
  <c r="AZ24" i="7" s="1"/>
  <c r="AY24" i="7" s="1"/>
  <c r="AX24" i="7" s="1"/>
  <c r="AW24" i="7" s="1"/>
  <c r="AV24" i="7" s="1"/>
  <c r="AU24" i="7" s="1"/>
  <c r="AT24" i="7" s="1"/>
  <c r="AS24" i="7" s="1"/>
  <c r="AR24" i="7" s="1"/>
  <c r="AQ24" i="7" s="1"/>
  <c r="AP24" i="7" s="1"/>
  <c r="AO24" i="7" s="1"/>
  <c r="AN24" i="7" s="1"/>
  <c r="AM24" i="7" s="1"/>
  <c r="AL24" i="7" s="1"/>
  <c r="AK24" i="7" s="1"/>
  <c r="AJ24" i="7" s="1"/>
  <c r="AI24" i="7" s="1"/>
  <c r="AH24" i="7" s="1"/>
  <c r="AG24" i="7" s="1"/>
  <c r="AF24" i="7" s="1"/>
  <c r="AE24" i="7" s="1"/>
  <c r="AD24" i="7" s="1"/>
  <c r="AC24" i="7" s="1"/>
  <c r="AB24" i="7" s="1"/>
  <c r="AA24" i="7" s="1"/>
  <c r="Z24" i="7" s="1"/>
  <c r="Y24" i="7" s="1"/>
  <c r="X24" i="7" s="1"/>
  <c r="W24" i="7" s="1"/>
  <c r="V24" i="7" s="1"/>
  <c r="U24" i="7" s="1"/>
  <c r="T24" i="7" s="1"/>
  <c r="S24" i="7" s="1"/>
  <c r="R24" i="7" s="1"/>
  <c r="Q24" i="7" s="1"/>
  <c r="P24" i="7" s="1"/>
  <c r="O24" i="7" s="1"/>
  <c r="N24" i="7" s="1"/>
  <c r="M24" i="7" s="1"/>
  <c r="L24" i="7" s="1"/>
  <c r="K24" i="7" s="1"/>
  <c r="J24" i="7" s="1"/>
  <c r="I24" i="7" s="1"/>
  <c r="H24" i="7" s="1"/>
  <c r="G24" i="7" s="1"/>
  <c r="F24" i="7" s="1"/>
  <c r="E24" i="7" s="1"/>
  <c r="D24" i="7" s="1"/>
  <c r="C24" i="7" s="1"/>
  <c r="CN25" i="7"/>
  <c r="CM25" i="7" s="1"/>
  <c r="CL25" i="7" s="1"/>
  <c r="CK25" i="7" s="1"/>
  <c r="CJ25" i="7" s="1"/>
  <c r="CI25" i="7" s="1"/>
  <c r="CH25" i="7" s="1"/>
  <c r="CG25" i="7" s="1"/>
  <c r="CF25" i="7" s="1"/>
  <c r="CE25" i="7" s="1"/>
  <c r="CD25" i="7" s="1"/>
  <c r="CC25" i="7" s="1"/>
  <c r="CB25" i="7" s="1"/>
  <c r="CA25" i="7" s="1"/>
  <c r="BZ25" i="7" s="1"/>
  <c r="BY25" i="7" s="1"/>
  <c r="BX25" i="7" s="1"/>
  <c r="BW25" i="7" s="1"/>
  <c r="BV25" i="7" s="1"/>
  <c r="BU25" i="7" s="1"/>
  <c r="BT25" i="7" s="1"/>
  <c r="BS25" i="7" s="1"/>
  <c r="BR25" i="7" s="1"/>
  <c r="BQ25" i="7" s="1"/>
  <c r="BP25" i="7" s="1"/>
  <c r="BO25" i="7" s="1"/>
  <c r="BN25" i="7" s="1"/>
  <c r="BM25" i="7" s="1"/>
  <c r="BL25" i="7" s="1"/>
  <c r="BK25" i="7" s="1"/>
  <c r="BJ25" i="7" s="1"/>
  <c r="BI25" i="7" s="1"/>
  <c r="BH25" i="7" s="1"/>
  <c r="BG25" i="7" s="1"/>
  <c r="BF25" i="7" s="1"/>
  <c r="BE25" i="7" s="1"/>
  <c r="BD25" i="7" s="1"/>
  <c r="BC25" i="7" s="1"/>
  <c r="BB25" i="7" s="1"/>
  <c r="BA25" i="7" s="1"/>
  <c r="AZ25" i="7" s="1"/>
  <c r="AY25" i="7" s="1"/>
  <c r="AX25" i="7" s="1"/>
  <c r="AW25" i="7" s="1"/>
  <c r="AV25" i="7" s="1"/>
  <c r="AU25" i="7" s="1"/>
  <c r="AT25" i="7" s="1"/>
  <c r="AS25" i="7" s="1"/>
  <c r="DW6" i="7"/>
  <c r="DV6" i="7" s="1"/>
  <c r="DU6" i="7" s="1"/>
  <c r="DT6" i="7" s="1"/>
  <c r="DS6" i="7" s="1"/>
  <c r="DR6" i="7" s="1"/>
  <c r="DQ6" i="7" s="1"/>
  <c r="DP6" i="7" s="1"/>
  <c r="DO6" i="7" s="1"/>
  <c r="DN6" i="7" s="1"/>
  <c r="DM6" i="7" s="1"/>
  <c r="DL6" i="7" s="1"/>
  <c r="DK6" i="7" s="1"/>
  <c r="DJ6" i="7" s="1"/>
  <c r="DI6" i="7" s="1"/>
  <c r="DH6" i="7" s="1"/>
  <c r="DG6" i="7" s="1"/>
  <c r="DF6" i="7" s="1"/>
  <c r="DE6" i="7" s="1"/>
  <c r="DD6" i="7" s="1"/>
  <c r="DC6" i="7" s="1"/>
  <c r="DB6" i="7" s="1"/>
  <c r="DA6" i="7" s="1"/>
  <c r="CZ6" i="7" s="1"/>
  <c r="CY6" i="7" s="1"/>
  <c r="CX6" i="7" s="1"/>
  <c r="CW6" i="7" s="1"/>
  <c r="CV6" i="7" s="1"/>
  <c r="CU6" i="7" s="1"/>
  <c r="CT6" i="7" s="1"/>
  <c r="CS6" i="7" s="1"/>
  <c r="CR6" i="7" s="1"/>
  <c r="CQ6" i="7" s="1"/>
  <c r="CP6" i="7" s="1"/>
  <c r="CO6" i="7" s="1"/>
  <c r="CN6" i="7" s="1"/>
  <c r="CM6" i="7" s="1"/>
  <c r="CL6" i="7" s="1"/>
  <c r="CK6" i="7" s="1"/>
  <c r="CJ6" i="7" s="1"/>
  <c r="CI6" i="7" s="1"/>
  <c r="CH6" i="7" s="1"/>
  <c r="CG6" i="7" s="1"/>
  <c r="CF6" i="7" s="1"/>
  <c r="CE6" i="7" s="1"/>
  <c r="CD6" i="7" s="1"/>
  <c r="CC6" i="7" s="1"/>
  <c r="CB6" i="7" s="1"/>
  <c r="CA6" i="7" s="1"/>
  <c r="BZ6" i="7" s="1"/>
  <c r="BY6" i="7" s="1"/>
  <c r="BX6" i="7" s="1"/>
  <c r="BW6" i="7" s="1"/>
  <c r="BV6" i="7" s="1"/>
  <c r="BU6" i="7" s="1"/>
  <c r="BT6" i="7" s="1"/>
  <c r="BS6" i="7" s="1"/>
  <c r="BR6" i="7" s="1"/>
  <c r="BQ6" i="7" s="1"/>
  <c r="BP6" i="7" s="1"/>
  <c r="BO6" i="7" s="1"/>
  <c r="BN6" i="7" s="1"/>
  <c r="BM6" i="7" s="1"/>
  <c r="BL6" i="7" s="1"/>
  <c r="BK6" i="7" s="1"/>
  <c r="BJ6" i="7" s="1"/>
  <c r="BI6" i="7" s="1"/>
  <c r="BH6" i="7" s="1"/>
  <c r="BG6" i="7" s="1"/>
  <c r="BF6" i="7" s="1"/>
  <c r="BE6" i="7" s="1"/>
  <c r="BD6" i="7" s="1"/>
  <c r="BC6" i="7" s="1"/>
  <c r="BB6" i="7" s="1"/>
  <c r="BA6" i="7" s="1"/>
  <c r="AZ6" i="7" s="1"/>
  <c r="AY6" i="7" s="1"/>
  <c r="AX6" i="7" s="1"/>
  <c r="AW6" i="7" s="1"/>
  <c r="AV6" i="7" s="1"/>
  <c r="AU6" i="7" s="1"/>
  <c r="AT6" i="7" s="1"/>
  <c r="AS6" i="7" s="1"/>
  <c r="AR6" i="7" s="1"/>
  <c r="AQ6" i="7" s="1"/>
  <c r="AP6" i="7" s="1"/>
  <c r="AO6" i="7" s="1"/>
  <c r="AN6" i="7" s="1"/>
  <c r="AM6" i="7" s="1"/>
  <c r="AL6" i="7" s="1"/>
  <c r="AK6" i="7" s="1"/>
  <c r="AJ6" i="7" s="1"/>
  <c r="AI6" i="7" s="1"/>
  <c r="AH6" i="7" s="1"/>
  <c r="AG6" i="7" s="1"/>
  <c r="AF6" i="7" s="1"/>
  <c r="AE6" i="7" s="1"/>
  <c r="AD6" i="7" s="1"/>
  <c r="AC6" i="7" s="1"/>
  <c r="AB6" i="7" s="1"/>
  <c r="AA6" i="7" s="1"/>
  <c r="Z6" i="7" s="1"/>
  <c r="Y6" i="7" s="1"/>
  <c r="X6" i="7" s="1"/>
  <c r="W6" i="7" s="1"/>
  <c r="V6" i="7" s="1"/>
  <c r="U6" i="7" s="1"/>
  <c r="T6" i="7" s="1"/>
  <c r="S6" i="7" s="1"/>
  <c r="R6" i="7" s="1"/>
  <c r="Q6" i="7" s="1"/>
  <c r="P6" i="7" s="1"/>
  <c r="O6" i="7" s="1"/>
  <c r="N6" i="7" s="1"/>
  <c r="M6" i="7" s="1"/>
  <c r="L6" i="7" s="1"/>
  <c r="K6" i="7" s="1"/>
  <c r="J6" i="7" s="1"/>
  <c r="I6" i="7" s="1"/>
  <c r="H6" i="7" s="1"/>
  <c r="G6" i="7" s="1"/>
  <c r="F6" i="7" s="1"/>
  <c r="E6" i="7" s="1"/>
  <c r="D6" i="7" s="1"/>
  <c r="C6" i="7" s="1"/>
  <c r="A39" i="2"/>
  <c r="C36" i="2"/>
  <c r="BN21" i="7" l="1"/>
  <c r="BM21" i="7" s="1"/>
  <c r="BL21" i="7" s="1"/>
  <c r="BK21" i="7" s="1"/>
  <c r="BJ21" i="7" s="1"/>
  <c r="BI21" i="7" s="1"/>
  <c r="BH21" i="7" s="1"/>
  <c r="BG21" i="7" s="1"/>
  <c r="BF21" i="7" s="1"/>
  <c r="BE21" i="7" s="1"/>
  <c r="BD21" i="7" s="1"/>
  <c r="BC21" i="7" s="1"/>
  <c r="BB21" i="7" s="1"/>
  <c r="BA21" i="7" s="1"/>
  <c r="AZ21" i="7" s="1"/>
  <c r="AY21" i="7" s="1"/>
  <c r="AX21" i="7" s="1"/>
  <c r="AW21" i="7" s="1"/>
  <c r="AV21" i="7" s="1"/>
  <c r="AU21" i="7" s="1"/>
  <c r="AT21" i="7" s="1"/>
  <c r="AS21" i="7" s="1"/>
  <c r="AR21" i="7" s="1"/>
  <c r="AQ21" i="7" s="1"/>
  <c r="AP21" i="7" s="1"/>
  <c r="AO21" i="7" s="1"/>
  <c r="AN21" i="7" s="1"/>
  <c r="AM21" i="7" s="1"/>
  <c r="AL21" i="7" s="1"/>
  <c r="AK21" i="7" s="1"/>
  <c r="AJ21" i="7" s="1"/>
  <c r="AI21" i="7" s="1"/>
  <c r="AH21" i="7" s="1"/>
  <c r="AG21" i="7" s="1"/>
  <c r="AF21" i="7" s="1"/>
  <c r="AE21" i="7" s="1"/>
  <c r="AD21" i="7" s="1"/>
  <c r="AC21" i="7" s="1"/>
  <c r="AB21" i="7" s="1"/>
  <c r="AA21" i="7" s="1"/>
  <c r="Z21" i="7" s="1"/>
  <c r="Y21" i="7" s="1"/>
  <c r="X21" i="7" s="1"/>
  <c r="W21" i="7" s="1"/>
  <c r="V21" i="7" s="1"/>
  <c r="U21" i="7" s="1"/>
  <c r="T21" i="7" s="1"/>
  <c r="S21" i="7" s="1"/>
  <c r="R21" i="7" s="1"/>
  <c r="Q21" i="7" s="1"/>
  <c r="P21" i="7" s="1"/>
  <c r="O21" i="7" s="1"/>
  <c r="N21" i="7" s="1"/>
  <c r="M21" i="7" s="1"/>
  <c r="L21" i="7" s="1"/>
  <c r="K21" i="7" s="1"/>
  <c r="J21" i="7" s="1"/>
  <c r="I21" i="7" s="1"/>
  <c r="H21" i="7" s="1"/>
  <c r="G21" i="7" s="1"/>
  <c r="F21" i="7" s="1"/>
  <c r="E21" i="7" s="1"/>
  <c r="D21" i="7" s="1"/>
  <c r="C21" i="7" s="1"/>
  <c r="CQ22" i="7"/>
  <c r="CP22" i="7" s="1"/>
  <c r="CO22" i="7" s="1"/>
  <c r="CN22" i="7" s="1"/>
  <c r="CM22" i="7" s="1"/>
  <c r="CL22" i="7" s="1"/>
  <c r="CK22" i="7" s="1"/>
  <c r="CJ22" i="7" s="1"/>
  <c r="CI22" i="7" s="1"/>
  <c r="CH22" i="7" s="1"/>
  <c r="CG22" i="7" s="1"/>
  <c r="CF22" i="7" s="1"/>
  <c r="CE22" i="7" s="1"/>
  <c r="CD22" i="7" s="1"/>
  <c r="CC22" i="7" s="1"/>
  <c r="CB22" i="7" s="1"/>
  <c r="CA22" i="7" s="1"/>
  <c r="BZ22" i="7" s="1"/>
  <c r="BY22" i="7" s="1"/>
  <c r="BX22" i="7" s="1"/>
  <c r="BW22" i="7" s="1"/>
  <c r="BV22" i="7" s="1"/>
  <c r="BU22" i="7" s="1"/>
  <c r="BT22" i="7" s="1"/>
  <c r="BS22" i="7" s="1"/>
  <c r="BR22" i="7" s="1"/>
  <c r="BQ22" i="7" s="1"/>
  <c r="BP22" i="7" s="1"/>
  <c r="BO22" i="7" s="1"/>
  <c r="BN22" i="7" s="1"/>
  <c r="BM22" i="7" s="1"/>
  <c r="BL22" i="7" s="1"/>
  <c r="BK22" i="7" s="1"/>
  <c r="BJ22" i="7" s="1"/>
  <c r="BI22" i="7" s="1"/>
  <c r="BH22" i="7" s="1"/>
  <c r="BG22" i="7" s="1"/>
  <c r="BF22" i="7" s="1"/>
  <c r="BE22" i="7" s="1"/>
  <c r="BD22" i="7" s="1"/>
  <c r="BC22" i="7" s="1"/>
  <c r="BB22" i="7" s="1"/>
  <c r="BA22" i="7" s="1"/>
  <c r="AZ22" i="7" s="1"/>
  <c r="AY22" i="7" s="1"/>
  <c r="AX22" i="7" s="1"/>
  <c r="AW22" i="7" s="1"/>
  <c r="AV22" i="7" s="1"/>
  <c r="AU22" i="7" s="1"/>
  <c r="AT22" i="7" s="1"/>
  <c r="AS22" i="7" s="1"/>
  <c r="AR22" i="7" s="1"/>
  <c r="AQ22" i="7" s="1"/>
  <c r="AP22" i="7" s="1"/>
  <c r="AO22" i="7" s="1"/>
  <c r="AN22" i="7" s="1"/>
  <c r="AM22" i="7" s="1"/>
  <c r="AL22" i="7" s="1"/>
  <c r="AK22" i="7" s="1"/>
  <c r="AJ22" i="7" s="1"/>
  <c r="AI22" i="7" s="1"/>
  <c r="AH22" i="7" s="1"/>
  <c r="AG22" i="7" s="1"/>
  <c r="AF22" i="7" s="1"/>
  <c r="AE22" i="7" s="1"/>
  <c r="AD22" i="7" s="1"/>
  <c r="AC22" i="7" s="1"/>
  <c r="AB22" i="7" s="1"/>
  <c r="AA22" i="7" s="1"/>
  <c r="Z22" i="7" s="1"/>
  <c r="Y22" i="7" s="1"/>
  <c r="X22" i="7" s="1"/>
  <c r="W22" i="7" s="1"/>
  <c r="V22" i="7" s="1"/>
  <c r="U22" i="7" s="1"/>
  <c r="T22" i="7" s="1"/>
  <c r="S22" i="7" s="1"/>
  <c r="R22" i="7" s="1"/>
  <c r="Q22" i="7" s="1"/>
  <c r="P22" i="7" s="1"/>
  <c r="O22" i="7" s="1"/>
  <c r="N22" i="7" s="1"/>
  <c r="M22" i="7" s="1"/>
  <c r="L22" i="7" s="1"/>
  <c r="K22" i="7" s="1"/>
  <c r="J22" i="7" s="1"/>
  <c r="I22" i="7" s="1"/>
  <c r="H22" i="7" s="1"/>
  <c r="G22" i="7" s="1"/>
  <c r="F22" i="7" s="1"/>
  <c r="E22" i="7" s="1"/>
  <c r="D22" i="7" s="1"/>
  <c r="C22" i="7" s="1"/>
  <c r="DL2" i="7"/>
  <c r="DK2" i="7" s="1"/>
  <c r="DJ2" i="7" s="1"/>
  <c r="DI2" i="7" s="1"/>
  <c r="DH2" i="7" s="1"/>
  <c r="DG2" i="7" s="1"/>
  <c r="DF2" i="7" s="1"/>
  <c r="DE2" i="7" s="1"/>
  <c r="DD2" i="7" s="1"/>
  <c r="DC2" i="7" s="1"/>
  <c r="DB2" i="7" s="1"/>
  <c r="DA2" i="7" s="1"/>
  <c r="CZ2" i="7" s="1"/>
  <c r="CY2" i="7" s="1"/>
  <c r="CX2" i="7" s="1"/>
  <c r="CW2" i="7" s="1"/>
  <c r="CV2" i="7" s="1"/>
  <c r="CU2" i="7" s="1"/>
  <c r="CT2" i="7" s="1"/>
  <c r="CS2" i="7" s="1"/>
  <c r="CR2" i="7" s="1"/>
  <c r="CQ2" i="7" s="1"/>
  <c r="CP2" i="7" s="1"/>
  <c r="CO2" i="7" s="1"/>
  <c r="CN2" i="7" s="1"/>
  <c r="CM2" i="7" s="1"/>
  <c r="CL2" i="7" s="1"/>
  <c r="CK2" i="7" s="1"/>
  <c r="CJ2" i="7" s="1"/>
  <c r="CI2" i="7" s="1"/>
  <c r="CH2" i="7" s="1"/>
  <c r="CG2" i="7" s="1"/>
  <c r="CF2" i="7" s="1"/>
  <c r="CE2" i="7" s="1"/>
  <c r="CD2" i="7" s="1"/>
  <c r="CC2" i="7" s="1"/>
  <c r="CB2" i="7" s="1"/>
  <c r="CA2" i="7" s="1"/>
  <c r="BZ2" i="7" s="1"/>
  <c r="BY2" i="7" s="1"/>
  <c r="BX2" i="7" s="1"/>
  <c r="BW2" i="7" s="1"/>
  <c r="BV2" i="7" s="1"/>
  <c r="BU2" i="7" s="1"/>
  <c r="BT2" i="7" s="1"/>
  <c r="BS2" i="7" s="1"/>
  <c r="BR2" i="7" s="1"/>
  <c r="BQ2" i="7" s="1"/>
  <c r="BP2" i="7" s="1"/>
  <c r="BO2" i="7" s="1"/>
  <c r="BN2" i="7" s="1"/>
  <c r="BM2" i="7" s="1"/>
  <c r="BL2" i="7" s="1"/>
  <c r="BK2" i="7" s="1"/>
  <c r="BJ2" i="7" s="1"/>
  <c r="BI2" i="7" s="1"/>
  <c r="BH2" i="7" s="1"/>
  <c r="BG2" i="7" s="1"/>
  <c r="BF2" i="7" s="1"/>
  <c r="BE2" i="7" s="1"/>
  <c r="BD2" i="7" s="1"/>
  <c r="BC2" i="7" s="1"/>
  <c r="BB2" i="7" s="1"/>
  <c r="BA2" i="7" s="1"/>
  <c r="AZ2" i="7" s="1"/>
  <c r="AY2" i="7" s="1"/>
  <c r="AX2" i="7" s="1"/>
  <c r="AW2" i="7" s="1"/>
  <c r="AV2" i="7" s="1"/>
  <c r="AU2" i="7" s="1"/>
  <c r="AT2" i="7" s="1"/>
  <c r="AS2" i="7" s="1"/>
  <c r="AR2" i="7" s="1"/>
  <c r="AQ2" i="7" s="1"/>
  <c r="AP2" i="7" s="1"/>
  <c r="AO2" i="7" s="1"/>
  <c r="AN2" i="7" s="1"/>
  <c r="AM2" i="7" s="1"/>
  <c r="AL2" i="7" s="1"/>
  <c r="AK2" i="7" s="1"/>
  <c r="AJ2" i="7" s="1"/>
  <c r="AI2" i="7" s="1"/>
  <c r="AH2" i="7" s="1"/>
  <c r="AG2" i="7" s="1"/>
  <c r="AF2" i="7" s="1"/>
  <c r="AE2" i="7" s="1"/>
  <c r="AD2" i="7" s="1"/>
  <c r="AC2" i="7" s="1"/>
  <c r="AB2" i="7" s="1"/>
  <c r="AA2" i="7" s="1"/>
  <c r="Z2" i="7" s="1"/>
  <c r="Y2" i="7" s="1"/>
  <c r="X2" i="7" s="1"/>
  <c r="W2" i="7" s="1"/>
  <c r="V2" i="7" s="1"/>
  <c r="U2" i="7" s="1"/>
  <c r="T2" i="7" s="1"/>
  <c r="S2" i="7" s="1"/>
  <c r="R2" i="7" s="1"/>
  <c r="Q2" i="7" s="1"/>
  <c r="P2" i="7" s="1"/>
  <c r="O2" i="7" s="1"/>
  <c r="N2" i="7" s="1"/>
  <c r="M2" i="7" s="1"/>
  <c r="L2" i="7" s="1"/>
  <c r="K2" i="7" s="1"/>
  <c r="J2" i="7" s="1"/>
  <c r="I2" i="7" s="1"/>
  <c r="H2" i="7" s="1"/>
  <c r="G2" i="7" s="1"/>
  <c r="F2" i="7" s="1"/>
  <c r="E2" i="7" s="1"/>
  <c r="D2" i="7" s="1"/>
  <c r="C2" i="7" s="1"/>
  <c r="DE3" i="7"/>
  <c r="DD3" i="7" s="1"/>
  <c r="DC3" i="7" s="1"/>
  <c r="DB3" i="7" s="1"/>
  <c r="DA3" i="7" s="1"/>
  <c r="CZ3" i="7" s="1"/>
  <c r="CY3" i="7" s="1"/>
  <c r="CX3" i="7" s="1"/>
  <c r="CW3" i="7" s="1"/>
  <c r="CV3" i="7" s="1"/>
  <c r="CU3" i="7" s="1"/>
  <c r="CT3" i="7" s="1"/>
  <c r="CS3" i="7" s="1"/>
  <c r="CR3" i="7" s="1"/>
  <c r="CQ3" i="7" s="1"/>
  <c r="CP3" i="7" s="1"/>
  <c r="CO3" i="7" s="1"/>
  <c r="CN3" i="7" s="1"/>
  <c r="CM3" i="7" s="1"/>
  <c r="CL3" i="7" s="1"/>
  <c r="CK3" i="7" s="1"/>
  <c r="CJ3" i="7" s="1"/>
  <c r="CI3" i="7" s="1"/>
  <c r="CH3" i="7" s="1"/>
  <c r="CG3" i="7" s="1"/>
  <c r="CF3" i="7" s="1"/>
  <c r="CE3" i="7" s="1"/>
  <c r="CD3" i="7" s="1"/>
  <c r="CC3" i="7" s="1"/>
  <c r="CB3" i="7" s="1"/>
  <c r="CA3" i="7" s="1"/>
  <c r="BZ3" i="7" s="1"/>
  <c r="BY3" i="7" s="1"/>
  <c r="BX3" i="7" s="1"/>
  <c r="BW3" i="7" s="1"/>
  <c r="BV3" i="7" s="1"/>
  <c r="BU3" i="7" s="1"/>
  <c r="BT3" i="7" s="1"/>
  <c r="BS3" i="7" s="1"/>
  <c r="BR3" i="7" s="1"/>
  <c r="BQ3" i="7" s="1"/>
  <c r="BP3" i="7" s="1"/>
  <c r="BO3" i="7" s="1"/>
  <c r="BN3" i="7" s="1"/>
  <c r="BM3" i="7" s="1"/>
  <c r="BL3" i="7" s="1"/>
  <c r="BK3" i="7" s="1"/>
  <c r="BJ3" i="7" s="1"/>
  <c r="BI3" i="7" s="1"/>
  <c r="BH3" i="7" s="1"/>
  <c r="BG3" i="7" s="1"/>
  <c r="BF3" i="7" s="1"/>
  <c r="BE3" i="7" s="1"/>
  <c r="BD3" i="7" s="1"/>
  <c r="BC3" i="7" s="1"/>
  <c r="BB3" i="7" s="1"/>
  <c r="BA3" i="7" s="1"/>
  <c r="AZ3" i="7" s="1"/>
  <c r="AY3" i="7" s="1"/>
  <c r="AX3" i="7" s="1"/>
  <c r="AW3" i="7" s="1"/>
  <c r="AV3" i="7" s="1"/>
  <c r="AU3" i="7" s="1"/>
  <c r="AT3" i="7" s="1"/>
  <c r="AS3" i="7" s="1"/>
  <c r="AR3" i="7" s="1"/>
  <c r="AQ3" i="7" s="1"/>
  <c r="AP3" i="7" s="1"/>
  <c r="AO3" i="7" s="1"/>
  <c r="AN3" i="7" s="1"/>
  <c r="AM3" i="7" s="1"/>
  <c r="AL3" i="7" s="1"/>
  <c r="AK3" i="7" s="1"/>
  <c r="AJ3" i="7" s="1"/>
  <c r="AI3" i="7" s="1"/>
  <c r="AH3" i="7" s="1"/>
  <c r="AG3" i="7" s="1"/>
  <c r="AF3" i="7" s="1"/>
  <c r="AE3" i="7" s="1"/>
  <c r="AD3" i="7" s="1"/>
  <c r="AC3" i="7" s="1"/>
  <c r="AB3" i="7" s="1"/>
  <c r="AA3" i="7" s="1"/>
  <c r="Z3" i="7" s="1"/>
  <c r="Y3" i="7" s="1"/>
  <c r="X3" i="7" s="1"/>
  <c r="W3" i="7" s="1"/>
  <c r="V3" i="7" s="1"/>
  <c r="U3" i="7" s="1"/>
  <c r="T3" i="7" s="1"/>
  <c r="S3" i="7" s="1"/>
  <c r="R3" i="7" s="1"/>
  <c r="Q3" i="7" s="1"/>
  <c r="P3" i="7" s="1"/>
  <c r="O3" i="7" s="1"/>
  <c r="N3" i="7" s="1"/>
  <c r="M3" i="7" s="1"/>
  <c r="L3" i="7" s="1"/>
  <c r="K3" i="7" s="1"/>
  <c r="J3" i="7" s="1"/>
  <c r="I3" i="7" s="1"/>
  <c r="H3" i="7" s="1"/>
  <c r="G3" i="7" s="1"/>
  <c r="F3" i="7" s="1"/>
  <c r="E3" i="7" s="1"/>
  <c r="D3" i="7" s="1"/>
  <c r="C3" i="7" s="1"/>
  <c r="CY5" i="7"/>
  <c r="CX5" i="7" s="1"/>
  <c r="CW5" i="7" s="1"/>
  <c r="CV5" i="7" s="1"/>
  <c r="CU5" i="7" s="1"/>
  <c r="CT5" i="7" s="1"/>
  <c r="CS5" i="7" s="1"/>
  <c r="CR5" i="7" s="1"/>
  <c r="CQ5" i="7" s="1"/>
  <c r="CP5" i="7" s="1"/>
  <c r="CO5" i="7" s="1"/>
  <c r="CN5" i="7" s="1"/>
  <c r="CM5" i="7" s="1"/>
  <c r="CL5" i="7" s="1"/>
  <c r="CK5" i="7" s="1"/>
  <c r="CJ5" i="7" s="1"/>
  <c r="CI5" i="7" s="1"/>
  <c r="CH5" i="7" s="1"/>
  <c r="CG5" i="7" s="1"/>
  <c r="CF5" i="7" s="1"/>
  <c r="CE5" i="7" s="1"/>
  <c r="CD5" i="7" s="1"/>
  <c r="CC5" i="7" s="1"/>
  <c r="CB5" i="7" s="1"/>
  <c r="CA5" i="7" s="1"/>
  <c r="BZ5" i="7" s="1"/>
  <c r="BY5" i="7" s="1"/>
  <c r="BX5" i="7" s="1"/>
  <c r="BW5" i="7" s="1"/>
  <c r="BV5" i="7" s="1"/>
  <c r="BU5" i="7" s="1"/>
  <c r="BT5" i="7" s="1"/>
  <c r="BS5" i="7" s="1"/>
  <c r="BR5" i="7" s="1"/>
  <c r="BQ5" i="7" s="1"/>
  <c r="BP5" i="7" s="1"/>
  <c r="BO5" i="7" s="1"/>
  <c r="BN5" i="7" s="1"/>
  <c r="BM5" i="7" s="1"/>
  <c r="BL5" i="7" s="1"/>
  <c r="BK5" i="7" s="1"/>
  <c r="BJ5" i="7" s="1"/>
  <c r="BI5" i="7" s="1"/>
  <c r="BH5" i="7" s="1"/>
  <c r="BG5" i="7" s="1"/>
  <c r="BF5" i="7" s="1"/>
  <c r="BE5" i="7" s="1"/>
  <c r="BD5" i="7" s="1"/>
  <c r="BC5" i="7" s="1"/>
  <c r="BB5" i="7" s="1"/>
  <c r="BA5" i="7" s="1"/>
  <c r="AZ5" i="7" s="1"/>
  <c r="AY5" i="7" s="1"/>
  <c r="AX5" i="7" s="1"/>
  <c r="AW5" i="7" s="1"/>
  <c r="AV5" i="7" s="1"/>
  <c r="AU5" i="7" s="1"/>
  <c r="AT5" i="7" s="1"/>
  <c r="AS5" i="7" s="1"/>
  <c r="AR5" i="7" s="1"/>
  <c r="AQ5" i="7" s="1"/>
  <c r="AP5" i="7" s="1"/>
  <c r="AO5" i="7" s="1"/>
  <c r="AN5" i="7" s="1"/>
  <c r="AM5" i="7" s="1"/>
  <c r="AL5" i="7" s="1"/>
  <c r="AK5" i="7" s="1"/>
  <c r="AJ5" i="7" s="1"/>
  <c r="AI5" i="7" s="1"/>
  <c r="AH5" i="7" s="1"/>
  <c r="AG5" i="7" s="1"/>
  <c r="AF5" i="7" s="1"/>
  <c r="AE5" i="7" s="1"/>
  <c r="AD5" i="7" s="1"/>
  <c r="AC5" i="7" s="1"/>
  <c r="AB5" i="7" s="1"/>
  <c r="AA5" i="7" s="1"/>
  <c r="Z5" i="7" s="1"/>
  <c r="Y5" i="7" s="1"/>
  <c r="X5" i="7" s="1"/>
  <c r="W5" i="7" s="1"/>
  <c r="V5" i="7" s="1"/>
  <c r="U5" i="7" s="1"/>
  <c r="T5" i="7" s="1"/>
  <c r="S5" i="7" s="1"/>
  <c r="R5" i="7" s="1"/>
  <c r="Q5" i="7" s="1"/>
  <c r="P5" i="7" s="1"/>
  <c r="O5" i="7" s="1"/>
  <c r="N5" i="7" s="1"/>
  <c r="M5" i="7" s="1"/>
  <c r="L5" i="7" s="1"/>
  <c r="K5" i="7" s="1"/>
  <c r="J5" i="7" s="1"/>
  <c r="I5" i="7" s="1"/>
  <c r="H5" i="7" s="1"/>
  <c r="G5" i="7" s="1"/>
  <c r="F5" i="7" s="1"/>
  <c r="E5" i="7" s="1"/>
  <c r="D5" i="7" s="1"/>
  <c r="C5" i="7" s="1"/>
  <c r="CZ7" i="7"/>
  <c r="CY7" i="7" s="1"/>
  <c r="CX7" i="7" s="1"/>
  <c r="CW7" i="7" s="1"/>
  <c r="CV7" i="7" s="1"/>
  <c r="CU7" i="7" s="1"/>
  <c r="CT7" i="7" s="1"/>
  <c r="CS7" i="7" s="1"/>
  <c r="CR7" i="7" s="1"/>
  <c r="CQ7" i="7" s="1"/>
  <c r="CP7" i="7" s="1"/>
  <c r="CO7" i="7" s="1"/>
  <c r="CN7" i="7" s="1"/>
  <c r="CM7" i="7" s="1"/>
  <c r="CL7" i="7" s="1"/>
  <c r="CK7" i="7" s="1"/>
  <c r="CJ7" i="7" s="1"/>
  <c r="CI7" i="7" s="1"/>
  <c r="CH7" i="7" s="1"/>
  <c r="CG7" i="7" s="1"/>
  <c r="CF7" i="7" s="1"/>
  <c r="CE7" i="7" s="1"/>
  <c r="CD7" i="7" s="1"/>
  <c r="CC7" i="7" s="1"/>
  <c r="CB7" i="7" s="1"/>
  <c r="CA7" i="7" s="1"/>
  <c r="BZ7" i="7" s="1"/>
  <c r="BY7" i="7" s="1"/>
  <c r="BX7" i="7" s="1"/>
  <c r="BW7" i="7" s="1"/>
  <c r="BV7" i="7" s="1"/>
  <c r="BU7" i="7" s="1"/>
  <c r="BT7" i="7" s="1"/>
  <c r="BS7" i="7" s="1"/>
  <c r="BR7" i="7" s="1"/>
  <c r="BQ7" i="7" s="1"/>
  <c r="BP7" i="7" s="1"/>
  <c r="BO7" i="7" s="1"/>
  <c r="BN7" i="7" s="1"/>
  <c r="BM7" i="7" s="1"/>
  <c r="BL7" i="7" s="1"/>
  <c r="BK7" i="7" s="1"/>
  <c r="BJ7" i="7" s="1"/>
  <c r="BI7" i="7" s="1"/>
  <c r="BH7" i="7" s="1"/>
  <c r="BG7" i="7" s="1"/>
  <c r="BF7" i="7" s="1"/>
  <c r="BE7" i="7" s="1"/>
  <c r="BD7" i="7" s="1"/>
  <c r="BC7" i="7" s="1"/>
  <c r="BB7" i="7" s="1"/>
  <c r="BA7" i="7" s="1"/>
  <c r="AZ7" i="7" s="1"/>
  <c r="AY7" i="7" s="1"/>
  <c r="AX7" i="7" s="1"/>
  <c r="AW7" i="7" s="1"/>
  <c r="AV7" i="7" s="1"/>
  <c r="AU7" i="7" s="1"/>
  <c r="AT7" i="7" s="1"/>
  <c r="AS7" i="7" s="1"/>
  <c r="AR7" i="7" s="1"/>
  <c r="AQ7" i="7" s="1"/>
  <c r="AP7" i="7" s="1"/>
  <c r="AO7" i="7" s="1"/>
  <c r="AN7" i="7" s="1"/>
  <c r="AM7" i="7" s="1"/>
  <c r="AL7" i="7" s="1"/>
  <c r="AK7" i="7" s="1"/>
  <c r="AJ7" i="7" s="1"/>
  <c r="AI7" i="7" s="1"/>
  <c r="AH7" i="7" s="1"/>
  <c r="AG7" i="7" s="1"/>
  <c r="AF7" i="7" s="1"/>
  <c r="AE7" i="7" s="1"/>
  <c r="AD7" i="7" s="1"/>
  <c r="AC7" i="7" s="1"/>
  <c r="AB7" i="7" s="1"/>
  <c r="AA7" i="7" s="1"/>
  <c r="Z7" i="7" s="1"/>
  <c r="Y7" i="7" s="1"/>
  <c r="X7" i="7" s="1"/>
  <c r="W7" i="7" s="1"/>
  <c r="V7" i="7" s="1"/>
  <c r="U7" i="7" s="1"/>
  <c r="T7" i="7" s="1"/>
  <c r="S7" i="7" s="1"/>
  <c r="R7" i="7" s="1"/>
  <c r="Q7" i="7" s="1"/>
  <c r="P7" i="7" s="1"/>
  <c r="O7" i="7" s="1"/>
  <c r="N7" i="7" s="1"/>
  <c r="M7" i="7" s="1"/>
  <c r="L7" i="7" s="1"/>
  <c r="K7" i="7" s="1"/>
  <c r="J7" i="7" s="1"/>
  <c r="I7" i="7" s="1"/>
  <c r="H7" i="7" s="1"/>
  <c r="G7" i="7" s="1"/>
  <c r="F7" i="7" s="1"/>
  <c r="E7" i="7" s="1"/>
  <c r="D7" i="7" s="1"/>
  <c r="C7" i="7" s="1"/>
  <c r="AB8" i="7"/>
  <c r="AA8" i="7" s="1"/>
  <c r="Z8" i="7" s="1"/>
  <c r="Y8" i="7" s="1"/>
  <c r="X8" i="7" s="1"/>
  <c r="W8" i="7" s="1"/>
  <c r="V8" i="7" s="1"/>
  <c r="U8" i="7" s="1"/>
  <c r="T8" i="7" s="1"/>
  <c r="S8" i="7" s="1"/>
  <c r="R8" i="7" s="1"/>
  <c r="Q8" i="7" s="1"/>
  <c r="P8" i="7" s="1"/>
  <c r="O8" i="7" s="1"/>
  <c r="N8" i="7" s="1"/>
  <c r="M8" i="7" s="1"/>
  <c r="L8" i="7" s="1"/>
  <c r="K8" i="7" s="1"/>
  <c r="J8" i="7" s="1"/>
  <c r="I8" i="7" s="1"/>
  <c r="H8" i="7" s="1"/>
  <c r="G8" i="7" s="1"/>
  <c r="F8" i="7" s="1"/>
  <c r="E8" i="7" s="1"/>
  <c r="D8" i="7" s="1"/>
  <c r="C8" i="7" s="1"/>
  <c r="CY4" i="7"/>
  <c r="CX4" i="7" s="1"/>
  <c r="CW4" i="7" s="1"/>
  <c r="CV4" i="7" s="1"/>
  <c r="CU4" i="7" s="1"/>
  <c r="CT4" i="7" s="1"/>
  <c r="CS4" i="7" s="1"/>
  <c r="CR4" i="7" s="1"/>
  <c r="CQ4" i="7" s="1"/>
  <c r="CP4" i="7" s="1"/>
  <c r="CO4" i="7" s="1"/>
  <c r="CN4" i="7" s="1"/>
  <c r="CM4" i="7" s="1"/>
  <c r="CL4" i="7" s="1"/>
  <c r="CK4" i="7" s="1"/>
  <c r="CJ4" i="7" s="1"/>
  <c r="CI4" i="7" s="1"/>
  <c r="CH4" i="7" s="1"/>
  <c r="CG4" i="7" s="1"/>
  <c r="CF4" i="7" s="1"/>
  <c r="CE4" i="7" s="1"/>
  <c r="CD4" i="7" s="1"/>
  <c r="CC4" i="7" s="1"/>
  <c r="CB4" i="7" s="1"/>
  <c r="CA4" i="7" s="1"/>
  <c r="BZ4" i="7" s="1"/>
  <c r="BY4" i="7" s="1"/>
  <c r="BX4" i="7" s="1"/>
  <c r="BW4" i="7" s="1"/>
  <c r="BV4" i="7" s="1"/>
  <c r="BU4" i="7" s="1"/>
  <c r="BT4" i="7" s="1"/>
  <c r="BS4" i="7" s="1"/>
  <c r="BR4" i="7" s="1"/>
  <c r="BQ4" i="7" s="1"/>
  <c r="BP4" i="7" s="1"/>
  <c r="BO4" i="7" s="1"/>
  <c r="BN4" i="7" s="1"/>
  <c r="BM4" i="7" s="1"/>
  <c r="BL4" i="7" s="1"/>
  <c r="BK4" i="7" s="1"/>
  <c r="BJ4" i="7" s="1"/>
  <c r="BI4" i="7" s="1"/>
  <c r="BH4" i="7" s="1"/>
  <c r="BG4" i="7" s="1"/>
  <c r="BF4" i="7" s="1"/>
  <c r="BE4" i="7" s="1"/>
  <c r="BD4" i="7" s="1"/>
  <c r="BC4" i="7" s="1"/>
  <c r="BB4" i="7" s="1"/>
  <c r="BA4" i="7" s="1"/>
  <c r="AZ4" i="7" s="1"/>
  <c r="AY4" i="7" s="1"/>
  <c r="AX4" i="7" s="1"/>
  <c r="AW4" i="7" s="1"/>
  <c r="AV4" i="7" s="1"/>
  <c r="AU4" i="7" s="1"/>
  <c r="AT4" i="7" s="1"/>
  <c r="AS4" i="7" s="1"/>
  <c r="AR4" i="7" s="1"/>
  <c r="AQ4" i="7" s="1"/>
  <c r="AP4" i="7" s="1"/>
  <c r="AO4" i="7" s="1"/>
  <c r="AN4" i="7" s="1"/>
  <c r="AM4" i="7" s="1"/>
  <c r="AL4" i="7" s="1"/>
  <c r="AK4" i="7" s="1"/>
  <c r="AJ4" i="7" s="1"/>
  <c r="AI4" i="7" s="1"/>
  <c r="AH4" i="7" s="1"/>
  <c r="AG4" i="7" s="1"/>
  <c r="AF4" i="7" s="1"/>
  <c r="AE4" i="7" s="1"/>
  <c r="AD4" i="7" s="1"/>
  <c r="AC4" i="7" s="1"/>
  <c r="AB4" i="7" s="1"/>
  <c r="AA4" i="7" s="1"/>
  <c r="Z4" i="7" s="1"/>
  <c r="Y4" i="7" s="1"/>
  <c r="X4" i="7" s="1"/>
  <c r="W4" i="7" s="1"/>
  <c r="V4" i="7" s="1"/>
  <c r="U4" i="7" s="1"/>
  <c r="T4" i="7" s="1"/>
  <c r="S4" i="7" s="1"/>
  <c r="R4" i="7" s="1"/>
  <c r="Q4" i="7" s="1"/>
  <c r="P4" i="7" s="1"/>
  <c r="O4" i="7" s="1"/>
  <c r="N4" i="7" s="1"/>
  <c r="M4" i="7" s="1"/>
  <c r="L4" i="7" s="1"/>
  <c r="K4" i="7" s="1"/>
  <c r="J4" i="7" s="1"/>
  <c r="I4" i="7" s="1"/>
  <c r="H4" i="7" s="1"/>
  <c r="G4" i="7" s="1"/>
  <c r="F4" i="7" s="1"/>
  <c r="E4" i="7" s="1"/>
  <c r="D4" i="7" s="1"/>
  <c r="C4" i="7" s="1"/>
  <c r="AR25" i="7"/>
  <c r="AQ25" i="7" s="1"/>
  <c r="AP25" i="7" s="1"/>
  <c r="AO25" i="7" s="1"/>
  <c r="AN25" i="7" s="1"/>
  <c r="AM25" i="7" s="1"/>
  <c r="AL25" i="7" s="1"/>
  <c r="AK25" i="7" s="1"/>
  <c r="AJ25" i="7" s="1"/>
  <c r="AI25" i="7" s="1"/>
  <c r="AH25" i="7" s="1"/>
  <c r="AG25" i="7" s="1"/>
  <c r="AF25" i="7" s="1"/>
  <c r="AE25" i="7" s="1"/>
  <c r="AD25" i="7" s="1"/>
  <c r="AC25" i="7" s="1"/>
  <c r="AB25" i="7" s="1"/>
  <c r="AA25" i="7" s="1"/>
  <c r="Z25" i="7" s="1"/>
  <c r="Y25" i="7" s="1"/>
  <c r="X25" i="7" s="1"/>
  <c r="W25" i="7" s="1"/>
  <c r="V25" i="7" s="1"/>
  <c r="U25" i="7" s="1"/>
  <c r="T25" i="7" s="1"/>
  <c r="S25" i="7" s="1"/>
  <c r="R25" i="7" s="1"/>
  <c r="Q25" i="7" s="1"/>
  <c r="P25" i="7" s="1"/>
  <c r="O25" i="7" s="1"/>
  <c r="N25" i="7" s="1"/>
  <c r="M25" i="7" s="1"/>
  <c r="L25" i="7" s="1"/>
  <c r="K25" i="7" s="1"/>
  <c r="J25" i="7" s="1"/>
  <c r="I25" i="7" s="1"/>
  <c r="H25" i="7" s="1"/>
  <c r="G25" i="7" s="1"/>
  <c r="F25" i="7" s="1"/>
  <c r="E25" i="7" s="1"/>
  <c r="D25" i="7" s="1"/>
  <c r="C25" i="7" s="1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B9" i="18"/>
  <c r="AH6" i="8"/>
  <c r="AI6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BA6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DH6" i="8"/>
  <c r="DI6" i="8"/>
  <c r="DJ6" i="8"/>
  <c r="DK6" i="8"/>
  <c r="DL6" i="8"/>
  <c r="DM6" i="8"/>
  <c r="DN6" i="8"/>
  <c r="DO6" i="8"/>
  <c r="DP6" i="8"/>
  <c r="DQ6" i="8"/>
  <c r="DR6" i="8"/>
  <c r="DS6" i="8"/>
  <c r="DT6" i="8"/>
  <c r="DU6" i="8"/>
  <c r="DV6" i="8"/>
  <c r="DW6" i="8"/>
  <c r="DX6" i="8"/>
  <c r="DY6" i="8"/>
  <c r="DZ6" i="8"/>
  <c r="EA6" i="8"/>
  <c r="EB6" i="8"/>
  <c r="EC6" i="8"/>
  <c r="ED6" i="8"/>
  <c r="EE6" i="8"/>
  <c r="EF6" i="8"/>
  <c r="EG6" i="8"/>
  <c r="EH6" i="8"/>
  <c r="EI6" i="8"/>
  <c r="EJ6" i="8"/>
  <c r="EK6" i="8"/>
  <c r="EL6" i="8"/>
  <c r="EM6" i="8"/>
  <c r="EN6" i="8"/>
  <c r="EO6" i="8"/>
  <c r="EP6" i="8"/>
  <c r="EQ6" i="8"/>
  <c r="ER6" i="8"/>
  <c r="ES6" i="8"/>
  <c r="ET6" i="8"/>
  <c r="EU6" i="8"/>
  <c r="EV6" i="8"/>
  <c r="EW6" i="8"/>
  <c r="EX6" i="8"/>
  <c r="EY6" i="8"/>
  <c r="EZ6" i="8"/>
  <c r="FA6" i="8"/>
  <c r="FB6" i="8"/>
  <c r="FC6" i="8"/>
  <c r="FD6" i="8"/>
  <c r="FE6" i="8"/>
  <c r="FF6" i="8"/>
  <c r="FG6" i="8"/>
  <c r="FH6" i="8"/>
  <c r="FI6" i="8"/>
  <c r="FJ6" i="8"/>
  <c r="FK6" i="8"/>
  <c r="FL6" i="8"/>
  <c r="FM6" i="8"/>
  <c r="FN6" i="8"/>
  <c r="FO6" i="8"/>
  <c r="FP6" i="8"/>
  <c r="FQ6" i="8"/>
  <c r="FR6" i="8"/>
  <c r="FS6" i="8"/>
  <c r="FT6" i="8"/>
  <c r="FU6" i="8"/>
  <c r="FV6" i="8"/>
  <c r="FW6" i="8"/>
  <c r="FX6" i="8"/>
  <c r="FY6" i="8"/>
  <c r="FZ6" i="8"/>
  <c r="GA6" i="8"/>
  <c r="GB6" i="8"/>
  <c r="GC6" i="8"/>
  <c r="GD6" i="8"/>
  <c r="GE6" i="8"/>
  <c r="GF6" i="8"/>
  <c r="GG6" i="8"/>
  <c r="GH6" i="8"/>
  <c r="GI6" i="8"/>
  <c r="GJ6" i="8"/>
  <c r="GK6" i="8"/>
  <c r="GL6" i="8"/>
  <c r="GM6" i="8"/>
  <c r="GN6" i="8"/>
  <c r="GO6" i="8"/>
  <c r="GP6" i="8"/>
  <c r="GQ6" i="8"/>
  <c r="GR6" i="8"/>
  <c r="GS6" i="8"/>
  <c r="GT6" i="8"/>
  <c r="GU6" i="8"/>
  <c r="GV6" i="8"/>
  <c r="GW6" i="8"/>
  <c r="GX6" i="8"/>
  <c r="GY6" i="8"/>
  <c r="GZ6" i="8"/>
  <c r="HA6" i="8"/>
  <c r="HB6" i="8"/>
  <c r="HC6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W9" i="8"/>
  <c r="CX9" i="8"/>
  <c r="CY9" i="8"/>
  <c r="CZ9" i="8"/>
  <c r="DA9" i="8"/>
  <c r="DB9" i="8"/>
  <c r="DC9" i="8"/>
  <c r="DD9" i="8"/>
  <c r="DE9" i="8"/>
  <c r="DF9" i="8"/>
  <c r="DG9" i="8"/>
  <c r="DH9" i="8"/>
  <c r="DI9" i="8"/>
  <c r="DJ9" i="8"/>
  <c r="DK9" i="8"/>
  <c r="DL9" i="8"/>
  <c r="DM9" i="8"/>
  <c r="DN9" i="8"/>
  <c r="DO9" i="8"/>
  <c r="DP9" i="8"/>
  <c r="DQ9" i="8"/>
  <c r="DR9" i="8"/>
  <c r="DS9" i="8"/>
  <c r="DT9" i="8"/>
  <c r="DU9" i="8"/>
  <c r="DV9" i="8"/>
  <c r="DW9" i="8"/>
  <c r="DX9" i="8"/>
  <c r="DY9" i="8"/>
  <c r="DZ9" i="8"/>
  <c r="EA9" i="8"/>
  <c r="EB9" i="8"/>
  <c r="EC9" i="8"/>
  <c r="ED9" i="8"/>
  <c r="EE9" i="8"/>
  <c r="EF9" i="8"/>
  <c r="EG9" i="8"/>
  <c r="EH9" i="8"/>
  <c r="EI9" i="8"/>
  <c r="EJ9" i="8"/>
  <c r="EK9" i="8"/>
  <c r="EL9" i="8"/>
  <c r="EM9" i="8"/>
  <c r="EN9" i="8"/>
  <c r="EO9" i="8"/>
  <c r="EP9" i="8"/>
  <c r="EQ9" i="8"/>
  <c r="ER9" i="8"/>
  <c r="ES9" i="8"/>
  <c r="ET9" i="8"/>
  <c r="EU9" i="8"/>
  <c r="EV9" i="8"/>
  <c r="EW9" i="8"/>
  <c r="EX9" i="8"/>
  <c r="EY9" i="8"/>
  <c r="EZ9" i="8"/>
  <c r="FA9" i="8"/>
  <c r="FB9" i="8"/>
  <c r="FC9" i="8"/>
  <c r="FD9" i="8"/>
  <c r="FE9" i="8"/>
  <c r="FF9" i="8"/>
  <c r="FG9" i="8"/>
  <c r="FH9" i="8"/>
  <c r="FI9" i="8"/>
  <c r="FJ9" i="8"/>
  <c r="FK9" i="8"/>
  <c r="FL9" i="8"/>
  <c r="FM9" i="8"/>
  <c r="FN9" i="8"/>
  <c r="FO9" i="8"/>
  <c r="FP9" i="8"/>
  <c r="FQ9" i="8"/>
  <c r="FR9" i="8"/>
  <c r="FS9" i="8"/>
  <c r="FT9" i="8"/>
  <c r="FU9" i="8"/>
  <c r="FV9" i="8"/>
  <c r="FW9" i="8"/>
  <c r="FX9" i="8"/>
  <c r="FY9" i="8"/>
  <c r="FZ9" i="8"/>
  <c r="GA9" i="8"/>
  <c r="GB9" i="8"/>
  <c r="GC9" i="8"/>
  <c r="GD9" i="8"/>
  <c r="GE9" i="8"/>
  <c r="GF9" i="8"/>
  <c r="GG9" i="8"/>
  <c r="GH9" i="8"/>
  <c r="GI9" i="8"/>
  <c r="GJ9" i="8"/>
  <c r="GK9" i="8"/>
  <c r="GL9" i="8"/>
  <c r="GM9" i="8"/>
  <c r="GN9" i="8"/>
  <c r="GO9" i="8"/>
  <c r="GP9" i="8"/>
  <c r="GQ9" i="8"/>
  <c r="GR9" i="8"/>
  <c r="GS9" i="8"/>
  <c r="GT9" i="8"/>
  <c r="GU9" i="8"/>
  <c r="GV9" i="8"/>
  <c r="GW9" i="8"/>
  <c r="GX9" i="8"/>
  <c r="GY9" i="8"/>
  <c r="GZ9" i="8"/>
  <c r="HA9" i="8"/>
  <c r="HB9" i="8"/>
  <c r="HC9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CV10" i="8"/>
  <c r="CW10" i="8"/>
  <c r="CX10" i="8"/>
  <c r="CY10" i="8"/>
  <c r="CZ10" i="8"/>
  <c r="DA10" i="8"/>
  <c r="DB10" i="8"/>
  <c r="DC10" i="8"/>
  <c r="DD10" i="8"/>
  <c r="DE10" i="8"/>
  <c r="DF10" i="8"/>
  <c r="DG10" i="8"/>
  <c r="DH10" i="8"/>
  <c r="DI10" i="8"/>
  <c r="DJ10" i="8"/>
  <c r="DK10" i="8"/>
  <c r="DL10" i="8"/>
  <c r="DM10" i="8"/>
  <c r="DN10" i="8"/>
  <c r="DO10" i="8"/>
  <c r="DP10" i="8"/>
  <c r="DQ10" i="8"/>
  <c r="DR10" i="8"/>
  <c r="DS10" i="8"/>
  <c r="DT10" i="8"/>
  <c r="DU10" i="8"/>
  <c r="DV10" i="8"/>
  <c r="DW10" i="8"/>
  <c r="DX10" i="8"/>
  <c r="DY10" i="8"/>
  <c r="DZ10" i="8"/>
  <c r="EA10" i="8"/>
  <c r="EB10" i="8"/>
  <c r="EC10" i="8"/>
  <c r="ED10" i="8"/>
  <c r="EE10" i="8"/>
  <c r="EF10" i="8"/>
  <c r="EG10" i="8"/>
  <c r="EH10" i="8"/>
  <c r="EI10" i="8"/>
  <c r="EJ10" i="8"/>
  <c r="EK10" i="8"/>
  <c r="EL10" i="8"/>
  <c r="EM10" i="8"/>
  <c r="EN10" i="8"/>
  <c r="EO10" i="8"/>
  <c r="EP10" i="8"/>
  <c r="EQ10" i="8"/>
  <c r="ER10" i="8"/>
  <c r="ES10" i="8"/>
  <c r="ET10" i="8"/>
  <c r="EU10" i="8"/>
  <c r="EV10" i="8"/>
  <c r="EW10" i="8"/>
  <c r="EX10" i="8"/>
  <c r="EY10" i="8"/>
  <c r="EZ10" i="8"/>
  <c r="FA10" i="8"/>
  <c r="FB10" i="8"/>
  <c r="FC10" i="8"/>
  <c r="FD10" i="8"/>
  <c r="FE10" i="8"/>
  <c r="FF10" i="8"/>
  <c r="FG10" i="8"/>
  <c r="FH10" i="8"/>
  <c r="FI10" i="8"/>
  <c r="FJ10" i="8"/>
  <c r="FK10" i="8"/>
  <c r="FL10" i="8"/>
  <c r="FM10" i="8"/>
  <c r="FN10" i="8"/>
  <c r="FO10" i="8"/>
  <c r="FP10" i="8"/>
  <c r="FQ10" i="8"/>
  <c r="FR10" i="8"/>
  <c r="FS10" i="8"/>
  <c r="FT10" i="8"/>
  <c r="FU10" i="8"/>
  <c r="FV10" i="8"/>
  <c r="FW10" i="8"/>
  <c r="FX10" i="8"/>
  <c r="FY10" i="8"/>
  <c r="FZ10" i="8"/>
  <c r="GA10" i="8"/>
  <c r="GB10" i="8"/>
  <c r="GC10" i="8"/>
  <c r="GD10" i="8"/>
  <c r="GE10" i="8"/>
  <c r="GF10" i="8"/>
  <c r="GG10" i="8"/>
  <c r="GH10" i="8"/>
  <c r="GI10" i="8"/>
  <c r="GJ10" i="8"/>
  <c r="GK10" i="8"/>
  <c r="GL10" i="8"/>
  <c r="GM10" i="8"/>
  <c r="GN10" i="8"/>
  <c r="GO10" i="8"/>
  <c r="GP10" i="8"/>
  <c r="GQ10" i="8"/>
  <c r="GR10" i="8"/>
  <c r="GS10" i="8"/>
  <c r="GT10" i="8"/>
  <c r="GU10" i="8"/>
  <c r="GV10" i="8"/>
  <c r="GW10" i="8"/>
  <c r="GX10" i="8"/>
  <c r="GY10" i="8"/>
  <c r="GZ10" i="8"/>
  <c r="HA10" i="8"/>
  <c r="HB10" i="8"/>
  <c r="HC10" i="8"/>
  <c r="AH11" i="8"/>
  <c r="AI11" i="8"/>
  <c r="AJ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CW11" i="8"/>
  <c r="CX11" i="8"/>
  <c r="CY11" i="8"/>
  <c r="CZ11" i="8"/>
  <c r="DA11" i="8"/>
  <c r="DB11" i="8"/>
  <c r="DC11" i="8"/>
  <c r="DD11" i="8"/>
  <c r="DE11" i="8"/>
  <c r="DF11" i="8"/>
  <c r="DG11" i="8"/>
  <c r="DH11" i="8"/>
  <c r="DI11" i="8"/>
  <c r="DJ11" i="8"/>
  <c r="DK11" i="8"/>
  <c r="DL11" i="8"/>
  <c r="DM11" i="8"/>
  <c r="DN11" i="8"/>
  <c r="DO11" i="8"/>
  <c r="DP11" i="8"/>
  <c r="DQ11" i="8"/>
  <c r="DR11" i="8"/>
  <c r="DS11" i="8"/>
  <c r="DT11" i="8"/>
  <c r="DU11" i="8"/>
  <c r="DV11" i="8"/>
  <c r="DW11" i="8"/>
  <c r="DX11" i="8"/>
  <c r="DY11" i="8"/>
  <c r="DZ11" i="8"/>
  <c r="EA11" i="8"/>
  <c r="EB11" i="8"/>
  <c r="EC11" i="8"/>
  <c r="ED11" i="8"/>
  <c r="EE11" i="8"/>
  <c r="EF11" i="8"/>
  <c r="EG11" i="8"/>
  <c r="EH11" i="8"/>
  <c r="EI11" i="8"/>
  <c r="EJ11" i="8"/>
  <c r="EK11" i="8"/>
  <c r="EL11" i="8"/>
  <c r="EM11" i="8"/>
  <c r="EN11" i="8"/>
  <c r="EO11" i="8"/>
  <c r="EP11" i="8"/>
  <c r="EQ11" i="8"/>
  <c r="ER11" i="8"/>
  <c r="ES11" i="8"/>
  <c r="ET11" i="8"/>
  <c r="EU11" i="8"/>
  <c r="EV11" i="8"/>
  <c r="EW11" i="8"/>
  <c r="EX11" i="8"/>
  <c r="EY11" i="8"/>
  <c r="EZ11" i="8"/>
  <c r="FA11" i="8"/>
  <c r="FB11" i="8"/>
  <c r="FC11" i="8"/>
  <c r="FD11" i="8"/>
  <c r="FE11" i="8"/>
  <c r="FF11" i="8"/>
  <c r="FG11" i="8"/>
  <c r="FH11" i="8"/>
  <c r="FI11" i="8"/>
  <c r="FJ11" i="8"/>
  <c r="FK11" i="8"/>
  <c r="FL11" i="8"/>
  <c r="FM11" i="8"/>
  <c r="FN11" i="8"/>
  <c r="FO11" i="8"/>
  <c r="FP11" i="8"/>
  <c r="FQ11" i="8"/>
  <c r="FR11" i="8"/>
  <c r="FS11" i="8"/>
  <c r="FT11" i="8"/>
  <c r="FU11" i="8"/>
  <c r="FV11" i="8"/>
  <c r="FW11" i="8"/>
  <c r="FX11" i="8"/>
  <c r="FY11" i="8"/>
  <c r="FZ11" i="8"/>
  <c r="GA11" i="8"/>
  <c r="GB11" i="8"/>
  <c r="GC11" i="8"/>
  <c r="GD11" i="8"/>
  <c r="GE11" i="8"/>
  <c r="GF11" i="8"/>
  <c r="GG11" i="8"/>
  <c r="GH11" i="8"/>
  <c r="GI11" i="8"/>
  <c r="GJ11" i="8"/>
  <c r="GK11" i="8"/>
  <c r="GL11" i="8"/>
  <c r="GM11" i="8"/>
  <c r="GN11" i="8"/>
  <c r="GO11" i="8"/>
  <c r="GP11" i="8"/>
  <c r="GQ11" i="8"/>
  <c r="GR11" i="8"/>
  <c r="GS11" i="8"/>
  <c r="GT11" i="8"/>
  <c r="GU11" i="8"/>
  <c r="GV11" i="8"/>
  <c r="GW11" i="8"/>
  <c r="GX11" i="8"/>
  <c r="GY11" i="8"/>
  <c r="GZ11" i="8"/>
  <c r="HA11" i="8"/>
  <c r="HB11" i="8"/>
  <c r="HC11" i="8"/>
  <c r="AH12" i="8"/>
  <c r="AI12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BA12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CX12" i="8"/>
  <c r="CY12" i="8"/>
  <c r="CZ12" i="8"/>
  <c r="DA12" i="8"/>
  <c r="DB12" i="8"/>
  <c r="DC12" i="8"/>
  <c r="DD12" i="8"/>
  <c r="DE12" i="8"/>
  <c r="DF12" i="8"/>
  <c r="DG12" i="8"/>
  <c r="DH12" i="8"/>
  <c r="DI12" i="8"/>
  <c r="DJ12" i="8"/>
  <c r="DK12" i="8"/>
  <c r="DL12" i="8"/>
  <c r="DM12" i="8"/>
  <c r="DN12" i="8"/>
  <c r="DO12" i="8"/>
  <c r="DP12" i="8"/>
  <c r="DQ12" i="8"/>
  <c r="DR12" i="8"/>
  <c r="DS12" i="8"/>
  <c r="DT12" i="8"/>
  <c r="DU12" i="8"/>
  <c r="DV12" i="8"/>
  <c r="DW12" i="8"/>
  <c r="DX12" i="8"/>
  <c r="DY12" i="8"/>
  <c r="DZ12" i="8"/>
  <c r="EA12" i="8"/>
  <c r="EB12" i="8"/>
  <c r="EC12" i="8"/>
  <c r="ED12" i="8"/>
  <c r="EE12" i="8"/>
  <c r="EF12" i="8"/>
  <c r="EG12" i="8"/>
  <c r="EH12" i="8"/>
  <c r="EI12" i="8"/>
  <c r="EJ12" i="8"/>
  <c r="EK12" i="8"/>
  <c r="EL12" i="8"/>
  <c r="EM12" i="8"/>
  <c r="EN12" i="8"/>
  <c r="EO12" i="8"/>
  <c r="EP12" i="8"/>
  <c r="EQ12" i="8"/>
  <c r="ER12" i="8"/>
  <c r="ES12" i="8"/>
  <c r="ET12" i="8"/>
  <c r="EU12" i="8"/>
  <c r="EV12" i="8"/>
  <c r="EW12" i="8"/>
  <c r="EX12" i="8"/>
  <c r="EY12" i="8"/>
  <c r="EZ12" i="8"/>
  <c r="FA12" i="8"/>
  <c r="FB12" i="8"/>
  <c r="FC12" i="8"/>
  <c r="FD12" i="8"/>
  <c r="FE12" i="8"/>
  <c r="FF12" i="8"/>
  <c r="FG12" i="8"/>
  <c r="FH12" i="8"/>
  <c r="FI12" i="8"/>
  <c r="FJ12" i="8"/>
  <c r="FK12" i="8"/>
  <c r="FL12" i="8"/>
  <c r="FM12" i="8"/>
  <c r="FN12" i="8"/>
  <c r="FO12" i="8"/>
  <c r="FP12" i="8"/>
  <c r="FQ12" i="8"/>
  <c r="FR12" i="8"/>
  <c r="FS12" i="8"/>
  <c r="FT12" i="8"/>
  <c r="FU12" i="8"/>
  <c r="FV12" i="8"/>
  <c r="FW12" i="8"/>
  <c r="FX12" i="8"/>
  <c r="FY12" i="8"/>
  <c r="FZ12" i="8"/>
  <c r="GA12" i="8"/>
  <c r="GB12" i="8"/>
  <c r="GC12" i="8"/>
  <c r="GD12" i="8"/>
  <c r="GE12" i="8"/>
  <c r="GF12" i="8"/>
  <c r="GG12" i="8"/>
  <c r="GH12" i="8"/>
  <c r="GI12" i="8"/>
  <c r="GJ12" i="8"/>
  <c r="GK12" i="8"/>
  <c r="GL12" i="8"/>
  <c r="GM12" i="8"/>
  <c r="GN12" i="8"/>
  <c r="GO12" i="8"/>
  <c r="GP12" i="8"/>
  <c r="GQ12" i="8"/>
  <c r="GR12" i="8"/>
  <c r="GS12" i="8"/>
  <c r="GT12" i="8"/>
  <c r="GU12" i="8"/>
  <c r="GV12" i="8"/>
  <c r="GW12" i="8"/>
  <c r="GX12" i="8"/>
  <c r="GY12" i="8"/>
  <c r="GZ12" i="8"/>
  <c r="HA12" i="8"/>
  <c r="HB12" i="8"/>
  <c r="HC12" i="8"/>
  <c r="AH13" i="8"/>
  <c r="AI13" i="8"/>
  <c r="AJ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CX13" i="8"/>
  <c r="CY13" i="8"/>
  <c r="CZ13" i="8"/>
  <c r="DA13" i="8"/>
  <c r="DB13" i="8"/>
  <c r="DC13" i="8"/>
  <c r="DD13" i="8"/>
  <c r="DE13" i="8"/>
  <c r="DF13" i="8"/>
  <c r="DG13" i="8"/>
  <c r="DH13" i="8"/>
  <c r="DI13" i="8"/>
  <c r="DJ13" i="8"/>
  <c r="DK13" i="8"/>
  <c r="DL13" i="8"/>
  <c r="DM13" i="8"/>
  <c r="DN13" i="8"/>
  <c r="DO13" i="8"/>
  <c r="DP13" i="8"/>
  <c r="DQ13" i="8"/>
  <c r="DR13" i="8"/>
  <c r="DS13" i="8"/>
  <c r="DT13" i="8"/>
  <c r="DU13" i="8"/>
  <c r="DV13" i="8"/>
  <c r="DW13" i="8"/>
  <c r="DX13" i="8"/>
  <c r="DY13" i="8"/>
  <c r="DZ13" i="8"/>
  <c r="EA13" i="8"/>
  <c r="EB13" i="8"/>
  <c r="EC13" i="8"/>
  <c r="ED13" i="8"/>
  <c r="EE13" i="8"/>
  <c r="EF13" i="8"/>
  <c r="EG13" i="8"/>
  <c r="EH13" i="8"/>
  <c r="EI13" i="8"/>
  <c r="EJ13" i="8"/>
  <c r="EK13" i="8"/>
  <c r="EL13" i="8"/>
  <c r="EM13" i="8"/>
  <c r="EN13" i="8"/>
  <c r="EO13" i="8"/>
  <c r="EP13" i="8"/>
  <c r="EQ13" i="8"/>
  <c r="ER13" i="8"/>
  <c r="ES13" i="8"/>
  <c r="ET13" i="8"/>
  <c r="EU13" i="8"/>
  <c r="EV13" i="8"/>
  <c r="EW13" i="8"/>
  <c r="EX13" i="8"/>
  <c r="EY13" i="8"/>
  <c r="EZ13" i="8"/>
  <c r="FA13" i="8"/>
  <c r="FB13" i="8"/>
  <c r="FC13" i="8"/>
  <c r="FD13" i="8"/>
  <c r="FE13" i="8"/>
  <c r="FF13" i="8"/>
  <c r="FG13" i="8"/>
  <c r="FH13" i="8"/>
  <c r="FI13" i="8"/>
  <c r="FJ13" i="8"/>
  <c r="FK13" i="8"/>
  <c r="FL13" i="8"/>
  <c r="FM13" i="8"/>
  <c r="FN13" i="8"/>
  <c r="FO13" i="8"/>
  <c r="FP13" i="8"/>
  <c r="FQ13" i="8"/>
  <c r="FR13" i="8"/>
  <c r="FS13" i="8"/>
  <c r="FT13" i="8"/>
  <c r="FU13" i="8"/>
  <c r="FV13" i="8"/>
  <c r="FW13" i="8"/>
  <c r="FX13" i="8"/>
  <c r="FY13" i="8"/>
  <c r="FZ13" i="8"/>
  <c r="GA13" i="8"/>
  <c r="GB13" i="8"/>
  <c r="GC13" i="8"/>
  <c r="GD13" i="8"/>
  <c r="GE13" i="8"/>
  <c r="GF13" i="8"/>
  <c r="GG13" i="8"/>
  <c r="GH13" i="8"/>
  <c r="GI13" i="8"/>
  <c r="GJ13" i="8"/>
  <c r="GK13" i="8"/>
  <c r="GL13" i="8"/>
  <c r="GM13" i="8"/>
  <c r="GN13" i="8"/>
  <c r="GO13" i="8"/>
  <c r="GP13" i="8"/>
  <c r="GQ13" i="8"/>
  <c r="GR13" i="8"/>
  <c r="GS13" i="8"/>
  <c r="GT13" i="8"/>
  <c r="GU13" i="8"/>
  <c r="GV13" i="8"/>
  <c r="GW13" i="8"/>
  <c r="GX13" i="8"/>
  <c r="GY13" i="8"/>
  <c r="GZ13" i="8"/>
  <c r="HA13" i="8"/>
  <c r="HB13" i="8"/>
  <c r="HC13" i="8"/>
  <c r="AH14" i="8"/>
  <c r="AI14" i="8"/>
  <c r="AJ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BA14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CW14" i="8"/>
  <c r="CX14" i="8"/>
  <c r="CY14" i="8"/>
  <c r="CZ14" i="8"/>
  <c r="DA14" i="8"/>
  <c r="DB14" i="8"/>
  <c r="DC14" i="8"/>
  <c r="DD14" i="8"/>
  <c r="DE14" i="8"/>
  <c r="DF14" i="8"/>
  <c r="DG14" i="8"/>
  <c r="DH14" i="8"/>
  <c r="DI14" i="8"/>
  <c r="DJ14" i="8"/>
  <c r="DK14" i="8"/>
  <c r="DL14" i="8"/>
  <c r="DM14" i="8"/>
  <c r="DN14" i="8"/>
  <c r="DO14" i="8"/>
  <c r="DP14" i="8"/>
  <c r="DQ14" i="8"/>
  <c r="DR14" i="8"/>
  <c r="DS14" i="8"/>
  <c r="DT14" i="8"/>
  <c r="DU14" i="8"/>
  <c r="DV14" i="8"/>
  <c r="DW14" i="8"/>
  <c r="DX14" i="8"/>
  <c r="DY14" i="8"/>
  <c r="DZ14" i="8"/>
  <c r="EA14" i="8"/>
  <c r="EB14" i="8"/>
  <c r="EC14" i="8"/>
  <c r="ED14" i="8"/>
  <c r="EE14" i="8"/>
  <c r="EF14" i="8"/>
  <c r="EG14" i="8"/>
  <c r="EH14" i="8"/>
  <c r="EI14" i="8"/>
  <c r="EJ14" i="8"/>
  <c r="EK14" i="8"/>
  <c r="EL14" i="8"/>
  <c r="EM14" i="8"/>
  <c r="EN14" i="8"/>
  <c r="EO14" i="8"/>
  <c r="EP14" i="8"/>
  <c r="EQ14" i="8"/>
  <c r="ER14" i="8"/>
  <c r="ES14" i="8"/>
  <c r="ET14" i="8"/>
  <c r="EU14" i="8"/>
  <c r="EV14" i="8"/>
  <c r="EW14" i="8"/>
  <c r="EX14" i="8"/>
  <c r="EY14" i="8"/>
  <c r="EZ14" i="8"/>
  <c r="FA14" i="8"/>
  <c r="FB14" i="8"/>
  <c r="FC14" i="8"/>
  <c r="FD14" i="8"/>
  <c r="FE14" i="8"/>
  <c r="FF14" i="8"/>
  <c r="FG14" i="8"/>
  <c r="FH14" i="8"/>
  <c r="FI14" i="8"/>
  <c r="FJ14" i="8"/>
  <c r="FK14" i="8"/>
  <c r="FL14" i="8"/>
  <c r="FM14" i="8"/>
  <c r="FN14" i="8"/>
  <c r="FO14" i="8"/>
  <c r="FP14" i="8"/>
  <c r="FQ14" i="8"/>
  <c r="FR14" i="8"/>
  <c r="FS14" i="8"/>
  <c r="FT14" i="8"/>
  <c r="FU14" i="8"/>
  <c r="FV14" i="8"/>
  <c r="FW14" i="8"/>
  <c r="FX14" i="8"/>
  <c r="FY14" i="8"/>
  <c r="FZ14" i="8"/>
  <c r="GA14" i="8"/>
  <c r="GB14" i="8"/>
  <c r="GC14" i="8"/>
  <c r="GD14" i="8"/>
  <c r="GE14" i="8"/>
  <c r="GF14" i="8"/>
  <c r="GG14" i="8"/>
  <c r="GH14" i="8"/>
  <c r="GI14" i="8"/>
  <c r="GJ14" i="8"/>
  <c r="GK14" i="8"/>
  <c r="GL14" i="8"/>
  <c r="GM14" i="8"/>
  <c r="GN14" i="8"/>
  <c r="GO14" i="8"/>
  <c r="GP14" i="8"/>
  <c r="GQ14" i="8"/>
  <c r="GR14" i="8"/>
  <c r="GS14" i="8"/>
  <c r="GT14" i="8"/>
  <c r="GU14" i="8"/>
  <c r="GV14" i="8"/>
  <c r="GW14" i="8"/>
  <c r="GX14" i="8"/>
  <c r="GY14" i="8"/>
  <c r="GZ14" i="8"/>
  <c r="HA14" i="8"/>
  <c r="HB14" i="8"/>
  <c r="HC14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BA15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CE15" i="8"/>
  <c r="CF15" i="8"/>
  <c r="CG15" i="8"/>
  <c r="CH15" i="8"/>
  <c r="CI15" i="8"/>
  <c r="CJ15" i="8"/>
  <c r="CK15" i="8"/>
  <c r="CL15" i="8"/>
  <c r="CM15" i="8"/>
  <c r="CN15" i="8"/>
  <c r="CO15" i="8"/>
  <c r="CP15" i="8"/>
  <c r="CQ15" i="8"/>
  <c r="CR15" i="8"/>
  <c r="CS15" i="8"/>
  <c r="CT15" i="8"/>
  <c r="CU15" i="8"/>
  <c r="CV15" i="8"/>
  <c r="CW15" i="8"/>
  <c r="CX15" i="8"/>
  <c r="CY15" i="8"/>
  <c r="CZ15" i="8"/>
  <c r="DA15" i="8"/>
  <c r="DB15" i="8"/>
  <c r="DC15" i="8"/>
  <c r="DD15" i="8"/>
  <c r="DE15" i="8"/>
  <c r="DF15" i="8"/>
  <c r="DG15" i="8"/>
  <c r="DH15" i="8"/>
  <c r="DI15" i="8"/>
  <c r="DJ15" i="8"/>
  <c r="DK15" i="8"/>
  <c r="DL15" i="8"/>
  <c r="DM15" i="8"/>
  <c r="DN15" i="8"/>
  <c r="DO15" i="8"/>
  <c r="DP15" i="8"/>
  <c r="DQ15" i="8"/>
  <c r="DR15" i="8"/>
  <c r="DS15" i="8"/>
  <c r="DT15" i="8"/>
  <c r="DU15" i="8"/>
  <c r="DV15" i="8"/>
  <c r="DW15" i="8"/>
  <c r="DX15" i="8"/>
  <c r="DY15" i="8"/>
  <c r="DZ15" i="8"/>
  <c r="EA15" i="8"/>
  <c r="EB15" i="8"/>
  <c r="EC15" i="8"/>
  <c r="ED15" i="8"/>
  <c r="EE15" i="8"/>
  <c r="EF15" i="8"/>
  <c r="EG15" i="8"/>
  <c r="EH15" i="8"/>
  <c r="EI15" i="8"/>
  <c r="EJ15" i="8"/>
  <c r="EK15" i="8"/>
  <c r="EL15" i="8"/>
  <c r="EM15" i="8"/>
  <c r="EN15" i="8"/>
  <c r="EO15" i="8"/>
  <c r="EP15" i="8"/>
  <c r="EQ15" i="8"/>
  <c r="ER15" i="8"/>
  <c r="ES15" i="8"/>
  <c r="ET15" i="8"/>
  <c r="EU15" i="8"/>
  <c r="EV15" i="8"/>
  <c r="EW15" i="8"/>
  <c r="EX15" i="8"/>
  <c r="EY15" i="8"/>
  <c r="EZ15" i="8"/>
  <c r="FA15" i="8"/>
  <c r="FB15" i="8"/>
  <c r="FC15" i="8"/>
  <c r="FD15" i="8"/>
  <c r="FE15" i="8"/>
  <c r="FF15" i="8"/>
  <c r="FG15" i="8"/>
  <c r="FH15" i="8"/>
  <c r="FI15" i="8"/>
  <c r="FJ15" i="8"/>
  <c r="FK15" i="8"/>
  <c r="FL15" i="8"/>
  <c r="FM15" i="8"/>
  <c r="FN15" i="8"/>
  <c r="FO15" i="8"/>
  <c r="FP15" i="8"/>
  <c r="FQ15" i="8"/>
  <c r="FR15" i="8"/>
  <c r="FS15" i="8"/>
  <c r="FT15" i="8"/>
  <c r="FU15" i="8"/>
  <c r="FV15" i="8"/>
  <c r="FW15" i="8"/>
  <c r="FX15" i="8"/>
  <c r="FY15" i="8"/>
  <c r="FZ15" i="8"/>
  <c r="GA15" i="8"/>
  <c r="GB15" i="8"/>
  <c r="GC15" i="8"/>
  <c r="GD15" i="8"/>
  <c r="GE15" i="8"/>
  <c r="GF15" i="8"/>
  <c r="GG15" i="8"/>
  <c r="GH15" i="8"/>
  <c r="GI15" i="8"/>
  <c r="GJ15" i="8"/>
  <c r="GK15" i="8"/>
  <c r="GL15" i="8"/>
  <c r="GM15" i="8"/>
  <c r="GN15" i="8"/>
  <c r="GO15" i="8"/>
  <c r="GP15" i="8"/>
  <c r="GQ15" i="8"/>
  <c r="GR15" i="8"/>
  <c r="GS15" i="8"/>
  <c r="GT15" i="8"/>
  <c r="GU15" i="8"/>
  <c r="GV15" i="8"/>
  <c r="GW15" i="8"/>
  <c r="GX15" i="8"/>
  <c r="GY15" i="8"/>
  <c r="GZ15" i="8"/>
  <c r="HA15" i="8"/>
  <c r="HB15" i="8"/>
  <c r="HC15" i="8"/>
  <c r="AH16" i="8"/>
  <c r="AI16" i="8"/>
  <c r="AJ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BA16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W16" i="8"/>
  <c r="CX16" i="8"/>
  <c r="CY16" i="8"/>
  <c r="CZ16" i="8"/>
  <c r="DA16" i="8"/>
  <c r="DB16" i="8"/>
  <c r="DC16" i="8"/>
  <c r="DD16" i="8"/>
  <c r="DE16" i="8"/>
  <c r="DF16" i="8"/>
  <c r="DG16" i="8"/>
  <c r="DH16" i="8"/>
  <c r="DI16" i="8"/>
  <c r="DJ16" i="8"/>
  <c r="DK16" i="8"/>
  <c r="DL16" i="8"/>
  <c r="DM16" i="8"/>
  <c r="DN16" i="8"/>
  <c r="DO16" i="8"/>
  <c r="DP16" i="8"/>
  <c r="DQ16" i="8"/>
  <c r="DR16" i="8"/>
  <c r="DS16" i="8"/>
  <c r="DT16" i="8"/>
  <c r="DU16" i="8"/>
  <c r="DV16" i="8"/>
  <c r="DW16" i="8"/>
  <c r="DX16" i="8"/>
  <c r="DY16" i="8"/>
  <c r="DZ16" i="8"/>
  <c r="EA16" i="8"/>
  <c r="EB16" i="8"/>
  <c r="EC16" i="8"/>
  <c r="ED16" i="8"/>
  <c r="EE16" i="8"/>
  <c r="EF16" i="8"/>
  <c r="EG16" i="8"/>
  <c r="EH16" i="8"/>
  <c r="EI16" i="8"/>
  <c r="EJ16" i="8"/>
  <c r="EK16" i="8"/>
  <c r="EL16" i="8"/>
  <c r="EM16" i="8"/>
  <c r="EN16" i="8"/>
  <c r="EO16" i="8"/>
  <c r="EP16" i="8"/>
  <c r="EQ16" i="8"/>
  <c r="ER16" i="8"/>
  <c r="ES16" i="8"/>
  <c r="ET16" i="8"/>
  <c r="EU16" i="8"/>
  <c r="EV16" i="8"/>
  <c r="EW16" i="8"/>
  <c r="EX16" i="8"/>
  <c r="EY16" i="8"/>
  <c r="EZ16" i="8"/>
  <c r="FA16" i="8"/>
  <c r="FB16" i="8"/>
  <c r="FC16" i="8"/>
  <c r="FD16" i="8"/>
  <c r="FE16" i="8"/>
  <c r="FF16" i="8"/>
  <c r="FG16" i="8"/>
  <c r="FH16" i="8"/>
  <c r="FI16" i="8"/>
  <c r="FJ16" i="8"/>
  <c r="FK16" i="8"/>
  <c r="FL16" i="8"/>
  <c r="FM16" i="8"/>
  <c r="FN16" i="8"/>
  <c r="FO16" i="8"/>
  <c r="FP16" i="8"/>
  <c r="FQ16" i="8"/>
  <c r="FR16" i="8"/>
  <c r="FS16" i="8"/>
  <c r="FT16" i="8"/>
  <c r="FU16" i="8"/>
  <c r="FV16" i="8"/>
  <c r="FW16" i="8"/>
  <c r="FX16" i="8"/>
  <c r="FY16" i="8"/>
  <c r="FZ16" i="8"/>
  <c r="GA16" i="8"/>
  <c r="GB16" i="8"/>
  <c r="GC16" i="8"/>
  <c r="GD16" i="8"/>
  <c r="GE16" i="8"/>
  <c r="GF16" i="8"/>
  <c r="GG16" i="8"/>
  <c r="GH16" i="8"/>
  <c r="GI16" i="8"/>
  <c r="GJ16" i="8"/>
  <c r="GK16" i="8"/>
  <c r="GL16" i="8"/>
  <c r="GM16" i="8"/>
  <c r="GN16" i="8"/>
  <c r="GO16" i="8"/>
  <c r="GP16" i="8"/>
  <c r="GQ16" i="8"/>
  <c r="GR16" i="8"/>
  <c r="GS16" i="8"/>
  <c r="GT16" i="8"/>
  <c r="GU16" i="8"/>
  <c r="GV16" i="8"/>
  <c r="GW16" i="8"/>
  <c r="GX16" i="8"/>
  <c r="GY16" i="8"/>
  <c r="GZ16" i="8"/>
  <c r="HA16" i="8"/>
  <c r="HB16" i="8"/>
  <c r="HC16" i="8"/>
  <c r="AH17" i="8"/>
  <c r="AI17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BA17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CH17" i="8"/>
  <c r="CI17" i="8"/>
  <c r="CJ17" i="8"/>
  <c r="CK17" i="8"/>
  <c r="CL17" i="8"/>
  <c r="CM17" i="8"/>
  <c r="CN17" i="8"/>
  <c r="CO17" i="8"/>
  <c r="CP17" i="8"/>
  <c r="CQ17" i="8"/>
  <c r="CR17" i="8"/>
  <c r="CS17" i="8"/>
  <c r="CT17" i="8"/>
  <c r="CU17" i="8"/>
  <c r="CV17" i="8"/>
  <c r="CW17" i="8"/>
  <c r="CX17" i="8"/>
  <c r="CY17" i="8"/>
  <c r="CZ17" i="8"/>
  <c r="DA17" i="8"/>
  <c r="DB17" i="8"/>
  <c r="DC17" i="8"/>
  <c r="DD17" i="8"/>
  <c r="DE17" i="8"/>
  <c r="DF17" i="8"/>
  <c r="DG17" i="8"/>
  <c r="DH17" i="8"/>
  <c r="DI17" i="8"/>
  <c r="DJ17" i="8"/>
  <c r="DK17" i="8"/>
  <c r="DL17" i="8"/>
  <c r="DM17" i="8"/>
  <c r="DN17" i="8"/>
  <c r="DO17" i="8"/>
  <c r="DP17" i="8"/>
  <c r="DQ17" i="8"/>
  <c r="DR17" i="8"/>
  <c r="DS17" i="8"/>
  <c r="DT17" i="8"/>
  <c r="DU17" i="8"/>
  <c r="DV17" i="8"/>
  <c r="DW17" i="8"/>
  <c r="DX17" i="8"/>
  <c r="DY17" i="8"/>
  <c r="DZ17" i="8"/>
  <c r="EA17" i="8"/>
  <c r="EB17" i="8"/>
  <c r="EC17" i="8"/>
  <c r="ED17" i="8"/>
  <c r="EE17" i="8"/>
  <c r="EF17" i="8"/>
  <c r="EG17" i="8"/>
  <c r="EH17" i="8"/>
  <c r="EI17" i="8"/>
  <c r="EJ17" i="8"/>
  <c r="EK17" i="8"/>
  <c r="EL17" i="8"/>
  <c r="EM17" i="8"/>
  <c r="EN17" i="8"/>
  <c r="EO17" i="8"/>
  <c r="EP17" i="8"/>
  <c r="EQ17" i="8"/>
  <c r="ER17" i="8"/>
  <c r="ES17" i="8"/>
  <c r="ET17" i="8"/>
  <c r="EU17" i="8"/>
  <c r="EV17" i="8"/>
  <c r="EW17" i="8"/>
  <c r="EX17" i="8"/>
  <c r="EY17" i="8"/>
  <c r="EZ17" i="8"/>
  <c r="FA17" i="8"/>
  <c r="FB17" i="8"/>
  <c r="FC17" i="8"/>
  <c r="FD17" i="8"/>
  <c r="FE17" i="8"/>
  <c r="FF17" i="8"/>
  <c r="FG17" i="8"/>
  <c r="FH17" i="8"/>
  <c r="FI17" i="8"/>
  <c r="FJ17" i="8"/>
  <c r="FK17" i="8"/>
  <c r="FL17" i="8"/>
  <c r="FM17" i="8"/>
  <c r="FN17" i="8"/>
  <c r="FO17" i="8"/>
  <c r="FP17" i="8"/>
  <c r="FQ17" i="8"/>
  <c r="FR17" i="8"/>
  <c r="FS17" i="8"/>
  <c r="FT17" i="8"/>
  <c r="FU17" i="8"/>
  <c r="FV17" i="8"/>
  <c r="FW17" i="8"/>
  <c r="FX17" i="8"/>
  <c r="FY17" i="8"/>
  <c r="FZ17" i="8"/>
  <c r="GA17" i="8"/>
  <c r="GB17" i="8"/>
  <c r="GC17" i="8"/>
  <c r="GD17" i="8"/>
  <c r="GE17" i="8"/>
  <c r="GF17" i="8"/>
  <c r="GG17" i="8"/>
  <c r="GH17" i="8"/>
  <c r="GI17" i="8"/>
  <c r="GJ17" i="8"/>
  <c r="GK17" i="8"/>
  <c r="GL17" i="8"/>
  <c r="GM17" i="8"/>
  <c r="GN17" i="8"/>
  <c r="GO17" i="8"/>
  <c r="GP17" i="8"/>
  <c r="GQ17" i="8"/>
  <c r="GR17" i="8"/>
  <c r="GS17" i="8"/>
  <c r="GT17" i="8"/>
  <c r="GU17" i="8"/>
  <c r="GV17" i="8"/>
  <c r="GW17" i="8"/>
  <c r="GX17" i="8"/>
  <c r="GY17" i="8"/>
  <c r="GZ17" i="8"/>
  <c r="HA17" i="8"/>
  <c r="HB17" i="8"/>
  <c r="HC17" i="8"/>
  <c r="AH18" i="8"/>
  <c r="AI18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BA18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B18" i="8"/>
  <c r="DC18" i="8"/>
  <c r="DD18" i="8"/>
  <c r="DE18" i="8"/>
  <c r="DF18" i="8"/>
  <c r="DG18" i="8"/>
  <c r="DH18" i="8"/>
  <c r="DI18" i="8"/>
  <c r="DJ18" i="8"/>
  <c r="DK18" i="8"/>
  <c r="DL18" i="8"/>
  <c r="DM18" i="8"/>
  <c r="DN18" i="8"/>
  <c r="DO18" i="8"/>
  <c r="DP18" i="8"/>
  <c r="DQ18" i="8"/>
  <c r="DR18" i="8"/>
  <c r="DS18" i="8"/>
  <c r="DT18" i="8"/>
  <c r="DU18" i="8"/>
  <c r="DV18" i="8"/>
  <c r="DW18" i="8"/>
  <c r="DX18" i="8"/>
  <c r="DY18" i="8"/>
  <c r="DZ18" i="8"/>
  <c r="EA18" i="8"/>
  <c r="EB18" i="8"/>
  <c r="EC18" i="8"/>
  <c r="ED18" i="8"/>
  <c r="EE18" i="8"/>
  <c r="EF18" i="8"/>
  <c r="EG18" i="8"/>
  <c r="EH18" i="8"/>
  <c r="EI18" i="8"/>
  <c r="EJ18" i="8"/>
  <c r="EK18" i="8"/>
  <c r="EL18" i="8"/>
  <c r="EM18" i="8"/>
  <c r="EN18" i="8"/>
  <c r="EO18" i="8"/>
  <c r="EP18" i="8"/>
  <c r="EQ18" i="8"/>
  <c r="ER18" i="8"/>
  <c r="ES18" i="8"/>
  <c r="ET18" i="8"/>
  <c r="EU18" i="8"/>
  <c r="EV18" i="8"/>
  <c r="EW18" i="8"/>
  <c r="EX18" i="8"/>
  <c r="EY18" i="8"/>
  <c r="EZ18" i="8"/>
  <c r="FA18" i="8"/>
  <c r="FB18" i="8"/>
  <c r="FC18" i="8"/>
  <c r="FD18" i="8"/>
  <c r="FE18" i="8"/>
  <c r="FF18" i="8"/>
  <c r="FG18" i="8"/>
  <c r="FH18" i="8"/>
  <c r="FI18" i="8"/>
  <c r="FJ18" i="8"/>
  <c r="FK18" i="8"/>
  <c r="FL18" i="8"/>
  <c r="FM18" i="8"/>
  <c r="FN18" i="8"/>
  <c r="FO18" i="8"/>
  <c r="FP18" i="8"/>
  <c r="FQ18" i="8"/>
  <c r="FR18" i="8"/>
  <c r="FS18" i="8"/>
  <c r="FT18" i="8"/>
  <c r="FU18" i="8"/>
  <c r="FV18" i="8"/>
  <c r="FW18" i="8"/>
  <c r="FX18" i="8"/>
  <c r="FY18" i="8"/>
  <c r="FZ18" i="8"/>
  <c r="GA18" i="8"/>
  <c r="GB18" i="8"/>
  <c r="GC18" i="8"/>
  <c r="GD18" i="8"/>
  <c r="GE18" i="8"/>
  <c r="GF18" i="8"/>
  <c r="GG18" i="8"/>
  <c r="GH18" i="8"/>
  <c r="GI18" i="8"/>
  <c r="GJ18" i="8"/>
  <c r="GK18" i="8"/>
  <c r="GL18" i="8"/>
  <c r="GM18" i="8"/>
  <c r="GN18" i="8"/>
  <c r="GO18" i="8"/>
  <c r="GP18" i="8"/>
  <c r="GQ18" i="8"/>
  <c r="GR18" i="8"/>
  <c r="GS18" i="8"/>
  <c r="GT18" i="8"/>
  <c r="GU18" i="8"/>
  <c r="GV18" i="8"/>
  <c r="GW18" i="8"/>
  <c r="GX18" i="8"/>
  <c r="GY18" i="8"/>
  <c r="GZ18" i="8"/>
  <c r="HA18" i="8"/>
  <c r="HB18" i="8"/>
  <c r="HC18" i="8"/>
  <c r="AH19" i="8"/>
  <c r="AI19" i="8"/>
  <c r="AJ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BA19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CG19" i="8"/>
  <c r="CH19" i="8"/>
  <c r="CI19" i="8"/>
  <c r="CJ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Y19" i="8"/>
  <c r="CZ19" i="8"/>
  <c r="DA19" i="8"/>
  <c r="DB19" i="8"/>
  <c r="DC19" i="8"/>
  <c r="DD19" i="8"/>
  <c r="DE19" i="8"/>
  <c r="DF19" i="8"/>
  <c r="DG19" i="8"/>
  <c r="DH19" i="8"/>
  <c r="DI19" i="8"/>
  <c r="DJ19" i="8"/>
  <c r="DK19" i="8"/>
  <c r="DL19" i="8"/>
  <c r="DM19" i="8"/>
  <c r="DN19" i="8"/>
  <c r="DO19" i="8"/>
  <c r="DP19" i="8"/>
  <c r="DQ19" i="8"/>
  <c r="DR19" i="8"/>
  <c r="DS19" i="8"/>
  <c r="DT19" i="8"/>
  <c r="DU19" i="8"/>
  <c r="DV19" i="8"/>
  <c r="DW19" i="8"/>
  <c r="DX19" i="8"/>
  <c r="DY19" i="8"/>
  <c r="DZ19" i="8"/>
  <c r="EA19" i="8"/>
  <c r="EB19" i="8"/>
  <c r="EC19" i="8"/>
  <c r="ED19" i="8"/>
  <c r="EE19" i="8"/>
  <c r="EF19" i="8"/>
  <c r="EG19" i="8"/>
  <c r="EH19" i="8"/>
  <c r="EI19" i="8"/>
  <c r="EJ19" i="8"/>
  <c r="EK19" i="8"/>
  <c r="EL19" i="8"/>
  <c r="EM19" i="8"/>
  <c r="EN19" i="8"/>
  <c r="EO19" i="8"/>
  <c r="EP19" i="8"/>
  <c r="EQ19" i="8"/>
  <c r="ER19" i="8"/>
  <c r="ES19" i="8"/>
  <c r="ET19" i="8"/>
  <c r="EU19" i="8"/>
  <c r="EV19" i="8"/>
  <c r="EW19" i="8"/>
  <c r="EX19" i="8"/>
  <c r="EY19" i="8"/>
  <c r="EZ19" i="8"/>
  <c r="FA19" i="8"/>
  <c r="FB19" i="8"/>
  <c r="FC19" i="8"/>
  <c r="FD19" i="8"/>
  <c r="FE19" i="8"/>
  <c r="FF19" i="8"/>
  <c r="FG19" i="8"/>
  <c r="FH19" i="8"/>
  <c r="FI19" i="8"/>
  <c r="FJ19" i="8"/>
  <c r="FK19" i="8"/>
  <c r="FL19" i="8"/>
  <c r="FM19" i="8"/>
  <c r="FN19" i="8"/>
  <c r="FO19" i="8"/>
  <c r="FP19" i="8"/>
  <c r="FQ19" i="8"/>
  <c r="FR19" i="8"/>
  <c r="FS19" i="8"/>
  <c r="FT19" i="8"/>
  <c r="FU19" i="8"/>
  <c r="FV19" i="8"/>
  <c r="FW19" i="8"/>
  <c r="FX19" i="8"/>
  <c r="FY19" i="8"/>
  <c r="FZ19" i="8"/>
  <c r="GA19" i="8"/>
  <c r="GB19" i="8"/>
  <c r="GC19" i="8"/>
  <c r="GD19" i="8"/>
  <c r="GE19" i="8"/>
  <c r="GF19" i="8"/>
  <c r="GG19" i="8"/>
  <c r="GH19" i="8"/>
  <c r="GI19" i="8"/>
  <c r="GJ19" i="8"/>
  <c r="GK19" i="8"/>
  <c r="GL19" i="8"/>
  <c r="GM19" i="8"/>
  <c r="GN19" i="8"/>
  <c r="GO19" i="8"/>
  <c r="GP19" i="8"/>
  <c r="GQ19" i="8"/>
  <c r="GR19" i="8"/>
  <c r="GS19" i="8"/>
  <c r="GT19" i="8"/>
  <c r="GU19" i="8"/>
  <c r="GV19" i="8"/>
  <c r="GW19" i="8"/>
  <c r="GX19" i="8"/>
  <c r="GY19" i="8"/>
  <c r="GZ19" i="8"/>
  <c r="HA19" i="8"/>
  <c r="HB19" i="8"/>
  <c r="HC19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BA20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B20" i="8"/>
  <c r="DC20" i="8"/>
  <c r="DD20" i="8"/>
  <c r="DE20" i="8"/>
  <c r="DF20" i="8"/>
  <c r="DG20" i="8"/>
  <c r="DH20" i="8"/>
  <c r="DI20" i="8"/>
  <c r="DJ20" i="8"/>
  <c r="DK20" i="8"/>
  <c r="DL20" i="8"/>
  <c r="DM20" i="8"/>
  <c r="DN20" i="8"/>
  <c r="DO20" i="8"/>
  <c r="DP20" i="8"/>
  <c r="DQ20" i="8"/>
  <c r="DR20" i="8"/>
  <c r="DS20" i="8"/>
  <c r="DT20" i="8"/>
  <c r="DU20" i="8"/>
  <c r="DV20" i="8"/>
  <c r="DW20" i="8"/>
  <c r="DX20" i="8"/>
  <c r="DY20" i="8"/>
  <c r="DZ20" i="8"/>
  <c r="EA20" i="8"/>
  <c r="EB20" i="8"/>
  <c r="EC20" i="8"/>
  <c r="ED20" i="8"/>
  <c r="EE20" i="8"/>
  <c r="EF20" i="8"/>
  <c r="EG20" i="8"/>
  <c r="EH20" i="8"/>
  <c r="EI20" i="8"/>
  <c r="EJ20" i="8"/>
  <c r="EK20" i="8"/>
  <c r="EL20" i="8"/>
  <c r="EM20" i="8"/>
  <c r="EN20" i="8"/>
  <c r="EO20" i="8"/>
  <c r="EP20" i="8"/>
  <c r="EQ20" i="8"/>
  <c r="ER20" i="8"/>
  <c r="ES20" i="8"/>
  <c r="ET20" i="8"/>
  <c r="EU20" i="8"/>
  <c r="EV20" i="8"/>
  <c r="EW20" i="8"/>
  <c r="EX20" i="8"/>
  <c r="EY20" i="8"/>
  <c r="EZ20" i="8"/>
  <c r="FA20" i="8"/>
  <c r="FB20" i="8"/>
  <c r="FC20" i="8"/>
  <c r="FD20" i="8"/>
  <c r="FE20" i="8"/>
  <c r="FF20" i="8"/>
  <c r="FG20" i="8"/>
  <c r="FH20" i="8"/>
  <c r="FI20" i="8"/>
  <c r="FJ20" i="8"/>
  <c r="FK20" i="8"/>
  <c r="FL20" i="8"/>
  <c r="FM20" i="8"/>
  <c r="FN20" i="8"/>
  <c r="FO20" i="8"/>
  <c r="FP20" i="8"/>
  <c r="FQ20" i="8"/>
  <c r="FR20" i="8"/>
  <c r="FS20" i="8"/>
  <c r="FT20" i="8"/>
  <c r="FU20" i="8"/>
  <c r="FV20" i="8"/>
  <c r="FW20" i="8"/>
  <c r="FX20" i="8"/>
  <c r="FY20" i="8"/>
  <c r="FZ20" i="8"/>
  <c r="GA20" i="8"/>
  <c r="GB20" i="8"/>
  <c r="GC20" i="8"/>
  <c r="GD20" i="8"/>
  <c r="GE20" i="8"/>
  <c r="GF20" i="8"/>
  <c r="GG20" i="8"/>
  <c r="GH20" i="8"/>
  <c r="GI20" i="8"/>
  <c r="GJ20" i="8"/>
  <c r="GK20" i="8"/>
  <c r="GL20" i="8"/>
  <c r="GM20" i="8"/>
  <c r="GN20" i="8"/>
  <c r="GO20" i="8"/>
  <c r="GP20" i="8"/>
  <c r="GQ20" i="8"/>
  <c r="GR20" i="8"/>
  <c r="GS20" i="8"/>
  <c r="GT20" i="8"/>
  <c r="GU20" i="8"/>
  <c r="GV20" i="8"/>
  <c r="GW20" i="8"/>
  <c r="GX20" i="8"/>
  <c r="GY20" i="8"/>
  <c r="GZ20" i="8"/>
  <c r="HA20" i="8"/>
  <c r="HB20" i="8"/>
  <c r="HC20" i="8"/>
  <c r="AH21" i="8"/>
  <c r="AI21" i="8"/>
  <c r="AJ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DH21" i="8"/>
  <c r="DI21" i="8"/>
  <c r="DJ21" i="8"/>
  <c r="DK21" i="8"/>
  <c r="DL21" i="8"/>
  <c r="DM21" i="8"/>
  <c r="DN21" i="8"/>
  <c r="DO21" i="8"/>
  <c r="DP21" i="8"/>
  <c r="DQ21" i="8"/>
  <c r="DR21" i="8"/>
  <c r="DS21" i="8"/>
  <c r="DT21" i="8"/>
  <c r="DU21" i="8"/>
  <c r="DV21" i="8"/>
  <c r="DW21" i="8"/>
  <c r="DX21" i="8"/>
  <c r="DY21" i="8"/>
  <c r="DZ21" i="8"/>
  <c r="EA21" i="8"/>
  <c r="EB21" i="8"/>
  <c r="EC21" i="8"/>
  <c r="ED21" i="8"/>
  <c r="EE21" i="8"/>
  <c r="EF21" i="8"/>
  <c r="EG21" i="8"/>
  <c r="EH21" i="8"/>
  <c r="EI21" i="8"/>
  <c r="EJ21" i="8"/>
  <c r="EK21" i="8"/>
  <c r="EL21" i="8"/>
  <c r="EM21" i="8"/>
  <c r="EN21" i="8"/>
  <c r="EO21" i="8"/>
  <c r="EP21" i="8"/>
  <c r="EQ21" i="8"/>
  <c r="ER21" i="8"/>
  <c r="ES21" i="8"/>
  <c r="ET21" i="8"/>
  <c r="EU21" i="8"/>
  <c r="EV21" i="8"/>
  <c r="EW21" i="8"/>
  <c r="EX21" i="8"/>
  <c r="EY21" i="8"/>
  <c r="EZ21" i="8"/>
  <c r="FA21" i="8"/>
  <c r="FB21" i="8"/>
  <c r="FC21" i="8"/>
  <c r="FD21" i="8"/>
  <c r="FE21" i="8"/>
  <c r="FF21" i="8"/>
  <c r="FG21" i="8"/>
  <c r="FH21" i="8"/>
  <c r="FI21" i="8"/>
  <c r="FJ21" i="8"/>
  <c r="FK21" i="8"/>
  <c r="FL21" i="8"/>
  <c r="FM21" i="8"/>
  <c r="FN21" i="8"/>
  <c r="FO21" i="8"/>
  <c r="FP21" i="8"/>
  <c r="FQ21" i="8"/>
  <c r="FR21" i="8"/>
  <c r="FS21" i="8"/>
  <c r="FT21" i="8"/>
  <c r="FU21" i="8"/>
  <c r="FV21" i="8"/>
  <c r="FW21" i="8"/>
  <c r="FX21" i="8"/>
  <c r="FY21" i="8"/>
  <c r="FZ21" i="8"/>
  <c r="GA21" i="8"/>
  <c r="GB21" i="8"/>
  <c r="GC21" i="8"/>
  <c r="GD21" i="8"/>
  <c r="GE21" i="8"/>
  <c r="GF21" i="8"/>
  <c r="GG21" i="8"/>
  <c r="GH21" i="8"/>
  <c r="GI21" i="8"/>
  <c r="GJ21" i="8"/>
  <c r="GK21" i="8"/>
  <c r="GL21" i="8"/>
  <c r="GM21" i="8"/>
  <c r="GN21" i="8"/>
  <c r="GO21" i="8"/>
  <c r="GP21" i="8"/>
  <c r="GQ21" i="8"/>
  <c r="GR21" i="8"/>
  <c r="GS21" i="8"/>
  <c r="GT21" i="8"/>
  <c r="GU21" i="8"/>
  <c r="GV21" i="8"/>
  <c r="GW21" i="8"/>
  <c r="GX21" i="8"/>
  <c r="GY21" i="8"/>
  <c r="GZ21" i="8"/>
  <c r="HA21" i="8"/>
  <c r="HB21" i="8"/>
  <c r="HC21" i="8"/>
  <c r="AH22" i="8"/>
  <c r="AI22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I22" i="8"/>
  <c r="CJ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CY22" i="8"/>
  <c r="CZ22" i="8"/>
  <c r="DA22" i="8"/>
  <c r="DB22" i="8"/>
  <c r="DC22" i="8"/>
  <c r="DD22" i="8"/>
  <c r="DE22" i="8"/>
  <c r="DF22" i="8"/>
  <c r="DG22" i="8"/>
  <c r="DH22" i="8"/>
  <c r="DI22" i="8"/>
  <c r="DJ22" i="8"/>
  <c r="DK22" i="8"/>
  <c r="DL22" i="8"/>
  <c r="DM22" i="8"/>
  <c r="DN22" i="8"/>
  <c r="DO22" i="8"/>
  <c r="DP22" i="8"/>
  <c r="DQ22" i="8"/>
  <c r="DR22" i="8"/>
  <c r="DS22" i="8"/>
  <c r="DT22" i="8"/>
  <c r="DU22" i="8"/>
  <c r="DV22" i="8"/>
  <c r="DW22" i="8"/>
  <c r="DX22" i="8"/>
  <c r="DY22" i="8"/>
  <c r="DZ22" i="8"/>
  <c r="EA22" i="8"/>
  <c r="EB22" i="8"/>
  <c r="EC22" i="8"/>
  <c r="ED22" i="8"/>
  <c r="EE22" i="8"/>
  <c r="EF22" i="8"/>
  <c r="EG22" i="8"/>
  <c r="EH22" i="8"/>
  <c r="EI22" i="8"/>
  <c r="EJ22" i="8"/>
  <c r="EK22" i="8"/>
  <c r="EL22" i="8"/>
  <c r="EM22" i="8"/>
  <c r="EN22" i="8"/>
  <c r="EO22" i="8"/>
  <c r="EP22" i="8"/>
  <c r="EQ22" i="8"/>
  <c r="ER22" i="8"/>
  <c r="ES22" i="8"/>
  <c r="ET22" i="8"/>
  <c r="EU22" i="8"/>
  <c r="EV22" i="8"/>
  <c r="EW22" i="8"/>
  <c r="EX22" i="8"/>
  <c r="EY22" i="8"/>
  <c r="EZ22" i="8"/>
  <c r="FA22" i="8"/>
  <c r="FB22" i="8"/>
  <c r="FC22" i="8"/>
  <c r="FD22" i="8"/>
  <c r="FE22" i="8"/>
  <c r="FF22" i="8"/>
  <c r="FG22" i="8"/>
  <c r="FH22" i="8"/>
  <c r="FI22" i="8"/>
  <c r="FJ22" i="8"/>
  <c r="FK22" i="8"/>
  <c r="FL22" i="8"/>
  <c r="FM22" i="8"/>
  <c r="FN22" i="8"/>
  <c r="FO22" i="8"/>
  <c r="FP22" i="8"/>
  <c r="FQ22" i="8"/>
  <c r="FR22" i="8"/>
  <c r="FS22" i="8"/>
  <c r="FT22" i="8"/>
  <c r="FU22" i="8"/>
  <c r="FV22" i="8"/>
  <c r="FW22" i="8"/>
  <c r="FX22" i="8"/>
  <c r="FY22" i="8"/>
  <c r="FZ22" i="8"/>
  <c r="GA22" i="8"/>
  <c r="GB22" i="8"/>
  <c r="GC22" i="8"/>
  <c r="GD22" i="8"/>
  <c r="GE22" i="8"/>
  <c r="GF22" i="8"/>
  <c r="GG22" i="8"/>
  <c r="GH22" i="8"/>
  <c r="GI22" i="8"/>
  <c r="GJ22" i="8"/>
  <c r="GK22" i="8"/>
  <c r="GL22" i="8"/>
  <c r="GM22" i="8"/>
  <c r="GN22" i="8"/>
  <c r="GO22" i="8"/>
  <c r="GP22" i="8"/>
  <c r="GQ22" i="8"/>
  <c r="GR22" i="8"/>
  <c r="GS22" i="8"/>
  <c r="GT22" i="8"/>
  <c r="GU22" i="8"/>
  <c r="GV22" i="8"/>
  <c r="GW22" i="8"/>
  <c r="GX22" i="8"/>
  <c r="GY22" i="8"/>
  <c r="GZ22" i="8"/>
  <c r="HA22" i="8"/>
  <c r="HB22" i="8"/>
  <c r="HC22" i="8"/>
  <c r="AH23" i="8"/>
  <c r="AI23" i="8"/>
  <c r="AJ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CH23" i="8"/>
  <c r="CI23" i="8"/>
  <c r="CJ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Y23" i="8"/>
  <c r="CZ23" i="8"/>
  <c r="DA23" i="8"/>
  <c r="DB23" i="8"/>
  <c r="DC23" i="8"/>
  <c r="DD23" i="8"/>
  <c r="DE23" i="8"/>
  <c r="DF23" i="8"/>
  <c r="DG23" i="8"/>
  <c r="DH23" i="8"/>
  <c r="DI23" i="8"/>
  <c r="DJ23" i="8"/>
  <c r="DK23" i="8"/>
  <c r="DL23" i="8"/>
  <c r="DM23" i="8"/>
  <c r="DN23" i="8"/>
  <c r="DO23" i="8"/>
  <c r="DP23" i="8"/>
  <c r="DQ23" i="8"/>
  <c r="DR23" i="8"/>
  <c r="DS23" i="8"/>
  <c r="DT23" i="8"/>
  <c r="DU23" i="8"/>
  <c r="DV23" i="8"/>
  <c r="DW23" i="8"/>
  <c r="DX23" i="8"/>
  <c r="DY23" i="8"/>
  <c r="DZ23" i="8"/>
  <c r="EA23" i="8"/>
  <c r="EB23" i="8"/>
  <c r="EC23" i="8"/>
  <c r="ED23" i="8"/>
  <c r="EE23" i="8"/>
  <c r="EF23" i="8"/>
  <c r="EG23" i="8"/>
  <c r="EH23" i="8"/>
  <c r="EI23" i="8"/>
  <c r="EJ23" i="8"/>
  <c r="EK23" i="8"/>
  <c r="EL23" i="8"/>
  <c r="EM23" i="8"/>
  <c r="EN23" i="8"/>
  <c r="EO23" i="8"/>
  <c r="EP23" i="8"/>
  <c r="EQ23" i="8"/>
  <c r="ER23" i="8"/>
  <c r="ES23" i="8"/>
  <c r="ET23" i="8"/>
  <c r="EU23" i="8"/>
  <c r="EV23" i="8"/>
  <c r="EW23" i="8"/>
  <c r="EX23" i="8"/>
  <c r="EY23" i="8"/>
  <c r="EZ23" i="8"/>
  <c r="FA23" i="8"/>
  <c r="FB23" i="8"/>
  <c r="FC23" i="8"/>
  <c r="FD23" i="8"/>
  <c r="FE23" i="8"/>
  <c r="FF23" i="8"/>
  <c r="FG23" i="8"/>
  <c r="FH23" i="8"/>
  <c r="FI23" i="8"/>
  <c r="FJ23" i="8"/>
  <c r="FK23" i="8"/>
  <c r="FL23" i="8"/>
  <c r="FM23" i="8"/>
  <c r="FN23" i="8"/>
  <c r="FO23" i="8"/>
  <c r="FP23" i="8"/>
  <c r="FQ23" i="8"/>
  <c r="FR23" i="8"/>
  <c r="FS23" i="8"/>
  <c r="FT23" i="8"/>
  <c r="FU23" i="8"/>
  <c r="FV23" i="8"/>
  <c r="FW23" i="8"/>
  <c r="FX23" i="8"/>
  <c r="FY23" i="8"/>
  <c r="FZ23" i="8"/>
  <c r="GA23" i="8"/>
  <c r="GB23" i="8"/>
  <c r="GC23" i="8"/>
  <c r="GD23" i="8"/>
  <c r="GE23" i="8"/>
  <c r="GF23" i="8"/>
  <c r="GG23" i="8"/>
  <c r="GH23" i="8"/>
  <c r="GI23" i="8"/>
  <c r="GJ23" i="8"/>
  <c r="GK23" i="8"/>
  <c r="GL23" i="8"/>
  <c r="GM23" i="8"/>
  <c r="GN23" i="8"/>
  <c r="GO23" i="8"/>
  <c r="GP23" i="8"/>
  <c r="GQ23" i="8"/>
  <c r="GR23" i="8"/>
  <c r="GS23" i="8"/>
  <c r="GT23" i="8"/>
  <c r="GU23" i="8"/>
  <c r="GV23" i="8"/>
  <c r="GW23" i="8"/>
  <c r="GX23" i="8"/>
  <c r="GY23" i="8"/>
  <c r="GZ23" i="8"/>
  <c r="HA23" i="8"/>
  <c r="HB23" i="8"/>
  <c r="HC23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CA24" i="8"/>
  <c r="CB24" i="8"/>
  <c r="CC24" i="8"/>
  <c r="CD24" i="8"/>
  <c r="CE24" i="8"/>
  <c r="CF24" i="8"/>
  <c r="CG24" i="8"/>
  <c r="CH24" i="8"/>
  <c r="CI24" i="8"/>
  <c r="CJ24" i="8"/>
  <c r="CK24" i="8"/>
  <c r="CL24" i="8"/>
  <c r="CM24" i="8"/>
  <c r="CN24" i="8"/>
  <c r="CO24" i="8"/>
  <c r="CP24" i="8"/>
  <c r="CQ24" i="8"/>
  <c r="CR24" i="8"/>
  <c r="CS24" i="8"/>
  <c r="CT24" i="8"/>
  <c r="CU24" i="8"/>
  <c r="CV24" i="8"/>
  <c r="CW24" i="8"/>
  <c r="CX24" i="8"/>
  <c r="CY24" i="8"/>
  <c r="CZ24" i="8"/>
  <c r="DA24" i="8"/>
  <c r="DB24" i="8"/>
  <c r="DC24" i="8"/>
  <c r="DD24" i="8"/>
  <c r="DE24" i="8"/>
  <c r="DF24" i="8"/>
  <c r="DG24" i="8"/>
  <c r="DH24" i="8"/>
  <c r="DI24" i="8"/>
  <c r="DJ24" i="8"/>
  <c r="DK24" i="8"/>
  <c r="DL24" i="8"/>
  <c r="DM24" i="8"/>
  <c r="DN24" i="8"/>
  <c r="DO24" i="8"/>
  <c r="DP24" i="8"/>
  <c r="DQ24" i="8"/>
  <c r="DR24" i="8"/>
  <c r="DS24" i="8"/>
  <c r="DT24" i="8"/>
  <c r="DU24" i="8"/>
  <c r="DV24" i="8"/>
  <c r="DW24" i="8"/>
  <c r="DX24" i="8"/>
  <c r="DY24" i="8"/>
  <c r="DZ24" i="8"/>
  <c r="EA24" i="8"/>
  <c r="EB24" i="8"/>
  <c r="EC24" i="8"/>
  <c r="ED24" i="8"/>
  <c r="EE24" i="8"/>
  <c r="EF24" i="8"/>
  <c r="EG24" i="8"/>
  <c r="EH24" i="8"/>
  <c r="EI24" i="8"/>
  <c r="EJ24" i="8"/>
  <c r="EK24" i="8"/>
  <c r="EL24" i="8"/>
  <c r="EM24" i="8"/>
  <c r="EN24" i="8"/>
  <c r="EO24" i="8"/>
  <c r="EP24" i="8"/>
  <c r="EQ24" i="8"/>
  <c r="ER24" i="8"/>
  <c r="ES24" i="8"/>
  <c r="ET24" i="8"/>
  <c r="EU24" i="8"/>
  <c r="EV24" i="8"/>
  <c r="EW24" i="8"/>
  <c r="EX24" i="8"/>
  <c r="EY24" i="8"/>
  <c r="EZ24" i="8"/>
  <c r="FA24" i="8"/>
  <c r="FB24" i="8"/>
  <c r="FC24" i="8"/>
  <c r="FD24" i="8"/>
  <c r="FE24" i="8"/>
  <c r="FF24" i="8"/>
  <c r="FG24" i="8"/>
  <c r="FH24" i="8"/>
  <c r="FI24" i="8"/>
  <c r="FJ24" i="8"/>
  <c r="FK24" i="8"/>
  <c r="FL24" i="8"/>
  <c r="FM24" i="8"/>
  <c r="FN24" i="8"/>
  <c r="FO24" i="8"/>
  <c r="FP24" i="8"/>
  <c r="FQ24" i="8"/>
  <c r="FR24" i="8"/>
  <c r="FS24" i="8"/>
  <c r="FT24" i="8"/>
  <c r="FU24" i="8"/>
  <c r="FV24" i="8"/>
  <c r="FW24" i="8"/>
  <c r="FX24" i="8"/>
  <c r="FY24" i="8"/>
  <c r="FZ24" i="8"/>
  <c r="GA24" i="8"/>
  <c r="GB24" i="8"/>
  <c r="GC24" i="8"/>
  <c r="GD24" i="8"/>
  <c r="GE24" i="8"/>
  <c r="GF24" i="8"/>
  <c r="GG24" i="8"/>
  <c r="GH24" i="8"/>
  <c r="GI24" i="8"/>
  <c r="GJ24" i="8"/>
  <c r="GK24" i="8"/>
  <c r="GL24" i="8"/>
  <c r="GM24" i="8"/>
  <c r="GN24" i="8"/>
  <c r="GO24" i="8"/>
  <c r="GP24" i="8"/>
  <c r="GQ24" i="8"/>
  <c r="GR24" i="8"/>
  <c r="GS24" i="8"/>
  <c r="GT24" i="8"/>
  <c r="GU24" i="8"/>
  <c r="GV24" i="8"/>
  <c r="GW24" i="8"/>
  <c r="GX24" i="8"/>
  <c r="GY24" i="8"/>
  <c r="GZ24" i="8"/>
  <c r="HA24" i="8"/>
  <c r="HB24" i="8"/>
  <c r="HC24" i="8"/>
  <c r="AH25" i="8"/>
  <c r="AI25" i="8"/>
  <c r="AJ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DH25" i="8"/>
  <c r="DI25" i="8"/>
  <c r="DJ25" i="8"/>
  <c r="DK25" i="8"/>
  <c r="DL25" i="8"/>
  <c r="DM25" i="8"/>
  <c r="DN25" i="8"/>
  <c r="DO25" i="8"/>
  <c r="DP25" i="8"/>
  <c r="DQ25" i="8"/>
  <c r="DR25" i="8"/>
  <c r="DS25" i="8"/>
  <c r="DT25" i="8"/>
  <c r="DU25" i="8"/>
  <c r="DV25" i="8"/>
  <c r="DW25" i="8"/>
  <c r="DX25" i="8"/>
  <c r="DY25" i="8"/>
  <c r="DZ25" i="8"/>
  <c r="EA25" i="8"/>
  <c r="EB25" i="8"/>
  <c r="EC25" i="8"/>
  <c r="ED25" i="8"/>
  <c r="EE25" i="8"/>
  <c r="EF25" i="8"/>
  <c r="EG25" i="8"/>
  <c r="EH25" i="8"/>
  <c r="EI25" i="8"/>
  <c r="EJ25" i="8"/>
  <c r="EK25" i="8"/>
  <c r="EL25" i="8"/>
  <c r="EM25" i="8"/>
  <c r="EN25" i="8"/>
  <c r="EO25" i="8"/>
  <c r="EP25" i="8"/>
  <c r="EQ25" i="8"/>
  <c r="ER25" i="8"/>
  <c r="ES25" i="8"/>
  <c r="ET25" i="8"/>
  <c r="EU25" i="8"/>
  <c r="EV25" i="8"/>
  <c r="EW25" i="8"/>
  <c r="EX25" i="8"/>
  <c r="EY25" i="8"/>
  <c r="EZ25" i="8"/>
  <c r="FA25" i="8"/>
  <c r="FB25" i="8"/>
  <c r="FC25" i="8"/>
  <c r="FD25" i="8"/>
  <c r="FE25" i="8"/>
  <c r="FF25" i="8"/>
  <c r="FG25" i="8"/>
  <c r="FH25" i="8"/>
  <c r="FI25" i="8"/>
  <c r="FJ25" i="8"/>
  <c r="FK25" i="8"/>
  <c r="FL25" i="8"/>
  <c r="FM25" i="8"/>
  <c r="FN25" i="8"/>
  <c r="FO25" i="8"/>
  <c r="FP25" i="8"/>
  <c r="FQ25" i="8"/>
  <c r="FR25" i="8"/>
  <c r="FS25" i="8"/>
  <c r="FT25" i="8"/>
  <c r="FU25" i="8"/>
  <c r="FV25" i="8"/>
  <c r="FW25" i="8"/>
  <c r="FX25" i="8"/>
  <c r="FY25" i="8"/>
  <c r="FZ25" i="8"/>
  <c r="GA25" i="8"/>
  <c r="GB25" i="8"/>
  <c r="GC25" i="8"/>
  <c r="GD25" i="8"/>
  <c r="GE25" i="8"/>
  <c r="GF25" i="8"/>
  <c r="GG25" i="8"/>
  <c r="GH25" i="8"/>
  <c r="GI25" i="8"/>
  <c r="GJ25" i="8"/>
  <c r="GK25" i="8"/>
  <c r="GL25" i="8"/>
  <c r="GM25" i="8"/>
  <c r="GN25" i="8"/>
  <c r="GO25" i="8"/>
  <c r="GP25" i="8"/>
  <c r="GQ25" i="8"/>
  <c r="GR25" i="8"/>
  <c r="GS25" i="8"/>
  <c r="GT25" i="8"/>
  <c r="GU25" i="8"/>
  <c r="GV25" i="8"/>
  <c r="GW25" i="8"/>
  <c r="GX25" i="8"/>
  <c r="GY25" i="8"/>
  <c r="GZ25" i="8"/>
  <c r="HA25" i="8"/>
  <c r="HB25" i="8"/>
  <c r="HC25" i="8"/>
  <c r="FH25" i="40"/>
  <c r="FI25" i="40" s="1"/>
  <c r="FJ25" i="40" s="1"/>
  <c r="FK25" i="40" s="1"/>
  <c r="FL25" i="40" s="1"/>
  <c r="FM25" i="40" s="1"/>
  <c r="FN25" i="40" s="1"/>
  <c r="FO25" i="40" s="1"/>
  <c r="FP25" i="40" s="1"/>
  <c r="FQ25" i="40" s="1"/>
  <c r="FR25" i="40" s="1"/>
  <c r="FS25" i="40" s="1"/>
  <c r="FT25" i="40" s="1"/>
  <c r="FU25" i="40" s="1"/>
  <c r="FV25" i="40" s="1"/>
  <c r="FW25" i="40" s="1"/>
  <c r="FX25" i="40" s="1"/>
  <c r="FY25" i="40" s="1"/>
  <c r="FZ25" i="40" s="1"/>
  <c r="GA25" i="40" s="1"/>
  <c r="GB25" i="40" s="1"/>
  <c r="GC25" i="40" s="1"/>
  <c r="GD25" i="40" s="1"/>
  <c r="GE25" i="40" s="1"/>
  <c r="GF25" i="40" s="1"/>
  <c r="GG25" i="40" s="1"/>
  <c r="GH25" i="40" s="1"/>
  <c r="GI25" i="40" s="1"/>
  <c r="GJ25" i="40" s="1"/>
  <c r="GK25" i="40" s="1"/>
  <c r="GL25" i="40" s="1"/>
  <c r="GM25" i="40" s="1"/>
  <c r="GN25" i="40" s="1"/>
  <c r="GO25" i="40" s="1"/>
  <c r="GP25" i="40" s="1"/>
  <c r="GQ25" i="40" s="1"/>
  <c r="GR25" i="40" s="1"/>
  <c r="GS25" i="40" s="1"/>
  <c r="GT25" i="40" s="1"/>
  <c r="GU25" i="40" s="1"/>
  <c r="GV25" i="40" s="1"/>
  <c r="GW25" i="40" s="1"/>
  <c r="GX25" i="40" s="1"/>
  <c r="GY25" i="40" s="1"/>
  <c r="GZ25" i="40" s="1"/>
  <c r="HA25" i="40" s="1"/>
  <c r="HB25" i="40" s="1"/>
  <c r="HC25" i="40" s="1"/>
  <c r="FF25" i="40"/>
  <c r="FG25" i="40" s="1"/>
  <c r="FF24" i="40"/>
  <c r="FG24" i="40" s="1"/>
  <c r="FH24" i="40" s="1"/>
  <c r="FI24" i="40" s="1"/>
  <c r="FJ24" i="40" s="1"/>
  <c r="FK24" i="40" s="1"/>
  <c r="FL24" i="40" s="1"/>
  <c r="FM24" i="40" s="1"/>
  <c r="FN24" i="40" s="1"/>
  <c r="FO24" i="40" s="1"/>
  <c r="FP24" i="40" s="1"/>
  <c r="FQ24" i="40" s="1"/>
  <c r="FR24" i="40" s="1"/>
  <c r="FS24" i="40" s="1"/>
  <c r="FT24" i="40" s="1"/>
  <c r="FU24" i="40" s="1"/>
  <c r="FV24" i="40" s="1"/>
  <c r="FW24" i="40" s="1"/>
  <c r="FX24" i="40" s="1"/>
  <c r="FY24" i="40" s="1"/>
  <c r="FZ24" i="40" s="1"/>
  <c r="GA24" i="40" s="1"/>
  <c r="GB24" i="40" s="1"/>
  <c r="GC24" i="40" s="1"/>
  <c r="GD24" i="40" s="1"/>
  <c r="GE24" i="40" s="1"/>
  <c r="GF24" i="40" s="1"/>
  <c r="GG24" i="40" s="1"/>
  <c r="GH24" i="40" s="1"/>
  <c r="GI24" i="40" s="1"/>
  <c r="GJ24" i="40" s="1"/>
  <c r="GK24" i="40" s="1"/>
  <c r="GL24" i="40" s="1"/>
  <c r="GM24" i="40" s="1"/>
  <c r="GN24" i="40" s="1"/>
  <c r="GO24" i="40" s="1"/>
  <c r="GP24" i="40" s="1"/>
  <c r="GQ24" i="40" s="1"/>
  <c r="GR24" i="40" s="1"/>
  <c r="GS24" i="40" s="1"/>
  <c r="GT24" i="40" s="1"/>
  <c r="GU24" i="40" s="1"/>
  <c r="GV24" i="40" s="1"/>
  <c r="GW24" i="40" s="1"/>
  <c r="GX24" i="40" s="1"/>
  <c r="GY24" i="40" s="1"/>
  <c r="GZ24" i="40" s="1"/>
  <c r="HA24" i="40" s="1"/>
  <c r="HB24" i="40" s="1"/>
  <c r="HC24" i="40" s="1"/>
  <c r="FP23" i="40"/>
  <c r="FQ23" i="40" s="1"/>
  <c r="FR23" i="40" s="1"/>
  <c r="FS23" i="40" s="1"/>
  <c r="FT23" i="40" s="1"/>
  <c r="FU23" i="40" s="1"/>
  <c r="FV23" i="40" s="1"/>
  <c r="FW23" i="40" s="1"/>
  <c r="FX23" i="40" s="1"/>
  <c r="FY23" i="40" s="1"/>
  <c r="FZ23" i="40" s="1"/>
  <c r="GA23" i="40" s="1"/>
  <c r="GB23" i="40" s="1"/>
  <c r="GC23" i="40" s="1"/>
  <c r="GD23" i="40" s="1"/>
  <c r="GE23" i="40" s="1"/>
  <c r="GF23" i="40" s="1"/>
  <c r="GG23" i="40" s="1"/>
  <c r="GH23" i="40" s="1"/>
  <c r="GI23" i="40" s="1"/>
  <c r="GJ23" i="40" s="1"/>
  <c r="GK23" i="40" s="1"/>
  <c r="GL23" i="40" s="1"/>
  <c r="GM23" i="40" s="1"/>
  <c r="GN23" i="40" s="1"/>
  <c r="GO23" i="40" s="1"/>
  <c r="GP23" i="40" s="1"/>
  <c r="GQ23" i="40" s="1"/>
  <c r="GR23" i="40" s="1"/>
  <c r="GS23" i="40" s="1"/>
  <c r="GT23" i="40" s="1"/>
  <c r="GU23" i="40" s="1"/>
  <c r="GV23" i="40" s="1"/>
  <c r="GW23" i="40" s="1"/>
  <c r="GX23" i="40" s="1"/>
  <c r="GY23" i="40" s="1"/>
  <c r="GZ23" i="40" s="1"/>
  <c r="HA23" i="40" s="1"/>
  <c r="HB23" i="40" s="1"/>
  <c r="HC23" i="40" s="1"/>
  <c r="FO23" i="40"/>
  <c r="FF23" i="40"/>
  <c r="FG23" i="40" s="1"/>
  <c r="FH23" i="40" s="1"/>
  <c r="FI23" i="40" s="1"/>
  <c r="FJ23" i="40" s="1"/>
  <c r="FK23" i="40" s="1"/>
  <c r="FL23" i="40" s="1"/>
  <c r="FM23" i="40" s="1"/>
  <c r="FN23" i="40" s="1"/>
  <c r="FO22" i="40"/>
  <c r="FP22" i="40" s="1"/>
  <c r="FQ22" i="40" s="1"/>
  <c r="FR22" i="40" s="1"/>
  <c r="FS22" i="40" s="1"/>
  <c r="FT22" i="40" s="1"/>
  <c r="FU22" i="40" s="1"/>
  <c r="FV22" i="40" s="1"/>
  <c r="FW22" i="40" s="1"/>
  <c r="FX22" i="40" s="1"/>
  <c r="FY22" i="40" s="1"/>
  <c r="FZ22" i="40" s="1"/>
  <c r="GA22" i="40" s="1"/>
  <c r="GB22" i="40" s="1"/>
  <c r="GC22" i="40" s="1"/>
  <c r="GD22" i="40" s="1"/>
  <c r="GE22" i="40" s="1"/>
  <c r="GF22" i="40" s="1"/>
  <c r="GG22" i="40" s="1"/>
  <c r="GH22" i="40" s="1"/>
  <c r="GI22" i="40" s="1"/>
  <c r="GJ22" i="40" s="1"/>
  <c r="GK22" i="40" s="1"/>
  <c r="GL22" i="40" s="1"/>
  <c r="GM22" i="40" s="1"/>
  <c r="GN22" i="40" s="1"/>
  <c r="GO22" i="40" s="1"/>
  <c r="GP22" i="40" s="1"/>
  <c r="GQ22" i="40" s="1"/>
  <c r="GR22" i="40" s="1"/>
  <c r="GS22" i="40" s="1"/>
  <c r="GT22" i="40" s="1"/>
  <c r="GU22" i="40" s="1"/>
  <c r="GV22" i="40" s="1"/>
  <c r="GW22" i="40" s="1"/>
  <c r="GX22" i="40" s="1"/>
  <c r="GY22" i="40" s="1"/>
  <c r="GZ22" i="40" s="1"/>
  <c r="HA22" i="40" s="1"/>
  <c r="HB22" i="40" s="1"/>
  <c r="HC22" i="40" s="1"/>
  <c r="FN22" i="40"/>
  <c r="FL22" i="40"/>
  <c r="FM22" i="40" s="1"/>
  <c r="FF22" i="40"/>
  <c r="FG22" i="40" s="1"/>
  <c r="FH22" i="40" s="1"/>
  <c r="FI22" i="40" s="1"/>
  <c r="FJ22" i="40" s="1"/>
  <c r="FK22" i="40" s="1"/>
  <c r="FG21" i="40"/>
  <c r="FH21" i="40" s="1"/>
  <c r="FI21" i="40" s="1"/>
  <c r="FJ21" i="40" s="1"/>
  <c r="FK21" i="40" s="1"/>
  <c r="FL21" i="40" s="1"/>
  <c r="FM21" i="40" s="1"/>
  <c r="FN21" i="40" s="1"/>
  <c r="FO21" i="40" s="1"/>
  <c r="FP21" i="40" s="1"/>
  <c r="FQ21" i="40" s="1"/>
  <c r="FR21" i="40" s="1"/>
  <c r="FS21" i="40" s="1"/>
  <c r="FT21" i="40" s="1"/>
  <c r="FU21" i="40" s="1"/>
  <c r="FV21" i="40" s="1"/>
  <c r="FW21" i="40" s="1"/>
  <c r="FX21" i="40" s="1"/>
  <c r="FY21" i="40" s="1"/>
  <c r="FZ21" i="40" s="1"/>
  <c r="GA21" i="40" s="1"/>
  <c r="GB21" i="40" s="1"/>
  <c r="GC21" i="40" s="1"/>
  <c r="GD21" i="40" s="1"/>
  <c r="GE21" i="40" s="1"/>
  <c r="GF21" i="40" s="1"/>
  <c r="GG21" i="40" s="1"/>
  <c r="GH21" i="40" s="1"/>
  <c r="GI21" i="40" s="1"/>
  <c r="GJ21" i="40" s="1"/>
  <c r="GK21" i="40" s="1"/>
  <c r="GL21" i="40" s="1"/>
  <c r="GM21" i="40" s="1"/>
  <c r="GN21" i="40" s="1"/>
  <c r="GO21" i="40" s="1"/>
  <c r="GP21" i="40" s="1"/>
  <c r="GQ21" i="40" s="1"/>
  <c r="GR21" i="40" s="1"/>
  <c r="GS21" i="40" s="1"/>
  <c r="GT21" i="40" s="1"/>
  <c r="GU21" i="40" s="1"/>
  <c r="GV21" i="40" s="1"/>
  <c r="GW21" i="40" s="1"/>
  <c r="GX21" i="40" s="1"/>
  <c r="GY21" i="40" s="1"/>
  <c r="GZ21" i="40" s="1"/>
  <c r="HA21" i="40" s="1"/>
  <c r="HB21" i="40" s="1"/>
  <c r="HC21" i="40" s="1"/>
  <c r="FF21" i="40"/>
  <c r="FF20" i="40"/>
  <c r="FG20" i="40" s="1"/>
  <c r="FH20" i="40" s="1"/>
  <c r="FI20" i="40" s="1"/>
  <c r="FJ20" i="40" s="1"/>
  <c r="FK20" i="40" s="1"/>
  <c r="FL20" i="40" s="1"/>
  <c r="FM20" i="40" s="1"/>
  <c r="FN20" i="40" s="1"/>
  <c r="FO20" i="40" s="1"/>
  <c r="FP20" i="40" s="1"/>
  <c r="FQ20" i="40" s="1"/>
  <c r="FR20" i="40" s="1"/>
  <c r="FS20" i="40" s="1"/>
  <c r="FT20" i="40" s="1"/>
  <c r="FU20" i="40" s="1"/>
  <c r="FV20" i="40" s="1"/>
  <c r="FW20" i="40" s="1"/>
  <c r="FX20" i="40" s="1"/>
  <c r="FY20" i="40" s="1"/>
  <c r="FZ20" i="40" s="1"/>
  <c r="GA20" i="40" s="1"/>
  <c r="GB20" i="40" s="1"/>
  <c r="GC20" i="40" s="1"/>
  <c r="GD20" i="40" s="1"/>
  <c r="GE20" i="40" s="1"/>
  <c r="GF20" i="40" s="1"/>
  <c r="GG20" i="40" s="1"/>
  <c r="GH20" i="40" s="1"/>
  <c r="GI20" i="40" s="1"/>
  <c r="GJ20" i="40" s="1"/>
  <c r="GK20" i="40" s="1"/>
  <c r="GL20" i="40" s="1"/>
  <c r="GM20" i="40" s="1"/>
  <c r="GN20" i="40" s="1"/>
  <c r="GO20" i="40" s="1"/>
  <c r="GP20" i="40" s="1"/>
  <c r="GQ20" i="40" s="1"/>
  <c r="GR20" i="40" s="1"/>
  <c r="GS20" i="40" s="1"/>
  <c r="GT20" i="40" s="1"/>
  <c r="GU20" i="40" s="1"/>
  <c r="GV20" i="40" s="1"/>
  <c r="GW20" i="40" s="1"/>
  <c r="GX20" i="40" s="1"/>
  <c r="GY20" i="40" s="1"/>
  <c r="GZ20" i="40" s="1"/>
  <c r="HA20" i="40" s="1"/>
  <c r="HB20" i="40" s="1"/>
  <c r="HC20" i="40" s="1"/>
  <c r="FH19" i="40"/>
  <c r="FI19" i="40" s="1"/>
  <c r="FJ19" i="40" s="1"/>
  <c r="FK19" i="40" s="1"/>
  <c r="FL19" i="40" s="1"/>
  <c r="FM19" i="40" s="1"/>
  <c r="FN19" i="40" s="1"/>
  <c r="FO19" i="40" s="1"/>
  <c r="FP19" i="40" s="1"/>
  <c r="FQ19" i="40" s="1"/>
  <c r="FR19" i="40" s="1"/>
  <c r="FS19" i="40" s="1"/>
  <c r="FT19" i="40" s="1"/>
  <c r="FU19" i="40" s="1"/>
  <c r="FV19" i="40" s="1"/>
  <c r="FW19" i="40" s="1"/>
  <c r="FX19" i="40" s="1"/>
  <c r="FY19" i="40" s="1"/>
  <c r="FZ19" i="40" s="1"/>
  <c r="GA19" i="40" s="1"/>
  <c r="GB19" i="40" s="1"/>
  <c r="GC19" i="40" s="1"/>
  <c r="GD19" i="40" s="1"/>
  <c r="GE19" i="40" s="1"/>
  <c r="GF19" i="40" s="1"/>
  <c r="GG19" i="40" s="1"/>
  <c r="GH19" i="40" s="1"/>
  <c r="GI19" i="40" s="1"/>
  <c r="GJ19" i="40" s="1"/>
  <c r="GK19" i="40" s="1"/>
  <c r="GL19" i="40" s="1"/>
  <c r="GM19" i="40" s="1"/>
  <c r="GN19" i="40" s="1"/>
  <c r="GO19" i="40" s="1"/>
  <c r="GP19" i="40" s="1"/>
  <c r="GQ19" i="40" s="1"/>
  <c r="GR19" i="40" s="1"/>
  <c r="GS19" i="40" s="1"/>
  <c r="GT19" i="40" s="1"/>
  <c r="GU19" i="40" s="1"/>
  <c r="GV19" i="40" s="1"/>
  <c r="GW19" i="40" s="1"/>
  <c r="GX19" i="40" s="1"/>
  <c r="GY19" i="40" s="1"/>
  <c r="GZ19" i="40" s="1"/>
  <c r="HA19" i="40" s="1"/>
  <c r="HB19" i="40" s="1"/>
  <c r="HC19" i="40" s="1"/>
  <c r="FF19" i="40"/>
  <c r="FG19" i="40" s="1"/>
  <c r="FF6" i="7"/>
  <c r="FG6" i="7"/>
  <c r="FH6" i="7"/>
  <c r="FI6" i="7"/>
  <c r="FJ6" i="7"/>
  <c r="FK6" i="7"/>
  <c r="FL6" i="7"/>
  <c r="FM6" i="7"/>
  <c r="FN6" i="7"/>
  <c r="FO6" i="7"/>
  <c r="FP6" i="7"/>
  <c r="FQ6" i="7"/>
  <c r="FR6" i="7"/>
  <c r="FS6" i="7"/>
  <c r="FT6" i="7"/>
  <c r="FU6" i="7"/>
  <c r="FV6" i="7"/>
  <c r="FW6" i="7"/>
  <c r="FX6" i="7"/>
  <c r="FY6" i="7"/>
  <c r="FZ6" i="7"/>
  <c r="GA6" i="7"/>
  <c r="GB6" i="7"/>
  <c r="GC6" i="7"/>
  <c r="GD6" i="7"/>
  <c r="GE6" i="7"/>
  <c r="GF6" i="7"/>
  <c r="GG6" i="7"/>
  <c r="GH6" i="7"/>
  <c r="GI6" i="7"/>
  <c r="GJ6" i="7"/>
  <c r="GK6" i="7"/>
  <c r="GL6" i="7"/>
  <c r="GM6" i="7"/>
  <c r="GN6" i="7"/>
  <c r="GO6" i="7"/>
  <c r="GP6" i="7"/>
  <c r="GQ6" i="7"/>
  <c r="GR6" i="7"/>
  <c r="GS6" i="7"/>
  <c r="GT6" i="7"/>
  <c r="GU6" i="7"/>
  <c r="GV6" i="7"/>
  <c r="GW6" i="7"/>
  <c r="GX6" i="7"/>
  <c r="GY6" i="7"/>
  <c r="GZ6" i="7"/>
  <c r="HA6" i="7"/>
  <c r="HB6" i="7"/>
  <c r="HC6" i="7"/>
  <c r="FF8" i="7"/>
  <c r="FH8" i="7"/>
  <c r="FJ8" i="7"/>
  <c r="FK8" i="7"/>
  <c r="GE8" i="7"/>
  <c r="GF8" i="7"/>
  <c r="GP8" i="7"/>
  <c r="FF9" i="7"/>
  <c r="FG9" i="7"/>
  <c r="FH9" i="7"/>
  <c r="FI9" i="7"/>
  <c r="FJ9" i="7"/>
  <c r="FK9" i="7"/>
  <c r="FL9" i="7"/>
  <c r="FM9" i="7"/>
  <c r="FN9" i="7"/>
  <c r="FO9" i="7"/>
  <c r="FP9" i="7"/>
  <c r="FQ9" i="7"/>
  <c r="FR9" i="7"/>
  <c r="FS9" i="7"/>
  <c r="FT9" i="7"/>
  <c r="FU9" i="7"/>
  <c r="FV9" i="7"/>
  <c r="FW9" i="7"/>
  <c r="FX9" i="7"/>
  <c r="FY9" i="7"/>
  <c r="FZ9" i="7"/>
  <c r="GA9" i="7"/>
  <c r="GB9" i="7"/>
  <c r="GC9" i="7"/>
  <c r="GD9" i="7"/>
  <c r="GE9" i="7"/>
  <c r="GF9" i="7"/>
  <c r="GG9" i="7"/>
  <c r="GH9" i="7"/>
  <c r="GI9" i="7"/>
  <c r="GJ9" i="7"/>
  <c r="GK9" i="7"/>
  <c r="GL9" i="7"/>
  <c r="GM9" i="7"/>
  <c r="GN9" i="7"/>
  <c r="GO9" i="7"/>
  <c r="GP9" i="7"/>
  <c r="GQ9" i="7"/>
  <c r="GR9" i="7"/>
  <c r="GS9" i="7"/>
  <c r="GT9" i="7"/>
  <c r="GU9" i="7"/>
  <c r="GV9" i="7"/>
  <c r="GW9" i="7"/>
  <c r="GX9" i="7"/>
  <c r="GY9" i="7"/>
  <c r="GZ9" i="7"/>
  <c r="HA9" i="7"/>
  <c r="HB9" i="7"/>
  <c r="HC9" i="7"/>
  <c r="FF11" i="7"/>
  <c r="FG11" i="7"/>
  <c r="FH11" i="7"/>
  <c r="FI11" i="7"/>
  <c r="FJ11" i="7"/>
  <c r="FK11" i="7"/>
  <c r="FL11" i="7"/>
  <c r="FM11" i="7"/>
  <c r="FN11" i="7"/>
  <c r="FO11" i="7"/>
  <c r="FP11" i="7"/>
  <c r="FQ11" i="7"/>
  <c r="FR11" i="7"/>
  <c r="FS11" i="7"/>
  <c r="FT11" i="7"/>
  <c r="FU11" i="7"/>
  <c r="FV11" i="7"/>
  <c r="FW11" i="7"/>
  <c r="FX11" i="7"/>
  <c r="FY11" i="7"/>
  <c r="FZ11" i="7"/>
  <c r="GA11" i="7"/>
  <c r="GB11" i="7"/>
  <c r="GC11" i="7"/>
  <c r="GD11" i="7"/>
  <c r="GE11" i="7"/>
  <c r="GF11" i="7"/>
  <c r="GG11" i="7"/>
  <c r="GH11" i="7"/>
  <c r="GI11" i="7"/>
  <c r="GJ11" i="7"/>
  <c r="GK11" i="7"/>
  <c r="GL11" i="7"/>
  <c r="GM11" i="7"/>
  <c r="GN11" i="7"/>
  <c r="GO11" i="7"/>
  <c r="GP11" i="7"/>
  <c r="GQ11" i="7"/>
  <c r="GR11" i="7"/>
  <c r="GS11" i="7"/>
  <c r="GT11" i="7"/>
  <c r="GU11" i="7"/>
  <c r="GV11" i="7"/>
  <c r="GW11" i="7"/>
  <c r="GX11" i="7"/>
  <c r="GY11" i="7"/>
  <c r="GZ11" i="7"/>
  <c r="HA11" i="7"/>
  <c r="HB11" i="7"/>
  <c r="HC11" i="7"/>
  <c r="FF12" i="7"/>
  <c r="FG12" i="7"/>
  <c r="FH12" i="7"/>
  <c r="FI12" i="7"/>
  <c r="FJ12" i="7"/>
  <c r="FK12" i="7"/>
  <c r="FL12" i="7"/>
  <c r="FM12" i="7"/>
  <c r="FN12" i="7"/>
  <c r="FO12" i="7"/>
  <c r="FP12" i="7"/>
  <c r="FQ12" i="7"/>
  <c r="FR12" i="7"/>
  <c r="FS12" i="7"/>
  <c r="FT12" i="7"/>
  <c r="FU12" i="7"/>
  <c r="FV12" i="7"/>
  <c r="FW12" i="7"/>
  <c r="FX12" i="7"/>
  <c r="FY12" i="7"/>
  <c r="FZ12" i="7"/>
  <c r="GA12" i="7"/>
  <c r="GB12" i="7"/>
  <c r="GC12" i="7"/>
  <c r="GD12" i="7"/>
  <c r="GE12" i="7"/>
  <c r="GF12" i="7"/>
  <c r="GG12" i="7"/>
  <c r="GH12" i="7"/>
  <c r="GI12" i="7"/>
  <c r="GJ12" i="7"/>
  <c r="GK12" i="7"/>
  <c r="GL12" i="7"/>
  <c r="GM12" i="7"/>
  <c r="GN12" i="7"/>
  <c r="GO12" i="7"/>
  <c r="GP12" i="7"/>
  <c r="GQ12" i="7"/>
  <c r="GR12" i="7"/>
  <c r="GS12" i="7"/>
  <c r="GT12" i="7"/>
  <c r="GU12" i="7"/>
  <c r="GV12" i="7"/>
  <c r="GW12" i="7"/>
  <c r="GX12" i="7"/>
  <c r="GY12" i="7"/>
  <c r="GZ12" i="7"/>
  <c r="HA12" i="7"/>
  <c r="HB12" i="7"/>
  <c r="HC12" i="7"/>
  <c r="FF13" i="7"/>
  <c r="FG13" i="7"/>
  <c r="FH13" i="7"/>
  <c r="FI13" i="7"/>
  <c r="FJ13" i="7"/>
  <c r="FK13" i="7"/>
  <c r="FL13" i="7"/>
  <c r="FM13" i="7"/>
  <c r="FN13" i="7"/>
  <c r="FO13" i="7"/>
  <c r="FP13" i="7"/>
  <c r="FQ13" i="7"/>
  <c r="FR13" i="7"/>
  <c r="FS13" i="7"/>
  <c r="FT13" i="7"/>
  <c r="FU13" i="7"/>
  <c r="FV13" i="7"/>
  <c r="FW13" i="7"/>
  <c r="FX13" i="7"/>
  <c r="FY13" i="7"/>
  <c r="FZ13" i="7"/>
  <c r="GA13" i="7"/>
  <c r="GB13" i="7"/>
  <c r="GC13" i="7"/>
  <c r="GD13" i="7"/>
  <c r="GE13" i="7"/>
  <c r="GF13" i="7"/>
  <c r="GG13" i="7"/>
  <c r="GH13" i="7"/>
  <c r="GI13" i="7"/>
  <c r="GJ13" i="7"/>
  <c r="GK13" i="7"/>
  <c r="GL13" i="7"/>
  <c r="GM13" i="7"/>
  <c r="GN13" i="7"/>
  <c r="GO13" i="7"/>
  <c r="GP13" i="7"/>
  <c r="GQ13" i="7"/>
  <c r="GR13" i="7"/>
  <c r="GS13" i="7"/>
  <c r="GT13" i="7"/>
  <c r="GU13" i="7"/>
  <c r="GV13" i="7"/>
  <c r="GW13" i="7"/>
  <c r="GX13" i="7"/>
  <c r="GY13" i="7"/>
  <c r="GZ13" i="7"/>
  <c r="HA13" i="7"/>
  <c r="HB13" i="7"/>
  <c r="HC13" i="7"/>
  <c r="FF15" i="7"/>
  <c r="FG15" i="7"/>
  <c r="FH15" i="7"/>
  <c r="FI15" i="7"/>
  <c r="FJ15" i="7"/>
  <c r="FK15" i="7"/>
  <c r="FL15" i="7"/>
  <c r="FM15" i="7"/>
  <c r="FN15" i="7"/>
  <c r="FO15" i="7"/>
  <c r="FP15" i="7"/>
  <c r="FQ15" i="7"/>
  <c r="FR15" i="7"/>
  <c r="FS15" i="7"/>
  <c r="FT15" i="7"/>
  <c r="FU15" i="7"/>
  <c r="FV15" i="7"/>
  <c r="FW15" i="7"/>
  <c r="FX15" i="7"/>
  <c r="FY15" i="7"/>
  <c r="FZ15" i="7"/>
  <c r="GA15" i="7"/>
  <c r="GB15" i="7"/>
  <c r="GC15" i="7"/>
  <c r="GD15" i="7"/>
  <c r="GE15" i="7"/>
  <c r="GF15" i="7"/>
  <c r="GG15" i="7"/>
  <c r="GH15" i="7"/>
  <c r="GI15" i="7"/>
  <c r="GJ15" i="7"/>
  <c r="GK15" i="7"/>
  <c r="GL15" i="7"/>
  <c r="GM15" i="7"/>
  <c r="GN15" i="7"/>
  <c r="GO15" i="7"/>
  <c r="GP15" i="7"/>
  <c r="GQ15" i="7"/>
  <c r="GR15" i="7"/>
  <c r="GS15" i="7"/>
  <c r="GT15" i="7"/>
  <c r="GU15" i="7"/>
  <c r="GV15" i="7"/>
  <c r="GW15" i="7"/>
  <c r="GX15" i="7"/>
  <c r="GY15" i="7"/>
  <c r="GZ15" i="7"/>
  <c r="HA15" i="7"/>
  <c r="HB15" i="7"/>
  <c r="HC15" i="7"/>
  <c r="FF16" i="7"/>
  <c r="FG16" i="7"/>
  <c r="FH16" i="7"/>
  <c r="FI16" i="7"/>
  <c r="FJ16" i="7"/>
  <c r="FK16" i="7"/>
  <c r="FL16" i="7"/>
  <c r="FM16" i="7"/>
  <c r="FN16" i="7"/>
  <c r="FO16" i="7"/>
  <c r="FP16" i="7"/>
  <c r="FQ16" i="7"/>
  <c r="FR16" i="7"/>
  <c r="FS16" i="7"/>
  <c r="FT16" i="7"/>
  <c r="FU16" i="7"/>
  <c r="FV16" i="7"/>
  <c r="FW16" i="7"/>
  <c r="FX16" i="7"/>
  <c r="FY16" i="7"/>
  <c r="FZ16" i="7"/>
  <c r="GA16" i="7"/>
  <c r="GB16" i="7"/>
  <c r="GC16" i="7"/>
  <c r="GD16" i="7"/>
  <c r="GE16" i="7"/>
  <c r="GF16" i="7"/>
  <c r="GG16" i="7"/>
  <c r="GH16" i="7"/>
  <c r="GI16" i="7"/>
  <c r="GJ16" i="7"/>
  <c r="GK16" i="7"/>
  <c r="GL16" i="7"/>
  <c r="GM16" i="7"/>
  <c r="GN16" i="7"/>
  <c r="GO16" i="7"/>
  <c r="GP16" i="7"/>
  <c r="GQ16" i="7"/>
  <c r="GR16" i="7"/>
  <c r="GS16" i="7"/>
  <c r="GT16" i="7"/>
  <c r="GU16" i="7"/>
  <c r="GV16" i="7"/>
  <c r="GW16" i="7"/>
  <c r="GX16" i="7"/>
  <c r="GY16" i="7"/>
  <c r="GZ16" i="7"/>
  <c r="HA16" i="7"/>
  <c r="HB16" i="7"/>
  <c r="HC16" i="7"/>
  <c r="FF17" i="7"/>
  <c r="FG17" i="7"/>
  <c r="FH17" i="7"/>
  <c r="FI17" i="7"/>
  <c r="FJ17" i="7"/>
  <c r="FK17" i="7"/>
  <c r="FL17" i="7"/>
  <c r="FM17" i="7"/>
  <c r="FN17" i="7"/>
  <c r="FO17" i="7"/>
  <c r="FP17" i="7"/>
  <c r="FQ17" i="7"/>
  <c r="FR17" i="7"/>
  <c r="FS17" i="7"/>
  <c r="FT17" i="7"/>
  <c r="FU17" i="7"/>
  <c r="FV17" i="7"/>
  <c r="FW17" i="7"/>
  <c r="FX17" i="7"/>
  <c r="FY17" i="7"/>
  <c r="FZ17" i="7"/>
  <c r="GA17" i="7"/>
  <c r="GB17" i="7"/>
  <c r="GC17" i="7"/>
  <c r="GD17" i="7"/>
  <c r="GE17" i="7"/>
  <c r="GF17" i="7"/>
  <c r="GG17" i="7"/>
  <c r="GH17" i="7"/>
  <c r="GI17" i="7"/>
  <c r="GJ17" i="7"/>
  <c r="GK17" i="7"/>
  <c r="GL17" i="7"/>
  <c r="GM17" i="7"/>
  <c r="GN17" i="7"/>
  <c r="GO17" i="7"/>
  <c r="GP17" i="7"/>
  <c r="GQ17" i="7"/>
  <c r="GR17" i="7"/>
  <c r="GS17" i="7"/>
  <c r="GT17" i="7"/>
  <c r="GU17" i="7"/>
  <c r="GV17" i="7"/>
  <c r="GW17" i="7"/>
  <c r="GX17" i="7"/>
  <c r="GY17" i="7"/>
  <c r="GZ17" i="7"/>
  <c r="HA17" i="7"/>
  <c r="HB17" i="7"/>
  <c r="HC17" i="7"/>
  <c r="FF18" i="7"/>
  <c r="FG18" i="7"/>
  <c r="FH18" i="7"/>
  <c r="FI18" i="7"/>
  <c r="FJ18" i="7"/>
  <c r="FK18" i="7"/>
  <c r="FL18" i="7"/>
  <c r="FM18" i="7"/>
  <c r="FN18" i="7"/>
  <c r="FO18" i="7"/>
  <c r="FP18" i="7"/>
  <c r="FQ18" i="7"/>
  <c r="FR18" i="7"/>
  <c r="FS18" i="7"/>
  <c r="FT18" i="7"/>
  <c r="FU18" i="7"/>
  <c r="FV18" i="7"/>
  <c r="FW18" i="7"/>
  <c r="FX18" i="7"/>
  <c r="FY18" i="7"/>
  <c r="FZ18" i="7"/>
  <c r="GA18" i="7"/>
  <c r="GB18" i="7"/>
  <c r="GC18" i="7"/>
  <c r="GD18" i="7"/>
  <c r="GE18" i="7"/>
  <c r="GF18" i="7"/>
  <c r="GG18" i="7"/>
  <c r="GH18" i="7"/>
  <c r="GI18" i="7"/>
  <c r="GJ18" i="7"/>
  <c r="GK18" i="7"/>
  <c r="GL18" i="7"/>
  <c r="GM18" i="7"/>
  <c r="GN18" i="7"/>
  <c r="GO18" i="7"/>
  <c r="GP18" i="7"/>
  <c r="GQ18" i="7"/>
  <c r="GR18" i="7"/>
  <c r="GS18" i="7"/>
  <c r="GT18" i="7"/>
  <c r="GU18" i="7"/>
  <c r="GV18" i="7"/>
  <c r="GW18" i="7"/>
  <c r="GX18" i="7"/>
  <c r="GY18" i="7"/>
  <c r="GZ18" i="7"/>
  <c r="HA18" i="7"/>
  <c r="HB18" i="7"/>
  <c r="HC18" i="7"/>
  <c r="FF19" i="7"/>
  <c r="FG19" i="7"/>
  <c r="FH19" i="7"/>
  <c r="FI19" i="7"/>
  <c r="FJ19" i="7"/>
  <c r="FK19" i="7"/>
  <c r="FL19" i="7"/>
  <c r="FM19" i="7"/>
  <c r="FN19" i="7"/>
  <c r="FO19" i="7"/>
  <c r="FP19" i="7"/>
  <c r="FQ19" i="7"/>
  <c r="FR19" i="7"/>
  <c r="FS19" i="7"/>
  <c r="FT19" i="7"/>
  <c r="FU19" i="7"/>
  <c r="FV19" i="7"/>
  <c r="FW19" i="7"/>
  <c r="FX19" i="7"/>
  <c r="FY19" i="7"/>
  <c r="FZ19" i="7"/>
  <c r="GA19" i="7"/>
  <c r="GB19" i="7"/>
  <c r="GC19" i="7"/>
  <c r="GD19" i="7"/>
  <c r="GE19" i="7"/>
  <c r="GF19" i="7"/>
  <c r="GG19" i="7"/>
  <c r="GH19" i="7"/>
  <c r="GI19" i="7"/>
  <c r="GJ19" i="7"/>
  <c r="GK19" i="7"/>
  <c r="GL19" i="7"/>
  <c r="GM19" i="7"/>
  <c r="GN19" i="7"/>
  <c r="GO19" i="7"/>
  <c r="GP19" i="7"/>
  <c r="GQ19" i="7"/>
  <c r="GR19" i="7"/>
  <c r="GS19" i="7"/>
  <c r="GT19" i="7"/>
  <c r="GU19" i="7"/>
  <c r="GV19" i="7"/>
  <c r="GW19" i="7"/>
  <c r="GX19" i="7"/>
  <c r="GY19" i="7"/>
  <c r="GZ19" i="7"/>
  <c r="HA19" i="7"/>
  <c r="HB19" i="7"/>
  <c r="HC19" i="7"/>
  <c r="FF20" i="7"/>
  <c r="FG20" i="7"/>
  <c r="FH20" i="7"/>
  <c r="FI20" i="7"/>
  <c r="FJ20" i="7"/>
  <c r="FK20" i="7"/>
  <c r="FL20" i="7"/>
  <c r="FM20" i="7"/>
  <c r="FN20" i="7"/>
  <c r="FO20" i="7"/>
  <c r="FP20" i="7"/>
  <c r="FQ20" i="7"/>
  <c r="FR20" i="7"/>
  <c r="FS20" i="7"/>
  <c r="FT20" i="7"/>
  <c r="FU20" i="7"/>
  <c r="FV20" i="7"/>
  <c r="FW20" i="7"/>
  <c r="FX20" i="7"/>
  <c r="FY20" i="7"/>
  <c r="FZ20" i="7"/>
  <c r="GA20" i="7"/>
  <c r="GB20" i="7"/>
  <c r="GC20" i="7"/>
  <c r="GD20" i="7"/>
  <c r="GE20" i="7"/>
  <c r="GF20" i="7"/>
  <c r="GG20" i="7"/>
  <c r="GH20" i="7"/>
  <c r="GI20" i="7"/>
  <c r="GJ20" i="7"/>
  <c r="GK20" i="7"/>
  <c r="GL20" i="7"/>
  <c r="GM20" i="7"/>
  <c r="GN20" i="7"/>
  <c r="GO20" i="7"/>
  <c r="GP20" i="7"/>
  <c r="GQ20" i="7"/>
  <c r="GR20" i="7"/>
  <c r="GS20" i="7"/>
  <c r="GT20" i="7"/>
  <c r="GU20" i="7"/>
  <c r="GV20" i="7"/>
  <c r="GW20" i="7"/>
  <c r="GX20" i="7"/>
  <c r="GY20" i="7"/>
  <c r="GZ20" i="7"/>
  <c r="HA20" i="7"/>
  <c r="HB20" i="7"/>
  <c r="HC20" i="7"/>
  <c r="FF21" i="7"/>
  <c r="FG21" i="7"/>
  <c r="FH21" i="7"/>
  <c r="FI21" i="7"/>
  <c r="FJ21" i="7"/>
  <c r="FK21" i="7"/>
  <c r="FL21" i="7"/>
  <c r="FM21" i="7"/>
  <c r="FN21" i="7"/>
  <c r="FO21" i="7"/>
  <c r="FP21" i="7"/>
  <c r="FQ21" i="7"/>
  <c r="FR21" i="7"/>
  <c r="FS21" i="7"/>
  <c r="FT21" i="7"/>
  <c r="FU21" i="7"/>
  <c r="FV21" i="7"/>
  <c r="FW21" i="7"/>
  <c r="FX21" i="7"/>
  <c r="FY21" i="7"/>
  <c r="FZ21" i="7"/>
  <c r="GA21" i="7"/>
  <c r="GB21" i="7"/>
  <c r="GC21" i="7"/>
  <c r="GD21" i="7"/>
  <c r="GE21" i="7"/>
  <c r="GF21" i="7"/>
  <c r="GG21" i="7"/>
  <c r="GH21" i="7"/>
  <c r="GI21" i="7"/>
  <c r="GJ21" i="7"/>
  <c r="GK21" i="7"/>
  <c r="GL21" i="7"/>
  <c r="GM21" i="7"/>
  <c r="GN21" i="7"/>
  <c r="GO21" i="7"/>
  <c r="GP21" i="7"/>
  <c r="GQ21" i="7"/>
  <c r="GR21" i="7"/>
  <c r="GS21" i="7"/>
  <c r="GT21" i="7"/>
  <c r="GU21" i="7"/>
  <c r="GV21" i="7"/>
  <c r="GW21" i="7"/>
  <c r="GX21" i="7"/>
  <c r="GY21" i="7"/>
  <c r="GZ21" i="7"/>
  <c r="HA21" i="7"/>
  <c r="HB21" i="7"/>
  <c r="HC21" i="7"/>
  <c r="FF22" i="7"/>
  <c r="FG22" i="7"/>
  <c r="FH22" i="7"/>
  <c r="FI22" i="7"/>
  <c r="FJ22" i="7"/>
  <c r="FK22" i="7"/>
  <c r="FL22" i="7"/>
  <c r="FM22" i="7"/>
  <c r="FN22" i="7"/>
  <c r="FO22" i="7"/>
  <c r="FP22" i="7"/>
  <c r="FQ22" i="7"/>
  <c r="FR22" i="7"/>
  <c r="FS22" i="7"/>
  <c r="FT22" i="7"/>
  <c r="FU22" i="7"/>
  <c r="FV22" i="7"/>
  <c r="FW22" i="7"/>
  <c r="FX22" i="7"/>
  <c r="FY22" i="7"/>
  <c r="FZ22" i="7"/>
  <c r="GA22" i="7"/>
  <c r="GB22" i="7"/>
  <c r="GC22" i="7"/>
  <c r="GD22" i="7"/>
  <c r="GE22" i="7"/>
  <c r="GF22" i="7"/>
  <c r="GG22" i="7"/>
  <c r="GH22" i="7"/>
  <c r="GI22" i="7"/>
  <c r="GJ22" i="7"/>
  <c r="GK22" i="7"/>
  <c r="GL22" i="7"/>
  <c r="GM22" i="7"/>
  <c r="GN22" i="7"/>
  <c r="GO22" i="7"/>
  <c r="GP22" i="7"/>
  <c r="GQ22" i="7"/>
  <c r="GR22" i="7"/>
  <c r="GS22" i="7"/>
  <c r="GT22" i="7"/>
  <c r="GU22" i="7"/>
  <c r="GV22" i="7"/>
  <c r="GW22" i="7"/>
  <c r="GX22" i="7"/>
  <c r="GY22" i="7"/>
  <c r="GZ22" i="7"/>
  <c r="HA22" i="7"/>
  <c r="HB22" i="7"/>
  <c r="HC22" i="7"/>
  <c r="FF23" i="7"/>
  <c r="FG23" i="7"/>
  <c r="FH23" i="7"/>
  <c r="FI23" i="7"/>
  <c r="FJ23" i="7"/>
  <c r="FK23" i="7"/>
  <c r="FL23" i="7"/>
  <c r="FM23" i="7"/>
  <c r="FN23" i="7"/>
  <c r="FO23" i="7"/>
  <c r="FP23" i="7"/>
  <c r="FQ23" i="7"/>
  <c r="FR23" i="7"/>
  <c r="FS23" i="7"/>
  <c r="FT23" i="7"/>
  <c r="FU23" i="7"/>
  <c r="FV23" i="7"/>
  <c r="FW23" i="7"/>
  <c r="FX23" i="7"/>
  <c r="FY23" i="7"/>
  <c r="FZ23" i="7"/>
  <c r="GA23" i="7"/>
  <c r="GB23" i="7"/>
  <c r="GC23" i="7"/>
  <c r="GD23" i="7"/>
  <c r="GE23" i="7"/>
  <c r="GF23" i="7"/>
  <c r="GG23" i="7"/>
  <c r="GH23" i="7"/>
  <c r="GI23" i="7"/>
  <c r="GJ23" i="7"/>
  <c r="GK23" i="7"/>
  <c r="GL23" i="7"/>
  <c r="GM23" i="7"/>
  <c r="GN23" i="7"/>
  <c r="GO23" i="7"/>
  <c r="GP23" i="7"/>
  <c r="GQ23" i="7"/>
  <c r="GR23" i="7"/>
  <c r="GS23" i="7"/>
  <c r="GT23" i="7"/>
  <c r="GU23" i="7"/>
  <c r="GV23" i="7"/>
  <c r="GW23" i="7"/>
  <c r="GX23" i="7"/>
  <c r="GY23" i="7"/>
  <c r="GZ23" i="7"/>
  <c r="HA23" i="7"/>
  <c r="HB23" i="7"/>
  <c r="HC23" i="7"/>
  <c r="FF24" i="7"/>
  <c r="FG24" i="7"/>
  <c r="FH24" i="7"/>
  <c r="FI24" i="7"/>
  <c r="FJ24" i="7"/>
  <c r="FK24" i="7"/>
  <c r="FL24" i="7"/>
  <c r="FM24" i="7"/>
  <c r="FN24" i="7"/>
  <c r="FO24" i="7"/>
  <c r="FP24" i="7"/>
  <c r="FQ24" i="7"/>
  <c r="FR24" i="7"/>
  <c r="FS24" i="7"/>
  <c r="FT24" i="7"/>
  <c r="FU24" i="7"/>
  <c r="FV24" i="7"/>
  <c r="FW24" i="7"/>
  <c r="FX24" i="7"/>
  <c r="FY24" i="7"/>
  <c r="FZ24" i="7"/>
  <c r="GA24" i="7"/>
  <c r="GB24" i="7"/>
  <c r="GC24" i="7"/>
  <c r="GD24" i="7"/>
  <c r="GE24" i="7"/>
  <c r="GF24" i="7"/>
  <c r="GG24" i="7"/>
  <c r="GH24" i="7"/>
  <c r="GI24" i="7"/>
  <c r="GJ24" i="7"/>
  <c r="GK24" i="7"/>
  <c r="GL24" i="7"/>
  <c r="GM24" i="7"/>
  <c r="GN24" i="7"/>
  <c r="GO24" i="7"/>
  <c r="GP24" i="7"/>
  <c r="GQ24" i="7"/>
  <c r="GR24" i="7"/>
  <c r="GS24" i="7"/>
  <c r="GT24" i="7"/>
  <c r="GU24" i="7"/>
  <c r="GV24" i="7"/>
  <c r="GW24" i="7"/>
  <c r="GX24" i="7"/>
  <c r="GY24" i="7"/>
  <c r="GZ24" i="7"/>
  <c r="HA24" i="7"/>
  <c r="HB24" i="7"/>
  <c r="HC24" i="7"/>
  <c r="FF25" i="7"/>
  <c r="FG25" i="7"/>
  <c r="FH25" i="7"/>
  <c r="FI25" i="7"/>
  <c r="FJ25" i="7"/>
  <c r="FK25" i="7"/>
  <c r="FL25" i="7"/>
  <c r="FM25" i="7"/>
  <c r="FN25" i="7"/>
  <c r="FO25" i="7"/>
  <c r="FP25" i="7"/>
  <c r="FQ25" i="7"/>
  <c r="FR25" i="7"/>
  <c r="FS25" i="7"/>
  <c r="FT25" i="7"/>
  <c r="FU25" i="7"/>
  <c r="FV25" i="7"/>
  <c r="FW25" i="7"/>
  <c r="FX25" i="7"/>
  <c r="FY25" i="7"/>
  <c r="FZ25" i="7"/>
  <c r="GA25" i="7"/>
  <c r="GB25" i="7"/>
  <c r="GC25" i="7"/>
  <c r="GD25" i="7"/>
  <c r="GE25" i="7"/>
  <c r="GF25" i="7"/>
  <c r="GG25" i="7"/>
  <c r="GH25" i="7"/>
  <c r="GI25" i="7"/>
  <c r="GJ25" i="7"/>
  <c r="GK25" i="7"/>
  <c r="GL25" i="7"/>
  <c r="GM25" i="7"/>
  <c r="GN25" i="7"/>
  <c r="GO25" i="7"/>
  <c r="GP25" i="7"/>
  <c r="GQ25" i="7"/>
  <c r="GR25" i="7"/>
  <c r="GS25" i="7"/>
  <c r="GT25" i="7"/>
  <c r="GU25" i="7"/>
  <c r="GV25" i="7"/>
  <c r="GW25" i="7"/>
  <c r="GX25" i="7"/>
  <c r="GY25" i="7"/>
  <c r="GZ25" i="7"/>
  <c r="HA25" i="7"/>
  <c r="HB25" i="7"/>
  <c r="HC25" i="7"/>
  <c r="DZ6" i="7"/>
  <c r="ED6" i="7" s="1"/>
  <c r="DZ9" i="7"/>
  <c r="ED9" i="7" s="1"/>
  <c r="DZ11" i="7"/>
  <c r="EA11" i="7" s="1"/>
  <c r="DZ12" i="7"/>
  <c r="DZ13" i="7"/>
  <c r="EH13" i="7" s="1"/>
  <c r="DZ15" i="7"/>
  <c r="EA15" i="7" s="1"/>
  <c r="DZ16" i="7"/>
  <c r="EH16" i="7" s="1"/>
  <c r="DZ17" i="7"/>
  <c r="EA17" i="7" s="1"/>
  <c r="EB17" i="7"/>
  <c r="ED17" i="7"/>
  <c r="EF17" i="7"/>
  <c r="DZ18" i="7"/>
  <c r="EA18" i="7" s="1"/>
  <c r="EC18" i="7"/>
  <c r="DZ19" i="7"/>
  <c r="EH19" i="7" s="1"/>
  <c r="EC19" i="7"/>
  <c r="ED19" i="7"/>
  <c r="DZ20" i="7"/>
  <c r="EA20" i="7" s="1"/>
  <c r="ED20" i="7"/>
  <c r="EE20" i="7"/>
  <c r="EF20" i="7"/>
  <c r="EU20" i="7"/>
  <c r="DZ21" i="7"/>
  <c r="EL21" i="7" s="1"/>
  <c r="DZ22" i="7"/>
  <c r="EH22" i="7" s="1"/>
  <c r="EC22" i="7"/>
  <c r="ED22" i="7"/>
  <c r="EF22" i="7"/>
  <c r="EG22" i="7"/>
  <c r="ES22" i="7"/>
  <c r="EX22" i="7"/>
  <c r="FA22" i="7"/>
  <c r="DZ23" i="7"/>
  <c r="EA23" i="7" s="1"/>
  <c r="EB23" i="7"/>
  <c r="EG23" i="7"/>
  <c r="EU23" i="7"/>
  <c r="EW23" i="7"/>
  <c r="FB23" i="7"/>
  <c r="FD23" i="7"/>
  <c r="DZ24" i="7"/>
  <c r="EX24" i="7" s="1"/>
  <c r="DZ25" i="7"/>
  <c r="EH25" i="7" s="1"/>
  <c r="B80" i="30"/>
  <c r="DZ8" i="7" s="1"/>
  <c r="GN8" i="7" s="1"/>
  <c r="B62" i="30"/>
  <c r="C15" i="9"/>
  <c r="D15" i="9"/>
  <c r="F96" i="45"/>
  <c r="K96" i="45"/>
  <c r="K95" i="45"/>
  <c r="C95" i="45"/>
  <c r="F95" i="45"/>
  <c r="D7" i="9"/>
  <c r="C7" i="9"/>
  <c r="F69" i="45"/>
  <c r="F70" i="45"/>
  <c r="K70" i="45"/>
  <c r="C69" i="45"/>
  <c r="K69" i="45"/>
  <c r="D8" i="9"/>
  <c r="F34" i="45"/>
  <c r="F35" i="45"/>
  <c r="K35" i="45"/>
  <c r="C34" i="45"/>
  <c r="K34" i="45"/>
  <c r="C33" i="9"/>
  <c r="C25" i="9"/>
  <c r="C8" i="9"/>
  <c r="G8" i="30" s="1"/>
  <c r="GW8" i="7" l="1"/>
  <c r="GQ8" i="7"/>
  <c r="FV8" i="7"/>
  <c r="GD8" i="7"/>
  <c r="FY8" i="7"/>
  <c r="EJ8" i="7"/>
  <c r="FU8" i="7"/>
  <c r="GJ8" i="7"/>
  <c r="FD8" i="7"/>
  <c r="GI8" i="7"/>
  <c r="FT8" i="7"/>
  <c r="GR8" i="7"/>
  <c r="GO8" i="7"/>
  <c r="EA8" i="7"/>
  <c r="FO8" i="7"/>
  <c r="GG8" i="7"/>
  <c r="GY8" i="7"/>
  <c r="FG8" i="7"/>
  <c r="FZ8" i="7"/>
  <c r="GS8" i="7"/>
  <c r="FI8" i="7"/>
  <c r="GB8" i="7"/>
  <c r="GU8" i="7"/>
  <c r="FN8" i="7"/>
  <c r="GH8" i="7"/>
  <c r="HA8" i="7"/>
  <c r="FX8" i="7"/>
  <c r="GV8" i="7"/>
  <c r="GA8" i="7"/>
  <c r="GX8" i="7"/>
  <c r="GC8" i="7"/>
  <c r="GZ8" i="7"/>
  <c r="FM8" i="7"/>
  <c r="GK8" i="7"/>
  <c r="FP8" i="7"/>
  <c r="GL8" i="7"/>
  <c r="FQ8" i="7"/>
  <c r="GM8" i="7"/>
  <c r="EF8" i="7"/>
  <c r="FW8" i="7"/>
  <c r="GT8" i="7"/>
  <c r="FS8" i="7"/>
  <c r="HC8" i="7"/>
  <c r="FR8" i="7"/>
  <c r="HB8" i="7"/>
  <c r="FL8" i="7"/>
  <c r="EV23" i="7"/>
  <c r="EX8" i="7"/>
  <c r="EL23" i="7"/>
  <c r="EK23" i="7"/>
  <c r="EV8" i="7"/>
  <c r="EI23" i="7"/>
  <c r="EU8" i="7"/>
  <c r="EC25" i="7"/>
  <c r="EH23" i="7"/>
  <c r="ER13" i="7"/>
  <c r="EP8" i="7"/>
  <c r="EQ13" i="7"/>
  <c r="ED23" i="7"/>
  <c r="EV20" i="7"/>
  <c r="EE17" i="7"/>
  <c r="EB13" i="7"/>
  <c r="EG8" i="7"/>
  <c r="EE8" i="7"/>
  <c r="EZ23" i="7"/>
  <c r="EB8" i="7"/>
  <c r="FA25" i="7"/>
  <c r="EX23" i="7"/>
  <c r="EF23" i="7"/>
  <c r="EE22" i="7"/>
  <c r="EB20" i="7"/>
  <c r="EW8" i="7"/>
  <c r="ED8" i="7"/>
  <c r="EV25" i="7"/>
  <c r="ES25" i="7"/>
  <c r="EF25" i="7"/>
  <c r="ET8" i="7"/>
  <c r="EE25" i="7"/>
  <c r="ET23" i="7"/>
  <c r="FC22" i="7"/>
  <c r="EX9" i="7"/>
  <c r="ES8" i="7"/>
  <c r="EN6" i="7"/>
  <c r="ED25" i="7"/>
  <c r="ES23" i="7"/>
  <c r="FB22" i="7"/>
  <c r="EW20" i="7"/>
  <c r="EL18" i="7"/>
  <c r="EO9" i="7"/>
  <c r="ER8" i="7"/>
  <c r="EM6" i="7"/>
  <c r="EM9" i="7"/>
  <c r="EB6" i="7"/>
  <c r="EN9" i="7"/>
  <c r="EC6" i="7"/>
  <c r="EJ23" i="7"/>
  <c r="EV22" i="7"/>
  <c r="ET20" i="7"/>
  <c r="EC9" i="7"/>
  <c r="EH8" i="7"/>
  <c r="EA6" i="7"/>
  <c r="EL24" i="7"/>
  <c r="EJ20" i="7"/>
  <c r="EV19" i="7"/>
  <c r="ET17" i="7"/>
  <c r="EQ16" i="7"/>
  <c r="EF11" i="7"/>
  <c r="FA6" i="7"/>
  <c r="FB25" i="7"/>
  <c r="EC24" i="7"/>
  <c r="FE20" i="7"/>
  <c r="EI20" i="7"/>
  <c r="ES19" i="7"/>
  <c r="ES17" i="7"/>
  <c r="ED16" i="7"/>
  <c r="EE11" i="7"/>
  <c r="FE8" i="7"/>
  <c r="EK8" i="7"/>
  <c r="EZ6" i="7"/>
  <c r="FD11" i="7"/>
  <c r="ES20" i="7"/>
  <c r="ES11" i="7"/>
  <c r="EB24" i="7"/>
  <c r="FD20" i="7"/>
  <c r="EH20" i="7"/>
  <c r="EF19" i="7"/>
  <c r="ER17" i="7"/>
  <c r="EC16" i="7"/>
  <c r="ED11" i="7"/>
  <c r="EY6" i="7"/>
  <c r="EX25" i="7"/>
  <c r="EA24" i="7"/>
  <c r="EX20" i="7"/>
  <c r="EG20" i="7"/>
  <c r="EE19" i="7"/>
  <c r="EQ17" i="7"/>
  <c r="EB16" i="7"/>
  <c r="EB11" i="7"/>
  <c r="EZ8" i="7"/>
  <c r="EI8" i="7"/>
  <c r="EO6" i="7"/>
  <c r="FE11" i="7"/>
  <c r="ET11" i="7"/>
  <c r="ER20" i="7"/>
  <c r="FB19" i="7"/>
  <c r="ER11" i="7"/>
  <c r="EQ20" i="7"/>
  <c r="FA19" i="7"/>
  <c r="ES16" i="7"/>
  <c r="EQ11" i="7"/>
  <c r="EB9" i="7"/>
  <c r="EV16" i="7"/>
  <c r="FE17" i="7"/>
  <c r="EM24" i="7"/>
  <c r="EP20" i="7"/>
  <c r="EX19" i="7"/>
  <c r="FD17" i="7"/>
  <c r="ER16" i="7"/>
  <c r="EP11" i="7"/>
  <c r="EA9" i="7"/>
  <c r="EQ8" i="7"/>
  <c r="EO13" i="7"/>
  <c r="EP17" i="7"/>
  <c r="EP16" i="7"/>
  <c r="EN13" i="7"/>
  <c r="ER25" i="7"/>
  <c r="ER19" i="7"/>
  <c r="FC17" i="7"/>
  <c r="EN17" i="7"/>
  <c r="EO16" i="7"/>
  <c r="EL13" i="7"/>
  <c r="EN11" i="7"/>
  <c r="EQ25" i="7"/>
  <c r="FB17" i="7"/>
  <c r="EL17" i="7"/>
  <c r="EN16" i="7"/>
  <c r="FB13" i="7"/>
  <c r="FB11" i="7"/>
  <c r="EP25" i="7"/>
  <c r="EQ22" i="7"/>
  <c r="EY18" i="7"/>
  <c r="EZ17" i="7"/>
  <c r="FC16" i="7"/>
  <c r="EX15" i="7"/>
  <c r="FA13" i="7"/>
  <c r="EZ11" i="7"/>
  <c r="EK11" i="7"/>
  <c r="EP22" i="7"/>
  <c r="EO19" i="7"/>
  <c r="EX18" i="7"/>
  <c r="FB16" i="7"/>
  <c r="EJ16" i="7"/>
  <c r="EF13" i="7"/>
  <c r="EX11" i="7"/>
  <c r="EO22" i="7"/>
  <c r="FE19" i="7"/>
  <c r="EL19" i="7"/>
  <c r="EO18" i="7"/>
  <c r="EW17" i="7"/>
  <c r="EG16" i="7"/>
  <c r="EN15" i="7"/>
  <c r="EX13" i="7"/>
  <c r="EE13" i="7"/>
  <c r="EW11" i="7"/>
  <c r="EI11" i="7"/>
  <c r="FA9" i="7"/>
  <c r="EP13" i="7"/>
  <c r="FA18" i="7"/>
  <c r="EZ15" i="7"/>
  <c r="FC11" i="7"/>
  <c r="ER22" i="7"/>
  <c r="EZ18" i="7"/>
  <c r="EY15" i="7"/>
  <c r="EJ13" i="7"/>
  <c r="EK17" i="7"/>
  <c r="EO25" i="7"/>
  <c r="EJ17" i="7"/>
  <c r="EL25" i="7"/>
  <c r="ER23" i="7"/>
  <c r="FC20" i="7"/>
  <c r="FA16" i="7"/>
  <c r="FD25" i="7"/>
  <c r="EJ25" i="7"/>
  <c r="EP23" i="7"/>
  <c r="FE22" i="7"/>
  <c r="EL22" i="7"/>
  <c r="FB20" i="7"/>
  <c r="EL20" i="7"/>
  <c r="FD19" i="7"/>
  <c r="EJ19" i="7"/>
  <c r="EN18" i="7"/>
  <c r="EV17" i="7"/>
  <c r="EH17" i="7"/>
  <c r="EZ16" i="7"/>
  <c r="EF16" i="7"/>
  <c r="EM15" i="7"/>
  <c r="EV13" i="7"/>
  <c r="ED13" i="7"/>
  <c r="EV11" i="7"/>
  <c r="EH11" i="7"/>
  <c r="EZ9" i="7"/>
  <c r="FC8" i="7"/>
  <c r="EN8" i="7"/>
  <c r="FE13" i="7"/>
  <c r="FA15" i="7"/>
  <c r="FD13" i="7"/>
  <c r="FE16" i="7"/>
  <c r="FC13" i="7"/>
  <c r="EQ19" i="7"/>
  <c r="FD16" i="7"/>
  <c r="EL11" i="7"/>
  <c r="EP19" i="7"/>
  <c r="EL16" i="7"/>
  <c r="EG13" i="7"/>
  <c r="EX17" i="7"/>
  <c r="EO15" i="7"/>
  <c r="EZ13" i="7"/>
  <c r="EJ11" i="7"/>
  <c r="FE25" i="7"/>
  <c r="EN20" i="7"/>
  <c r="EI17" i="7"/>
  <c r="FC25" i="7"/>
  <c r="EG25" i="7"/>
  <c r="FE23" i="7"/>
  <c r="EN23" i="7"/>
  <c r="FD22" i="7"/>
  <c r="EJ22" i="7"/>
  <c r="EZ20" i="7"/>
  <c r="EK20" i="7"/>
  <c r="FC19" i="7"/>
  <c r="EG19" i="7"/>
  <c r="EM18" i="7"/>
  <c r="EU17" i="7"/>
  <c r="EG17" i="7"/>
  <c r="EX16" i="7"/>
  <c r="EE16" i="7"/>
  <c r="EL15" i="7"/>
  <c r="ES13" i="7"/>
  <c r="EC13" i="7"/>
  <c r="EU11" i="7"/>
  <c r="EG11" i="7"/>
  <c r="EY9" i="7"/>
  <c r="FB8" i="7"/>
  <c r="EL8" i="7"/>
  <c r="ED12" i="7"/>
  <c r="EP12" i="7"/>
  <c r="FB12" i="7"/>
  <c r="EE12" i="7"/>
  <c r="EQ12" i="7"/>
  <c r="FC12" i="7"/>
  <c r="EF12" i="7"/>
  <c r="ER12" i="7"/>
  <c r="FD12" i="7"/>
  <c r="EG12" i="7"/>
  <c r="ES12" i="7"/>
  <c r="FE12" i="7"/>
  <c r="EH12" i="7"/>
  <c r="ET12" i="7"/>
  <c r="EI12" i="7"/>
  <c r="EU12" i="7"/>
  <c r="EJ12" i="7"/>
  <c r="EV12" i="7"/>
  <c r="EK12" i="7"/>
  <c r="EW12" i="7"/>
  <c r="FA12" i="7"/>
  <c r="EZ12" i="7"/>
  <c r="FA21" i="7"/>
  <c r="EZ21" i="7"/>
  <c r="EY12" i="7"/>
  <c r="EX21" i="7"/>
  <c r="EX12" i="7"/>
  <c r="EO21" i="7"/>
  <c r="EY24" i="7"/>
  <c r="EB18" i="7"/>
  <c r="EC15" i="7"/>
  <c r="EL12" i="7"/>
  <c r="ED21" i="7"/>
  <c r="EP21" i="7"/>
  <c r="FB21" i="7"/>
  <c r="ER21" i="7"/>
  <c r="EE21" i="7"/>
  <c r="EQ21" i="7"/>
  <c r="FC21" i="7"/>
  <c r="EF21" i="7"/>
  <c r="FD21" i="7"/>
  <c r="EG21" i="7"/>
  <c r="ES21" i="7"/>
  <c r="FE21" i="7"/>
  <c r="EH21" i="7"/>
  <c r="ET21" i="7"/>
  <c r="EI21" i="7"/>
  <c r="EU21" i="7"/>
  <c r="EJ21" i="7"/>
  <c r="EV21" i="7"/>
  <c r="EK21" i="7"/>
  <c r="EW21" i="7"/>
  <c r="EY21" i="7"/>
  <c r="EZ24" i="7"/>
  <c r="EC21" i="7"/>
  <c r="EB15" i="7"/>
  <c r="EC12" i="7"/>
  <c r="ED24" i="7"/>
  <c r="EP24" i="7"/>
  <c r="FB24" i="7"/>
  <c r="ER24" i="7"/>
  <c r="EE24" i="7"/>
  <c r="EQ24" i="7"/>
  <c r="FC24" i="7"/>
  <c r="EF24" i="7"/>
  <c r="FD24" i="7"/>
  <c r="EW24" i="7"/>
  <c r="EG24" i="7"/>
  <c r="ES24" i="7"/>
  <c r="FE24" i="7"/>
  <c r="EH24" i="7"/>
  <c r="ET24" i="7"/>
  <c r="EI24" i="7"/>
  <c r="EU24" i="7"/>
  <c r="EJ24" i="7"/>
  <c r="EV24" i="7"/>
  <c r="EK24" i="7"/>
  <c r="EO24" i="7"/>
  <c r="EB21" i="7"/>
  <c r="ED18" i="7"/>
  <c r="EP18" i="7"/>
  <c r="FB18" i="7"/>
  <c r="EE18" i="7"/>
  <c r="EQ18" i="7"/>
  <c r="FC18" i="7"/>
  <c r="EF18" i="7"/>
  <c r="FD18" i="7"/>
  <c r="ER18" i="7"/>
  <c r="EG18" i="7"/>
  <c r="ES18" i="7"/>
  <c r="FE18" i="7"/>
  <c r="EH18" i="7"/>
  <c r="ET18" i="7"/>
  <c r="EK18" i="7"/>
  <c r="EI18" i="7"/>
  <c r="EU18" i="7"/>
  <c r="EJ18" i="7"/>
  <c r="EV18" i="7"/>
  <c r="EW18" i="7"/>
  <c r="EB12" i="7"/>
  <c r="EO12" i="7"/>
  <c r="FA24" i="7"/>
  <c r="EN21" i="7"/>
  <c r="EN12" i="7"/>
  <c r="EM21" i="7"/>
  <c r="EM12" i="7"/>
  <c r="EN24" i="7"/>
  <c r="EA21" i="7"/>
  <c r="ED15" i="7"/>
  <c r="EP15" i="7"/>
  <c r="FB15" i="7"/>
  <c r="EE15" i="7"/>
  <c r="EQ15" i="7"/>
  <c r="FC15" i="7"/>
  <c r="EF15" i="7"/>
  <c r="FD15" i="7"/>
  <c r="ER15" i="7"/>
  <c r="EG15" i="7"/>
  <c r="ES15" i="7"/>
  <c r="FE15" i="7"/>
  <c r="EH15" i="7"/>
  <c r="ET15" i="7"/>
  <c r="EI15" i="7"/>
  <c r="EU15" i="7"/>
  <c r="EJ15" i="7"/>
  <c r="EV15" i="7"/>
  <c r="EK15" i="7"/>
  <c r="EW15" i="7"/>
  <c r="EA12" i="7"/>
  <c r="EW9" i="7"/>
  <c r="EK9" i="7"/>
  <c r="EW6" i="7"/>
  <c r="EK6" i="7"/>
  <c r="EZ25" i="7"/>
  <c r="EN25" i="7"/>
  <c r="EB25" i="7"/>
  <c r="EZ22" i="7"/>
  <c r="EN22" i="7"/>
  <c r="EB22" i="7"/>
  <c r="EZ19" i="7"/>
  <c r="EN19" i="7"/>
  <c r="EB19" i="7"/>
  <c r="EV9" i="7"/>
  <c r="EJ9" i="7"/>
  <c r="EV6" i="7"/>
  <c r="EJ6" i="7"/>
  <c r="EY25" i="7"/>
  <c r="EM25" i="7"/>
  <c r="EA25" i="7"/>
  <c r="FC23" i="7"/>
  <c r="EQ23" i="7"/>
  <c r="EE23" i="7"/>
  <c r="EY22" i="7"/>
  <c r="EM22" i="7"/>
  <c r="EA22" i="7"/>
  <c r="EY19" i="7"/>
  <c r="EM19" i="7"/>
  <c r="EA19" i="7"/>
  <c r="EY16" i="7"/>
  <c r="EM16" i="7"/>
  <c r="EA16" i="7"/>
  <c r="EY13" i="7"/>
  <c r="EM13" i="7"/>
  <c r="EA13" i="7"/>
  <c r="EU9" i="7"/>
  <c r="EI9" i="7"/>
  <c r="EU6" i="7"/>
  <c r="EI6" i="7"/>
  <c r="EL9" i="7"/>
  <c r="EX6" i="7"/>
  <c r="EL6" i="7"/>
  <c r="ET9" i="7"/>
  <c r="EH9" i="7"/>
  <c r="ET6" i="7"/>
  <c r="EH6" i="7"/>
  <c r="EW25" i="7"/>
  <c r="EK25" i="7"/>
  <c r="FA23" i="7"/>
  <c r="EO23" i="7"/>
  <c r="EC23" i="7"/>
  <c r="EW22" i="7"/>
  <c r="EK22" i="7"/>
  <c r="FA20" i="7"/>
  <c r="EO20" i="7"/>
  <c r="EC20" i="7"/>
  <c r="EW19" i="7"/>
  <c r="EK19" i="7"/>
  <c r="FA17" i="7"/>
  <c r="EO17" i="7"/>
  <c r="EC17" i="7"/>
  <c r="EW16" i="7"/>
  <c r="EK16" i="7"/>
  <c r="EW13" i="7"/>
  <c r="EK13" i="7"/>
  <c r="FA11" i="7"/>
  <c r="EO11" i="7"/>
  <c r="EC11" i="7"/>
  <c r="FE9" i="7"/>
  <c r="ES9" i="7"/>
  <c r="EG9" i="7"/>
  <c r="FA8" i="7"/>
  <c r="EO8" i="7"/>
  <c r="EC8" i="7"/>
  <c r="FE6" i="7"/>
  <c r="ES6" i="7"/>
  <c r="EG6" i="7"/>
  <c r="ER9" i="7"/>
  <c r="FD9" i="7"/>
  <c r="EF9" i="7"/>
  <c r="FD6" i="7"/>
  <c r="ER6" i="7"/>
  <c r="EF6" i="7"/>
  <c r="EU25" i="7"/>
  <c r="EI25" i="7"/>
  <c r="EY23" i="7"/>
  <c r="EM23" i="7"/>
  <c r="EU22" i="7"/>
  <c r="EI22" i="7"/>
  <c r="EY20" i="7"/>
  <c r="EM20" i="7"/>
  <c r="EU19" i="7"/>
  <c r="EI19" i="7"/>
  <c r="EY17" i="7"/>
  <c r="EM17" i="7"/>
  <c r="EU16" i="7"/>
  <c r="EI16" i="7"/>
  <c r="EU13" i="7"/>
  <c r="EI13" i="7"/>
  <c r="EY11" i="7"/>
  <c r="EM11" i="7"/>
  <c r="FC9" i="7"/>
  <c r="EQ9" i="7"/>
  <c r="EE9" i="7"/>
  <c r="EY8" i="7"/>
  <c r="EM8" i="7"/>
  <c r="FC6" i="7"/>
  <c r="EQ6" i="7"/>
  <c r="EE6" i="7"/>
  <c r="ET25" i="7"/>
  <c r="ET22" i="7"/>
  <c r="ET19" i="7"/>
  <c r="ET16" i="7"/>
  <c r="ET13" i="7"/>
  <c r="FB9" i="7"/>
  <c r="EP9" i="7"/>
  <c r="FB6" i="7"/>
  <c r="EP6" i="7"/>
  <c r="B33" i="9"/>
  <c r="B8" i="9"/>
  <c r="B7" i="9"/>
  <c r="B15" i="9"/>
  <c r="B13" i="9"/>
  <c r="B11" i="9"/>
  <c r="D11" i="9" s="1"/>
  <c r="D25" i="9"/>
  <c r="D26" i="9"/>
  <c r="C26" i="9"/>
  <c r="D14" i="9"/>
  <c r="B14" i="9"/>
  <c r="D13" i="9"/>
  <c r="B10" i="9"/>
  <c r="B5" i="9"/>
  <c r="D3" i="9"/>
  <c r="B3" i="9"/>
  <c r="B3" i="30"/>
  <c r="L3" i="30"/>
  <c r="C2" i="43"/>
  <c r="D2" i="43"/>
  <c r="E2" i="43"/>
  <c r="F2" i="43"/>
  <c r="G2" i="43"/>
  <c r="H2" i="43"/>
  <c r="I2" i="43"/>
  <c r="J2" i="43"/>
  <c r="K2" i="43"/>
  <c r="L2" i="43"/>
  <c r="M2" i="43"/>
  <c r="N2" i="43"/>
  <c r="O2" i="43"/>
  <c r="P2" i="43"/>
  <c r="Q2" i="43"/>
  <c r="R2" i="43"/>
  <c r="S2" i="43"/>
  <c r="T2" i="43"/>
  <c r="U2" i="43"/>
  <c r="V2" i="43"/>
  <c r="W2" i="43"/>
  <c r="X2" i="43"/>
  <c r="Y2" i="43"/>
  <c r="Z2" i="43"/>
  <c r="AA2" i="43"/>
  <c r="AB2" i="43"/>
  <c r="AC2" i="43"/>
  <c r="AD2" i="43"/>
  <c r="AE2" i="43"/>
  <c r="C3" i="43"/>
  <c r="D3" i="43"/>
  <c r="E3" i="43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S3" i="43"/>
  <c r="T3" i="43"/>
  <c r="U3" i="43"/>
  <c r="V3" i="43"/>
  <c r="W3" i="43"/>
  <c r="X3" i="43"/>
  <c r="Y3" i="43"/>
  <c r="Z3" i="43"/>
  <c r="AA3" i="43"/>
  <c r="AB3" i="43"/>
  <c r="AC3" i="43"/>
  <c r="AD3" i="43"/>
  <c r="AE3" i="43"/>
  <c r="C4" i="43"/>
  <c r="D4" i="43"/>
  <c r="E4" i="43"/>
  <c r="F4" i="43"/>
  <c r="G4" i="43"/>
  <c r="H4" i="43"/>
  <c r="I4" i="43"/>
  <c r="J4" i="43"/>
  <c r="K4" i="43"/>
  <c r="L4" i="43"/>
  <c r="M4" i="43"/>
  <c r="N4" i="43"/>
  <c r="O4" i="43"/>
  <c r="P4" i="43"/>
  <c r="Q4" i="43"/>
  <c r="R4" i="43"/>
  <c r="S4" i="43"/>
  <c r="T4" i="43"/>
  <c r="U4" i="43"/>
  <c r="V4" i="43"/>
  <c r="W4" i="43"/>
  <c r="X4" i="43"/>
  <c r="Y4" i="43"/>
  <c r="Z4" i="43"/>
  <c r="AA4" i="43"/>
  <c r="AB4" i="43"/>
  <c r="AC4" i="43"/>
  <c r="AD4" i="43"/>
  <c r="AE4" i="43"/>
  <c r="C5" i="43"/>
  <c r="D5" i="43"/>
  <c r="E5" i="43"/>
  <c r="F5" i="43"/>
  <c r="G5" i="43"/>
  <c r="H5" i="43"/>
  <c r="I5" i="43"/>
  <c r="J5" i="43"/>
  <c r="K5" i="43"/>
  <c r="L5" i="43"/>
  <c r="M5" i="43"/>
  <c r="N5" i="43"/>
  <c r="O5" i="43"/>
  <c r="P5" i="43"/>
  <c r="Q5" i="43"/>
  <c r="R5" i="43"/>
  <c r="S5" i="43"/>
  <c r="T5" i="43"/>
  <c r="U5" i="43"/>
  <c r="V5" i="43"/>
  <c r="W5" i="43"/>
  <c r="X5" i="43"/>
  <c r="Y5" i="43"/>
  <c r="Z5" i="43"/>
  <c r="AA5" i="43"/>
  <c r="AB5" i="43"/>
  <c r="AC5" i="43"/>
  <c r="AD5" i="43"/>
  <c r="AE5" i="43"/>
  <c r="C6" i="43"/>
  <c r="D6" i="43"/>
  <c r="E6" i="43"/>
  <c r="F6" i="43"/>
  <c r="G6" i="43"/>
  <c r="H6" i="43"/>
  <c r="I6" i="43"/>
  <c r="J6" i="43"/>
  <c r="K6" i="43"/>
  <c r="L6" i="43"/>
  <c r="M6" i="43"/>
  <c r="N6" i="43"/>
  <c r="O6" i="43"/>
  <c r="P6" i="43"/>
  <c r="Q6" i="43"/>
  <c r="R6" i="43"/>
  <c r="S6" i="43"/>
  <c r="T6" i="43"/>
  <c r="U6" i="43"/>
  <c r="V6" i="43"/>
  <c r="W6" i="43"/>
  <c r="X6" i="43"/>
  <c r="Y6" i="43"/>
  <c r="Z6" i="43"/>
  <c r="AA6" i="43"/>
  <c r="AB6" i="43"/>
  <c r="AC6" i="43"/>
  <c r="AD6" i="43"/>
  <c r="AE6" i="43"/>
  <c r="C7" i="43"/>
  <c r="D7" i="43"/>
  <c r="E7" i="43"/>
  <c r="F7" i="43"/>
  <c r="G7" i="43"/>
  <c r="H7" i="43"/>
  <c r="I7" i="43"/>
  <c r="J7" i="43"/>
  <c r="K7" i="43"/>
  <c r="L7" i="43"/>
  <c r="M7" i="43"/>
  <c r="N7" i="43"/>
  <c r="O7" i="43"/>
  <c r="P7" i="43"/>
  <c r="Q7" i="43"/>
  <c r="R7" i="43"/>
  <c r="S7" i="43"/>
  <c r="T7" i="43"/>
  <c r="U7" i="43"/>
  <c r="V7" i="43"/>
  <c r="W7" i="43"/>
  <c r="X7" i="43"/>
  <c r="Y7" i="43"/>
  <c r="Z7" i="43"/>
  <c r="AA7" i="43"/>
  <c r="AB7" i="43"/>
  <c r="AC7" i="43"/>
  <c r="AD7" i="43"/>
  <c r="AE7" i="43"/>
  <c r="C8" i="43"/>
  <c r="D8" i="43"/>
  <c r="E8" i="43"/>
  <c r="F8" i="43"/>
  <c r="G8" i="43"/>
  <c r="H8" i="43"/>
  <c r="I8" i="43"/>
  <c r="J8" i="43"/>
  <c r="K8" i="43"/>
  <c r="L8" i="43"/>
  <c r="M8" i="43"/>
  <c r="N8" i="43"/>
  <c r="O8" i="43"/>
  <c r="P8" i="43"/>
  <c r="Q8" i="43"/>
  <c r="R8" i="43"/>
  <c r="S8" i="43"/>
  <c r="T8" i="43"/>
  <c r="U8" i="43"/>
  <c r="V8" i="43"/>
  <c r="W8" i="43"/>
  <c r="X8" i="43"/>
  <c r="Y8" i="43"/>
  <c r="Z8" i="43"/>
  <c r="AA8" i="43"/>
  <c r="AB8" i="43"/>
  <c r="AC8" i="43"/>
  <c r="AD8" i="43"/>
  <c r="AE8" i="43"/>
  <c r="C9" i="43"/>
  <c r="D9" i="43"/>
  <c r="E9" i="43"/>
  <c r="F9" i="43"/>
  <c r="G9" i="43"/>
  <c r="H9" i="43"/>
  <c r="I9" i="43"/>
  <c r="J9" i="43"/>
  <c r="K9" i="43"/>
  <c r="L9" i="43"/>
  <c r="M9" i="43"/>
  <c r="N9" i="43"/>
  <c r="O9" i="43"/>
  <c r="P9" i="43"/>
  <c r="Q9" i="43"/>
  <c r="R9" i="43"/>
  <c r="S9" i="43"/>
  <c r="T9" i="43"/>
  <c r="U9" i="43"/>
  <c r="V9" i="43"/>
  <c r="W9" i="43"/>
  <c r="X9" i="43"/>
  <c r="Y9" i="43"/>
  <c r="Z9" i="43"/>
  <c r="AA9" i="43"/>
  <c r="AB9" i="43"/>
  <c r="AC9" i="43"/>
  <c r="AD9" i="43"/>
  <c r="AE9" i="43"/>
  <c r="C10" i="43"/>
  <c r="D10" i="43"/>
  <c r="E10" i="43"/>
  <c r="F10" i="43"/>
  <c r="G10" i="43"/>
  <c r="H10" i="43"/>
  <c r="I10" i="43"/>
  <c r="J10" i="43"/>
  <c r="K10" i="43"/>
  <c r="L10" i="43"/>
  <c r="M10" i="43"/>
  <c r="N10" i="43"/>
  <c r="O10" i="43"/>
  <c r="P10" i="43"/>
  <c r="Q10" i="43"/>
  <c r="R10" i="43"/>
  <c r="S10" i="43"/>
  <c r="T10" i="43"/>
  <c r="U10" i="43"/>
  <c r="V10" i="43"/>
  <c r="W10" i="43"/>
  <c r="X10" i="43"/>
  <c r="Y10" i="43"/>
  <c r="Z10" i="43"/>
  <c r="AA10" i="43"/>
  <c r="AB10" i="43"/>
  <c r="AC10" i="43"/>
  <c r="AD10" i="43"/>
  <c r="AE10" i="43"/>
  <c r="C11" i="43"/>
  <c r="D11" i="43"/>
  <c r="E11" i="43"/>
  <c r="F11" i="43"/>
  <c r="G11" i="43"/>
  <c r="H11" i="43"/>
  <c r="I11" i="43"/>
  <c r="J11" i="43"/>
  <c r="K11" i="43"/>
  <c r="L11" i="43"/>
  <c r="M11" i="43"/>
  <c r="N11" i="43"/>
  <c r="O11" i="43"/>
  <c r="P11" i="43"/>
  <c r="Q11" i="43"/>
  <c r="R11" i="43"/>
  <c r="S11" i="43"/>
  <c r="T11" i="43"/>
  <c r="U11" i="43"/>
  <c r="V11" i="43"/>
  <c r="W11" i="43"/>
  <c r="X11" i="43"/>
  <c r="Y11" i="43"/>
  <c r="Z11" i="43"/>
  <c r="AA11" i="43"/>
  <c r="AB11" i="43"/>
  <c r="AC11" i="43"/>
  <c r="AD11" i="43"/>
  <c r="AE11" i="43"/>
  <c r="C12" i="43"/>
  <c r="D12" i="43"/>
  <c r="E12" i="43"/>
  <c r="F12" i="43"/>
  <c r="G12" i="43"/>
  <c r="H12" i="43"/>
  <c r="I12" i="43"/>
  <c r="J12" i="43"/>
  <c r="K12" i="43"/>
  <c r="L12" i="43"/>
  <c r="M12" i="43"/>
  <c r="N12" i="43"/>
  <c r="O12" i="43"/>
  <c r="P12" i="43"/>
  <c r="Q12" i="43"/>
  <c r="R12" i="43"/>
  <c r="S12" i="43"/>
  <c r="T12" i="43"/>
  <c r="U12" i="43"/>
  <c r="V12" i="43"/>
  <c r="W12" i="43"/>
  <c r="X12" i="43"/>
  <c r="Y12" i="43"/>
  <c r="Z12" i="43"/>
  <c r="AA12" i="43"/>
  <c r="AB12" i="43"/>
  <c r="AC12" i="43"/>
  <c r="AD12" i="43"/>
  <c r="AE12" i="43"/>
  <c r="C13" i="43"/>
  <c r="D13" i="43"/>
  <c r="E13" i="43"/>
  <c r="F13" i="43"/>
  <c r="G13" i="43"/>
  <c r="H13" i="43"/>
  <c r="I13" i="43"/>
  <c r="J13" i="43"/>
  <c r="K13" i="43"/>
  <c r="L13" i="43"/>
  <c r="M13" i="43"/>
  <c r="N13" i="43"/>
  <c r="O13" i="43"/>
  <c r="P13" i="43"/>
  <c r="Q13" i="43"/>
  <c r="R13" i="43"/>
  <c r="S13" i="43"/>
  <c r="T13" i="43"/>
  <c r="U13" i="43"/>
  <c r="V13" i="43"/>
  <c r="W13" i="43"/>
  <c r="X13" i="43"/>
  <c r="Y13" i="43"/>
  <c r="Z13" i="43"/>
  <c r="AA13" i="43"/>
  <c r="AB13" i="43"/>
  <c r="AC13" i="43"/>
  <c r="AD13" i="43"/>
  <c r="AE13" i="43"/>
  <c r="C14" i="43"/>
  <c r="D14" i="43"/>
  <c r="E14" i="43"/>
  <c r="F14" i="43"/>
  <c r="G14" i="43"/>
  <c r="H14" i="43"/>
  <c r="I14" i="43"/>
  <c r="J14" i="43"/>
  <c r="K14" i="43"/>
  <c r="L14" i="43"/>
  <c r="M14" i="43"/>
  <c r="N14" i="43"/>
  <c r="O14" i="43"/>
  <c r="P14" i="43"/>
  <c r="Q14" i="43"/>
  <c r="R14" i="43"/>
  <c r="S14" i="43"/>
  <c r="T14" i="43"/>
  <c r="U14" i="43"/>
  <c r="V14" i="43"/>
  <c r="W14" i="43"/>
  <c r="X14" i="43"/>
  <c r="Y14" i="43"/>
  <c r="Z14" i="43"/>
  <c r="AA14" i="43"/>
  <c r="AB14" i="43"/>
  <c r="AC14" i="43"/>
  <c r="AD14" i="43"/>
  <c r="AE14" i="43"/>
  <c r="C15" i="43"/>
  <c r="D15" i="43"/>
  <c r="E15" i="43"/>
  <c r="F15" i="43"/>
  <c r="G15" i="43"/>
  <c r="H15" i="43"/>
  <c r="I15" i="43"/>
  <c r="J15" i="43"/>
  <c r="K15" i="43"/>
  <c r="L15" i="43"/>
  <c r="M15" i="43"/>
  <c r="N15" i="43"/>
  <c r="O15" i="43"/>
  <c r="P15" i="43"/>
  <c r="Q15" i="43"/>
  <c r="R15" i="43"/>
  <c r="S15" i="43"/>
  <c r="T15" i="43"/>
  <c r="U15" i="43"/>
  <c r="V15" i="43"/>
  <c r="W15" i="43"/>
  <c r="X15" i="43"/>
  <c r="Y15" i="43"/>
  <c r="Z15" i="43"/>
  <c r="AA15" i="43"/>
  <c r="AB15" i="43"/>
  <c r="AC15" i="43"/>
  <c r="AD15" i="43"/>
  <c r="AE15" i="43"/>
  <c r="C16" i="43"/>
  <c r="D16" i="43"/>
  <c r="E16" i="43"/>
  <c r="F16" i="43"/>
  <c r="G16" i="43"/>
  <c r="H16" i="43"/>
  <c r="I16" i="43"/>
  <c r="J16" i="43"/>
  <c r="K16" i="43"/>
  <c r="L16" i="43"/>
  <c r="M16" i="43"/>
  <c r="N16" i="43"/>
  <c r="O16" i="43"/>
  <c r="P16" i="43"/>
  <c r="Q16" i="43"/>
  <c r="R16" i="43"/>
  <c r="S16" i="43"/>
  <c r="T16" i="43"/>
  <c r="U16" i="43"/>
  <c r="V16" i="43"/>
  <c r="W16" i="43"/>
  <c r="X16" i="43"/>
  <c r="Y16" i="43"/>
  <c r="Z16" i="43"/>
  <c r="AA16" i="43"/>
  <c r="AB16" i="43"/>
  <c r="AC16" i="43"/>
  <c r="AD16" i="43"/>
  <c r="AE16" i="43"/>
  <c r="C17" i="43"/>
  <c r="D17" i="43"/>
  <c r="E17" i="43"/>
  <c r="F17" i="43"/>
  <c r="G17" i="43"/>
  <c r="H17" i="43"/>
  <c r="I17" i="43"/>
  <c r="J17" i="43"/>
  <c r="K17" i="43"/>
  <c r="L17" i="43"/>
  <c r="M17" i="43"/>
  <c r="N17" i="43"/>
  <c r="O17" i="43"/>
  <c r="P17" i="43"/>
  <c r="Q17" i="43"/>
  <c r="R17" i="43"/>
  <c r="S17" i="43"/>
  <c r="T17" i="43"/>
  <c r="U17" i="43"/>
  <c r="V17" i="43"/>
  <c r="W17" i="43"/>
  <c r="X17" i="43"/>
  <c r="Y17" i="43"/>
  <c r="Z17" i="43"/>
  <c r="AA17" i="43"/>
  <c r="AB17" i="43"/>
  <c r="AC17" i="43"/>
  <c r="AD17" i="43"/>
  <c r="AE17" i="43"/>
  <c r="C18" i="43"/>
  <c r="D18" i="43"/>
  <c r="E18" i="43"/>
  <c r="F18" i="43"/>
  <c r="G18" i="43"/>
  <c r="H18" i="43"/>
  <c r="I18" i="43"/>
  <c r="J18" i="43"/>
  <c r="K18" i="43"/>
  <c r="L18" i="43"/>
  <c r="M18" i="43"/>
  <c r="N18" i="43"/>
  <c r="O18" i="43"/>
  <c r="P18" i="43"/>
  <c r="Q18" i="43"/>
  <c r="R18" i="43"/>
  <c r="S18" i="43"/>
  <c r="T18" i="43"/>
  <c r="U18" i="43"/>
  <c r="V18" i="43"/>
  <c r="W18" i="43"/>
  <c r="X18" i="43"/>
  <c r="Y18" i="43"/>
  <c r="Z18" i="43"/>
  <c r="AA18" i="43"/>
  <c r="AB18" i="43"/>
  <c r="AC18" i="43"/>
  <c r="AD18" i="43"/>
  <c r="AE18" i="43"/>
  <c r="C19" i="43"/>
  <c r="D19" i="43"/>
  <c r="E19" i="43"/>
  <c r="F19" i="43"/>
  <c r="G19" i="43"/>
  <c r="H19" i="43"/>
  <c r="I19" i="43"/>
  <c r="J19" i="43"/>
  <c r="K19" i="43"/>
  <c r="L19" i="43"/>
  <c r="M19" i="43"/>
  <c r="N19" i="43"/>
  <c r="O19" i="43"/>
  <c r="P19" i="43"/>
  <c r="Q19" i="43"/>
  <c r="R19" i="43"/>
  <c r="S19" i="43"/>
  <c r="T19" i="43"/>
  <c r="U19" i="43"/>
  <c r="V19" i="43"/>
  <c r="W19" i="43"/>
  <c r="X19" i="43"/>
  <c r="Y19" i="43"/>
  <c r="Z19" i="43"/>
  <c r="AA19" i="43"/>
  <c r="AB19" i="43"/>
  <c r="AC19" i="43"/>
  <c r="AD19" i="43"/>
  <c r="AE19" i="43"/>
  <c r="C20" i="43"/>
  <c r="D20" i="43"/>
  <c r="E20" i="43"/>
  <c r="F20" i="43"/>
  <c r="G20" i="43"/>
  <c r="H20" i="43"/>
  <c r="I20" i="43"/>
  <c r="J20" i="43"/>
  <c r="K20" i="43"/>
  <c r="L20" i="43"/>
  <c r="M20" i="43"/>
  <c r="N20" i="43"/>
  <c r="O20" i="43"/>
  <c r="P20" i="43"/>
  <c r="Q20" i="43"/>
  <c r="R20" i="43"/>
  <c r="S20" i="43"/>
  <c r="T20" i="43"/>
  <c r="U20" i="43"/>
  <c r="V20" i="43"/>
  <c r="W20" i="43"/>
  <c r="X20" i="43"/>
  <c r="Y20" i="43"/>
  <c r="Z20" i="43"/>
  <c r="AA20" i="43"/>
  <c r="AB20" i="43"/>
  <c r="AC20" i="43"/>
  <c r="AD20" i="43"/>
  <c r="AE20" i="43"/>
  <c r="C21" i="43"/>
  <c r="D21" i="43"/>
  <c r="E21" i="43"/>
  <c r="F21" i="43"/>
  <c r="G21" i="43"/>
  <c r="H21" i="43"/>
  <c r="I21" i="43"/>
  <c r="J21" i="43"/>
  <c r="K21" i="43"/>
  <c r="L21" i="43"/>
  <c r="M21" i="43"/>
  <c r="N21" i="43"/>
  <c r="O21" i="43"/>
  <c r="P21" i="43"/>
  <c r="Q21" i="43"/>
  <c r="R21" i="43"/>
  <c r="S21" i="43"/>
  <c r="T21" i="43"/>
  <c r="U21" i="43"/>
  <c r="V21" i="43"/>
  <c r="W21" i="43"/>
  <c r="X21" i="43"/>
  <c r="Y21" i="43"/>
  <c r="Z21" i="43"/>
  <c r="AA21" i="43"/>
  <c r="AB21" i="43"/>
  <c r="AC21" i="43"/>
  <c r="AD21" i="43"/>
  <c r="AE21" i="43"/>
  <c r="C22" i="43"/>
  <c r="D22" i="43"/>
  <c r="E22" i="43"/>
  <c r="F22" i="43"/>
  <c r="G22" i="43"/>
  <c r="H22" i="43"/>
  <c r="I22" i="43"/>
  <c r="J22" i="43"/>
  <c r="K22" i="43"/>
  <c r="L22" i="43"/>
  <c r="M22" i="43"/>
  <c r="N22" i="43"/>
  <c r="O22" i="43"/>
  <c r="P22" i="43"/>
  <c r="Q22" i="43"/>
  <c r="R22" i="43"/>
  <c r="S22" i="43"/>
  <c r="T22" i="43"/>
  <c r="U22" i="43"/>
  <c r="V22" i="43"/>
  <c r="W22" i="43"/>
  <c r="X22" i="43"/>
  <c r="Y22" i="43"/>
  <c r="Z22" i="43"/>
  <c r="AA22" i="43"/>
  <c r="AB22" i="43"/>
  <c r="AC22" i="43"/>
  <c r="AD22" i="43"/>
  <c r="AE22" i="43"/>
  <c r="C23" i="43"/>
  <c r="D23" i="43"/>
  <c r="E23" i="43"/>
  <c r="F23" i="43"/>
  <c r="G23" i="43"/>
  <c r="H23" i="43"/>
  <c r="I23" i="43"/>
  <c r="J23" i="43"/>
  <c r="K23" i="43"/>
  <c r="L23" i="43"/>
  <c r="M23" i="43"/>
  <c r="N23" i="43"/>
  <c r="O23" i="43"/>
  <c r="P23" i="43"/>
  <c r="Q23" i="43"/>
  <c r="R23" i="43"/>
  <c r="S23" i="43"/>
  <c r="T23" i="43"/>
  <c r="U23" i="43"/>
  <c r="V23" i="43"/>
  <c r="W23" i="43"/>
  <c r="X23" i="43"/>
  <c r="Y23" i="43"/>
  <c r="Z23" i="43"/>
  <c r="AA23" i="43"/>
  <c r="AB23" i="43"/>
  <c r="AC23" i="43"/>
  <c r="AD23" i="43"/>
  <c r="AE23" i="43"/>
  <c r="C24" i="43"/>
  <c r="D24" i="43"/>
  <c r="E24" i="43"/>
  <c r="F24" i="43"/>
  <c r="G24" i="43"/>
  <c r="H24" i="43"/>
  <c r="I24" i="43"/>
  <c r="J24" i="43"/>
  <c r="K24" i="43"/>
  <c r="L24" i="43"/>
  <c r="M24" i="43"/>
  <c r="N24" i="43"/>
  <c r="O24" i="43"/>
  <c r="P24" i="43"/>
  <c r="Q24" i="43"/>
  <c r="R24" i="43"/>
  <c r="S24" i="43"/>
  <c r="T24" i="43"/>
  <c r="U24" i="43"/>
  <c r="V24" i="43"/>
  <c r="W24" i="43"/>
  <c r="X24" i="43"/>
  <c r="Y24" i="43"/>
  <c r="Z24" i="43"/>
  <c r="AA24" i="43"/>
  <c r="AB24" i="43"/>
  <c r="AC24" i="43"/>
  <c r="AD24" i="43"/>
  <c r="AE24" i="43"/>
  <c r="C25" i="43"/>
  <c r="D25" i="43"/>
  <c r="E25" i="43"/>
  <c r="F25" i="43"/>
  <c r="G25" i="43"/>
  <c r="H25" i="43"/>
  <c r="I25" i="43"/>
  <c r="J25" i="43"/>
  <c r="K25" i="43"/>
  <c r="L25" i="43"/>
  <c r="M25" i="43"/>
  <c r="N25" i="43"/>
  <c r="O25" i="43"/>
  <c r="P25" i="43"/>
  <c r="Q25" i="43"/>
  <c r="R25" i="43"/>
  <c r="S25" i="43"/>
  <c r="T25" i="43"/>
  <c r="U25" i="43"/>
  <c r="V25" i="43"/>
  <c r="W25" i="43"/>
  <c r="X25" i="43"/>
  <c r="Y25" i="43"/>
  <c r="Z25" i="43"/>
  <c r="AA25" i="43"/>
  <c r="AB25" i="43"/>
  <c r="AC25" i="43"/>
  <c r="AD25" i="43"/>
  <c r="AE25" i="43"/>
  <c r="B23" i="43"/>
  <c r="B24" i="43"/>
  <c r="B25" i="43"/>
  <c r="B19" i="43"/>
  <c r="B20" i="43"/>
  <c r="B21" i="43"/>
  <c r="B22" i="43"/>
  <c r="B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2" i="43"/>
  <c r="EB19" i="40"/>
  <c r="EC19" i="40" s="1"/>
  <c r="ED19" i="40" s="1"/>
  <c r="EE19" i="40" s="1"/>
  <c r="EF19" i="40" s="1"/>
  <c r="EG19" i="40" s="1"/>
  <c r="EH19" i="40" s="1"/>
  <c r="EI19" i="40" s="1"/>
  <c r="EJ19" i="40" s="1"/>
  <c r="EK19" i="40" s="1"/>
  <c r="EL19" i="40" s="1"/>
  <c r="EM19" i="40" s="1"/>
  <c r="EN19" i="40" s="1"/>
  <c r="EO19" i="40" s="1"/>
  <c r="EP19" i="40" s="1"/>
  <c r="EQ19" i="40" s="1"/>
  <c r="ER19" i="40" s="1"/>
  <c r="ES19" i="40" s="1"/>
  <c r="ET19" i="40" s="1"/>
  <c r="EU19" i="40" s="1"/>
  <c r="EV19" i="40" s="1"/>
  <c r="EW19" i="40" s="1"/>
  <c r="EX19" i="40" s="1"/>
  <c r="EY19" i="40" s="1"/>
  <c r="EZ19" i="40" s="1"/>
  <c r="FA19" i="40" s="1"/>
  <c r="FB19" i="40" s="1"/>
  <c r="FC19" i="40" s="1"/>
  <c r="FD19" i="40" s="1"/>
  <c r="FE19" i="40" s="1"/>
  <c r="EB20" i="40"/>
  <c r="EC20" i="40" s="1"/>
  <c r="ED20" i="40" s="1"/>
  <c r="EE20" i="40" s="1"/>
  <c r="EF20" i="40" s="1"/>
  <c r="EG20" i="40" s="1"/>
  <c r="EH20" i="40" s="1"/>
  <c r="EI20" i="40" s="1"/>
  <c r="EJ20" i="40" s="1"/>
  <c r="EK20" i="40" s="1"/>
  <c r="EL20" i="40" s="1"/>
  <c r="EM20" i="40" s="1"/>
  <c r="EN20" i="40" s="1"/>
  <c r="EO20" i="40" s="1"/>
  <c r="EP20" i="40" s="1"/>
  <c r="EQ20" i="40" s="1"/>
  <c r="ER20" i="40" s="1"/>
  <c r="ES20" i="40" s="1"/>
  <c r="ET20" i="40" s="1"/>
  <c r="EU20" i="40" s="1"/>
  <c r="EV20" i="40" s="1"/>
  <c r="EW20" i="40" s="1"/>
  <c r="EX20" i="40" s="1"/>
  <c r="EY20" i="40" s="1"/>
  <c r="EZ20" i="40" s="1"/>
  <c r="FA20" i="40" s="1"/>
  <c r="FB20" i="40" s="1"/>
  <c r="FC20" i="40" s="1"/>
  <c r="FD20" i="40" s="1"/>
  <c r="FE20" i="40" s="1"/>
  <c r="EB21" i="40"/>
  <c r="EC21" i="40" s="1"/>
  <c r="ED21" i="40" s="1"/>
  <c r="EE21" i="40" s="1"/>
  <c r="EF21" i="40" s="1"/>
  <c r="EG21" i="40" s="1"/>
  <c r="EH21" i="40" s="1"/>
  <c r="EI21" i="40" s="1"/>
  <c r="EJ21" i="40" s="1"/>
  <c r="EK21" i="40" s="1"/>
  <c r="EL21" i="40" s="1"/>
  <c r="EM21" i="40" s="1"/>
  <c r="EN21" i="40" s="1"/>
  <c r="EO21" i="40" s="1"/>
  <c r="EP21" i="40" s="1"/>
  <c r="EQ21" i="40" s="1"/>
  <c r="ER21" i="40" s="1"/>
  <c r="ES21" i="40" s="1"/>
  <c r="ET21" i="40" s="1"/>
  <c r="EU21" i="40" s="1"/>
  <c r="EV21" i="40" s="1"/>
  <c r="EW21" i="40" s="1"/>
  <c r="EX21" i="40" s="1"/>
  <c r="EY21" i="40" s="1"/>
  <c r="EZ21" i="40" s="1"/>
  <c r="FA21" i="40" s="1"/>
  <c r="FB21" i="40" s="1"/>
  <c r="FC21" i="40" s="1"/>
  <c r="FD21" i="40" s="1"/>
  <c r="FE21" i="40" s="1"/>
  <c r="EB22" i="40"/>
  <c r="EC22" i="40" s="1"/>
  <c r="ED22" i="40" s="1"/>
  <c r="EE22" i="40" s="1"/>
  <c r="EF22" i="40" s="1"/>
  <c r="EG22" i="40" s="1"/>
  <c r="EH22" i="40" s="1"/>
  <c r="EI22" i="40" s="1"/>
  <c r="EJ22" i="40" s="1"/>
  <c r="EK22" i="40" s="1"/>
  <c r="EL22" i="40" s="1"/>
  <c r="EM22" i="40" s="1"/>
  <c r="EN22" i="40" s="1"/>
  <c r="EO22" i="40" s="1"/>
  <c r="EP22" i="40" s="1"/>
  <c r="EQ22" i="40" s="1"/>
  <c r="ER22" i="40" s="1"/>
  <c r="ES22" i="40" s="1"/>
  <c r="ET22" i="40" s="1"/>
  <c r="EU22" i="40" s="1"/>
  <c r="EV22" i="40" s="1"/>
  <c r="EW22" i="40" s="1"/>
  <c r="EX22" i="40" s="1"/>
  <c r="EY22" i="40" s="1"/>
  <c r="EZ22" i="40" s="1"/>
  <c r="FA22" i="40" s="1"/>
  <c r="FB22" i="40" s="1"/>
  <c r="FC22" i="40" s="1"/>
  <c r="FD22" i="40" s="1"/>
  <c r="FE22" i="40" s="1"/>
  <c r="EB23" i="40"/>
  <c r="EC23" i="40" s="1"/>
  <c r="ED23" i="40" s="1"/>
  <c r="EE23" i="40" s="1"/>
  <c r="EF23" i="40" s="1"/>
  <c r="EG23" i="40" s="1"/>
  <c r="EH23" i="40" s="1"/>
  <c r="EI23" i="40" s="1"/>
  <c r="EJ23" i="40" s="1"/>
  <c r="EK23" i="40" s="1"/>
  <c r="EL23" i="40" s="1"/>
  <c r="EM23" i="40" s="1"/>
  <c r="EN23" i="40" s="1"/>
  <c r="EO23" i="40" s="1"/>
  <c r="EP23" i="40" s="1"/>
  <c r="EQ23" i="40" s="1"/>
  <c r="ER23" i="40" s="1"/>
  <c r="ES23" i="40" s="1"/>
  <c r="ET23" i="40" s="1"/>
  <c r="EU23" i="40" s="1"/>
  <c r="EV23" i="40" s="1"/>
  <c r="EW23" i="40" s="1"/>
  <c r="EX23" i="40" s="1"/>
  <c r="EY23" i="40" s="1"/>
  <c r="EZ23" i="40" s="1"/>
  <c r="FA23" i="40" s="1"/>
  <c r="FB23" i="40" s="1"/>
  <c r="FC23" i="40" s="1"/>
  <c r="FD23" i="40" s="1"/>
  <c r="FE23" i="40" s="1"/>
  <c r="EB24" i="40"/>
  <c r="EC24" i="40" s="1"/>
  <c r="ED24" i="40" s="1"/>
  <c r="EE24" i="40" s="1"/>
  <c r="EF24" i="40" s="1"/>
  <c r="EG24" i="40" s="1"/>
  <c r="EH24" i="40" s="1"/>
  <c r="EI24" i="40" s="1"/>
  <c r="EJ24" i="40" s="1"/>
  <c r="EK24" i="40" s="1"/>
  <c r="EL24" i="40" s="1"/>
  <c r="EM24" i="40" s="1"/>
  <c r="EN24" i="40" s="1"/>
  <c r="EO24" i="40" s="1"/>
  <c r="EP24" i="40" s="1"/>
  <c r="EQ24" i="40" s="1"/>
  <c r="ER24" i="40" s="1"/>
  <c r="ES24" i="40" s="1"/>
  <c r="ET24" i="40" s="1"/>
  <c r="EU24" i="40" s="1"/>
  <c r="EV24" i="40" s="1"/>
  <c r="EW24" i="40" s="1"/>
  <c r="EX24" i="40" s="1"/>
  <c r="EY24" i="40" s="1"/>
  <c r="EZ24" i="40" s="1"/>
  <c r="FA24" i="40" s="1"/>
  <c r="FB24" i="40" s="1"/>
  <c r="FC24" i="40" s="1"/>
  <c r="FD24" i="40" s="1"/>
  <c r="FE24" i="40" s="1"/>
  <c r="EB25" i="40"/>
  <c r="EC25" i="40" s="1"/>
  <c r="ED25" i="40" s="1"/>
  <c r="EE25" i="40" s="1"/>
  <c r="EF25" i="40" s="1"/>
  <c r="EG25" i="40" s="1"/>
  <c r="EH25" i="40" s="1"/>
  <c r="EI25" i="40" s="1"/>
  <c r="EJ25" i="40" s="1"/>
  <c r="EK25" i="40" s="1"/>
  <c r="EL25" i="40" s="1"/>
  <c r="EM25" i="40" s="1"/>
  <c r="EN25" i="40" s="1"/>
  <c r="EO25" i="40" s="1"/>
  <c r="EP25" i="40" s="1"/>
  <c r="EQ25" i="40" s="1"/>
  <c r="ER25" i="40" s="1"/>
  <c r="ES25" i="40" s="1"/>
  <c r="ET25" i="40" s="1"/>
  <c r="EU25" i="40" s="1"/>
  <c r="EV25" i="40" s="1"/>
  <c r="EW25" i="40" s="1"/>
  <c r="EX25" i="40" s="1"/>
  <c r="EY25" i="40" s="1"/>
  <c r="EZ25" i="40" s="1"/>
  <c r="FA25" i="40" s="1"/>
  <c r="FB25" i="40" s="1"/>
  <c r="FC25" i="40" s="1"/>
  <c r="FD25" i="40" s="1"/>
  <c r="FE25" i="40" s="1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C19" i="18"/>
  <c r="D19" i="18"/>
  <c r="C20" i="18"/>
  <c r="D20" i="18"/>
  <c r="C21" i="18"/>
  <c r="D21" i="18"/>
  <c r="C22" i="18"/>
  <c r="D22" i="18"/>
  <c r="C23" i="18"/>
  <c r="D23" i="18"/>
  <c r="C24" i="18"/>
  <c r="D24" i="18"/>
  <c r="C25" i="18"/>
  <c r="D25" i="18"/>
  <c r="B21" i="18"/>
  <c r="B25" i="18"/>
  <c r="B20" i="18"/>
  <c r="B22" i="18"/>
  <c r="B23" i="18"/>
  <c r="B24" i="18"/>
  <c r="B19" i="18"/>
  <c r="C3" i="30" l="1"/>
  <c r="F6" i="8" l="1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D6" i="8"/>
  <c r="E6" i="8"/>
  <c r="D9" i="8"/>
  <c r="E9" i="8"/>
  <c r="D10" i="8"/>
  <c r="E10" i="8"/>
  <c r="D11" i="8"/>
  <c r="E11" i="8"/>
  <c r="D12" i="8"/>
  <c r="E12" i="8"/>
  <c r="D13" i="8"/>
  <c r="E13" i="8"/>
  <c r="D14" i="8"/>
  <c r="E14" i="8"/>
  <c r="D15" i="8"/>
  <c r="E15" i="8"/>
  <c r="D16" i="8"/>
  <c r="E16" i="8"/>
  <c r="D17" i="8"/>
  <c r="E17" i="8"/>
  <c r="D18" i="8"/>
  <c r="E18" i="8"/>
  <c r="D19" i="8"/>
  <c r="E19" i="8"/>
  <c r="D20" i="8"/>
  <c r="E20" i="8"/>
  <c r="D21" i="8"/>
  <c r="E21" i="8"/>
  <c r="D22" i="8"/>
  <c r="E22" i="8"/>
  <c r="D23" i="8"/>
  <c r="E23" i="8"/>
  <c r="D24" i="8"/>
  <c r="E24" i="8"/>
  <c r="D25" i="8"/>
  <c r="E25" i="8"/>
  <c r="C18" i="8"/>
  <c r="C19" i="8"/>
  <c r="C20" i="8"/>
  <c r="C21" i="8"/>
  <c r="C22" i="8"/>
  <c r="C23" i="8"/>
  <c r="C24" i="8"/>
  <c r="C25" i="8"/>
  <c r="C6" i="8"/>
  <c r="C9" i="8"/>
  <c r="C10" i="8"/>
  <c r="C11" i="8"/>
  <c r="C12" i="8"/>
  <c r="C13" i="8"/>
  <c r="C14" i="8"/>
  <c r="C15" i="8"/>
  <c r="C16" i="8"/>
  <c r="C17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9" i="8"/>
  <c r="B6" i="8"/>
  <c r="L72" i="30" l="1"/>
  <c r="K18" i="18" s="1"/>
  <c r="B72" i="30"/>
  <c r="C71" i="30"/>
  <c r="B17" i="18" s="1"/>
  <c r="EB17" i="40" s="1"/>
  <c r="EC17" i="40" s="1"/>
  <c r="ED17" i="40" s="1"/>
  <c r="EE17" i="40" s="1"/>
  <c r="EF17" i="40" s="1"/>
  <c r="EG17" i="40" s="1"/>
  <c r="EH17" i="40" s="1"/>
  <c r="EI17" i="40" s="1"/>
  <c r="EJ17" i="40" s="1"/>
  <c r="EK17" i="40" s="1"/>
  <c r="EL17" i="40" s="1"/>
  <c r="EM17" i="40" s="1"/>
  <c r="EN17" i="40" s="1"/>
  <c r="EO17" i="40" s="1"/>
  <c r="EP17" i="40" s="1"/>
  <c r="EQ17" i="40" s="1"/>
  <c r="ER17" i="40" s="1"/>
  <c r="ES17" i="40" s="1"/>
  <c r="ET17" i="40" s="1"/>
  <c r="EU17" i="40" s="1"/>
  <c r="EV17" i="40" s="1"/>
  <c r="EW17" i="40" s="1"/>
  <c r="EX17" i="40" s="1"/>
  <c r="EY17" i="40" s="1"/>
  <c r="EZ17" i="40" s="1"/>
  <c r="FA17" i="40" s="1"/>
  <c r="FB17" i="40" s="1"/>
  <c r="FC17" i="40" s="1"/>
  <c r="FD17" i="40" s="1"/>
  <c r="FE17" i="40" s="1"/>
  <c r="FF17" i="40" s="1"/>
  <c r="FG17" i="40" s="1"/>
  <c r="FH17" i="40" s="1"/>
  <c r="FI17" i="40" s="1"/>
  <c r="FJ17" i="40" s="1"/>
  <c r="FK17" i="40" s="1"/>
  <c r="FL17" i="40" s="1"/>
  <c r="FM17" i="40" s="1"/>
  <c r="FN17" i="40" s="1"/>
  <c r="FO17" i="40" s="1"/>
  <c r="FP17" i="40" s="1"/>
  <c r="FQ17" i="40" s="1"/>
  <c r="FR17" i="40" s="1"/>
  <c r="FS17" i="40" s="1"/>
  <c r="FT17" i="40" s="1"/>
  <c r="FU17" i="40" s="1"/>
  <c r="FV17" i="40" s="1"/>
  <c r="FW17" i="40" s="1"/>
  <c r="FX17" i="40" s="1"/>
  <c r="FY17" i="40" s="1"/>
  <c r="FZ17" i="40" s="1"/>
  <c r="GA17" i="40" s="1"/>
  <c r="GB17" i="40" s="1"/>
  <c r="GC17" i="40" s="1"/>
  <c r="GD17" i="40" s="1"/>
  <c r="GE17" i="40" s="1"/>
  <c r="GF17" i="40" s="1"/>
  <c r="GG17" i="40" s="1"/>
  <c r="GH17" i="40" s="1"/>
  <c r="GI17" i="40" s="1"/>
  <c r="GJ17" i="40" s="1"/>
  <c r="GK17" i="40" s="1"/>
  <c r="GL17" i="40" s="1"/>
  <c r="GM17" i="40" s="1"/>
  <c r="GN17" i="40" s="1"/>
  <c r="GO17" i="40" s="1"/>
  <c r="GP17" i="40" s="1"/>
  <c r="GQ17" i="40" s="1"/>
  <c r="GR17" i="40" s="1"/>
  <c r="GS17" i="40" s="1"/>
  <c r="GT17" i="40" s="1"/>
  <c r="GU17" i="40" s="1"/>
  <c r="GV17" i="40" s="1"/>
  <c r="GW17" i="40" s="1"/>
  <c r="GX17" i="40" s="1"/>
  <c r="GY17" i="40" s="1"/>
  <c r="GZ17" i="40" s="1"/>
  <c r="HA17" i="40" s="1"/>
  <c r="HB17" i="40" s="1"/>
  <c r="HC17" i="40" s="1"/>
  <c r="B71" i="30"/>
  <c r="B70" i="30"/>
  <c r="B68" i="30"/>
  <c r="L66" i="30"/>
  <c r="K12" i="18" s="1"/>
  <c r="L63" i="30"/>
  <c r="L60" i="30"/>
  <c r="K6" i="18" s="1"/>
  <c r="L57" i="30"/>
  <c r="K2" i="18" s="1"/>
  <c r="C57" i="30"/>
  <c r="B2" i="18" s="1"/>
  <c r="B57" i="30"/>
  <c r="L54" i="30"/>
  <c r="L108" i="30" s="1"/>
  <c r="L53" i="30"/>
  <c r="L107" i="30" s="1"/>
  <c r="L52" i="30"/>
  <c r="L106" i="30" s="1"/>
  <c r="L51" i="30"/>
  <c r="L50" i="30"/>
  <c r="L49" i="30"/>
  <c r="L48" i="30"/>
  <c r="L47" i="30"/>
  <c r="L101" i="30" s="1"/>
  <c r="L46" i="30"/>
  <c r="L100" i="30" s="1"/>
  <c r="L45" i="30"/>
  <c r="L99" i="30" s="1"/>
  <c r="L44" i="30"/>
  <c r="L98" i="30" s="1"/>
  <c r="L43" i="30"/>
  <c r="L97" i="30" s="1"/>
  <c r="L42" i="30"/>
  <c r="L41" i="30"/>
  <c r="L40" i="30"/>
  <c r="L39" i="30"/>
  <c r="B54" i="30"/>
  <c r="C54" i="30" s="1"/>
  <c r="D54" i="30" s="1"/>
  <c r="E54" i="30" s="1"/>
  <c r="F54" i="30" s="1"/>
  <c r="G54" i="30" s="1"/>
  <c r="H54" i="30" s="1"/>
  <c r="I54" i="30" s="1"/>
  <c r="J54" i="30" s="1"/>
  <c r="K54" i="30" s="1"/>
  <c r="K108" i="30" s="1"/>
  <c r="B53" i="30"/>
  <c r="B107" i="30" s="1"/>
  <c r="B52" i="30"/>
  <c r="C52" i="30" s="1"/>
  <c r="D52" i="30" s="1"/>
  <c r="E52" i="30" s="1"/>
  <c r="F52" i="30" s="1"/>
  <c r="G52" i="30" s="1"/>
  <c r="H52" i="30" s="1"/>
  <c r="I52" i="30" s="1"/>
  <c r="J52" i="30" s="1"/>
  <c r="K52" i="30" s="1"/>
  <c r="K106" i="30" s="1"/>
  <c r="B51" i="30"/>
  <c r="C51" i="30" s="1"/>
  <c r="B50" i="30"/>
  <c r="C50" i="30" s="1"/>
  <c r="D50" i="30" s="1"/>
  <c r="E50" i="30" s="1"/>
  <c r="F50" i="30" s="1"/>
  <c r="G50" i="30" s="1"/>
  <c r="H50" i="30" s="1"/>
  <c r="I50" i="30" s="1"/>
  <c r="J50" i="30" s="1"/>
  <c r="K50" i="30" s="1"/>
  <c r="K104" i="30" s="1"/>
  <c r="B49" i="30"/>
  <c r="C49" i="30" s="1"/>
  <c r="D49" i="30" s="1"/>
  <c r="E49" i="30" s="1"/>
  <c r="F49" i="30" s="1"/>
  <c r="G49" i="30" s="1"/>
  <c r="H49" i="30" s="1"/>
  <c r="I49" i="30" s="1"/>
  <c r="J49" i="30" s="1"/>
  <c r="K49" i="30" s="1"/>
  <c r="K103" i="30" s="1"/>
  <c r="B48" i="30"/>
  <c r="B102" i="30" s="1"/>
  <c r="B47" i="30"/>
  <c r="B46" i="30"/>
  <c r="B45" i="30"/>
  <c r="B44" i="30"/>
  <c r="B98" i="30" s="1"/>
  <c r="B8" i="8" s="1"/>
  <c r="B43" i="30"/>
  <c r="B42" i="30"/>
  <c r="B41" i="30"/>
  <c r="B40" i="30"/>
  <c r="B39" i="30"/>
  <c r="L36" i="30"/>
  <c r="L90" i="30" s="1"/>
  <c r="L35" i="30"/>
  <c r="L89" i="30" s="1"/>
  <c r="L34" i="30"/>
  <c r="L88" i="30" s="1"/>
  <c r="L32" i="30"/>
  <c r="L86" i="30" s="1"/>
  <c r="L31" i="30"/>
  <c r="L85" i="30" s="1"/>
  <c r="L30" i="30"/>
  <c r="L84" i="30" s="1"/>
  <c r="L27" i="30"/>
  <c r="L81" i="30" s="1"/>
  <c r="L25" i="30"/>
  <c r="L24" i="30"/>
  <c r="L78" i="30" s="1"/>
  <c r="L23" i="30"/>
  <c r="L77" i="30" s="1"/>
  <c r="L22" i="30"/>
  <c r="L76" i="30" s="1"/>
  <c r="L21" i="30"/>
  <c r="L75" i="30" s="1"/>
  <c r="G26" i="30"/>
  <c r="G80" i="30" s="1"/>
  <c r="G25" i="30"/>
  <c r="G79" i="30" s="1"/>
  <c r="B36" i="30"/>
  <c r="B90" i="30" s="1"/>
  <c r="B35" i="30"/>
  <c r="B89" i="30" s="1"/>
  <c r="B34" i="30"/>
  <c r="B88" i="30" s="1"/>
  <c r="B32" i="30"/>
  <c r="B86" i="30" s="1"/>
  <c r="DZ14" i="7" s="1"/>
  <c r="B31" i="30"/>
  <c r="B85" i="30" s="1"/>
  <c r="B30" i="30"/>
  <c r="B84" i="30" s="1"/>
  <c r="B27" i="30"/>
  <c r="B81" i="30" s="1"/>
  <c r="B24" i="30"/>
  <c r="B78" i="30" s="1"/>
  <c r="B23" i="30"/>
  <c r="B22" i="30"/>
  <c r="B21" i="30"/>
  <c r="G62" i="30"/>
  <c r="G7" i="30"/>
  <c r="L18" i="30"/>
  <c r="L17" i="30"/>
  <c r="L71" i="30" s="1"/>
  <c r="K17" i="18" s="1"/>
  <c r="L16" i="30"/>
  <c r="L70" i="30" s="1"/>
  <c r="K16" i="18" s="1"/>
  <c r="L12" i="30"/>
  <c r="L9" i="30"/>
  <c r="L7" i="30"/>
  <c r="L61" i="30" s="1"/>
  <c r="L6" i="30"/>
  <c r="B18" i="30"/>
  <c r="B17" i="30"/>
  <c r="B16" i="30"/>
  <c r="B14" i="30"/>
  <c r="B13" i="30"/>
  <c r="B67" i="30" s="1"/>
  <c r="B12" i="30"/>
  <c r="B66" i="30" s="1"/>
  <c r="B9" i="30"/>
  <c r="B63" i="30" s="1"/>
  <c r="B7" i="30"/>
  <c r="B61" i="30" s="1"/>
  <c r="B6" i="30"/>
  <c r="B5" i="30"/>
  <c r="B59" i="30" s="1"/>
  <c r="B4" i="30"/>
  <c r="B58" i="30" s="1"/>
  <c r="B106" i="30"/>
  <c r="L105" i="30"/>
  <c r="B105" i="30"/>
  <c r="L104" i="30"/>
  <c r="B104" i="30"/>
  <c r="L103" i="30"/>
  <c r="B103" i="30"/>
  <c r="L102" i="30"/>
  <c r="L96" i="30"/>
  <c r="B96" i="30"/>
  <c r="L95" i="30"/>
  <c r="B95" i="30"/>
  <c r="L94" i="30"/>
  <c r="B94" i="30"/>
  <c r="B3" i="8" s="1"/>
  <c r="L93" i="30"/>
  <c r="B93" i="30"/>
  <c r="C44" i="30"/>
  <c r="D44" i="30" s="1"/>
  <c r="E44" i="30" s="1"/>
  <c r="F44" i="30" s="1"/>
  <c r="G44" i="30" s="1"/>
  <c r="H44" i="30" s="1"/>
  <c r="I44" i="30" s="1"/>
  <c r="J44" i="30" s="1"/>
  <c r="K44" i="30" s="1"/>
  <c r="K98" i="30" s="1"/>
  <c r="C42" i="30"/>
  <c r="D42" i="30" s="1"/>
  <c r="E42" i="30" s="1"/>
  <c r="F42" i="30" s="1"/>
  <c r="G42" i="30" s="1"/>
  <c r="H42" i="30" s="1"/>
  <c r="I42" i="30" s="1"/>
  <c r="J42" i="30" s="1"/>
  <c r="K42" i="30" s="1"/>
  <c r="K96" i="30" s="1"/>
  <c r="C41" i="30"/>
  <c r="D41" i="30" s="1"/>
  <c r="E41" i="30" s="1"/>
  <c r="F41" i="30" s="1"/>
  <c r="G41" i="30" s="1"/>
  <c r="H41" i="30" s="1"/>
  <c r="I41" i="30" s="1"/>
  <c r="J41" i="30" s="1"/>
  <c r="K41" i="30" s="1"/>
  <c r="K95" i="30" s="1"/>
  <c r="C40" i="30"/>
  <c r="D40" i="30" s="1"/>
  <c r="E40" i="30" s="1"/>
  <c r="F40" i="30" s="1"/>
  <c r="G40" i="30" s="1"/>
  <c r="H40" i="30" s="1"/>
  <c r="I40" i="30" s="1"/>
  <c r="J40" i="30" s="1"/>
  <c r="K40" i="30" s="1"/>
  <c r="K94" i="30" s="1"/>
  <c r="C39" i="30"/>
  <c r="D39" i="30" s="1"/>
  <c r="E39" i="30" s="1"/>
  <c r="F39" i="30" s="1"/>
  <c r="G39" i="30" s="1"/>
  <c r="H39" i="30" s="1"/>
  <c r="I39" i="30" s="1"/>
  <c r="J39" i="30" s="1"/>
  <c r="K39" i="30" s="1"/>
  <c r="Y39" i="30" s="1" a="1"/>
  <c r="Y93" i="30" s="1"/>
  <c r="C18" i="30"/>
  <c r="C72" i="30" s="1"/>
  <c r="B18" i="18" s="1"/>
  <c r="EB18" i="40" s="1"/>
  <c r="EC18" i="40" s="1"/>
  <c r="ED18" i="40" s="1"/>
  <c r="EE18" i="40" s="1"/>
  <c r="EF18" i="40" s="1"/>
  <c r="EG18" i="40" s="1"/>
  <c r="EH18" i="40" s="1"/>
  <c r="EI18" i="40" s="1"/>
  <c r="EJ18" i="40" s="1"/>
  <c r="EK18" i="40" s="1"/>
  <c r="EL18" i="40" s="1"/>
  <c r="EM18" i="40" s="1"/>
  <c r="EN18" i="40" s="1"/>
  <c r="EO18" i="40" s="1"/>
  <c r="EP18" i="40" s="1"/>
  <c r="EQ18" i="40" s="1"/>
  <c r="ER18" i="40" s="1"/>
  <c r="ES18" i="40" s="1"/>
  <c r="ET18" i="40" s="1"/>
  <c r="EU18" i="40" s="1"/>
  <c r="EV18" i="40" s="1"/>
  <c r="EW18" i="40" s="1"/>
  <c r="EX18" i="40" s="1"/>
  <c r="EY18" i="40" s="1"/>
  <c r="EZ18" i="40" s="1"/>
  <c r="FA18" i="40" s="1"/>
  <c r="FB18" i="40" s="1"/>
  <c r="FC18" i="40" s="1"/>
  <c r="FD18" i="40" s="1"/>
  <c r="FE18" i="40" s="1"/>
  <c r="FF18" i="40" s="1"/>
  <c r="FG18" i="40" s="1"/>
  <c r="FH18" i="40" s="1"/>
  <c r="FI18" i="40" s="1"/>
  <c r="FJ18" i="40" s="1"/>
  <c r="FK18" i="40" s="1"/>
  <c r="FL18" i="40" s="1"/>
  <c r="FM18" i="40" s="1"/>
  <c r="FN18" i="40" s="1"/>
  <c r="FO18" i="40" s="1"/>
  <c r="FP18" i="40" s="1"/>
  <c r="FQ18" i="40" s="1"/>
  <c r="FR18" i="40" s="1"/>
  <c r="FS18" i="40" s="1"/>
  <c r="FT18" i="40" s="1"/>
  <c r="FU18" i="40" s="1"/>
  <c r="FV18" i="40" s="1"/>
  <c r="FW18" i="40" s="1"/>
  <c r="FX18" i="40" s="1"/>
  <c r="FY18" i="40" s="1"/>
  <c r="FZ18" i="40" s="1"/>
  <c r="GA18" i="40" s="1"/>
  <c r="GB18" i="40" s="1"/>
  <c r="GC18" i="40" s="1"/>
  <c r="GD18" i="40" s="1"/>
  <c r="GE18" i="40" s="1"/>
  <c r="GF18" i="40" s="1"/>
  <c r="GG18" i="40" s="1"/>
  <c r="GH18" i="40" s="1"/>
  <c r="GI18" i="40" s="1"/>
  <c r="GJ18" i="40" s="1"/>
  <c r="GK18" i="40" s="1"/>
  <c r="GL18" i="40" s="1"/>
  <c r="GM18" i="40" s="1"/>
  <c r="GN18" i="40" s="1"/>
  <c r="GO18" i="40" s="1"/>
  <c r="GP18" i="40" s="1"/>
  <c r="GQ18" i="40" s="1"/>
  <c r="GR18" i="40" s="1"/>
  <c r="GS18" i="40" s="1"/>
  <c r="GT18" i="40" s="1"/>
  <c r="GU18" i="40" s="1"/>
  <c r="GV18" i="40" s="1"/>
  <c r="GW18" i="40" s="1"/>
  <c r="GX18" i="40" s="1"/>
  <c r="GY18" i="40" s="1"/>
  <c r="GZ18" i="40" s="1"/>
  <c r="HA18" i="40" s="1"/>
  <c r="HB18" i="40" s="1"/>
  <c r="HC18" i="40" s="1"/>
  <c r="C17" i="30"/>
  <c r="C16" i="30"/>
  <c r="C70" i="30" s="1"/>
  <c r="B16" i="18" s="1"/>
  <c r="EB16" i="40" s="1"/>
  <c r="EC16" i="40" s="1"/>
  <c r="ED16" i="40" s="1"/>
  <c r="EE16" i="40" s="1"/>
  <c r="EF16" i="40" s="1"/>
  <c r="EG16" i="40" s="1"/>
  <c r="EH16" i="40" s="1"/>
  <c r="EI16" i="40" s="1"/>
  <c r="EJ16" i="40" s="1"/>
  <c r="EK16" i="40" s="1"/>
  <c r="EL16" i="40" s="1"/>
  <c r="EM16" i="40" s="1"/>
  <c r="EN16" i="40" s="1"/>
  <c r="EO16" i="40" s="1"/>
  <c r="EP16" i="40" s="1"/>
  <c r="EQ16" i="40" s="1"/>
  <c r="ER16" i="40" s="1"/>
  <c r="ES16" i="40" s="1"/>
  <c r="ET16" i="40" s="1"/>
  <c r="EU16" i="40" s="1"/>
  <c r="EV16" i="40" s="1"/>
  <c r="EW16" i="40" s="1"/>
  <c r="EX16" i="40" s="1"/>
  <c r="EY16" i="40" s="1"/>
  <c r="EZ16" i="40" s="1"/>
  <c r="FA16" i="40" s="1"/>
  <c r="FB16" i="40" s="1"/>
  <c r="FC16" i="40" s="1"/>
  <c r="FD16" i="40" s="1"/>
  <c r="FE16" i="40" s="1"/>
  <c r="FF16" i="40" s="1"/>
  <c r="FG16" i="40" s="1"/>
  <c r="FH16" i="40" s="1"/>
  <c r="FI16" i="40" s="1"/>
  <c r="FJ16" i="40" s="1"/>
  <c r="FK16" i="40" s="1"/>
  <c r="FL16" i="40" s="1"/>
  <c r="FM16" i="40" s="1"/>
  <c r="FN16" i="40" s="1"/>
  <c r="FO16" i="40" s="1"/>
  <c r="FP16" i="40" s="1"/>
  <c r="FQ16" i="40" s="1"/>
  <c r="FR16" i="40" s="1"/>
  <c r="FS16" i="40" s="1"/>
  <c r="FT16" i="40" s="1"/>
  <c r="FU16" i="40" s="1"/>
  <c r="FV16" i="40" s="1"/>
  <c r="FW16" i="40" s="1"/>
  <c r="FX16" i="40" s="1"/>
  <c r="FY16" i="40" s="1"/>
  <c r="FZ16" i="40" s="1"/>
  <c r="GA16" i="40" s="1"/>
  <c r="GB16" i="40" s="1"/>
  <c r="GC16" i="40" s="1"/>
  <c r="GD16" i="40" s="1"/>
  <c r="GE16" i="40" s="1"/>
  <c r="GF16" i="40" s="1"/>
  <c r="GG16" i="40" s="1"/>
  <c r="GH16" i="40" s="1"/>
  <c r="GI16" i="40" s="1"/>
  <c r="GJ16" i="40" s="1"/>
  <c r="GK16" i="40" s="1"/>
  <c r="GL16" i="40" s="1"/>
  <c r="GM16" i="40" s="1"/>
  <c r="GN16" i="40" s="1"/>
  <c r="GO16" i="40" s="1"/>
  <c r="GP16" i="40" s="1"/>
  <c r="GQ16" i="40" s="1"/>
  <c r="GR16" i="40" s="1"/>
  <c r="GS16" i="40" s="1"/>
  <c r="GT16" i="40" s="1"/>
  <c r="GU16" i="40" s="1"/>
  <c r="GV16" i="40" s="1"/>
  <c r="GW16" i="40" s="1"/>
  <c r="GX16" i="40" s="1"/>
  <c r="GY16" i="40" s="1"/>
  <c r="GZ16" i="40" s="1"/>
  <c r="HA16" i="40" s="1"/>
  <c r="HB16" i="40" s="1"/>
  <c r="HC16" i="40" s="1"/>
  <c r="C9" i="30"/>
  <c r="C63" i="30" s="1"/>
  <c r="EB9" i="40" s="1"/>
  <c r="EC9" i="40" s="1"/>
  <c r="ED9" i="40" s="1"/>
  <c r="EE9" i="40" s="1"/>
  <c r="EF9" i="40" s="1"/>
  <c r="EG9" i="40" s="1"/>
  <c r="EH9" i="40" s="1"/>
  <c r="EI9" i="40" s="1"/>
  <c r="EJ9" i="40" s="1"/>
  <c r="EK9" i="40" s="1"/>
  <c r="EL9" i="40" s="1"/>
  <c r="EM9" i="40" s="1"/>
  <c r="EN9" i="40" s="1"/>
  <c r="EO9" i="40" s="1"/>
  <c r="EP9" i="40" s="1"/>
  <c r="EQ9" i="40" s="1"/>
  <c r="ER9" i="40" s="1"/>
  <c r="ES9" i="40" s="1"/>
  <c r="ET9" i="40" s="1"/>
  <c r="EU9" i="40" s="1"/>
  <c r="EV9" i="40" s="1"/>
  <c r="EW9" i="40" s="1"/>
  <c r="EX9" i="40" s="1"/>
  <c r="EY9" i="40" s="1"/>
  <c r="EZ9" i="40" s="1"/>
  <c r="FA9" i="40" s="1"/>
  <c r="FB9" i="40" s="1"/>
  <c r="FC9" i="40" s="1"/>
  <c r="FD9" i="40" s="1"/>
  <c r="FE9" i="40" s="1"/>
  <c r="FF9" i="40" s="1"/>
  <c r="FG9" i="40" s="1"/>
  <c r="FH9" i="40" s="1"/>
  <c r="FI9" i="40" s="1"/>
  <c r="FJ9" i="40" s="1"/>
  <c r="FK9" i="40" s="1"/>
  <c r="FL9" i="40" s="1"/>
  <c r="FM9" i="40" s="1"/>
  <c r="FN9" i="40" s="1"/>
  <c r="FO9" i="40" s="1"/>
  <c r="FP9" i="40" s="1"/>
  <c r="FQ9" i="40" s="1"/>
  <c r="FR9" i="40" s="1"/>
  <c r="FS9" i="40" s="1"/>
  <c r="FT9" i="40" s="1"/>
  <c r="FU9" i="40" s="1"/>
  <c r="FV9" i="40" s="1"/>
  <c r="FW9" i="40" s="1"/>
  <c r="FX9" i="40" s="1"/>
  <c r="FY9" i="40" s="1"/>
  <c r="FZ9" i="40" s="1"/>
  <c r="GA9" i="40" s="1"/>
  <c r="GB9" i="40" s="1"/>
  <c r="GC9" i="40" s="1"/>
  <c r="GD9" i="40" s="1"/>
  <c r="GE9" i="40" s="1"/>
  <c r="GF9" i="40" s="1"/>
  <c r="GG9" i="40" s="1"/>
  <c r="GH9" i="40" s="1"/>
  <c r="GI9" i="40" s="1"/>
  <c r="GJ9" i="40" s="1"/>
  <c r="GK9" i="40" s="1"/>
  <c r="GL9" i="40" s="1"/>
  <c r="GM9" i="40" s="1"/>
  <c r="GN9" i="40" s="1"/>
  <c r="GO9" i="40" s="1"/>
  <c r="GP9" i="40" s="1"/>
  <c r="GQ9" i="40" s="1"/>
  <c r="GR9" i="40" s="1"/>
  <c r="GS9" i="40" s="1"/>
  <c r="GT9" i="40" s="1"/>
  <c r="GU9" i="40" s="1"/>
  <c r="GV9" i="40" s="1"/>
  <c r="GW9" i="40" s="1"/>
  <c r="GX9" i="40" s="1"/>
  <c r="GY9" i="40" s="1"/>
  <c r="GZ9" i="40" s="1"/>
  <c r="HA9" i="40" s="1"/>
  <c r="HB9" i="40" s="1"/>
  <c r="HC9" i="40" s="1"/>
  <c r="D24" i="9"/>
  <c r="D30" i="9"/>
  <c r="D31" i="9"/>
  <c r="D36" i="9"/>
  <c r="D35" i="9"/>
  <c r="D34" i="9"/>
  <c r="B36" i="9"/>
  <c r="B35" i="9"/>
  <c r="B34" i="9"/>
  <c r="B31" i="9"/>
  <c r="B30" i="9"/>
  <c r="B27" i="9"/>
  <c r="D27" i="9" s="1"/>
  <c r="B24" i="9"/>
  <c r="B29" i="9"/>
  <c r="D17" i="9"/>
  <c r="D16" i="9"/>
  <c r="D12" i="9"/>
  <c r="B28" i="9"/>
  <c r="D18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B49" i="9"/>
  <c r="B39" i="9"/>
  <c r="B50" i="9"/>
  <c r="D32" i="9"/>
  <c r="B32" i="9"/>
  <c r="AR3" i="8" l="1"/>
  <c r="BJ3" i="8"/>
  <c r="CB3" i="8"/>
  <c r="CT3" i="8"/>
  <c r="DL3" i="8"/>
  <c r="ED3" i="8"/>
  <c r="EV3" i="8"/>
  <c r="FN3" i="8"/>
  <c r="GF3" i="8"/>
  <c r="GX3" i="8"/>
  <c r="AK3" i="8"/>
  <c r="BD3" i="8"/>
  <c r="BW3" i="8"/>
  <c r="CP3" i="8"/>
  <c r="DI3" i="8"/>
  <c r="EB3" i="8"/>
  <c r="EU3" i="8"/>
  <c r="FO3" i="8"/>
  <c r="GH3" i="8"/>
  <c r="HA3" i="8"/>
  <c r="AP3" i="8"/>
  <c r="BI3" i="8"/>
  <c r="CC3" i="8"/>
  <c r="CV3" i="8"/>
  <c r="DO3" i="8"/>
  <c r="EH3" i="8"/>
  <c r="FA3" i="8"/>
  <c r="FT3" i="8"/>
  <c r="GM3" i="8"/>
  <c r="AS3" i="8"/>
  <c r="BL3" i="8"/>
  <c r="CE3" i="8"/>
  <c r="CX3" i="8"/>
  <c r="DQ3" i="8"/>
  <c r="EJ3" i="8"/>
  <c r="FC3" i="8"/>
  <c r="FV3" i="8"/>
  <c r="GO3" i="8"/>
  <c r="AX3" i="8"/>
  <c r="BQ3" i="8"/>
  <c r="CJ3" i="8"/>
  <c r="DC3" i="8"/>
  <c r="DV3" i="8"/>
  <c r="EO3" i="8"/>
  <c r="FH3" i="8"/>
  <c r="GA3" i="8"/>
  <c r="GT3" i="8"/>
  <c r="BA3" i="8"/>
  <c r="BY3" i="8"/>
  <c r="CY3" i="8"/>
  <c r="DW3" i="8"/>
  <c r="ET3" i="8"/>
  <c r="FS3" i="8"/>
  <c r="GR3" i="8"/>
  <c r="BC3" i="8"/>
  <c r="CA3" i="8"/>
  <c r="DA3" i="8"/>
  <c r="DY3" i="8"/>
  <c r="EX3" i="8"/>
  <c r="FW3" i="8"/>
  <c r="GU3" i="8"/>
  <c r="BE3" i="8"/>
  <c r="CD3" i="8"/>
  <c r="DB3" i="8"/>
  <c r="DZ3" i="8"/>
  <c r="EY3" i="8"/>
  <c r="FX3" i="8"/>
  <c r="GV3" i="8"/>
  <c r="AH3" i="8"/>
  <c r="BF3" i="8"/>
  <c r="CF3" i="8"/>
  <c r="DD3" i="8"/>
  <c r="EA3" i="8"/>
  <c r="EZ3" i="8"/>
  <c r="FY3" i="8"/>
  <c r="GW3" i="8"/>
  <c r="AN3" i="8"/>
  <c r="BN3" i="8"/>
  <c r="CL3" i="8"/>
  <c r="DJ3" i="8"/>
  <c r="EI3" i="8"/>
  <c r="FG3" i="8"/>
  <c r="GE3" i="8"/>
  <c r="AO3" i="8"/>
  <c r="BO3" i="8"/>
  <c r="CM3" i="8"/>
  <c r="DK3" i="8"/>
  <c r="EK3" i="8"/>
  <c r="FI3" i="8"/>
  <c r="GG3" i="8"/>
  <c r="AQ3" i="8"/>
  <c r="BP3" i="8"/>
  <c r="CN3" i="8"/>
  <c r="DM3" i="8"/>
  <c r="EL3" i="8"/>
  <c r="FJ3" i="8"/>
  <c r="GI3" i="8"/>
  <c r="AY3" i="8"/>
  <c r="BV3" i="8"/>
  <c r="CU3" i="8"/>
  <c r="DT3" i="8"/>
  <c r="ER3" i="8"/>
  <c r="FQ3" i="8"/>
  <c r="GP3" i="8"/>
  <c r="AZ3" i="8"/>
  <c r="BX3" i="8"/>
  <c r="CW3" i="8"/>
  <c r="DU3" i="8"/>
  <c r="ES3" i="8"/>
  <c r="FR3" i="8"/>
  <c r="GQ3" i="8"/>
  <c r="AM3" i="8"/>
  <c r="CK3" i="8"/>
  <c r="EG3" i="8"/>
  <c r="GD3" i="8"/>
  <c r="AU3" i="8"/>
  <c r="CQ3" i="8"/>
  <c r="EN3" i="8"/>
  <c r="GK3" i="8"/>
  <c r="AV3" i="8"/>
  <c r="CR3" i="8"/>
  <c r="AT3" i="8"/>
  <c r="CO3" i="8"/>
  <c r="EM3" i="8"/>
  <c r="GJ3" i="8"/>
  <c r="AW3" i="8"/>
  <c r="CS3" i="8"/>
  <c r="EQ3" i="8"/>
  <c r="GN3" i="8"/>
  <c r="AI3" i="8"/>
  <c r="DF3" i="8"/>
  <c r="FL3" i="8"/>
  <c r="AJ3" i="8"/>
  <c r="DG3" i="8"/>
  <c r="FM3" i="8"/>
  <c r="AL3" i="8"/>
  <c r="DH3" i="8"/>
  <c r="FP3" i="8"/>
  <c r="BB3" i="8"/>
  <c r="DN3" i="8"/>
  <c r="FU3" i="8"/>
  <c r="BG3" i="8"/>
  <c r="DP3" i="8"/>
  <c r="FZ3" i="8"/>
  <c r="BH3" i="8"/>
  <c r="DR3" i="8"/>
  <c r="GB3" i="8"/>
  <c r="BK3" i="8"/>
  <c r="DS3" i="8"/>
  <c r="GC3" i="8"/>
  <c r="BS3" i="8"/>
  <c r="EE3" i="8"/>
  <c r="GY3" i="8"/>
  <c r="BT3" i="8"/>
  <c r="EF3" i="8"/>
  <c r="GZ3" i="8"/>
  <c r="BZ3" i="8"/>
  <c r="EW3" i="8"/>
  <c r="HC3" i="8"/>
  <c r="BU3" i="8"/>
  <c r="DX3" i="8"/>
  <c r="CG3" i="8"/>
  <c r="CI3" i="8"/>
  <c r="DE3" i="8"/>
  <c r="EC3" i="8"/>
  <c r="EP3" i="8"/>
  <c r="FE3" i="8"/>
  <c r="FF3" i="8"/>
  <c r="CH3" i="8"/>
  <c r="CZ3" i="8"/>
  <c r="FB3" i="8"/>
  <c r="FD3" i="8"/>
  <c r="BM3" i="8"/>
  <c r="FK3" i="8"/>
  <c r="GL3" i="8"/>
  <c r="GS3" i="8"/>
  <c r="HB3" i="8"/>
  <c r="BR3" i="8"/>
  <c r="EA14" i="7"/>
  <c r="FU14" i="7"/>
  <c r="GM14" i="7"/>
  <c r="FR14" i="7"/>
  <c r="GK14" i="7"/>
  <c r="FT14" i="7"/>
  <c r="GN14" i="7"/>
  <c r="FG14" i="7"/>
  <c r="FZ14" i="7"/>
  <c r="GS14" i="7"/>
  <c r="ED14" i="7"/>
  <c r="FL14" i="7"/>
  <c r="GH14" i="7"/>
  <c r="FN14" i="7"/>
  <c r="GJ14" i="7"/>
  <c r="EB14" i="7"/>
  <c r="FO14" i="7"/>
  <c r="GL14" i="7"/>
  <c r="FE14" i="7"/>
  <c r="FX14" i="7"/>
  <c r="GU14" i="7"/>
  <c r="FY14" i="7"/>
  <c r="GV14" i="7"/>
  <c r="GA14" i="7"/>
  <c r="GW14" i="7"/>
  <c r="FK14" i="7"/>
  <c r="GG14" i="7"/>
  <c r="HC14" i="7"/>
  <c r="FS14" i="7"/>
  <c r="HB14" i="7"/>
  <c r="FV14" i="7"/>
  <c r="FW14" i="7"/>
  <c r="GC14" i="7"/>
  <c r="GI14" i="7"/>
  <c r="GP14" i="7"/>
  <c r="GQ14" i="7"/>
  <c r="GR14" i="7"/>
  <c r="GT14" i="7"/>
  <c r="FI14" i="7"/>
  <c r="HA14" i="7"/>
  <c r="FJ14" i="7"/>
  <c r="FP14" i="7"/>
  <c r="GX14" i="7"/>
  <c r="GY14" i="7"/>
  <c r="GZ14" i="7"/>
  <c r="FM14" i="7"/>
  <c r="FF14" i="7"/>
  <c r="FH14" i="7"/>
  <c r="GE14" i="7"/>
  <c r="GF14" i="7"/>
  <c r="GO14" i="7"/>
  <c r="FQ14" i="7"/>
  <c r="GB14" i="7"/>
  <c r="GD14" i="7"/>
  <c r="FB14" i="7"/>
  <c r="EI14" i="7"/>
  <c r="ER14" i="7"/>
  <c r="EV14" i="7"/>
  <c r="EH14" i="7"/>
  <c r="EY14" i="7"/>
  <c r="ET14" i="7"/>
  <c r="EM14" i="7"/>
  <c r="EF14" i="7"/>
  <c r="ES14" i="7"/>
  <c r="FA14" i="7"/>
  <c r="EZ14" i="7"/>
  <c r="EN14" i="7"/>
  <c r="EE14" i="7"/>
  <c r="EO14" i="7"/>
  <c r="EK14" i="7"/>
  <c r="EW14" i="7"/>
  <c r="EL14" i="7"/>
  <c r="EC14" i="7"/>
  <c r="FD14" i="7"/>
  <c r="EP14" i="7"/>
  <c r="EJ14" i="7"/>
  <c r="FC14" i="7"/>
  <c r="EU14" i="7"/>
  <c r="EG14" i="7"/>
  <c r="EQ14" i="7"/>
  <c r="EX14" i="7"/>
  <c r="AJ8" i="8"/>
  <c r="BB8" i="8"/>
  <c r="BT8" i="8"/>
  <c r="CL8" i="8"/>
  <c r="DD8" i="8"/>
  <c r="DV8" i="8"/>
  <c r="EN8" i="8"/>
  <c r="FF8" i="8"/>
  <c r="FX8" i="8"/>
  <c r="GP8" i="8"/>
  <c r="AZ8" i="8"/>
  <c r="BS8" i="8"/>
  <c r="CM8" i="8"/>
  <c r="DF8" i="8"/>
  <c r="DY8" i="8"/>
  <c r="ER8" i="8"/>
  <c r="FK8" i="8"/>
  <c r="GD8" i="8"/>
  <c r="GW8" i="8"/>
  <c r="AM8" i="8"/>
  <c r="BF8" i="8"/>
  <c r="BY8" i="8"/>
  <c r="CR8" i="8"/>
  <c r="DK8" i="8"/>
  <c r="ED8" i="8"/>
  <c r="EW8" i="8"/>
  <c r="FP8" i="8"/>
  <c r="GI8" i="8"/>
  <c r="HB8" i="8"/>
  <c r="AO8" i="8"/>
  <c r="BH8" i="8"/>
  <c r="CA8" i="8"/>
  <c r="CT8" i="8"/>
  <c r="DM8" i="8"/>
  <c r="EF8" i="8"/>
  <c r="EY8" i="8"/>
  <c r="FR8" i="8"/>
  <c r="GK8" i="8"/>
  <c r="AT8" i="8"/>
  <c r="BM8" i="8"/>
  <c r="CF8" i="8"/>
  <c r="CY8" i="8"/>
  <c r="DR8" i="8"/>
  <c r="EK8" i="8"/>
  <c r="FD8" i="8"/>
  <c r="FW8" i="8"/>
  <c r="GQ8" i="8"/>
  <c r="BC8" i="8"/>
  <c r="CB8" i="8"/>
  <c r="CZ8" i="8"/>
  <c r="DX8" i="8"/>
  <c r="EV8" i="8"/>
  <c r="FU8" i="8"/>
  <c r="GT8" i="8"/>
  <c r="BE8" i="8"/>
  <c r="CD8" i="8"/>
  <c r="DB8" i="8"/>
  <c r="EA8" i="8"/>
  <c r="EZ8" i="8"/>
  <c r="FY8" i="8"/>
  <c r="GV8" i="8"/>
  <c r="AH8" i="8"/>
  <c r="BG8" i="8"/>
  <c r="CE8" i="8"/>
  <c r="DC8" i="8"/>
  <c r="EB8" i="8"/>
  <c r="FA8" i="8"/>
  <c r="FZ8" i="8"/>
  <c r="GX8" i="8"/>
  <c r="AI8" i="8"/>
  <c r="BI8" i="8"/>
  <c r="CG8" i="8"/>
  <c r="DE8" i="8"/>
  <c r="EC8" i="8"/>
  <c r="FB8" i="8"/>
  <c r="GA8" i="8"/>
  <c r="GY8" i="8"/>
  <c r="AQ8" i="8"/>
  <c r="BO8" i="8"/>
  <c r="CN8" i="8"/>
  <c r="DL8" i="8"/>
  <c r="EJ8" i="8"/>
  <c r="FI8" i="8"/>
  <c r="GG8" i="8"/>
  <c r="AR8" i="8"/>
  <c r="BP8" i="8"/>
  <c r="CO8" i="8"/>
  <c r="DN8" i="8"/>
  <c r="EL8" i="8"/>
  <c r="FJ8" i="8"/>
  <c r="GH8" i="8"/>
  <c r="AS8" i="8"/>
  <c r="BQ8" i="8"/>
  <c r="CP8" i="8"/>
  <c r="DO8" i="8"/>
  <c r="EM8" i="8"/>
  <c r="FL8" i="8"/>
  <c r="GJ8" i="8"/>
  <c r="AY8" i="8"/>
  <c r="BX8" i="8"/>
  <c r="CW8" i="8"/>
  <c r="DU8" i="8"/>
  <c r="ET8" i="8"/>
  <c r="FS8" i="8"/>
  <c r="GR8" i="8"/>
  <c r="BA8" i="8"/>
  <c r="BZ8" i="8"/>
  <c r="CX8" i="8"/>
  <c r="DW8" i="8"/>
  <c r="EU8" i="8"/>
  <c r="FT8" i="8"/>
  <c r="GS8" i="8"/>
  <c r="BU8" i="8"/>
  <c r="DQ8" i="8"/>
  <c r="FN8" i="8"/>
  <c r="BW8" i="8"/>
  <c r="DT8" i="8"/>
  <c r="FQ8" i="8"/>
  <c r="BV8" i="8"/>
  <c r="DS8" i="8"/>
  <c r="FO8" i="8"/>
  <c r="AK8" i="8"/>
  <c r="CH8" i="8"/>
  <c r="EE8" i="8"/>
  <c r="GB8" i="8"/>
  <c r="AL8" i="8"/>
  <c r="CS8" i="8"/>
  <c r="FC8" i="8"/>
  <c r="AN8" i="8"/>
  <c r="CU8" i="8"/>
  <c r="FE8" i="8"/>
  <c r="AP8" i="8"/>
  <c r="CV8" i="8"/>
  <c r="FG8" i="8"/>
  <c r="AU8" i="8"/>
  <c r="DA8" i="8"/>
  <c r="FH8" i="8"/>
  <c r="AV8" i="8"/>
  <c r="DG8" i="8"/>
  <c r="FM8" i="8"/>
  <c r="AW8" i="8"/>
  <c r="DH8" i="8"/>
  <c r="FV8" i="8"/>
  <c r="BK8" i="8"/>
  <c r="DZ8" i="8"/>
  <c r="GL8" i="8"/>
  <c r="BL8" i="8"/>
  <c r="EG8" i="8"/>
  <c r="GM8" i="8"/>
  <c r="BR8" i="8"/>
  <c r="EI8" i="8"/>
  <c r="GO8" i="8"/>
  <c r="BD8" i="8"/>
  <c r="GE8" i="8"/>
  <c r="BJ8" i="8"/>
  <c r="GF8" i="8"/>
  <c r="CC8" i="8"/>
  <c r="GU8" i="8"/>
  <c r="CJ8" i="8"/>
  <c r="HA8" i="8"/>
  <c r="CK8" i="8"/>
  <c r="HC8" i="8"/>
  <c r="CQ8" i="8"/>
  <c r="DI8" i="8"/>
  <c r="EH8" i="8"/>
  <c r="EO8" i="8"/>
  <c r="BN8" i="8"/>
  <c r="GN8" i="8"/>
  <c r="CI8" i="8"/>
  <c r="GZ8" i="8"/>
  <c r="DJ8" i="8"/>
  <c r="DP8" i="8"/>
  <c r="AX8" i="8"/>
  <c r="EP8" i="8"/>
  <c r="EQ8" i="8"/>
  <c r="ES8" i="8"/>
  <c r="EX8" i="8"/>
  <c r="GC8" i="8"/>
  <c r="T40" i="30" a="1"/>
  <c r="T94" i="30" s="1"/>
  <c r="C47" i="30"/>
  <c r="B101" i="30"/>
  <c r="J3" i="8"/>
  <c r="Z3" i="8"/>
  <c r="AD3" i="8"/>
  <c r="AF3" i="8"/>
  <c r="C3" i="8"/>
  <c r="R3" i="8"/>
  <c r="K3" i="8"/>
  <c r="AA3" i="8"/>
  <c r="O3" i="8"/>
  <c r="P3" i="8"/>
  <c r="Q3" i="8"/>
  <c r="L3" i="8"/>
  <c r="AB3" i="8"/>
  <c r="D3" i="8"/>
  <c r="N3" i="8"/>
  <c r="AE3" i="8"/>
  <c r="M3" i="8"/>
  <c r="AC3" i="8"/>
  <c r="E3" i="8"/>
  <c r="AG3" i="8"/>
  <c r="S3" i="8"/>
  <c r="T3" i="8"/>
  <c r="G3" i="8"/>
  <c r="W3" i="8"/>
  <c r="H3" i="8"/>
  <c r="I3" i="8"/>
  <c r="F3" i="8"/>
  <c r="U3" i="8"/>
  <c r="X3" i="8"/>
  <c r="Y3" i="8"/>
  <c r="V3" i="8"/>
  <c r="N8" i="8"/>
  <c r="AD8" i="8"/>
  <c r="U8" i="8"/>
  <c r="F8" i="8"/>
  <c r="H8" i="8"/>
  <c r="O8" i="8"/>
  <c r="AE8" i="8"/>
  <c r="V8" i="8"/>
  <c r="P8" i="8"/>
  <c r="AF8" i="8"/>
  <c r="T8" i="8"/>
  <c r="W8" i="8"/>
  <c r="X8" i="8"/>
  <c r="Q8" i="8"/>
  <c r="AG8" i="8"/>
  <c r="R8" i="8"/>
  <c r="S8" i="8"/>
  <c r="G8" i="8"/>
  <c r="AB8" i="8"/>
  <c r="I8" i="8"/>
  <c r="AA8" i="8"/>
  <c r="C8" i="8"/>
  <c r="AC8" i="8"/>
  <c r="D8" i="8"/>
  <c r="K8" i="8"/>
  <c r="Y8" i="8"/>
  <c r="Z8" i="8"/>
  <c r="E8" i="8"/>
  <c r="L8" i="8"/>
  <c r="M8" i="8"/>
  <c r="J8" i="8"/>
  <c r="C45" i="30"/>
  <c r="D45" i="30" s="1"/>
  <c r="E45" i="30" s="1"/>
  <c r="F45" i="30" s="1"/>
  <c r="G45" i="30" s="1"/>
  <c r="H45" i="30" s="1"/>
  <c r="I45" i="30" s="1"/>
  <c r="J45" i="30" s="1"/>
  <c r="K45" i="30" s="1"/>
  <c r="K99" i="30" s="1"/>
  <c r="B99" i="30"/>
  <c r="C12" i="30"/>
  <c r="C66" i="30" s="1"/>
  <c r="B12" i="18" s="1"/>
  <c r="EB12" i="40" s="1"/>
  <c r="EC12" i="40" s="1"/>
  <c r="ED12" i="40" s="1"/>
  <c r="EE12" i="40" s="1"/>
  <c r="EF12" i="40" s="1"/>
  <c r="EG12" i="40" s="1"/>
  <c r="EH12" i="40" s="1"/>
  <c r="EI12" i="40" s="1"/>
  <c r="EJ12" i="40" s="1"/>
  <c r="EK12" i="40" s="1"/>
  <c r="EL12" i="40" s="1"/>
  <c r="EM12" i="40" s="1"/>
  <c r="EN12" i="40" s="1"/>
  <c r="EO12" i="40" s="1"/>
  <c r="EP12" i="40" s="1"/>
  <c r="EQ12" i="40" s="1"/>
  <c r="ER12" i="40" s="1"/>
  <c r="ES12" i="40" s="1"/>
  <c r="ET12" i="40" s="1"/>
  <c r="EU12" i="40" s="1"/>
  <c r="EV12" i="40" s="1"/>
  <c r="EW12" i="40" s="1"/>
  <c r="EX12" i="40" s="1"/>
  <c r="EY12" i="40" s="1"/>
  <c r="EZ12" i="40" s="1"/>
  <c r="FA12" i="40" s="1"/>
  <c r="FB12" i="40" s="1"/>
  <c r="FC12" i="40" s="1"/>
  <c r="FD12" i="40" s="1"/>
  <c r="FE12" i="40" s="1"/>
  <c r="FF12" i="40" s="1"/>
  <c r="FG12" i="40" s="1"/>
  <c r="FH12" i="40" s="1"/>
  <c r="FI12" i="40" s="1"/>
  <c r="FJ12" i="40" s="1"/>
  <c r="FK12" i="40" s="1"/>
  <c r="FL12" i="40" s="1"/>
  <c r="FM12" i="40" s="1"/>
  <c r="FN12" i="40" s="1"/>
  <c r="FO12" i="40" s="1"/>
  <c r="FP12" i="40" s="1"/>
  <c r="FQ12" i="40" s="1"/>
  <c r="FR12" i="40" s="1"/>
  <c r="FS12" i="40" s="1"/>
  <c r="FT12" i="40" s="1"/>
  <c r="FU12" i="40" s="1"/>
  <c r="FV12" i="40" s="1"/>
  <c r="FW12" i="40" s="1"/>
  <c r="FX12" i="40" s="1"/>
  <c r="FY12" i="40" s="1"/>
  <c r="FZ12" i="40" s="1"/>
  <c r="GA12" i="40" s="1"/>
  <c r="GB12" i="40" s="1"/>
  <c r="GC12" i="40" s="1"/>
  <c r="GD12" i="40" s="1"/>
  <c r="GE12" i="40" s="1"/>
  <c r="GF12" i="40" s="1"/>
  <c r="GG12" i="40" s="1"/>
  <c r="GH12" i="40" s="1"/>
  <c r="GI12" i="40" s="1"/>
  <c r="GJ12" i="40" s="1"/>
  <c r="GK12" i="40" s="1"/>
  <c r="GL12" i="40" s="1"/>
  <c r="GM12" i="40" s="1"/>
  <c r="GN12" i="40" s="1"/>
  <c r="GO12" i="40" s="1"/>
  <c r="GP12" i="40" s="1"/>
  <c r="GQ12" i="40" s="1"/>
  <c r="GR12" i="40" s="1"/>
  <c r="GS12" i="40" s="1"/>
  <c r="GT12" i="40" s="1"/>
  <c r="GU12" i="40" s="1"/>
  <c r="GV12" i="40" s="1"/>
  <c r="GW12" i="40" s="1"/>
  <c r="GX12" i="40" s="1"/>
  <c r="GY12" i="40" s="1"/>
  <c r="GZ12" i="40" s="1"/>
  <c r="HA12" i="40" s="1"/>
  <c r="HB12" i="40" s="1"/>
  <c r="HC12" i="40" s="1"/>
  <c r="B76" i="30"/>
  <c r="C22" i="30"/>
  <c r="H25" i="30"/>
  <c r="L79" i="30"/>
  <c r="C6" i="30"/>
  <c r="C60" i="30" s="1"/>
  <c r="B6" i="18" s="1"/>
  <c r="EB6" i="40" s="1"/>
  <c r="EC6" i="40" s="1"/>
  <c r="ED6" i="40" s="1"/>
  <c r="EE6" i="40" s="1"/>
  <c r="EF6" i="40" s="1"/>
  <c r="EG6" i="40" s="1"/>
  <c r="EH6" i="40" s="1"/>
  <c r="EI6" i="40" s="1"/>
  <c r="EJ6" i="40" s="1"/>
  <c r="EK6" i="40" s="1"/>
  <c r="EL6" i="40" s="1"/>
  <c r="EM6" i="40" s="1"/>
  <c r="EN6" i="40" s="1"/>
  <c r="EO6" i="40" s="1"/>
  <c r="EP6" i="40" s="1"/>
  <c r="EQ6" i="40" s="1"/>
  <c r="ER6" i="40" s="1"/>
  <c r="ES6" i="40" s="1"/>
  <c r="ET6" i="40" s="1"/>
  <c r="EU6" i="40" s="1"/>
  <c r="EV6" i="40" s="1"/>
  <c r="EW6" i="40" s="1"/>
  <c r="EX6" i="40" s="1"/>
  <c r="EY6" i="40" s="1"/>
  <c r="EZ6" i="40" s="1"/>
  <c r="FA6" i="40" s="1"/>
  <c r="FB6" i="40" s="1"/>
  <c r="FC6" i="40" s="1"/>
  <c r="FD6" i="40" s="1"/>
  <c r="FE6" i="40" s="1"/>
  <c r="FF6" i="40" s="1"/>
  <c r="FG6" i="40" s="1"/>
  <c r="FH6" i="40" s="1"/>
  <c r="FI6" i="40" s="1"/>
  <c r="FJ6" i="40" s="1"/>
  <c r="FK6" i="40" s="1"/>
  <c r="FL6" i="40" s="1"/>
  <c r="FM6" i="40" s="1"/>
  <c r="FN6" i="40" s="1"/>
  <c r="FO6" i="40" s="1"/>
  <c r="FP6" i="40" s="1"/>
  <c r="FQ6" i="40" s="1"/>
  <c r="FR6" i="40" s="1"/>
  <c r="FS6" i="40" s="1"/>
  <c r="FT6" i="40" s="1"/>
  <c r="FU6" i="40" s="1"/>
  <c r="FV6" i="40" s="1"/>
  <c r="FW6" i="40" s="1"/>
  <c r="FX6" i="40" s="1"/>
  <c r="FY6" i="40" s="1"/>
  <c r="FZ6" i="40" s="1"/>
  <c r="GA6" i="40" s="1"/>
  <c r="GB6" i="40" s="1"/>
  <c r="GC6" i="40" s="1"/>
  <c r="GD6" i="40" s="1"/>
  <c r="GE6" i="40" s="1"/>
  <c r="GF6" i="40" s="1"/>
  <c r="GG6" i="40" s="1"/>
  <c r="GH6" i="40" s="1"/>
  <c r="GI6" i="40" s="1"/>
  <c r="GJ6" i="40" s="1"/>
  <c r="GK6" i="40" s="1"/>
  <c r="GL6" i="40" s="1"/>
  <c r="GM6" i="40" s="1"/>
  <c r="GN6" i="40" s="1"/>
  <c r="GO6" i="40" s="1"/>
  <c r="GP6" i="40" s="1"/>
  <c r="GQ6" i="40" s="1"/>
  <c r="GR6" i="40" s="1"/>
  <c r="GS6" i="40" s="1"/>
  <c r="GT6" i="40" s="1"/>
  <c r="GU6" i="40" s="1"/>
  <c r="GV6" i="40" s="1"/>
  <c r="GW6" i="40" s="1"/>
  <c r="GX6" i="40" s="1"/>
  <c r="GY6" i="40" s="1"/>
  <c r="GZ6" i="40" s="1"/>
  <c r="HA6" i="40" s="1"/>
  <c r="HB6" i="40" s="1"/>
  <c r="HC6" i="40" s="1"/>
  <c r="B60" i="30"/>
  <c r="G61" i="30"/>
  <c r="H7" i="30"/>
  <c r="H61" i="30" s="1"/>
  <c r="B75" i="30"/>
  <c r="DZ2" i="7" s="1"/>
  <c r="C21" i="30"/>
  <c r="B100" i="30"/>
  <c r="C46" i="30"/>
  <c r="D46" i="30" s="1"/>
  <c r="E46" i="30" s="1"/>
  <c r="F46" i="30" s="1"/>
  <c r="G46" i="30" s="1"/>
  <c r="H46" i="30" s="1"/>
  <c r="I46" i="30" s="1"/>
  <c r="J46" i="30" s="1"/>
  <c r="K46" i="30" s="1"/>
  <c r="K100" i="30" s="1"/>
  <c r="B77" i="30"/>
  <c r="DZ5" i="7" s="1"/>
  <c r="C23" i="30"/>
  <c r="B108" i="30"/>
  <c r="C34" i="30"/>
  <c r="C53" i="30"/>
  <c r="D53" i="30" s="1"/>
  <c r="E53" i="30" s="1"/>
  <c r="F53" i="30" s="1"/>
  <c r="G53" i="30" s="1"/>
  <c r="H53" i="30" s="1"/>
  <c r="I53" i="30" s="1"/>
  <c r="J53" i="30" s="1"/>
  <c r="K53" i="30" s="1"/>
  <c r="K107" i="30" s="1"/>
  <c r="C24" i="30"/>
  <c r="C27" i="30"/>
  <c r="C31" i="30"/>
  <c r="C35" i="30"/>
  <c r="C48" i="30"/>
  <c r="D48" i="30" s="1"/>
  <c r="E48" i="30" s="1"/>
  <c r="F48" i="30" s="1"/>
  <c r="C30" i="30"/>
  <c r="C32" i="30"/>
  <c r="C36" i="30"/>
  <c r="B19" i="19"/>
  <c r="EB2" i="40"/>
  <c r="EC2" i="40" s="1"/>
  <c r="ED2" i="40" s="1"/>
  <c r="EE2" i="40" s="1"/>
  <c r="EF2" i="40" s="1"/>
  <c r="EG2" i="40" s="1"/>
  <c r="EH2" i="40" s="1"/>
  <c r="EI2" i="40" s="1"/>
  <c r="EJ2" i="40" s="1"/>
  <c r="EK2" i="40" s="1"/>
  <c r="EL2" i="40" s="1"/>
  <c r="EM2" i="40" s="1"/>
  <c r="EN2" i="40" s="1"/>
  <c r="EO2" i="40" s="1"/>
  <c r="EP2" i="40" s="1"/>
  <c r="EQ2" i="40" s="1"/>
  <c r="ER2" i="40" s="1"/>
  <c r="ES2" i="40" s="1"/>
  <c r="ET2" i="40" s="1"/>
  <c r="EU2" i="40" s="1"/>
  <c r="EV2" i="40" s="1"/>
  <c r="EW2" i="40" s="1"/>
  <c r="EX2" i="40" s="1"/>
  <c r="EY2" i="40" s="1"/>
  <c r="EZ2" i="40" s="1"/>
  <c r="FA2" i="40" s="1"/>
  <c r="FB2" i="40" s="1"/>
  <c r="FC2" i="40" s="1"/>
  <c r="FD2" i="40" s="1"/>
  <c r="FE2" i="40" s="1"/>
  <c r="FF2" i="40" s="1"/>
  <c r="FG2" i="40" s="1"/>
  <c r="FH2" i="40" s="1"/>
  <c r="FI2" i="40" s="1"/>
  <c r="FJ2" i="40" s="1"/>
  <c r="FK2" i="40" s="1"/>
  <c r="FL2" i="40" s="1"/>
  <c r="FM2" i="40" s="1"/>
  <c r="FN2" i="40" s="1"/>
  <c r="FO2" i="40" s="1"/>
  <c r="FP2" i="40" s="1"/>
  <c r="FQ2" i="40" s="1"/>
  <c r="FR2" i="40" s="1"/>
  <c r="FS2" i="40" s="1"/>
  <c r="FT2" i="40" s="1"/>
  <c r="FU2" i="40" s="1"/>
  <c r="FV2" i="40" s="1"/>
  <c r="FW2" i="40" s="1"/>
  <c r="FX2" i="40" s="1"/>
  <c r="FY2" i="40" s="1"/>
  <c r="FZ2" i="40" s="1"/>
  <c r="GA2" i="40" s="1"/>
  <c r="GB2" i="40" s="1"/>
  <c r="GC2" i="40" s="1"/>
  <c r="GD2" i="40" s="1"/>
  <c r="GE2" i="40" s="1"/>
  <c r="GF2" i="40" s="1"/>
  <c r="GG2" i="40" s="1"/>
  <c r="GH2" i="40" s="1"/>
  <c r="GI2" i="40" s="1"/>
  <c r="GJ2" i="40" s="1"/>
  <c r="GK2" i="40" s="1"/>
  <c r="GL2" i="40" s="1"/>
  <c r="GM2" i="40" s="1"/>
  <c r="GN2" i="40" s="1"/>
  <c r="GO2" i="40" s="1"/>
  <c r="GP2" i="40" s="1"/>
  <c r="GQ2" i="40" s="1"/>
  <c r="GR2" i="40" s="1"/>
  <c r="GS2" i="40" s="1"/>
  <c r="GT2" i="40" s="1"/>
  <c r="GU2" i="40" s="1"/>
  <c r="GV2" i="40" s="1"/>
  <c r="GW2" i="40" s="1"/>
  <c r="GX2" i="40" s="1"/>
  <c r="GY2" i="40" s="1"/>
  <c r="GZ2" i="40" s="1"/>
  <c r="HA2" i="40" s="1"/>
  <c r="HB2" i="40" s="1"/>
  <c r="HC2" i="40" s="1"/>
  <c r="L11" i="30"/>
  <c r="D28" i="9"/>
  <c r="L28" i="30" s="1"/>
  <c r="L82" i="30" s="1"/>
  <c r="B28" i="30"/>
  <c r="B82" i="30" s="1"/>
  <c r="DZ10" i="7" s="1"/>
  <c r="D29" i="9"/>
  <c r="L29" i="30" s="1"/>
  <c r="L83" i="30" s="1"/>
  <c r="B29" i="30"/>
  <c r="B83" i="30" s="1"/>
  <c r="B10" i="30"/>
  <c r="B64" i="30" s="1"/>
  <c r="D10" i="9"/>
  <c r="L10" i="30" s="1"/>
  <c r="L64" i="30" s="1"/>
  <c r="K10" i="18" s="1"/>
  <c r="B5" i="8"/>
  <c r="B11" i="30"/>
  <c r="B65" i="30" s="1"/>
  <c r="B2" i="8"/>
  <c r="B4" i="8"/>
  <c r="V40" i="30" a="1"/>
  <c r="V94" i="30" s="1"/>
  <c r="P50" i="30" a="1"/>
  <c r="P104" i="30" s="1"/>
  <c r="J98" i="30"/>
  <c r="G107" i="30"/>
  <c r="Z40" i="30" a="1"/>
  <c r="Z94" i="30" s="1"/>
  <c r="Z50" i="30" a="1"/>
  <c r="Z104" i="30" s="1"/>
  <c r="D51" i="30"/>
  <c r="E51" i="30" s="1"/>
  <c r="F51" i="30" s="1"/>
  <c r="G51" i="30" s="1"/>
  <c r="H51" i="30" s="1"/>
  <c r="I51" i="30" s="1"/>
  <c r="J51" i="30" s="1"/>
  <c r="K51" i="30" s="1"/>
  <c r="K105" i="30" s="1"/>
  <c r="AD40" i="30" a="1"/>
  <c r="AD94" i="30" s="1"/>
  <c r="Q52" i="30" a="1"/>
  <c r="Q106" i="30" s="1"/>
  <c r="N42" i="30" a="1"/>
  <c r="N96" i="30" s="1"/>
  <c r="AA52" i="30" a="1"/>
  <c r="AA106" i="30" s="1"/>
  <c r="C99" i="30"/>
  <c r="Z42" i="30" a="1"/>
  <c r="Z96" i="30" s="1"/>
  <c r="AB53" i="30" a="1"/>
  <c r="AB107" i="30" s="1"/>
  <c r="V44" i="30" a="1"/>
  <c r="V98" i="30" s="1"/>
  <c r="R54" i="30" a="1"/>
  <c r="R108" i="30" s="1"/>
  <c r="D104" i="30"/>
  <c r="M45" i="30" a="1"/>
  <c r="M99" i="30" s="1"/>
  <c r="AB54" i="30" a="1"/>
  <c r="AB108" i="30" s="1"/>
  <c r="W45" i="30" a="1"/>
  <c r="W99" i="30" s="1"/>
  <c r="O49" i="30" a="1"/>
  <c r="O103" i="30" s="1"/>
  <c r="N40" i="30" a="1"/>
  <c r="N94" i="30" s="1"/>
  <c r="R40" i="30" a="1"/>
  <c r="R94" i="30" s="1"/>
  <c r="S40" i="30" a="1"/>
  <c r="S94" i="30" s="1"/>
  <c r="AE40" i="30" a="1"/>
  <c r="AE94" i="30" s="1"/>
  <c r="W41" i="30" a="1"/>
  <c r="W95" i="30" s="1"/>
  <c r="O42" i="30" a="1"/>
  <c r="O96" i="30" s="1"/>
  <c r="AA42" i="30" a="1"/>
  <c r="AA96" i="30" s="1"/>
  <c r="W44" i="30" a="1"/>
  <c r="W98" i="30" s="1"/>
  <c r="N45" i="30" a="1"/>
  <c r="N99" i="30" s="1"/>
  <c r="X45" i="30" a="1"/>
  <c r="X99" i="30" s="1"/>
  <c r="P49" i="30" a="1"/>
  <c r="P103" i="30" s="1"/>
  <c r="Z49" i="30" a="1"/>
  <c r="Z103" i="30" s="1"/>
  <c r="Q50" i="30" a="1"/>
  <c r="Q104" i="30" s="1"/>
  <c r="AA50" i="30" a="1"/>
  <c r="AA104" i="30" s="1"/>
  <c r="R52" i="30" a="1"/>
  <c r="R106" i="30" s="1"/>
  <c r="AB52" i="30" a="1"/>
  <c r="AB106" i="30" s="1"/>
  <c r="R53" i="30" a="1"/>
  <c r="R107" i="30" s="1"/>
  <c r="AC53" i="30" a="1"/>
  <c r="AC107" i="30" s="1"/>
  <c r="S54" i="30" a="1"/>
  <c r="S108" i="30" s="1"/>
  <c r="AC54" i="30" a="1"/>
  <c r="AC108" i="30" s="1"/>
  <c r="C94" i="30"/>
  <c r="H95" i="30"/>
  <c r="D99" i="30"/>
  <c r="E104" i="30"/>
  <c r="C106" i="30"/>
  <c r="AF40" i="30" a="1"/>
  <c r="AF94" i="30" s="1"/>
  <c r="X41" i="30" a="1"/>
  <c r="X95" i="30" s="1"/>
  <c r="P42" i="30" a="1"/>
  <c r="P96" i="30" s="1"/>
  <c r="AB42" i="30" a="1"/>
  <c r="AB96" i="30" s="1"/>
  <c r="X44" i="30" a="1"/>
  <c r="X98" i="30" s="1"/>
  <c r="O45" i="30" a="1"/>
  <c r="O99" i="30" s="1"/>
  <c r="Y45" i="30" a="1"/>
  <c r="Y99" i="30" s="1"/>
  <c r="Q49" i="30" a="1"/>
  <c r="Q103" i="30" s="1"/>
  <c r="AA49" i="30" a="1"/>
  <c r="AA103" i="30" s="1"/>
  <c r="AB50" i="30" a="1"/>
  <c r="AB104" i="30" s="1"/>
  <c r="S52" i="30" a="1"/>
  <c r="S106" i="30" s="1"/>
  <c r="AC52" i="30" a="1"/>
  <c r="AC106" i="30" s="1"/>
  <c r="S53" i="30" a="1"/>
  <c r="S107" i="30" s="1"/>
  <c r="T54" i="30" a="1"/>
  <c r="T108" i="30" s="1"/>
  <c r="AD54" i="30" a="1"/>
  <c r="AD108" i="30" s="1"/>
  <c r="D94" i="30"/>
  <c r="I95" i="30"/>
  <c r="E99" i="30"/>
  <c r="C101" i="30"/>
  <c r="F104" i="30"/>
  <c r="D106" i="30"/>
  <c r="I107" i="30"/>
  <c r="U40" i="30" a="1"/>
  <c r="U94" i="30" s="1"/>
  <c r="M41" i="30" a="1"/>
  <c r="M95" i="30" s="1"/>
  <c r="Y41" i="30" a="1"/>
  <c r="Y95" i="30" s="1"/>
  <c r="Q42" i="30" a="1"/>
  <c r="Q96" i="30" s="1"/>
  <c r="AC42" i="30" a="1"/>
  <c r="AC96" i="30" s="1"/>
  <c r="M44" i="30" a="1"/>
  <c r="M98" i="30" s="1"/>
  <c r="Y44" i="30" a="1"/>
  <c r="Y98" i="30" s="1"/>
  <c r="Z45" i="30" a="1"/>
  <c r="Z99" i="30" s="1"/>
  <c r="R49" i="30" a="1"/>
  <c r="R103" i="30" s="1"/>
  <c r="AB49" i="30" a="1"/>
  <c r="AB103" i="30" s="1"/>
  <c r="R50" i="30" a="1"/>
  <c r="R104" i="30" s="1"/>
  <c r="AC50" i="30" a="1"/>
  <c r="AC104" i="30" s="1"/>
  <c r="S51" i="30" a="1"/>
  <c r="S105" i="30" s="1"/>
  <c r="AD52" i="30" a="1"/>
  <c r="AD106" i="30" s="1"/>
  <c r="U54" i="30" a="1"/>
  <c r="U108" i="30" s="1"/>
  <c r="AE54" i="30" a="1"/>
  <c r="AE108" i="30" s="1"/>
  <c r="E94" i="30"/>
  <c r="J95" i="30"/>
  <c r="C96" i="30"/>
  <c r="F99" i="30"/>
  <c r="G104" i="30"/>
  <c r="E106" i="30"/>
  <c r="J107" i="30"/>
  <c r="C108" i="30"/>
  <c r="AA51" i="30" a="1"/>
  <c r="AA105" i="30" s="1"/>
  <c r="N41" i="30" a="1"/>
  <c r="N95" i="30" s="1"/>
  <c r="Z41" i="30" a="1"/>
  <c r="Z95" i="30" s="1"/>
  <c r="R42" i="30" a="1"/>
  <c r="R96" i="30" s="1"/>
  <c r="AD42" i="30" a="1"/>
  <c r="AD96" i="30" s="1"/>
  <c r="N44" i="30" a="1"/>
  <c r="N98" i="30" s="1"/>
  <c r="Z44" i="30" a="1"/>
  <c r="Z98" i="30" s="1"/>
  <c r="P45" i="30" a="1"/>
  <c r="P99" i="30" s="1"/>
  <c r="AA45" i="30" a="1"/>
  <c r="AA99" i="30" s="1"/>
  <c r="S49" i="30" a="1"/>
  <c r="S103" i="30" s="1"/>
  <c r="AC49" i="30" a="1"/>
  <c r="AC103" i="30" s="1"/>
  <c r="S50" i="30" a="1"/>
  <c r="S104" i="30" s="1"/>
  <c r="T51" i="30" a="1"/>
  <c r="T105" i="30" s="1"/>
  <c r="T52" i="30" a="1"/>
  <c r="T106" i="30" s="1"/>
  <c r="AE52" i="30" a="1"/>
  <c r="AE106" i="30" s="1"/>
  <c r="AE53" i="30" a="1"/>
  <c r="AE107" i="30" s="1"/>
  <c r="AF54" i="30" a="1"/>
  <c r="AF108" i="30" s="1"/>
  <c r="F94" i="30"/>
  <c r="D96" i="30"/>
  <c r="G99" i="30"/>
  <c r="C103" i="30"/>
  <c r="H104" i="30"/>
  <c r="F106" i="30"/>
  <c r="D108" i="30"/>
  <c r="G95" i="30"/>
  <c r="W40" i="30" a="1"/>
  <c r="W94" i="30" s="1"/>
  <c r="O41" i="30" a="1"/>
  <c r="O95" i="30" s="1"/>
  <c r="AA41" i="30" a="1"/>
  <c r="AA95" i="30" s="1"/>
  <c r="S42" i="30" a="1"/>
  <c r="S96" i="30" s="1"/>
  <c r="AE42" i="30" a="1"/>
  <c r="AE96" i="30" s="1"/>
  <c r="O44" i="30" a="1"/>
  <c r="O98" i="30" s="1"/>
  <c r="AA44" i="30" a="1"/>
  <c r="AA98" i="30" s="1"/>
  <c r="Q45" i="30" a="1"/>
  <c r="Q99" i="30" s="1"/>
  <c r="AD49" i="30" a="1"/>
  <c r="AD103" i="30" s="1"/>
  <c r="T50" i="30" a="1"/>
  <c r="T104" i="30" s="1"/>
  <c r="AD50" i="30" a="1"/>
  <c r="AD104" i="30" s="1"/>
  <c r="AE51" i="30" a="1"/>
  <c r="AE105" i="30" s="1"/>
  <c r="U52" i="30" a="1"/>
  <c r="U106" i="30" s="1"/>
  <c r="V54" i="30" a="1"/>
  <c r="V108" i="30" s="1"/>
  <c r="G94" i="30"/>
  <c r="E96" i="30"/>
  <c r="C98" i="30"/>
  <c r="H99" i="30"/>
  <c r="D103" i="30"/>
  <c r="I104" i="30"/>
  <c r="G106" i="30"/>
  <c r="E108" i="30"/>
  <c r="C43" i="30"/>
  <c r="P41" i="30" a="1"/>
  <c r="P95" i="30" s="1"/>
  <c r="T42" i="30" a="1"/>
  <c r="T96" i="30" s="1"/>
  <c r="AF42" i="30" a="1"/>
  <c r="AF96" i="30" s="1"/>
  <c r="P44" i="30" a="1"/>
  <c r="P98" i="30" s="1"/>
  <c r="AB44" i="30" a="1"/>
  <c r="AB98" i="30" s="1"/>
  <c r="R45" i="30" a="1"/>
  <c r="R99" i="30" s="1"/>
  <c r="AB45" i="30" a="1"/>
  <c r="AB99" i="30" s="1"/>
  <c r="T49" i="30" a="1"/>
  <c r="T103" i="30" s="1"/>
  <c r="AE49" i="30" a="1"/>
  <c r="AE103" i="30" s="1"/>
  <c r="U50" i="30" a="1"/>
  <c r="U104" i="30" s="1"/>
  <c r="AE50" i="30" a="1"/>
  <c r="AE104" i="30" s="1"/>
  <c r="V52" i="30" a="1"/>
  <c r="V106" i="30" s="1"/>
  <c r="AF52" i="30" a="1"/>
  <c r="AF106" i="30" s="1"/>
  <c r="M54" i="30" a="1"/>
  <c r="M108" i="30" s="1"/>
  <c r="W54" i="30" a="1"/>
  <c r="W108" i="30" s="1"/>
  <c r="H94" i="30"/>
  <c r="F96" i="30"/>
  <c r="D98" i="30"/>
  <c r="I99" i="30"/>
  <c r="E103" i="30"/>
  <c r="J104" i="30"/>
  <c r="C105" i="30"/>
  <c r="H106" i="30"/>
  <c r="F108" i="30"/>
  <c r="X40" i="30" a="1"/>
  <c r="X94" i="30" s="1"/>
  <c r="AB41" i="30" a="1"/>
  <c r="AB95" i="30" s="1"/>
  <c r="D47" i="30"/>
  <c r="M40" i="30" a="1"/>
  <c r="M94" i="30" s="1"/>
  <c r="Y40" i="30" a="1"/>
  <c r="Y94" i="30" s="1"/>
  <c r="Q41" i="30" a="1"/>
  <c r="Q95" i="30" s="1"/>
  <c r="AC41" i="30" a="1"/>
  <c r="AC95" i="30" s="1"/>
  <c r="U42" i="30" a="1"/>
  <c r="U96" i="30" s="1"/>
  <c r="Q44" i="30" a="1"/>
  <c r="Q98" i="30" s="1"/>
  <c r="AC44" i="30" a="1"/>
  <c r="AC98" i="30" s="1"/>
  <c r="S45" i="30" a="1"/>
  <c r="S99" i="30" s="1"/>
  <c r="AC45" i="30" a="1"/>
  <c r="AC99" i="30" s="1"/>
  <c r="U49" i="30" a="1"/>
  <c r="U103" i="30" s="1"/>
  <c r="V50" i="30" a="1"/>
  <c r="V104" i="30" s="1"/>
  <c r="AF50" i="30" a="1"/>
  <c r="AF104" i="30" s="1"/>
  <c r="M52" i="30" a="1"/>
  <c r="M106" i="30" s="1"/>
  <c r="W52" i="30" a="1"/>
  <c r="W106" i="30" s="1"/>
  <c r="N54" i="30" a="1"/>
  <c r="N108" i="30" s="1"/>
  <c r="X54" i="30" a="1"/>
  <c r="X108" i="30" s="1"/>
  <c r="I94" i="30"/>
  <c r="G96" i="30"/>
  <c r="E98" i="30"/>
  <c r="J99" i="30"/>
  <c r="F103" i="30"/>
  <c r="I106" i="30"/>
  <c r="G108" i="30"/>
  <c r="R41" i="30" a="1"/>
  <c r="R95" i="30" s="1"/>
  <c r="AD41" i="30" a="1"/>
  <c r="AD95" i="30" s="1"/>
  <c r="V42" i="30" a="1"/>
  <c r="V96" i="30" s="1"/>
  <c r="R44" i="30" a="1"/>
  <c r="R98" i="30" s="1"/>
  <c r="T45" i="30" a="1"/>
  <c r="T99" i="30" s="1"/>
  <c r="AD45" i="30" a="1"/>
  <c r="AD99" i="30" s="1"/>
  <c r="V49" i="30" a="1"/>
  <c r="V103" i="30" s="1"/>
  <c r="AF49" i="30" a="1"/>
  <c r="AF103" i="30" s="1"/>
  <c r="W50" i="30" a="1"/>
  <c r="W104" i="30" s="1"/>
  <c r="X52" i="30" a="1"/>
  <c r="X106" i="30" s="1"/>
  <c r="N53" i="30" a="1"/>
  <c r="N107" i="30" s="1"/>
  <c r="X53" i="30" a="1"/>
  <c r="X107" i="30" s="1"/>
  <c r="O54" i="30" a="1"/>
  <c r="O108" i="30" s="1"/>
  <c r="Y54" i="30" a="1"/>
  <c r="Y108" i="30" s="1"/>
  <c r="J94" i="30"/>
  <c r="C95" i="30"/>
  <c r="H96" i="30"/>
  <c r="F98" i="30"/>
  <c r="G103" i="30"/>
  <c r="J106" i="30"/>
  <c r="C107" i="30"/>
  <c r="H108" i="30"/>
  <c r="V41" i="30" a="1"/>
  <c r="V95" i="30" s="1"/>
  <c r="O40" i="30" a="1"/>
  <c r="O94" i="30" s="1"/>
  <c r="AA40" i="30" a="1"/>
  <c r="AA94" i="30" s="1"/>
  <c r="S41" i="30" a="1"/>
  <c r="S95" i="30" s="1"/>
  <c r="AE41" i="30" a="1"/>
  <c r="AE95" i="30" s="1"/>
  <c r="W42" i="30" a="1"/>
  <c r="W96" i="30" s="1"/>
  <c r="S44" i="30" a="1"/>
  <c r="S98" i="30" s="1"/>
  <c r="AD44" i="30" a="1"/>
  <c r="AD98" i="30" s="1"/>
  <c r="U45" i="30" a="1"/>
  <c r="U99" i="30" s="1"/>
  <c r="AE45" i="30" a="1"/>
  <c r="AE99" i="30" s="1"/>
  <c r="M49" i="30" a="1"/>
  <c r="M103" i="30" s="1"/>
  <c r="W49" i="30" a="1"/>
  <c r="W103" i="30" s="1"/>
  <c r="M50" i="30" a="1"/>
  <c r="M104" i="30" s="1"/>
  <c r="N52" i="30" a="1"/>
  <c r="N106" i="30" s="1"/>
  <c r="Y52" i="30" a="1"/>
  <c r="Y106" i="30" s="1"/>
  <c r="O53" i="30" a="1"/>
  <c r="O107" i="30" s="1"/>
  <c r="Y53" i="30" a="1"/>
  <c r="Y107" i="30" s="1"/>
  <c r="Z54" i="30" a="1"/>
  <c r="Z108" i="30" s="1"/>
  <c r="D95" i="30"/>
  <c r="I96" i="30"/>
  <c r="B97" i="30"/>
  <c r="G98" i="30"/>
  <c r="H103" i="30"/>
  <c r="D107" i="30"/>
  <c r="I108" i="30"/>
  <c r="P40" i="30" a="1"/>
  <c r="P94" i="30" s="1"/>
  <c r="AB40" i="30" a="1"/>
  <c r="AB94" i="30" s="1"/>
  <c r="T41" i="30" a="1"/>
  <c r="T95" i="30" s="1"/>
  <c r="AF41" i="30" a="1"/>
  <c r="AF95" i="30" s="1"/>
  <c r="X42" i="30" a="1"/>
  <c r="X96" i="30" s="1"/>
  <c r="T44" i="30" a="1"/>
  <c r="T98" i="30" s="1"/>
  <c r="AE44" i="30" a="1"/>
  <c r="AE98" i="30" s="1"/>
  <c r="AF45" i="30" a="1"/>
  <c r="AF99" i="30" s="1"/>
  <c r="X49" i="30" a="1"/>
  <c r="X103" i="30" s="1"/>
  <c r="N50" i="30" a="1"/>
  <c r="N104" i="30" s="1"/>
  <c r="X50" i="30" a="1"/>
  <c r="X104" i="30" s="1"/>
  <c r="O52" i="30" a="1"/>
  <c r="O106" i="30" s="1"/>
  <c r="P53" i="30" a="1"/>
  <c r="P107" i="30" s="1"/>
  <c r="Z53" i="30" a="1"/>
  <c r="Z107" i="30" s="1"/>
  <c r="P54" i="30" a="1"/>
  <c r="P108" i="30" s="1"/>
  <c r="AA54" i="30" a="1"/>
  <c r="AA108" i="30" s="1"/>
  <c r="E95" i="30"/>
  <c r="J96" i="30"/>
  <c r="H98" i="30"/>
  <c r="I103" i="30"/>
  <c r="E107" i="30"/>
  <c r="J108" i="30"/>
  <c r="Q40" i="30" a="1"/>
  <c r="Q94" i="30" s="1"/>
  <c r="AC40" i="30" a="1"/>
  <c r="AC94" i="30" s="1"/>
  <c r="U41" i="30" a="1"/>
  <c r="U95" i="30" s="1"/>
  <c r="M42" i="30" a="1"/>
  <c r="M96" i="30" s="1"/>
  <c r="Y42" i="30" a="1"/>
  <c r="Y96" i="30" s="1"/>
  <c r="U44" i="30" a="1"/>
  <c r="U98" i="30" s="1"/>
  <c r="AF44" i="30" a="1"/>
  <c r="AF98" i="30" s="1"/>
  <c r="V45" i="30" a="1"/>
  <c r="V99" i="30" s="1"/>
  <c r="N49" i="30" a="1"/>
  <c r="N103" i="30" s="1"/>
  <c r="Y49" i="30" a="1"/>
  <c r="Y103" i="30" s="1"/>
  <c r="O50" i="30" a="1"/>
  <c r="O104" i="30" s="1"/>
  <c r="Y50" i="30" a="1"/>
  <c r="Y104" i="30" s="1"/>
  <c r="P52" i="30" a="1"/>
  <c r="P106" i="30" s="1"/>
  <c r="Z52" i="30" a="1"/>
  <c r="Z106" i="30" s="1"/>
  <c r="Q53" i="30" a="1"/>
  <c r="Q107" i="30" s="1"/>
  <c r="AA53" i="30" a="1"/>
  <c r="AA107" i="30" s="1"/>
  <c r="Q54" i="30" a="1"/>
  <c r="Q108" i="30" s="1"/>
  <c r="F95" i="30"/>
  <c r="I98" i="30"/>
  <c r="J103" i="30"/>
  <c r="C104" i="30"/>
  <c r="F107" i="30"/>
  <c r="P39" i="30" a="1"/>
  <c r="P93" i="30" s="1"/>
  <c r="AB39" i="30" a="1"/>
  <c r="AB93" i="30" s="1"/>
  <c r="F93" i="30"/>
  <c r="AC39" i="30" a="1"/>
  <c r="AC93" i="30" s="1"/>
  <c r="G93" i="30"/>
  <c r="Q39" i="30" a="1"/>
  <c r="Q93" i="30" s="1"/>
  <c r="R39" i="30" a="1"/>
  <c r="R93" i="30" s="1"/>
  <c r="AD39" i="30" a="1"/>
  <c r="AD93" i="30" s="1"/>
  <c r="H93" i="30"/>
  <c r="AE39" i="30" a="1"/>
  <c r="AE93" i="30" s="1"/>
  <c r="I93" i="30"/>
  <c r="AF39" i="30" a="1"/>
  <c r="AF93" i="30" s="1"/>
  <c r="J93" i="30"/>
  <c r="T39" i="30" a="1"/>
  <c r="T93" i="30" s="1"/>
  <c r="U39" i="30" a="1"/>
  <c r="U93" i="30" s="1"/>
  <c r="K93" i="30"/>
  <c r="S39" i="30" a="1"/>
  <c r="S93" i="30" s="1"/>
  <c r="V39" i="30" a="1"/>
  <c r="V93" i="30" s="1"/>
  <c r="W39" i="30" a="1"/>
  <c r="W93" i="30" s="1"/>
  <c r="X39" i="30" a="1"/>
  <c r="X93" i="30" s="1"/>
  <c r="C93" i="30"/>
  <c r="M39" i="30" a="1"/>
  <c r="M93" i="30" s="1"/>
  <c r="N39" i="30" a="1"/>
  <c r="N93" i="30" s="1"/>
  <c r="Z39" i="30" a="1"/>
  <c r="Z93" i="30" s="1"/>
  <c r="D93" i="30"/>
  <c r="O39" i="30" a="1"/>
  <c r="O93" i="30" s="1"/>
  <c r="AA39" i="30" a="1"/>
  <c r="AA93" i="30" s="1"/>
  <c r="E93" i="30"/>
  <c r="I7" i="30"/>
  <c r="I61" i="30" s="1"/>
  <c r="D12" i="30"/>
  <c r="D66" i="30" s="1"/>
  <c r="C12" i="18" s="1"/>
  <c r="C7" i="30"/>
  <c r="C61" i="30" s="1"/>
  <c r="D16" i="30"/>
  <c r="D70" i="30" s="1"/>
  <c r="C16" i="18" s="1"/>
  <c r="D17" i="30"/>
  <c r="D71" i="30" s="1"/>
  <c r="C17" i="18" s="1"/>
  <c r="D18" i="30"/>
  <c r="D72" i="30" s="1"/>
  <c r="C18" i="18" s="1"/>
  <c r="D9" i="30"/>
  <c r="D63" i="30" s="1"/>
  <c r="EA2" i="7" l="1"/>
  <c r="FI2" i="7"/>
  <c r="GA2" i="7"/>
  <c r="GS2" i="7"/>
  <c r="FC2" i="7"/>
  <c r="FS2" i="7"/>
  <c r="GL2" i="7"/>
  <c r="FX2" i="7"/>
  <c r="GQ2" i="7"/>
  <c r="FB2" i="7"/>
  <c r="FG2" i="7"/>
  <c r="FZ2" i="7"/>
  <c r="GT2" i="7"/>
  <c r="FM2" i="7"/>
  <c r="GF2" i="7"/>
  <c r="GY2" i="7"/>
  <c r="EE2" i="7"/>
  <c r="FH2" i="7"/>
  <c r="GG2" i="7"/>
  <c r="FK2" i="7"/>
  <c r="GI2" i="7"/>
  <c r="FL2" i="7"/>
  <c r="GJ2" i="7"/>
  <c r="FT2" i="7"/>
  <c r="GR2" i="7"/>
  <c r="EI2" i="7"/>
  <c r="FU2" i="7"/>
  <c r="GU2" i="7"/>
  <c r="EL2" i="7"/>
  <c r="FV2" i="7"/>
  <c r="GV2" i="7"/>
  <c r="ER2" i="7"/>
  <c r="FF2" i="7"/>
  <c r="GE2" i="7"/>
  <c r="HC2" i="7"/>
  <c r="FQ2" i="7"/>
  <c r="FW2" i="7"/>
  <c r="FR2" i="7"/>
  <c r="GB2" i="7"/>
  <c r="GH2" i="7"/>
  <c r="EH2" i="7"/>
  <c r="GK2" i="7"/>
  <c r="GM2" i="7"/>
  <c r="ET2" i="7"/>
  <c r="GN2" i="7"/>
  <c r="EV2" i="7"/>
  <c r="GO2" i="7"/>
  <c r="EW2" i="7"/>
  <c r="GP2" i="7"/>
  <c r="EX2" i="7"/>
  <c r="HA2" i="7"/>
  <c r="HB2" i="7"/>
  <c r="FN2" i="7"/>
  <c r="GX2" i="7"/>
  <c r="GZ2" i="7"/>
  <c r="FJ2" i="7"/>
  <c r="ES2" i="7"/>
  <c r="FO2" i="7"/>
  <c r="EF2" i="7"/>
  <c r="GD2" i="7"/>
  <c r="GW2" i="7"/>
  <c r="FP2" i="7"/>
  <c r="FY2" i="7"/>
  <c r="GC2" i="7"/>
  <c r="EB2" i="7"/>
  <c r="EN2" i="7"/>
  <c r="ED2" i="7"/>
  <c r="EU2" i="7"/>
  <c r="EG2" i="7"/>
  <c r="EJ2" i="7"/>
  <c r="FD2" i="7"/>
  <c r="EP2" i="7"/>
  <c r="FE2" i="7"/>
  <c r="EQ2" i="7"/>
  <c r="EY2" i="7"/>
  <c r="EZ2" i="7"/>
  <c r="EM2" i="7"/>
  <c r="EK2" i="7"/>
  <c r="FA2" i="7"/>
  <c r="EO2" i="7"/>
  <c r="EC2" i="7"/>
  <c r="AV5" i="8"/>
  <c r="BN5" i="8"/>
  <c r="CF5" i="8"/>
  <c r="CX5" i="8"/>
  <c r="DP5" i="8"/>
  <c r="EH5" i="8"/>
  <c r="EZ5" i="8"/>
  <c r="FR5" i="8"/>
  <c r="GJ5" i="8"/>
  <c r="HB5" i="8"/>
  <c r="AQ5" i="8"/>
  <c r="BJ5" i="8"/>
  <c r="CC5" i="8"/>
  <c r="CV5" i="8"/>
  <c r="DO5" i="8"/>
  <c r="EI5" i="8"/>
  <c r="FB5" i="8"/>
  <c r="FU5" i="8"/>
  <c r="GN5" i="8"/>
  <c r="AW5" i="8"/>
  <c r="BP5" i="8"/>
  <c r="CI5" i="8"/>
  <c r="DB5" i="8"/>
  <c r="DU5" i="8"/>
  <c r="EN5" i="8"/>
  <c r="FG5" i="8"/>
  <c r="FZ5" i="8"/>
  <c r="GS5" i="8"/>
  <c r="AY5" i="8"/>
  <c r="BR5" i="8"/>
  <c r="CK5" i="8"/>
  <c r="DD5" i="8"/>
  <c r="DW5" i="8"/>
  <c r="EP5" i="8"/>
  <c r="FI5" i="8"/>
  <c r="GB5" i="8"/>
  <c r="GU5" i="8"/>
  <c r="AK5" i="8"/>
  <c r="BD5" i="8"/>
  <c r="BW5" i="8"/>
  <c r="CP5" i="8"/>
  <c r="DI5" i="8"/>
  <c r="EB5" i="8"/>
  <c r="EU5" i="8"/>
  <c r="FN5" i="8"/>
  <c r="GG5" i="8"/>
  <c r="GZ5" i="8"/>
  <c r="AN5" i="8"/>
  <c r="BL5" i="8"/>
  <c r="CL5" i="8"/>
  <c r="DJ5" i="8"/>
  <c r="EG5" i="8"/>
  <c r="FF5" i="8"/>
  <c r="GE5" i="8"/>
  <c r="AP5" i="8"/>
  <c r="BO5" i="8"/>
  <c r="CN5" i="8"/>
  <c r="DL5" i="8"/>
  <c r="EK5" i="8"/>
  <c r="FJ5" i="8"/>
  <c r="GH5" i="8"/>
  <c r="AR5" i="8"/>
  <c r="BQ5" i="8"/>
  <c r="CO5" i="8"/>
  <c r="DM5" i="8"/>
  <c r="EL5" i="8"/>
  <c r="FK5" i="8"/>
  <c r="GI5" i="8"/>
  <c r="AS5" i="8"/>
  <c r="BS5" i="8"/>
  <c r="CQ5" i="8"/>
  <c r="DN5" i="8"/>
  <c r="EM5" i="8"/>
  <c r="FL5" i="8"/>
  <c r="GK5" i="8"/>
  <c r="BA5" i="8"/>
  <c r="BY5" i="8"/>
  <c r="CW5" i="8"/>
  <c r="DV5" i="8"/>
  <c r="ET5" i="8"/>
  <c r="FS5" i="8"/>
  <c r="GQ5" i="8"/>
  <c r="BB5" i="8"/>
  <c r="BZ5" i="8"/>
  <c r="CY5" i="8"/>
  <c r="DX5" i="8"/>
  <c r="EV5" i="8"/>
  <c r="FT5" i="8"/>
  <c r="GR5" i="8"/>
  <c r="BC5" i="8"/>
  <c r="CA5" i="8"/>
  <c r="CZ5" i="8"/>
  <c r="DY5" i="8"/>
  <c r="EW5" i="8"/>
  <c r="FV5" i="8"/>
  <c r="GT5" i="8"/>
  <c r="AL5" i="8"/>
  <c r="BI5" i="8"/>
  <c r="CH5" i="8"/>
  <c r="DG5" i="8"/>
  <c r="EE5" i="8"/>
  <c r="FD5" i="8"/>
  <c r="GC5" i="8"/>
  <c r="HA5" i="8"/>
  <c r="AM5" i="8"/>
  <c r="BK5" i="8"/>
  <c r="CJ5" i="8"/>
  <c r="DH5" i="8"/>
  <c r="EF5" i="8"/>
  <c r="FE5" i="8"/>
  <c r="GD5" i="8"/>
  <c r="HC5" i="8"/>
  <c r="BX5" i="8"/>
  <c r="DT5" i="8"/>
  <c r="FQ5" i="8"/>
  <c r="AH5" i="8"/>
  <c r="CD5" i="8"/>
  <c r="EA5" i="8"/>
  <c r="FX5" i="8"/>
  <c r="CB5" i="8"/>
  <c r="DZ5" i="8"/>
  <c r="FW5" i="8"/>
  <c r="AJ5" i="8"/>
  <c r="CG5" i="8"/>
  <c r="ED5" i="8"/>
  <c r="GA5" i="8"/>
  <c r="BH5" i="8"/>
  <c r="DS5" i="8"/>
  <c r="GM5" i="8"/>
  <c r="BM5" i="8"/>
  <c r="EC5" i="8"/>
  <c r="GO5" i="8"/>
  <c r="BT5" i="8"/>
  <c r="EJ5" i="8"/>
  <c r="GP5" i="8"/>
  <c r="EQ5" i="8"/>
  <c r="BU5" i="8"/>
  <c r="EO5" i="8"/>
  <c r="GV5" i="8"/>
  <c r="BV5" i="8"/>
  <c r="GW5" i="8"/>
  <c r="CE5" i="8"/>
  <c r="ER5" i="8"/>
  <c r="GX5" i="8"/>
  <c r="CM5" i="8"/>
  <c r="AI5" i="8"/>
  <c r="CT5" i="8"/>
  <c r="FA5" i="8"/>
  <c r="AO5" i="8"/>
  <c r="CU5" i="8"/>
  <c r="FC5" i="8"/>
  <c r="AU5" i="8"/>
  <c r="DC5" i="8"/>
  <c r="FM5" i="8"/>
  <c r="ES5" i="8"/>
  <c r="CS5" i="8"/>
  <c r="EX5" i="8"/>
  <c r="FH5" i="8"/>
  <c r="AX5" i="8"/>
  <c r="FP5" i="8"/>
  <c r="AZ5" i="8"/>
  <c r="FY5" i="8"/>
  <c r="BE5" i="8"/>
  <c r="GF5" i="8"/>
  <c r="BF5" i="8"/>
  <c r="GL5" i="8"/>
  <c r="EY5" i="8"/>
  <c r="AT5" i="8"/>
  <c r="FO5" i="8"/>
  <c r="BG5" i="8"/>
  <c r="GY5" i="8"/>
  <c r="CR5" i="8"/>
  <c r="DK5" i="8"/>
  <c r="DQ5" i="8"/>
  <c r="DR5" i="8"/>
  <c r="DF5" i="8"/>
  <c r="DA5" i="8"/>
  <c r="DE5" i="8"/>
  <c r="EA5" i="7"/>
  <c r="FU5" i="7"/>
  <c r="GM5" i="7"/>
  <c r="FE5" i="7"/>
  <c r="FH5" i="7"/>
  <c r="GA5" i="7"/>
  <c r="GT5" i="7"/>
  <c r="FJ5" i="7"/>
  <c r="GC5" i="7"/>
  <c r="GV5" i="7"/>
  <c r="FO5" i="7"/>
  <c r="GH5" i="7"/>
  <c r="HA5" i="7"/>
  <c r="EG5" i="7"/>
  <c r="GB5" i="7"/>
  <c r="GY5" i="7"/>
  <c r="FG5" i="7"/>
  <c r="GE5" i="7"/>
  <c r="HB5" i="7"/>
  <c r="ED5" i="7"/>
  <c r="FI5" i="7"/>
  <c r="GF5" i="7"/>
  <c r="HC5" i="7"/>
  <c r="EE5" i="7"/>
  <c r="FQ5" i="7"/>
  <c r="GN5" i="7"/>
  <c r="ES5" i="7"/>
  <c r="FR5" i="7"/>
  <c r="GO5" i="7"/>
  <c r="ET5" i="7"/>
  <c r="GP5" i="7"/>
  <c r="EU5" i="7"/>
  <c r="FS5" i="7"/>
  <c r="FZ5" i="7"/>
  <c r="GX5" i="7"/>
  <c r="FY5" i="7"/>
  <c r="EN5" i="7"/>
  <c r="GD5" i="7"/>
  <c r="EQ5" i="7"/>
  <c r="GG5" i="7"/>
  <c r="ER5" i="7"/>
  <c r="GJ5" i="7"/>
  <c r="EW5" i="7"/>
  <c r="GK5" i="7"/>
  <c r="GL5" i="7"/>
  <c r="GQ5" i="7"/>
  <c r="GR5" i="7"/>
  <c r="GS5" i="7"/>
  <c r="GU5" i="7"/>
  <c r="FL5" i="7"/>
  <c r="EV5" i="7"/>
  <c r="FM5" i="7"/>
  <c r="FP5" i="7"/>
  <c r="FF5" i="7"/>
  <c r="FN5" i="7"/>
  <c r="FT5" i="7"/>
  <c r="FK5" i="7"/>
  <c r="FW5" i="7"/>
  <c r="FX5" i="7"/>
  <c r="GI5" i="7"/>
  <c r="GW5" i="7"/>
  <c r="FV5" i="7"/>
  <c r="GZ5" i="7"/>
  <c r="EF5" i="7"/>
  <c r="EI5" i="7"/>
  <c r="EZ5" i="7"/>
  <c r="FC5" i="7"/>
  <c r="EH5" i="7"/>
  <c r="FB5" i="7"/>
  <c r="EY5" i="7"/>
  <c r="EL5" i="7"/>
  <c r="FD5" i="7"/>
  <c r="EM5" i="7"/>
  <c r="EP5" i="7"/>
  <c r="FA5" i="7"/>
  <c r="EO5" i="7"/>
  <c r="EC5" i="7"/>
  <c r="EX5" i="7"/>
  <c r="EJ5" i="7"/>
  <c r="EB5" i="7"/>
  <c r="EK5" i="7"/>
  <c r="EH10" i="7"/>
  <c r="FW10" i="7"/>
  <c r="GO10" i="7"/>
  <c r="FR10" i="7"/>
  <c r="GK10" i="7"/>
  <c r="FT10" i="7"/>
  <c r="GM10" i="7"/>
  <c r="FG10" i="7"/>
  <c r="FZ10" i="7"/>
  <c r="GS10" i="7"/>
  <c r="GA10" i="7"/>
  <c r="GW10" i="7"/>
  <c r="FF10" i="7"/>
  <c r="GC10" i="7"/>
  <c r="GY10" i="7"/>
  <c r="FH10" i="7"/>
  <c r="GD10" i="7"/>
  <c r="GZ10" i="7"/>
  <c r="FN10" i="7"/>
  <c r="GJ10" i="7"/>
  <c r="FO10" i="7"/>
  <c r="GL10" i="7"/>
  <c r="FP10" i="7"/>
  <c r="GN10" i="7"/>
  <c r="FY10" i="7"/>
  <c r="GV10" i="7"/>
  <c r="FK10" i="7"/>
  <c r="GU10" i="7"/>
  <c r="FL10" i="7"/>
  <c r="GX10" i="7"/>
  <c r="FM10" i="7"/>
  <c r="HA10" i="7"/>
  <c r="FS10" i="7"/>
  <c r="HC10" i="7"/>
  <c r="HB10" i="7"/>
  <c r="FI10" i="7"/>
  <c r="FJ10" i="7"/>
  <c r="FQ10" i="7"/>
  <c r="FU10" i="7"/>
  <c r="GE10" i="7"/>
  <c r="GF10" i="7"/>
  <c r="GH10" i="7"/>
  <c r="GQ10" i="7"/>
  <c r="GR10" i="7"/>
  <c r="GT10" i="7"/>
  <c r="FV10" i="7"/>
  <c r="GB10" i="7"/>
  <c r="GG10" i="7"/>
  <c r="GI10" i="7"/>
  <c r="GP10" i="7"/>
  <c r="FX10" i="7"/>
  <c r="EE10" i="7"/>
  <c r="FE10" i="7"/>
  <c r="FA10" i="7"/>
  <c r="EV10" i="7"/>
  <c r="EG10" i="7"/>
  <c r="EZ10" i="7"/>
  <c r="EJ10" i="7"/>
  <c r="EN10" i="7"/>
  <c r="EB10" i="7"/>
  <c r="FB10" i="7"/>
  <c r="EX10" i="7"/>
  <c r="EL10" i="7"/>
  <c r="EF10" i="7"/>
  <c r="FD10" i="7"/>
  <c r="EC10" i="7"/>
  <c r="FC10" i="7"/>
  <c r="EY10" i="7"/>
  <c r="EM10" i="7"/>
  <c r="EU10" i="7"/>
  <c r="EP10" i="7"/>
  <c r="ES10" i="7"/>
  <c r="EA10" i="7"/>
  <c r="EI10" i="7"/>
  <c r="ER10" i="7"/>
  <c r="EO10" i="7"/>
  <c r="EW10" i="7"/>
  <c r="EK10" i="7"/>
  <c r="ET10" i="7"/>
  <c r="ED10" i="7"/>
  <c r="EQ10" i="7"/>
  <c r="AT4" i="8"/>
  <c r="BL4" i="8"/>
  <c r="CD4" i="8"/>
  <c r="CV4" i="8"/>
  <c r="DN4" i="8"/>
  <c r="EF4" i="8"/>
  <c r="EX4" i="8"/>
  <c r="FP4" i="8"/>
  <c r="GH4" i="8"/>
  <c r="GZ4" i="8"/>
  <c r="AX4" i="8"/>
  <c r="BQ4" i="8"/>
  <c r="CJ4" i="8"/>
  <c r="DC4" i="8"/>
  <c r="DV4" i="8"/>
  <c r="EO4" i="8"/>
  <c r="FH4" i="8"/>
  <c r="GA4" i="8"/>
  <c r="GT4" i="8"/>
  <c r="AJ4" i="8"/>
  <c r="BC4" i="8"/>
  <c r="BV4" i="8"/>
  <c r="CO4" i="8"/>
  <c r="DH4" i="8"/>
  <c r="EA4" i="8"/>
  <c r="ET4" i="8"/>
  <c r="FM4" i="8"/>
  <c r="GF4" i="8"/>
  <c r="GY4" i="8"/>
  <c r="AL4" i="8"/>
  <c r="BE4" i="8"/>
  <c r="BX4" i="8"/>
  <c r="CQ4" i="8"/>
  <c r="DJ4" i="8"/>
  <c r="EC4" i="8"/>
  <c r="EV4" i="8"/>
  <c r="FO4" i="8"/>
  <c r="GI4" i="8"/>
  <c r="HB4" i="8"/>
  <c r="AQ4" i="8"/>
  <c r="BJ4" i="8"/>
  <c r="CC4" i="8"/>
  <c r="CW4" i="8"/>
  <c r="DP4" i="8"/>
  <c r="EI4" i="8"/>
  <c r="FB4" i="8"/>
  <c r="FU4" i="8"/>
  <c r="GN4" i="8"/>
  <c r="AU4" i="8"/>
  <c r="BS4" i="8"/>
  <c r="CR4" i="8"/>
  <c r="DQ4" i="8"/>
  <c r="EN4" i="8"/>
  <c r="FL4" i="8"/>
  <c r="GL4" i="8"/>
  <c r="AW4" i="8"/>
  <c r="BU4" i="8"/>
  <c r="CT4" i="8"/>
  <c r="DS4" i="8"/>
  <c r="EQ4" i="8"/>
  <c r="FQ4" i="8"/>
  <c r="GO4" i="8"/>
  <c r="AY4" i="8"/>
  <c r="BW4" i="8"/>
  <c r="CU4" i="8"/>
  <c r="DT4" i="8"/>
  <c r="ER4" i="8"/>
  <c r="FR4" i="8"/>
  <c r="GP4" i="8"/>
  <c r="AZ4" i="8"/>
  <c r="BY4" i="8"/>
  <c r="CX4" i="8"/>
  <c r="DU4" i="8"/>
  <c r="ES4" i="8"/>
  <c r="FS4" i="8"/>
  <c r="GQ4" i="8"/>
  <c r="AH4" i="8"/>
  <c r="BG4" i="8"/>
  <c r="CF4" i="8"/>
  <c r="DD4" i="8"/>
  <c r="EB4" i="8"/>
  <c r="FA4" i="8"/>
  <c r="FY4" i="8"/>
  <c r="GW4" i="8"/>
  <c r="AI4" i="8"/>
  <c r="BH4" i="8"/>
  <c r="CG4" i="8"/>
  <c r="DE4" i="8"/>
  <c r="ED4" i="8"/>
  <c r="FC4" i="8"/>
  <c r="FZ4" i="8"/>
  <c r="GX4" i="8"/>
  <c r="AK4" i="8"/>
  <c r="BI4" i="8"/>
  <c r="CH4" i="8"/>
  <c r="DF4" i="8"/>
  <c r="EE4" i="8"/>
  <c r="FD4" i="8"/>
  <c r="GB4" i="8"/>
  <c r="HA4" i="8"/>
  <c r="AR4" i="8"/>
  <c r="BP4" i="8"/>
  <c r="CN4" i="8"/>
  <c r="DM4" i="8"/>
  <c r="EL4" i="8"/>
  <c r="FJ4" i="8"/>
  <c r="GJ4" i="8"/>
  <c r="AS4" i="8"/>
  <c r="BR4" i="8"/>
  <c r="CP4" i="8"/>
  <c r="DO4" i="8"/>
  <c r="EM4" i="8"/>
  <c r="FK4" i="8"/>
  <c r="GK4" i="8"/>
  <c r="BF4" i="8"/>
  <c r="DB4" i="8"/>
  <c r="EZ4" i="8"/>
  <c r="GV4" i="8"/>
  <c r="BM4" i="8"/>
  <c r="DI4" i="8"/>
  <c r="FF4" i="8"/>
  <c r="BK4" i="8"/>
  <c r="DG4" i="8"/>
  <c r="FE4" i="8"/>
  <c r="HC4" i="8"/>
  <c r="BO4" i="8"/>
  <c r="DL4" i="8"/>
  <c r="FI4" i="8"/>
  <c r="BA4" i="8"/>
  <c r="DR4" i="8"/>
  <c r="FX4" i="8"/>
  <c r="BB4" i="8"/>
  <c r="DW4" i="8"/>
  <c r="GC4" i="8"/>
  <c r="BD4" i="8"/>
  <c r="DX4" i="8"/>
  <c r="GD4" i="8"/>
  <c r="BN4" i="8"/>
  <c r="DY4" i="8"/>
  <c r="GE4" i="8"/>
  <c r="BT4" i="8"/>
  <c r="DZ4" i="8"/>
  <c r="GG4" i="8"/>
  <c r="BZ4" i="8"/>
  <c r="EG4" i="8"/>
  <c r="GM4" i="8"/>
  <c r="CA4" i="8"/>
  <c r="EH4" i="8"/>
  <c r="GR4" i="8"/>
  <c r="CI4" i="8"/>
  <c r="EP4" i="8"/>
  <c r="CK4" i="8"/>
  <c r="EU4" i="8"/>
  <c r="CM4" i="8"/>
  <c r="EY4" i="8"/>
  <c r="AN4" i="8"/>
  <c r="FV4" i="8"/>
  <c r="AO4" i="8"/>
  <c r="FW4" i="8"/>
  <c r="AV4" i="8"/>
  <c r="GU4" i="8"/>
  <c r="CE4" i="8"/>
  <c r="CL4" i="8"/>
  <c r="CS4" i="8"/>
  <c r="CY4" i="8"/>
  <c r="DK4" i="8"/>
  <c r="EJ4" i="8"/>
  <c r="AP4" i="8"/>
  <c r="GS4" i="8"/>
  <c r="CB4" i="8"/>
  <c r="CZ4" i="8"/>
  <c r="DA4" i="8"/>
  <c r="AM4" i="8"/>
  <c r="EK4" i="8"/>
  <c r="EW4" i="8"/>
  <c r="FG4" i="8"/>
  <c r="FN4" i="8"/>
  <c r="FT4" i="8"/>
  <c r="AN2" i="8"/>
  <c r="AO2" i="8"/>
  <c r="AP2" i="8"/>
  <c r="BH2" i="8"/>
  <c r="BZ2" i="8"/>
  <c r="CR2" i="8"/>
  <c r="DJ2" i="8"/>
  <c r="EB2" i="8"/>
  <c r="ET2" i="8"/>
  <c r="FL2" i="8"/>
  <c r="GD2" i="8"/>
  <c r="GV2" i="8"/>
  <c r="AQ2" i="8"/>
  <c r="AR2" i="8"/>
  <c r="AS2" i="8"/>
  <c r="AT2" i="8"/>
  <c r="AU2" i="8"/>
  <c r="AV2" i="8"/>
  <c r="AW2" i="8"/>
  <c r="AX2" i="8"/>
  <c r="AY2" i="8"/>
  <c r="AH2" i="8"/>
  <c r="AI2" i="8"/>
  <c r="AJ2" i="8"/>
  <c r="AK2" i="8"/>
  <c r="AL2" i="8"/>
  <c r="AM2" i="8"/>
  <c r="BK2" i="8"/>
  <c r="CD2" i="8"/>
  <c r="CW2" i="8"/>
  <c r="DP2" i="8"/>
  <c r="EI2" i="8"/>
  <c r="FB2" i="8"/>
  <c r="FU2" i="8"/>
  <c r="GN2" i="8"/>
  <c r="BP2" i="8"/>
  <c r="CI2" i="8"/>
  <c r="DB2" i="8"/>
  <c r="DU2" i="8"/>
  <c r="EN2" i="8"/>
  <c r="FG2" i="8"/>
  <c r="FZ2" i="8"/>
  <c r="GS2" i="8"/>
  <c r="BR2" i="8"/>
  <c r="CK2" i="8"/>
  <c r="DD2" i="8"/>
  <c r="DW2" i="8"/>
  <c r="EP2" i="8"/>
  <c r="FI2" i="8"/>
  <c r="GB2" i="8"/>
  <c r="GU2" i="8"/>
  <c r="BD2" i="8"/>
  <c r="BW2" i="8"/>
  <c r="CP2" i="8"/>
  <c r="DI2" i="8"/>
  <c r="EC2" i="8"/>
  <c r="EV2" i="8"/>
  <c r="FO2" i="8"/>
  <c r="GH2" i="8"/>
  <c r="HA2" i="8"/>
  <c r="BG2" i="8"/>
  <c r="CF2" i="8"/>
  <c r="DE2" i="8"/>
  <c r="ED2" i="8"/>
  <c r="FA2" i="8"/>
  <c r="FY2" i="8"/>
  <c r="GY2" i="8"/>
  <c r="BJ2" i="8"/>
  <c r="CH2" i="8"/>
  <c r="DG2" i="8"/>
  <c r="EF2" i="8"/>
  <c r="FD2" i="8"/>
  <c r="GC2" i="8"/>
  <c r="HB2" i="8"/>
  <c r="BL2" i="8"/>
  <c r="CJ2" i="8"/>
  <c r="DH2" i="8"/>
  <c r="EG2" i="8"/>
  <c r="FE2" i="8"/>
  <c r="GE2" i="8"/>
  <c r="HC2" i="8"/>
  <c r="BM2" i="8"/>
  <c r="CL2" i="8"/>
  <c r="DK2" i="8"/>
  <c r="EH2" i="8"/>
  <c r="FF2" i="8"/>
  <c r="GF2" i="8"/>
  <c r="BT2" i="8"/>
  <c r="CS2" i="8"/>
  <c r="DQ2" i="8"/>
  <c r="EO2" i="8"/>
  <c r="FN2" i="8"/>
  <c r="GL2" i="8"/>
  <c r="BU2" i="8"/>
  <c r="CT2" i="8"/>
  <c r="DR2" i="8"/>
  <c r="EQ2" i="8"/>
  <c r="FP2" i="8"/>
  <c r="GM2" i="8"/>
  <c r="CV2" i="8"/>
  <c r="DT2" i="8"/>
  <c r="BV2" i="8"/>
  <c r="CU2" i="8"/>
  <c r="DS2" i="8"/>
  <c r="ER2" i="8"/>
  <c r="FQ2" i="8"/>
  <c r="GO2" i="8"/>
  <c r="BE2" i="8"/>
  <c r="CC2" i="8"/>
  <c r="DA2" i="8"/>
  <c r="DZ2" i="8"/>
  <c r="EY2" i="8"/>
  <c r="FW2" i="8"/>
  <c r="GW2" i="8"/>
  <c r="BF2" i="8"/>
  <c r="CE2" i="8"/>
  <c r="DC2" i="8"/>
  <c r="EA2" i="8"/>
  <c r="EZ2" i="8"/>
  <c r="FX2" i="8"/>
  <c r="GX2" i="8"/>
  <c r="BO2" i="8"/>
  <c r="DN2" i="8"/>
  <c r="FM2" i="8"/>
  <c r="BS2" i="8"/>
  <c r="DV2" i="8"/>
  <c r="FS2" i="8"/>
  <c r="BX2" i="8"/>
  <c r="DX2" i="8"/>
  <c r="FT2" i="8"/>
  <c r="BQ2" i="8"/>
  <c r="DO2" i="8"/>
  <c r="FR2" i="8"/>
  <c r="BY2" i="8"/>
  <c r="DY2" i="8"/>
  <c r="FV2" i="8"/>
  <c r="CA2" i="8"/>
  <c r="ES2" i="8"/>
  <c r="CB2" i="8"/>
  <c r="EU2" i="8"/>
  <c r="CG2" i="8"/>
  <c r="EW2" i="8"/>
  <c r="CM2" i="8"/>
  <c r="EX2" i="8"/>
  <c r="CN2" i="8"/>
  <c r="FC2" i="8"/>
  <c r="CO2" i="8"/>
  <c r="FH2" i="8"/>
  <c r="FJ2" i="8"/>
  <c r="CZ2" i="8"/>
  <c r="GG2" i="8"/>
  <c r="DF2" i="8"/>
  <c r="GI2" i="8"/>
  <c r="AZ2" i="8"/>
  <c r="DM2" i="8"/>
  <c r="GK2" i="8"/>
  <c r="CX2" i="8"/>
  <c r="EK2" i="8"/>
  <c r="FK2" i="8"/>
  <c r="CY2" i="8"/>
  <c r="EL2" i="8"/>
  <c r="EM2" i="8"/>
  <c r="GP2" i="8"/>
  <c r="GQ2" i="8"/>
  <c r="DL2" i="8"/>
  <c r="EE2" i="8"/>
  <c r="EJ2" i="8"/>
  <c r="GA2" i="8"/>
  <c r="GJ2" i="8"/>
  <c r="GR2" i="8"/>
  <c r="BN2" i="8"/>
  <c r="GT2" i="8"/>
  <c r="GZ2" i="8"/>
  <c r="BI2" i="8"/>
  <c r="CQ2" i="8"/>
  <c r="BA2" i="8"/>
  <c r="BB2" i="8"/>
  <c r="BC2" i="8"/>
  <c r="DZ4" i="7"/>
  <c r="DZ3" i="7"/>
  <c r="V51" i="30" a="1"/>
  <c r="V105" i="30" s="1"/>
  <c r="U51" i="30" a="1"/>
  <c r="U105" i="30" s="1"/>
  <c r="X46" i="30" a="1"/>
  <c r="X100" i="30" s="1"/>
  <c r="AF51" i="30" a="1"/>
  <c r="AF105" i="30" s="1"/>
  <c r="D21" i="30"/>
  <c r="C75" i="30"/>
  <c r="H100" i="30"/>
  <c r="D36" i="30"/>
  <c r="C90" i="30"/>
  <c r="Y51" i="30" a="1"/>
  <c r="Y105" i="30" s="1"/>
  <c r="X51" i="30" a="1"/>
  <c r="X105" i="30" s="1"/>
  <c r="D105" i="30"/>
  <c r="N51" i="30" a="1"/>
  <c r="N105" i="30" s="1"/>
  <c r="AA46" i="30" a="1"/>
  <c r="AA100" i="30" s="1"/>
  <c r="D30" i="30"/>
  <c r="C84" i="30"/>
  <c r="C100" i="30"/>
  <c r="AB46" i="30" a="1"/>
  <c r="AB100" i="30" s="1"/>
  <c r="P46" i="30" a="1"/>
  <c r="P100" i="30" s="1"/>
  <c r="N4" i="8"/>
  <c r="AD4" i="8"/>
  <c r="G4" i="8"/>
  <c r="O4" i="8"/>
  <c r="AE4" i="8"/>
  <c r="W4" i="8"/>
  <c r="H4" i="8"/>
  <c r="P4" i="8"/>
  <c r="AF4" i="8"/>
  <c r="U4" i="8"/>
  <c r="X4" i="8"/>
  <c r="Q4" i="8"/>
  <c r="AG4" i="8"/>
  <c r="R4" i="8"/>
  <c r="D4" i="8"/>
  <c r="S4" i="8"/>
  <c r="E4" i="8"/>
  <c r="T4" i="8"/>
  <c r="F4" i="8"/>
  <c r="V4" i="8"/>
  <c r="C4" i="8"/>
  <c r="J4" i="8"/>
  <c r="L4" i="8"/>
  <c r="I4" i="8"/>
  <c r="K4" i="8"/>
  <c r="AA4" i="8"/>
  <c r="M4" i="8"/>
  <c r="Y4" i="8"/>
  <c r="AC4" i="8"/>
  <c r="Z4" i="8"/>
  <c r="AB4" i="8"/>
  <c r="D35" i="30"/>
  <c r="C89" i="30"/>
  <c r="E105" i="30"/>
  <c r="H105" i="30"/>
  <c r="C102" i="30"/>
  <c r="D24" i="30"/>
  <c r="C78" i="30"/>
  <c r="AE46" i="30" a="1"/>
  <c r="AE100" i="30" s="1"/>
  <c r="W46" i="30" a="1"/>
  <c r="W100" i="30" s="1"/>
  <c r="F100" i="30"/>
  <c r="AF46" i="30" a="1"/>
  <c r="AF100" i="30" s="1"/>
  <c r="T46" i="30" a="1"/>
  <c r="T100" i="30" s="1"/>
  <c r="U53" i="30" a="1"/>
  <c r="U107" i="30" s="1"/>
  <c r="AD53" i="30" a="1"/>
  <c r="AD107" i="30" s="1"/>
  <c r="Q51" i="30" a="1"/>
  <c r="Q105" i="30" s="1"/>
  <c r="D34" i="30"/>
  <c r="C88" i="30"/>
  <c r="O51" i="30" a="1"/>
  <c r="O105" i="30" s="1"/>
  <c r="M51" i="30" a="1"/>
  <c r="M105" i="30" s="1"/>
  <c r="Q46" i="30" a="1"/>
  <c r="Q100" i="30" s="1"/>
  <c r="F105" i="30"/>
  <c r="D31" i="30"/>
  <c r="C85" i="30"/>
  <c r="I25" i="30"/>
  <c r="H79" i="30"/>
  <c r="D6" i="30"/>
  <c r="D60" i="30" s="1"/>
  <c r="C6" i="18" s="1"/>
  <c r="S46" i="30" a="1"/>
  <c r="S100" i="30" s="1"/>
  <c r="R5" i="8"/>
  <c r="J5" i="8"/>
  <c r="AA5" i="8"/>
  <c r="C5" i="8"/>
  <c r="AB5" i="8"/>
  <c r="S5" i="8"/>
  <c r="H5" i="8"/>
  <c r="D5" i="8"/>
  <c r="I5" i="8"/>
  <c r="E5" i="8"/>
  <c r="T5" i="8"/>
  <c r="Y5" i="8"/>
  <c r="K5" i="8"/>
  <c r="U5" i="8"/>
  <c r="F5" i="8"/>
  <c r="V5" i="8"/>
  <c r="G5" i="8"/>
  <c r="W5" i="8"/>
  <c r="X5" i="8"/>
  <c r="Z5" i="8"/>
  <c r="L5" i="8"/>
  <c r="AE5" i="8"/>
  <c r="M5" i="8"/>
  <c r="AF5" i="8"/>
  <c r="N5" i="8"/>
  <c r="O5" i="8"/>
  <c r="AD5" i="8"/>
  <c r="AG5" i="8"/>
  <c r="P5" i="8"/>
  <c r="Q5" i="8"/>
  <c r="AC5" i="8"/>
  <c r="D22" i="30"/>
  <c r="C76" i="30"/>
  <c r="E102" i="30"/>
  <c r="M46" i="30" a="1"/>
  <c r="M100" i="30" s="1"/>
  <c r="V46" i="30" a="1"/>
  <c r="V100" i="30" s="1"/>
  <c r="AF53" i="30" a="1"/>
  <c r="AF107" i="30" s="1"/>
  <c r="T53" i="30" a="1"/>
  <c r="T107" i="30" s="1"/>
  <c r="H107" i="30"/>
  <c r="N46" i="30" a="1"/>
  <c r="N100" i="30" s="1"/>
  <c r="W51" i="30" a="1"/>
  <c r="W105" i="30" s="1"/>
  <c r="J100" i="30"/>
  <c r="O46" i="30" a="1"/>
  <c r="O100" i="30" s="1"/>
  <c r="AD46" i="30" a="1"/>
  <c r="AD100" i="30" s="1"/>
  <c r="D27" i="30"/>
  <c r="C81" i="30"/>
  <c r="U46" i="30" a="1"/>
  <c r="U100" i="30" s="1"/>
  <c r="B7" i="19"/>
  <c r="EB7" i="40"/>
  <c r="G100" i="30"/>
  <c r="M53" i="30" a="1"/>
  <c r="M107" i="30" s="1"/>
  <c r="V53" i="30" a="1"/>
  <c r="V107" i="30" s="1"/>
  <c r="AB51" i="30" a="1"/>
  <c r="AB105" i="30" s="1"/>
  <c r="D23" i="30"/>
  <c r="C77" i="30"/>
  <c r="I100" i="30"/>
  <c r="Y46" i="30" a="1"/>
  <c r="Y100" i="30" s="1"/>
  <c r="I105" i="30"/>
  <c r="D32" i="30"/>
  <c r="C86" i="30"/>
  <c r="P51" i="30" a="1"/>
  <c r="P105" i="30" s="1"/>
  <c r="Z46" i="30" a="1"/>
  <c r="Z100" i="30" s="1"/>
  <c r="G48" i="30"/>
  <c r="F102" i="30"/>
  <c r="R46" i="30" a="1"/>
  <c r="R100" i="30" s="1"/>
  <c r="F2" i="8"/>
  <c r="V2" i="8"/>
  <c r="D2" i="8"/>
  <c r="AA2" i="8"/>
  <c r="M2" i="8"/>
  <c r="P2" i="8"/>
  <c r="G2" i="8"/>
  <c r="W2" i="8"/>
  <c r="E2" i="8"/>
  <c r="Z2" i="8"/>
  <c r="C2" i="8"/>
  <c r="AD2" i="8"/>
  <c r="AE2" i="8"/>
  <c r="H2" i="8"/>
  <c r="X2" i="8"/>
  <c r="AB2" i="8"/>
  <c r="AC2" i="8"/>
  <c r="N2" i="8"/>
  <c r="O2" i="8"/>
  <c r="AF2" i="8"/>
  <c r="I2" i="8"/>
  <c r="Y2" i="8"/>
  <c r="J2" i="8"/>
  <c r="K2" i="8"/>
  <c r="L2" i="8"/>
  <c r="Q2" i="8"/>
  <c r="U2" i="8"/>
  <c r="R2" i="8"/>
  <c r="T2" i="8"/>
  <c r="AG2" i="8"/>
  <c r="S2" i="8"/>
  <c r="G105" i="30"/>
  <c r="AC46" i="30" a="1"/>
  <c r="AC100" i="30" s="1"/>
  <c r="D102" i="30"/>
  <c r="E100" i="30"/>
  <c r="D100" i="30"/>
  <c r="W53" i="30" a="1"/>
  <c r="W107" i="30" s="1"/>
  <c r="AD51" i="30" a="1"/>
  <c r="AD105" i="30" s="1"/>
  <c r="AC51" i="30" a="1"/>
  <c r="AC105" i="30" s="1"/>
  <c r="R51" i="30" a="1"/>
  <c r="R105" i="30" s="1"/>
  <c r="J105" i="30"/>
  <c r="N19" i="19"/>
  <c r="L19" i="19"/>
  <c r="G19" i="19"/>
  <c r="R19" i="19"/>
  <c r="S19" i="19"/>
  <c r="T19" i="19"/>
  <c r="AB19" i="19"/>
  <c r="U19" i="19"/>
  <c r="V19" i="19"/>
  <c r="W19" i="19"/>
  <c r="X19" i="19"/>
  <c r="D19" i="19"/>
  <c r="AD19" i="19"/>
  <c r="O19" i="19"/>
  <c r="I19" i="19"/>
  <c r="AA19" i="19"/>
  <c r="Y19" i="19"/>
  <c r="AC19" i="19"/>
  <c r="E19" i="19"/>
  <c r="AE19" i="19"/>
  <c r="P19" i="19"/>
  <c r="J19" i="19"/>
  <c r="Z19" i="19"/>
  <c r="H19" i="19"/>
  <c r="F19" i="19"/>
  <c r="C19" i="19"/>
  <c r="K19" i="19"/>
  <c r="Q19" i="19"/>
  <c r="M19" i="19"/>
  <c r="L65" i="30"/>
  <c r="K11" i="18" s="1"/>
  <c r="B7" i="8"/>
  <c r="C11" i="30"/>
  <c r="C65" i="30" s="1"/>
  <c r="B11" i="18" s="1"/>
  <c r="EB11" i="40" s="1"/>
  <c r="EC11" i="40" s="1"/>
  <c r="ED11" i="40" s="1"/>
  <c r="EE11" i="40" s="1"/>
  <c r="EF11" i="40" s="1"/>
  <c r="EG11" i="40" s="1"/>
  <c r="EH11" i="40" s="1"/>
  <c r="EI11" i="40" s="1"/>
  <c r="EJ11" i="40" s="1"/>
  <c r="EK11" i="40" s="1"/>
  <c r="EL11" i="40" s="1"/>
  <c r="EM11" i="40" s="1"/>
  <c r="EN11" i="40" s="1"/>
  <c r="EO11" i="40" s="1"/>
  <c r="EP11" i="40" s="1"/>
  <c r="EQ11" i="40" s="1"/>
  <c r="ER11" i="40" s="1"/>
  <c r="ES11" i="40" s="1"/>
  <c r="ET11" i="40" s="1"/>
  <c r="EU11" i="40" s="1"/>
  <c r="EV11" i="40" s="1"/>
  <c r="EW11" i="40" s="1"/>
  <c r="EX11" i="40" s="1"/>
  <c r="EY11" i="40" s="1"/>
  <c r="EZ11" i="40" s="1"/>
  <c r="FA11" i="40" s="1"/>
  <c r="FB11" i="40" s="1"/>
  <c r="FC11" i="40" s="1"/>
  <c r="FD11" i="40" s="1"/>
  <c r="FE11" i="40" s="1"/>
  <c r="FF11" i="40" s="1"/>
  <c r="FG11" i="40" s="1"/>
  <c r="FH11" i="40" s="1"/>
  <c r="FI11" i="40" s="1"/>
  <c r="FJ11" i="40" s="1"/>
  <c r="FK11" i="40" s="1"/>
  <c r="FL11" i="40" s="1"/>
  <c r="FM11" i="40" s="1"/>
  <c r="FN11" i="40" s="1"/>
  <c r="FO11" i="40" s="1"/>
  <c r="FP11" i="40" s="1"/>
  <c r="FQ11" i="40" s="1"/>
  <c r="FR11" i="40" s="1"/>
  <c r="FS11" i="40" s="1"/>
  <c r="FT11" i="40" s="1"/>
  <c r="FU11" i="40" s="1"/>
  <c r="FV11" i="40" s="1"/>
  <c r="FW11" i="40" s="1"/>
  <c r="FX11" i="40" s="1"/>
  <c r="FY11" i="40" s="1"/>
  <c r="FZ11" i="40" s="1"/>
  <c r="GA11" i="40" s="1"/>
  <c r="GB11" i="40" s="1"/>
  <c r="GC11" i="40" s="1"/>
  <c r="GD11" i="40" s="1"/>
  <c r="GE11" i="40" s="1"/>
  <c r="GF11" i="40" s="1"/>
  <c r="GG11" i="40" s="1"/>
  <c r="GH11" i="40" s="1"/>
  <c r="GI11" i="40" s="1"/>
  <c r="GJ11" i="40" s="1"/>
  <c r="GK11" i="40" s="1"/>
  <c r="GL11" i="40" s="1"/>
  <c r="GM11" i="40" s="1"/>
  <c r="GN11" i="40" s="1"/>
  <c r="GO11" i="40" s="1"/>
  <c r="GP11" i="40" s="1"/>
  <c r="GQ11" i="40" s="1"/>
  <c r="GR11" i="40" s="1"/>
  <c r="GS11" i="40" s="1"/>
  <c r="GT11" i="40" s="1"/>
  <c r="GU11" i="40" s="1"/>
  <c r="GV11" i="40" s="1"/>
  <c r="GW11" i="40" s="1"/>
  <c r="GX11" i="40" s="1"/>
  <c r="GY11" i="40" s="1"/>
  <c r="GZ11" i="40" s="1"/>
  <c r="HA11" i="40" s="1"/>
  <c r="HB11" i="40" s="1"/>
  <c r="HC11" i="40" s="1"/>
  <c r="C29" i="30"/>
  <c r="C83" i="30" s="1"/>
  <c r="C28" i="30"/>
  <c r="C82" i="30" s="1"/>
  <c r="C10" i="30"/>
  <c r="C64" i="30" s="1"/>
  <c r="B10" i="18" s="1"/>
  <c r="Z51" i="30" a="1"/>
  <c r="Z105" i="30" s="1"/>
  <c r="D43" i="30"/>
  <c r="C97" i="30"/>
  <c r="E47" i="30"/>
  <c r="D101" i="30"/>
  <c r="J7" i="30"/>
  <c r="J61" i="30" s="1"/>
  <c r="E18" i="30"/>
  <c r="E72" i="30" s="1"/>
  <c r="D18" i="18" s="1"/>
  <c r="E9" i="30"/>
  <c r="E63" i="30" s="1"/>
  <c r="E17" i="30"/>
  <c r="E71" i="30" s="1"/>
  <c r="D17" i="18" s="1"/>
  <c r="D7" i="30"/>
  <c r="D61" i="30" s="1"/>
  <c r="E12" i="30"/>
  <c r="E66" i="30" s="1"/>
  <c r="D12" i="18" s="1"/>
  <c r="E16" i="30"/>
  <c r="E70" i="30" s="1"/>
  <c r="D16" i="18" s="1"/>
  <c r="E6" i="30"/>
  <c r="E60" i="30" s="1"/>
  <c r="D6" i="18" s="1"/>
  <c r="B41" i="9"/>
  <c r="B40" i="9"/>
  <c r="B25" i="30"/>
  <c r="B79" i="30" s="1"/>
  <c r="DZ7" i="7" s="1"/>
  <c r="D23" i="9"/>
  <c r="B23" i="9"/>
  <c r="D22" i="9"/>
  <c r="D21" i="9"/>
  <c r="B22" i="9"/>
  <c r="B21" i="9"/>
  <c r="D4" i="9"/>
  <c r="B4" i="9"/>
  <c r="D5" i="9"/>
  <c r="L5" i="30" s="1"/>
  <c r="L59" i="30" s="1"/>
  <c r="K5" i="18" s="1"/>
  <c r="L8" i="30"/>
  <c r="L62" i="30" s="1"/>
  <c r="B8" i="30"/>
  <c r="EC7" i="40" l="1"/>
  <c r="ED7" i="40" s="1"/>
  <c r="EE7" i="40" s="1"/>
  <c r="EF7" i="40" s="1"/>
  <c r="EG7" i="40" s="1"/>
  <c r="EH7" i="40" s="1"/>
  <c r="EI7" i="40" s="1"/>
  <c r="EJ7" i="40" s="1"/>
  <c r="EK7" i="40" s="1"/>
  <c r="EL7" i="40" s="1"/>
  <c r="EM7" i="40" s="1"/>
  <c r="EN7" i="40" s="1"/>
  <c r="EO7" i="40" s="1"/>
  <c r="EP7" i="40" s="1"/>
  <c r="EQ7" i="40" s="1"/>
  <c r="ER7" i="40" s="1"/>
  <c r="ES7" i="40" s="1"/>
  <c r="ET7" i="40" s="1"/>
  <c r="EU7" i="40" s="1"/>
  <c r="EV7" i="40" s="1"/>
  <c r="EW7" i="40" s="1"/>
  <c r="EX7" i="40" s="1"/>
  <c r="EY7" i="40" s="1"/>
  <c r="EZ7" i="40" s="1"/>
  <c r="FA7" i="40" s="1"/>
  <c r="FB7" i="40" s="1"/>
  <c r="FC7" i="40" s="1"/>
  <c r="FD7" i="40" s="1"/>
  <c r="FE7" i="40" s="1"/>
  <c r="FF7" i="40" s="1"/>
  <c r="FG7" i="40" s="1"/>
  <c r="FH7" i="40" s="1"/>
  <c r="FI7" i="40" s="1"/>
  <c r="FJ7" i="40" s="1"/>
  <c r="FK7" i="40" s="1"/>
  <c r="FL7" i="40" s="1"/>
  <c r="FM7" i="40" s="1"/>
  <c r="FN7" i="40" s="1"/>
  <c r="FO7" i="40" s="1"/>
  <c r="FP7" i="40" s="1"/>
  <c r="FQ7" i="40" s="1"/>
  <c r="FR7" i="40" s="1"/>
  <c r="FS7" i="40" s="1"/>
  <c r="FT7" i="40" s="1"/>
  <c r="FU7" i="40" s="1"/>
  <c r="FV7" i="40" s="1"/>
  <c r="FW7" i="40" s="1"/>
  <c r="FX7" i="40" s="1"/>
  <c r="FY7" i="40" s="1"/>
  <c r="FZ7" i="40" s="1"/>
  <c r="GA7" i="40" s="1"/>
  <c r="GB7" i="40" s="1"/>
  <c r="GC7" i="40" s="1"/>
  <c r="GD7" i="40" s="1"/>
  <c r="GE7" i="40" s="1"/>
  <c r="GF7" i="40" s="1"/>
  <c r="GG7" i="40" s="1"/>
  <c r="GH7" i="40" s="1"/>
  <c r="GI7" i="40" s="1"/>
  <c r="GJ7" i="40" s="1"/>
  <c r="GK7" i="40" s="1"/>
  <c r="GL7" i="40" s="1"/>
  <c r="GM7" i="40" s="1"/>
  <c r="GN7" i="40" s="1"/>
  <c r="GO7" i="40" s="1"/>
  <c r="GP7" i="40" s="1"/>
  <c r="GQ7" i="40" s="1"/>
  <c r="GR7" i="40" s="1"/>
  <c r="GS7" i="40" s="1"/>
  <c r="GT7" i="40" s="1"/>
  <c r="GU7" i="40" s="1"/>
  <c r="GV7" i="40" s="1"/>
  <c r="GW7" i="40" s="1"/>
  <c r="GX7" i="40" s="1"/>
  <c r="GY7" i="40" s="1"/>
  <c r="GZ7" i="40" s="1"/>
  <c r="HA7" i="40" s="1"/>
  <c r="HB7" i="40" s="1"/>
  <c r="HC7" i="40" s="1"/>
  <c r="EA7" i="40"/>
  <c r="DZ7" i="40" s="1"/>
  <c r="DY7" i="40" s="1"/>
  <c r="DX7" i="40" s="1"/>
  <c r="DW7" i="40" s="1"/>
  <c r="DV7" i="40" s="1"/>
  <c r="DU7" i="40" s="1"/>
  <c r="DT7" i="40" s="1"/>
  <c r="DS7" i="40" s="1"/>
  <c r="DR7" i="40" s="1"/>
  <c r="DQ7" i="40" s="1"/>
  <c r="DP7" i="40" s="1"/>
  <c r="DO7" i="40" s="1"/>
  <c r="DN7" i="40" s="1"/>
  <c r="DM7" i="40" s="1"/>
  <c r="DL7" i="40" s="1"/>
  <c r="DK7" i="40" s="1"/>
  <c r="DJ7" i="40" s="1"/>
  <c r="DI7" i="40" s="1"/>
  <c r="DH7" i="40" s="1"/>
  <c r="DG7" i="40" s="1"/>
  <c r="DF7" i="40" s="1"/>
  <c r="DE7" i="40" s="1"/>
  <c r="DD7" i="40" s="1"/>
  <c r="DC7" i="40" s="1"/>
  <c r="DB7" i="40" s="1"/>
  <c r="DA7" i="40" s="1"/>
  <c r="CZ7" i="40" s="1"/>
  <c r="CY7" i="40" s="1"/>
  <c r="CX7" i="40" s="1"/>
  <c r="CW7" i="40" s="1"/>
  <c r="CV7" i="40" s="1"/>
  <c r="CU7" i="40" s="1"/>
  <c r="CT7" i="40" s="1"/>
  <c r="CS7" i="40" s="1"/>
  <c r="CR7" i="40" s="1"/>
  <c r="CQ7" i="40" s="1"/>
  <c r="CP7" i="40" s="1"/>
  <c r="CO7" i="40" s="1"/>
  <c r="CN7" i="40" s="1"/>
  <c r="CM7" i="40" s="1"/>
  <c r="CL7" i="40" s="1"/>
  <c r="CK7" i="40" s="1"/>
  <c r="CJ7" i="40" s="1"/>
  <c r="CI7" i="40" s="1"/>
  <c r="CH7" i="40" s="1"/>
  <c r="CG7" i="40" s="1"/>
  <c r="CF7" i="40" s="1"/>
  <c r="CE7" i="40" s="1"/>
  <c r="CD7" i="40" s="1"/>
  <c r="CC7" i="40" s="1"/>
  <c r="CB7" i="40" s="1"/>
  <c r="CA7" i="40" s="1"/>
  <c r="BZ7" i="40" s="1"/>
  <c r="BY7" i="40" s="1"/>
  <c r="BX7" i="40" s="1"/>
  <c r="BW7" i="40" s="1"/>
  <c r="BV7" i="40" s="1"/>
  <c r="BU7" i="40" s="1"/>
  <c r="BT7" i="40" s="1"/>
  <c r="BS7" i="40" s="1"/>
  <c r="BR7" i="40" s="1"/>
  <c r="BQ7" i="40" s="1"/>
  <c r="BP7" i="40" s="1"/>
  <c r="BO7" i="40" s="1"/>
  <c r="BN7" i="40" s="1"/>
  <c r="BM7" i="40" s="1"/>
  <c r="BL7" i="40" s="1"/>
  <c r="BK7" i="40" s="1"/>
  <c r="BJ7" i="40" s="1"/>
  <c r="BI7" i="40" s="1"/>
  <c r="BH7" i="40" s="1"/>
  <c r="BG7" i="40" s="1"/>
  <c r="BF7" i="40" s="1"/>
  <c r="BE7" i="40" s="1"/>
  <c r="BD7" i="40" s="1"/>
  <c r="BC7" i="40" s="1"/>
  <c r="BB7" i="40" s="1"/>
  <c r="BA7" i="40" s="1"/>
  <c r="AZ7" i="40" s="1"/>
  <c r="AY7" i="40" s="1"/>
  <c r="AX7" i="40" s="1"/>
  <c r="AW7" i="40" s="1"/>
  <c r="AV7" i="40" s="1"/>
  <c r="AU7" i="40" s="1"/>
  <c r="AT7" i="40" s="1"/>
  <c r="AS7" i="40" s="1"/>
  <c r="AR7" i="40" s="1"/>
  <c r="AQ7" i="40" s="1"/>
  <c r="AP7" i="40" s="1"/>
  <c r="AO7" i="40" s="1"/>
  <c r="AN7" i="40" s="1"/>
  <c r="AM7" i="40" s="1"/>
  <c r="AL7" i="40" s="1"/>
  <c r="AK7" i="40" s="1"/>
  <c r="AJ7" i="40" s="1"/>
  <c r="AI7" i="40" s="1"/>
  <c r="AH7" i="40" s="1"/>
  <c r="AG7" i="40" s="1"/>
  <c r="AF7" i="40" s="1"/>
  <c r="AE7" i="40" s="1"/>
  <c r="AD7" i="40" s="1"/>
  <c r="AC7" i="40" s="1"/>
  <c r="AB7" i="40" s="1"/>
  <c r="AA7" i="40" s="1"/>
  <c r="Z7" i="40" s="1"/>
  <c r="Y7" i="40" s="1"/>
  <c r="X7" i="40" s="1"/>
  <c r="W7" i="40" s="1"/>
  <c r="V7" i="40" s="1"/>
  <c r="U7" i="40" s="1"/>
  <c r="T7" i="40" s="1"/>
  <c r="S7" i="40" s="1"/>
  <c r="R7" i="40" s="1"/>
  <c r="Q7" i="40" s="1"/>
  <c r="P7" i="40" s="1"/>
  <c r="O7" i="40" s="1"/>
  <c r="N7" i="40" s="1"/>
  <c r="M7" i="40" s="1"/>
  <c r="L7" i="40" s="1"/>
  <c r="K7" i="40" s="1"/>
  <c r="J7" i="40" s="1"/>
  <c r="I7" i="40" s="1"/>
  <c r="H7" i="40" s="1"/>
  <c r="G7" i="40" s="1"/>
  <c r="F7" i="40" s="1"/>
  <c r="E7" i="40" s="1"/>
  <c r="D7" i="40" s="1"/>
  <c r="C7" i="40" s="1"/>
  <c r="B7" i="40" s="1"/>
  <c r="AH7" i="8"/>
  <c r="AZ7" i="8"/>
  <c r="BR7" i="8"/>
  <c r="CJ7" i="8"/>
  <c r="DB7" i="8"/>
  <c r="DT7" i="8"/>
  <c r="EL7" i="8"/>
  <c r="FD7" i="8"/>
  <c r="FV7" i="8"/>
  <c r="GN7" i="8"/>
  <c r="AN7" i="8"/>
  <c r="BG7" i="8"/>
  <c r="BZ7" i="8"/>
  <c r="CS7" i="8"/>
  <c r="DL7" i="8"/>
  <c r="EE7" i="8"/>
  <c r="EX7" i="8"/>
  <c r="FQ7" i="8"/>
  <c r="GJ7" i="8"/>
  <c r="HC7" i="8"/>
  <c r="AS7" i="8"/>
  <c r="BL7" i="8"/>
  <c r="CE7" i="8"/>
  <c r="CX7" i="8"/>
  <c r="DQ7" i="8"/>
  <c r="EJ7" i="8"/>
  <c r="FC7" i="8"/>
  <c r="FW7" i="8"/>
  <c r="GP7" i="8"/>
  <c r="AU7" i="8"/>
  <c r="BN7" i="8"/>
  <c r="CG7" i="8"/>
  <c r="CZ7" i="8"/>
  <c r="DS7" i="8"/>
  <c r="EM7" i="8"/>
  <c r="FF7" i="8"/>
  <c r="FY7" i="8"/>
  <c r="GR7" i="8"/>
  <c r="BA7" i="8"/>
  <c r="BT7" i="8"/>
  <c r="CM7" i="8"/>
  <c r="DF7" i="8"/>
  <c r="DY7" i="8"/>
  <c r="ER7" i="8"/>
  <c r="FK7" i="8"/>
  <c r="GD7" i="8"/>
  <c r="GW7" i="8"/>
  <c r="AK7" i="8"/>
  <c r="BI7" i="8"/>
  <c r="CH7" i="8"/>
  <c r="DG7" i="8"/>
  <c r="ED7" i="8"/>
  <c r="FB7" i="8"/>
  <c r="GB7" i="8"/>
  <c r="GZ7" i="8"/>
  <c r="AM7" i="8"/>
  <c r="BK7" i="8"/>
  <c r="CK7" i="8"/>
  <c r="DI7" i="8"/>
  <c r="EG7" i="8"/>
  <c r="FG7" i="8"/>
  <c r="GE7" i="8"/>
  <c r="HB7" i="8"/>
  <c r="AO7" i="8"/>
  <c r="BM7" i="8"/>
  <c r="CL7" i="8"/>
  <c r="DJ7" i="8"/>
  <c r="EH7" i="8"/>
  <c r="FH7" i="8"/>
  <c r="GF7" i="8"/>
  <c r="AP7" i="8"/>
  <c r="BO7" i="8"/>
  <c r="CN7" i="8"/>
  <c r="DK7" i="8"/>
  <c r="EI7" i="8"/>
  <c r="FI7" i="8"/>
  <c r="GG7" i="8"/>
  <c r="AW7" i="8"/>
  <c r="BV7" i="8"/>
  <c r="CT7" i="8"/>
  <c r="DR7" i="8"/>
  <c r="EQ7" i="8"/>
  <c r="FO7" i="8"/>
  <c r="GM7" i="8"/>
  <c r="AX7" i="8"/>
  <c r="BW7" i="8"/>
  <c r="CU7" i="8"/>
  <c r="DU7" i="8"/>
  <c r="ES7" i="8"/>
  <c r="FP7" i="8"/>
  <c r="GO7" i="8"/>
  <c r="AY7" i="8"/>
  <c r="BX7" i="8"/>
  <c r="CV7" i="8"/>
  <c r="DV7" i="8"/>
  <c r="ET7" i="8"/>
  <c r="FR7" i="8"/>
  <c r="GQ7" i="8"/>
  <c r="AI7" i="8"/>
  <c r="BF7" i="8"/>
  <c r="CD7" i="8"/>
  <c r="DD7" i="8"/>
  <c r="EB7" i="8"/>
  <c r="EZ7" i="8"/>
  <c r="FZ7" i="8"/>
  <c r="GX7" i="8"/>
  <c r="AJ7" i="8"/>
  <c r="BH7" i="8"/>
  <c r="CF7" i="8"/>
  <c r="DE7" i="8"/>
  <c r="EC7" i="8"/>
  <c r="FA7" i="8"/>
  <c r="GA7" i="8"/>
  <c r="GY7" i="8"/>
  <c r="BC7" i="8"/>
  <c r="CY7" i="8"/>
  <c r="EV7" i="8"/>
  <c r="GT7" i="8"/>
  <c r="BE7" i="8"/>
  <c r="DC7" i="8"/>
  <c r="EY7" i="8"/>
  <c r="GV7" i="8"/>
  <c r="BD7" i="8"/>
  <c r="DA7" i="8"/>
  <c r="EW7" i="8"/>
  <c r="GU7" i="8"/>
  <c r="BP7" i="8"/>
  <c r="DM7" i="8"/>
  <c r="FJ7" i="8"/>
  <c r="CC7" i="8"/>
  <c r="EO7" i="8"/>
  <c r="CI7" i="8"/>
  <c r="EP7" i="8"/>
  <c r="CO7" i="8"/>
  <c r="EU7" i="8"/>
  <c r="CP7" i="8"/>
  <c r="FE7" i="8"/>
  <c r="CQ7" i="8"/>
  <c r="FL7" i="8"/>
  <c r="AL7" i="8"/>
  <c r="CR7" i="8"/>
  <c r="FM7" i="8"/>
  <c r="AV7" i="8"/>
  <c r="DO7" i="8"/>
  <c r="FU7" i="8"/>
  <c r="BB7" i="8"/>
  <c r="DP7" i="8"/>
  <c r="FX7" i="8"/>
  <c r="BQ7" i="8"/>
  <c r="DX7" i="8"/>
  <c r="GH7" i="8"/>
  <c r="DH7" i="8"/>
  <c r="DN7" i="8"/>
  <c r="DZ7" i="8"/>
  <c r="EF7" i="8"/>
  <c r="EK7" i="8"/>
  <c r="EN7" i="8"/>
  <c r="AQ7" i="8"/>
  <c r="FN7" i="8"/>
  <c r="BJ7" i="8"/>
  <c r="GC7" i="8"/>
  <c r="BS7" i="8"/>
  <c r="GI7" i="8"/>
  <c r="DW7" i="8"/>
  <c r="EA7" i="8"/>
  <c r="AR7" i="8"/>
  <c r="FS7" i="8"/>
  <c r="AT7" i="8"/>
  <c r="FT7" i="8"/>
  <c r="BU7" i="8"/>
  <c r="BY7" i="8"/>
  <c r="CA7" i="8"/>
  <c r="CW7" i="8"/>
  <c r="GK7" i="8"/>
  <c r="GL7" i="8"/>
  <c r="GS7" i="8"/>
  <c r="CB7" i="8"/>
  <c r="HA7" i="8"/>
  <c r="EH7" i="7"/>
  <c r="FK7" i="7"/>
  <c r="GC7" i="7"/>
  <c r="GU7" i="7"/>
  <c r="FS7" i="7"/>
  <c r="GL7" i="7"/>
  <c r="FU7" i="7"/>
  <c r="GN7" i="7"/>
  <c r="FG7" i="7"/>
  <c r="FZ7" i="7"/>
  <c r="GS7" i="7"/>
  <c r="EM7" i="7"/>
  <c r="FF7" i="7"/>
  <c r="GD7" i="7"/>
  <c r="GZ7" i="7"/>
  <c r="EC7" i="7"/>
  <c r="FI7" i="7"/>
  <c r="GF7" i="7"/>
  <c r="HB7" i="7"/>
  <c r="EG7" i="7"/>
  <c r="FJ7" i="7"/>
  <c r="GG7" i="7"/>
  <c r="HC7" i="7"/>
  <c r="EL7" i="7"/>
  <c r="FQ7" i="7"/>
  <c r="GO7" i="7"/>
  <c r="FB7" i="7"/>
  <c r="FR7" i="7"/>
  <c r="GP7" i="7"/>
  <c r="FT7" i="7"/>
  <c r="GQ7" i="7"/>
  <c r="GB7" i="7"/>
  <c r="GY7" i="7"/>
  <c r="EB7" i="7"/>
  <c r="FY7" i="7"/>
  <c r="GA7" i="7"/>
  <c r="GE7" i="7"/>
  <c r="GI7" i="7"/>
  <c r="GT7" i="7"/>
  <c r="FA7" i="7"/>
  <c r="GV7" i="7"/>
  <c r="GW7" i="7"/>
  <c r="GX7" i="7"/>
  <c r="FH7" i="7"/>
  <c r="HA7" i="7"/>
  <c r="FL7" i="7"/>
  <c r="FP7" i="7"/>
  <c r="FV7" i="7"/>
  <c r="FX7" i="7"/>
  <c r="EP7" i="7"/>
  <c r="ER7" i="7"/>
  <c r="EX7" i="7"/>
  <c r="EY7" i="7"/>
  <c r="FM7" i="7"/>
  <c r="FN7" i="7"/>
  <c r="FO7" i="7"/>
  <c r="GJ7" i="7"/>
  <c r="FW7" i="7"/>
  <c r="GH7" i="7"/>
  <c r="GK7" i="7"/>
  <c r="GR7" i="7"/>
  <c r="GM7" i="7"/>
  <c r="EE7" i="7"/>
  <c r="ES7" i="7"/>
  <c r="EI7" i="7"/>
  <c r="ET7" i="7"/>
  <c r="EQ7" i="7"/>
  <c r="ED7" i="7"/>
  <c r="FC7" i="7"/>
  <c r="EN7" i="7"/>
  <c r="FD7" i="7"/>
  <c r="EW7" i="7"/>
  <c r="EO7" i="7"/>
  <c r="EZ7" i="7"/>
  <c r="EK7" i="7"/>
  <c r="EJ7" i="7"/>
  <c r="FE7" i="7"/>
  <c r="EF7" i="7"/>
  <c r="EA7" i="7"/>
  <c r="EV7" i="7"/>
  <c r="EU7" i="7"/>
  <c r="EA3" i="7"/>
  <c r="FM3" i="7"/>
  <c r="GE3" i="7"/>
  <c r="GW3" i="7"/>
  <c r="FG3" i="7"/>
  <c r="FZ3" i="7"/>
  <c r="GS3" i="7"/>
  <c r="FL3" i="7"/>
  <c r="GF3" i="7"/>
  <c r="GY3" i="7"/>
  <c r="FO3" i="7"/>
  <c r="GH3" i="7"/>
  <c r="HA3" i="7"/>
  <c r="FT3" i="7"/>
  <c r="GM3" i="7"/>
  <c r="FF3" i="7"/>
  <c r="GD3" i="7"/>
  <c r="FI3" i="7"/>
  <c r="GI3" i="7"/>
  <c r="FJ3" i="7"/>
  <c r="GJ3" i="7"/>
  <c r="FS3" i="7"/>
  <c r="GQ3" i="7"/>
  <c r="FU3" i="7"/>
  <c r="GR3" i="7"/>
  <c r="FV3" i="7"/>
  <c r="GT3" i="7"/>
  <c r="GC3" i="7"/>
  <c r="HC3" i="7"/>
  <c r="FH3" i="7"/>
  <c r="GV3" i="7"/>
  <c r="FK3" i="7"/>
  <c r="GX3" i="7"/>
  <c r="FN3" i="7"/>
  <c r="GZ3" i="7"/>
  <c r="FQ3" i="7"/>
  <c r="GG3" i="7"/>
  <c r="GK3" i="7"/>
  <c r="GL3" i="7"/>
  <c r="GN3" i="7"/>
  <c r="GO3" i="7"/>
  <c r="GP3" i="7"/>
  <c r="FR3" i="7"/>
  <c r="FW3" i="7"/>
  <c r="GA3" i="7"/>
  <c r="GB3" i="7"/>
  <c r="GU3" i="7"/>
  <c r="FP3" i="7"/>
  <c r="FX3" i="7"/>
  <c r="FY3" i="7"/>
  <c r="HB3" i="7"/>
  <c r="EN3" i="7"/>
  <c r="EF3" i="7"/>
  <c r="FA3" i="7"/>
  <c r="EO3" i="7"/>
  <c r="ER3" i="7"/>
  <c r="EM3" i="7"/>
  <c r="EG3" i="7"/>
  <c r="ES3" i="7"/>
  <c r="EC3" i="7"/>
  <c r="FE3" i="7"/>
  <c r="EX3" i="7"/>
  <c r="EY3" i="7"/>
  <c r="EH3" i="7"/>
  <c r="ET3" i="7"/>
  <c r="EZ3" i="7"/>
  <c r="EI3" i="7"/>
  <c r="EU3" i="7"/>
  <c r="EJ3" i="7"/>
  <c r="ED3" i="7"/>
  <c r="EV3" i="7"/>
  <c r="EP3" i="7"/>
  <c r="EK3" i="7"/>
  <c r="EL3" i="7"/>
  <c r="FB3" i="7"/>
  <c r="EW3" i="7"/>
  <c r="EB3" i="7"/>
  <c r="FD3" i="7"/>
  <c r="EE3" i="7"/>
  <c r="EQ3" i="7"/>
  <c r="FC3" i="7"/>
  <c r="EH4" i="7"/>
  <c r="FQ4" i="7"/>
  <c r="GI4" i="7"/>
  <c r="HA4" i="7"/>
  <c r="FN4" i="7"/>
  <c r="GG4" i="7"/>
  <c r="GZ4" i="7"/>
  <c r="FT4" i="7"/>
  <c r="GM4" i="7"/>
  <c r="FV4" i="7"/>
  <c r="GO4" i="7"/>
  <c r="FH4" i="7"/>
  <c r="GA4" i="7"/>
  <c r="GT4" i="7"/>
  <c r="FF4" i="7"/>
  <c r="GD4" i="7"/>
  <c r="HC4" i="7"/>
  <c r="FI4" i="7"/>
  <c r="GF4" i="7"/>
  <c r="FJ4" i="7"/>
  <c r="GH4" i="7"/>
  <c r="FR4" i="7"/>
  <c r="GQ4" i="7"/>
  <c r="FS4" i="7"/>
  <c r="GR4" i="7"/>
  <c r="FU4" i="7"/>
  <c r="GS4" i="7"/>
  <c r="GC4" i="7"/>
  <c r="HB4" i="7"/>
  <c r="GL4" i="7"/>
  <c r="GN4" i="7"/>
  <c r="GP4" i="7"/>
  <c r="FG4" i="7"/>
  <c r="GV4" i="7"/>
  <c r="GE4" i="7"/>
  <c r="GJ4" i="7"/>
  <c r="GK4" i="7"/>
  <c r="GU4" i="7"/>
  <c r="GW4" i="7"/>
  <c r="GX4" i="7"/>
  <c r="FL4" i="7"/>
  <c r="FM4" i="7"/>
  <c r="FP4" i="7"/>
  <c r="FO4" i="7"/>
  <c r="FW4" i="7"/>
  <c r="FK4" i="7"/>
  <c r="FX4" i="7"/>
  <c r="FY4" i="7"/>
  <c r="GB4" i="7"/>
  <c r="GY4" i="7"/>
  <c r="FZ4" i="7"/>
  <c r="EC4" i="7"/>
  <c r="EY4" i="7"/>
  <c r="EO4" i="7"/>
  <c r="ES4" i="7"/>
  <c r="EV4" i="7"/>
  <c r="ET4" i="7"/>
  <c r="EP4" i="7"/>
  <c r="ED4" i="7"/>
  <c r="EE4" i="7"/>
  <c r="FD4" i="7"/>
  <c r="EA4" i="7"/>
  <c r="FA4" i="7"/>
  <c r="EU4" i="7"/>
  <c r="FE4" i="7"/>
  <c r="EI4" i="7"/>
  <c r="EM4" i="7"/>
  <c r="EL4" i="7"/>
  <c r="EZ4" i="7"/>
  <c r="FC4" i="7"/>
  <c r="EJ4" i="7"/>
  <c r="EN4" i="7"/>
  <c r="EX4" i="7"/>
  <c r="EW4" i="7"/>
  <c r="EF4" i="7"/>
  <c r="EK4" i="7"/>
  <c r="EG4" i="7"/>
  <c r="FB4" i="7"/>
  <c r="EQ4" i="7"/>
  <c r="ER4" i="7"/>
  <c r="EB4" i="7"/>
  <c r="E31" i="30"/>
  <c r="D85" i="30"/>
  <c r="E36" i="30"/>
  <c r="D90" i="30"/>
  <c r="E30" i="30"/>
  <c r="D84" i="30"/>
  <c r="E24" i="30"/>
  <c r="D78" i="30"/>
  <c r="E35" i="30"/>
  <c r="D89" i="30"/>
  <c r="E22" i="30"/>
  <c r="D76" i="30"/>
  <c r="C7" i="19"/>
  <c r="M7" i="19"/>
  <c r="AE7" i="19"/>
  <c r="P7" i="19"/>
  <c r="R7" i="19"/>
  <c r="E7" i="19"/>
  <c r="N7" i="19"/>
  <c r="S7" i="19"/>
  <c r="O7" i="19"/>
  <c r="Q7" i="19"/>
  <c r="D7" i="19"/>
  <c r="T7" i="19"/>
  <c r="V7" i="19"/>
  <c r="X7" i="19"/>
  <c r="F7" i="19"/>
  <c r="U7" i="19"/>
  <c r="W7" i="19"/>
  <c r="AA7" i="19"/>
  <c r="AB7" i="19"/>
  <c r="AC7" i="19"/>
  <c r="AD7" i="19"/>
  <c r="G7" i="19"/>
  <c r="H7" i="19"/>
  <c r="K7" i="19"/>
  <c r="L7" i="19"/>
  <c r="I7" i="19"/>
  <c r="Y7" i="19"/>
  <c r="Z7" i="19"/>
  <c r="J7" i="19"/>
  <c r="B21" i="19"/>
  <c r="EB10" i="40"/>
  <c r="EC10" i="40" s="1"/>
  <c r="ED10" i="40" s="1"/>
  <c r="EE10" i="40" s="1"/>
  <c r="EF10" i="40" s="1"/>
  <c r="EG10" i="40" s="1"/>
  <c r="EH10" i="40" s="1"/>
  <c r="EI10" i="40" s="1"/>
  <c r="EJ10" i="40" s="1"/>
  <c r="EK10" i="40" s="1"/>
  <c r="EL10" i="40" s="1"/>
  <c r="EM10" i="40" s="1"/>
  <c r="EN10" i="40" s="1"/>
  <c r="EO10" i="40" s="1"/>
  <c r="EP10" i="40" s="1"/>
  <c r="EQ10" i="40" s="1"/>
  <c r="ER10" i="40" s="1"/>
  <c r="ES10" i="40" s="1"/>
  <c r="ET10" i="40" s="1"/>
  <c r="EU10" i="40" s="1"/>
  <c r="EV10" i="40" s="1"/>
  <c r="EW10" i="40" s="1"/>
  <c r="EX10" i="40" s="1"/>
  <c r="EY10" i="40" s="1"/>
  <c r="EZ10" i="40" s="1"/>
  <c r="FA10" i="40" s="1"/>
  <c r="FB10" i="40" s="1"/>
  <c r="FC10" i="40" s="1"/>
  <c r="FD10" i="40" s="1"/>
  <c r="FE10" i="40" s="1"/>
  <c r="FF10" i="40" s="1"/>
  <c r="FG10" i="40" s="1"/>
  <c r="FH10" i="40" s="1"/>
  <c r="FI10" i="40" s="1"/>
  <c r="FJ10" i="40" s="1"/>
  <c r="FK10" i="40" s="1"/>
  <c r="FL10" i="40" s="1"/>
  <c r="FM10" i="40" s="1"/>
  <c r="FN10" i="40" s="1"/>
  <c r="FO10" i="40" s="1"/>
  <c r="FP10" i="40" s="1"/>
  <c r="FQ10" i="40" s="1"/>
  <c r="FR10" i="40" s="1"/>
  <c r="FS10" i="40" s="1"/>
  <c r="FT10" i="40" s="1"/>
  <c r="FU10" i="40" s="1"/>
  <c r="FV10" i="40" s="1"/>
  <c r="FW10" i="40" s="1"/>
  <c r="FX10" i="40" s="1"/>
  <c r="FY10" i="40" s="1"/>
  <c r="FZ10" i="40" s="1"/>
  <c r="GA10" i="40" s="1"/>
  <c r="GB10" i="40" s="1"/>
  <c r="GC10" i="40" s="1"/>
  <c r="GD10" i="40" s="1"/>
  <c r="GE10" i="40" s="1"/>
  <c r="GF10" i="40" s="1"/>
  <c r="GG10" i="40" s="1"/>
  <c r="GH10" i="40" s="1"/>
  <c r="GI10" i="40" s="1"/>
  <c r="GJ10" i="40" s="1"/>
  <c r="GK10" i="40" s="1"/>
  <c r="GL10" i="40" s="1"/>
  <c r="GM10" i="40" s="1"/>
  <c r="GN10" i="40" s="1"/>
  <c r="GO10" i="40" s="1"/>
  <c r="GP10" i="40" s="1"/>
  <c r="GQ10" i="40" s="1"/>
  <c r="GR10" i="40" s="1"/>
  <c r="GS10" i="40" s="1"/>
  <c r="GT10" i="40" s="1"/>
  <c r="GU10" i="40" s="1"/>
  <c r="GV10" i="40" s="1"/>
  <c r="GW10" i="40" s="1"/>
  <c r="GX10" i="40" s="1"/>
  <c r="GY10" i="40" s="1"/>
  <c r="GZ10" i="40" s="1"/>
  <c r="HA10" i="40" s="1"/>
  <c r="HB10" i="40" s="1"/>
  <c r="HC10" i="40" s="1"/>
  <c r="H48" i="30"/>
  <c r="G102" i="30"/>
  <c r="J7" i="8"/>
  <c r="Z7" i="8"/>
  <c r="S7" i="8"/>
  <c r="D7" i="8"/>
  <c r="K7" i="8"/>
  <c r="AA7" i="8"/>
  <c r="P7" i="8"/>
  <c r="AG7" i="8"/>
  <c r="L7" i="8"/>
  <c r="AB7" i="8"/>
  <c r="Q7" i="8"/>
  <c r="M7" i="8"/>
  <c r="AC7" i="8"/>
  <c r="N7" i="8"/>
  <c r="AD7" i="8"/>
  <c r="O7" i="8"/>
  <c r="AE7" i="8"/>
  <c r="AF7" i="8"/>
  <c r="R7" i="8"/>
  <c r="T7" i="8"/>
  <c r="G7" i="8"/>
  <c r="E7" i="8"/>
  <c r="W7" i="8"/>
  <c r="X7" i="8"/>
  <c r="Y7" i="8"/>
  <c r="H7" i="8"/>
  <c r="U7" i="8"/>
  <c r="V7" i="8"/>
  <c r="C7" i="8"/>
  <c r="I7" i="8"/>
  <c r="F7" i="8"/>
  <c r="E21" i="30"/>
  <c r="D75" i="30"/>
  <c r="E27" i="30"/>
  <c r="D81" i="30"/>
  <c r="J25" i="30"/>
  <c r="I79" i="30"/>
  <c r="E34" i="30"/>
  <c r="D88" i="30"/>
  <c r="E32" i="30"/>
  <c r="D86" i="30"/>
  <c r="E23" i="30"/>
  <c r="D77" i="30"/>
  <c r="D10" i="30"/>
  <c r="D64" i="30" s="1"/>
  <c r="C10" i="18" s="1"/>
  <c r="D28" i="30"/>
  <c r="D82" i="30" s="1"/>
  <c r="B15" i="30"/>
  <c r="B69" i="30" s="1"/>
  <c r="L15" i="30"/>
  <c r="L69" i="30" s="1"/>
  <c r="D29" i="30"/>
  <c r="D83" i="30" s="1"/>
  <c r="C5" i="30"/>
  <c r="C59" i="30" s="1"/>
  <c r="B5" i="18" s="1"/>
  <c r="EB5" i="40" s="1"/>
  <c r="EC5" i="40" s="1"/>
  <c r="ED5" i="40" s="1"/>
  <c r="EE5" i="40" s="1"/>
  <c r="EF5" i="40" s="1"/>
  <c r="EG5" i="40" s="1"/>
  <c r="EH5" i="40" s="1"/>
  <c r="EI5" i="40" s="1"/>
  <c r="EJ5" i="40" s="1"/>
  <c r="EK5" i="40" s="1"/>
  <c r="EL5" i="40" s="1"/>
  <c r="EM5" i="40" s="1"/>
  <c r="EN5" i="40" s="1"/>
  <c r="EO5" i="40" s="1"/>
  <c r="EP5" i="40" s="1"/>
  <c r="EQ5" i="40" s="1"/>
  <c r="ER5" i="40" s="1"/>
  <c r="ES5" i="40" s="1"/>
  <c r="ET5" i="40" s="1"/>
  <c r="EU5" i="40" s="1"/>
  <c r="EV5" i="40" s="1"/>
  <c r="EW5" i="40" s="1"/>
  <c r="EX5" i="40" s="1"/>
  <c r="EY5" i="40" s="1"/>
  <c r="EZ5" i="40" s="1"/>
  <c r="FA5" i="40" s="1"/>
  <c r="FB5" i="40" s="1"/>
  <c r="FC5" i="40" s="1"/>
  <c r="FD5" i="40" s="1"/>
  <c r="FE5" i="40" s="1"/>
  <c r="FF5" i="40" s="1"/>
  <c r="FG5" i="40" s="1"/>
  <c r="FH5" i="40" s="1"/>
  <c r="FI5" i="40" s="1"/>
  <c r="FJ5" i="40" s="1"/>
  <c r="FK5" i="40" s="1"/>
  <c r="FL5" i="40" s="1"/>
  <c r="FM5" i="40" s="1"/>
  <c r="FN5" i="40" s="1"/>
  <c r="FO5" i="40" s="1"/>
  <c r="FP5" i="40" s="1"/>
  <c r="FQ5" i="40" s="1"/>
  <c r="FR5" i="40" s="1"/>
  <c r="FS5" i="40" s="1"/>
  <c r="FT5" i="40" s="1"/>
  <c r="FU5" i="40" s="1"/>
  <c r="FV5" i="40" s="1"/>
  <c r="FW5" i="40" s="1"/>
  <c r="FX5" i="40" s="1"/>
  <c r="FY5" i="40" s="1"/>
  <c r="FZ5" i="40" s="1"/>
  <c r="GA5" i="40" s="1"/>
  <c r="GB5" i="40" s="1"/>
  <c r="GC5" i="40" s="1"/>
  <c r="GD5" i="40" s="1"/>
  <c r="GE5" i="40" s="1"/>
  <c r="GF5" i="40" s="1"/>
  <c r="GG5" i="40" s="1"/>
  <c r="GH5" i="40" s="1"/>
  <c r="GI5" i="40" s="1"/>
  <c r="GJ5" i="40" s="1"/>
  <c r="GK5" i="40" s="1"/>
  <c r="GL5" i="40" s="1"/>
  <c r="GM5" i="40" s="1"/>
  <c r="GN5" i="40" s="1"/>
  <c r="GO5" i="40" s="1"/>
  <c r="GP5" i="40" s="1"/>
  <c r="GQ5" i="40" s="1"/>
  <c r="GR5" i="40" s="1"/>
  <c r="GS5" i="40" s="1"/>
  <c r="GT5" i="40" s="1"/>
  <c r="GU5" i="40" s="1"/>
  <c r="GV5" i="40" s="1"/>
  <c r="GW5" i="40" s="1"/>
  <c r="GX5" i="40" s="1"/>
  <c r="GY5" i="40" s="1"/>
  <c r="GZ5" i="40" s="1"/>
  <c r="HA5" i="40" s="1"/>
  <c r="HB5" i="40" s="1"/>
  <c r="HC5" i="40" s="1"/>
  <c r="C25" i="30"/>
  <c r="C79" i="30" s="1"/>
  <c r="D11" i="30"/>
  <c r="D65" i="30" s="1"/>
  <c r="C11" i="18" s="1"/>
  <c r="C8" i="30"/>
  <c r="C62" i="30" s="1"/>
  <c r="B8" i="19" s="1"/>
  <c r="L13" i="30"/>
  <c r="L67" i="30" s="1"/>
  <c r="L4" i="30"/>
  <c r="L58" i="30" s="1"/>
  <c r="K4" i="18" s="1"/>
  <c r="H8" i="30"/>
  <c r="H62" i="30" s="1"/>
  <c r="E43" i="30"/>
  <c r="D97" i="30"/>
  <c r="F47" i="30"/>
  <c r="E101" i="30"/>
  <c r="K7" i="30"/>
  <c r="K61" i="30" s="1"/>
  <c r="F18" i="30"/>
  <c r="F72" i="30" s="1"/>
  <c r="E18" i="18" s="1"/>
  <c r="F17" i="30"/>
  <c r="F71" i="30" s="1"/>
  <c r="E17" i="18" s="1"/>
  <c r="F12" i="30"/>
  <c r="F66" i="30" s="1"/>
  <c r="E12" i="18" s="1"/>
  <c r="F6" i="30"/>
  <c r="F60" i="30" s="1"/>
  <c r="E6" i="18" s="1"/>
  <c r="E7" i="30"/>
  <c r="E61" i="30" s="1"/>
  <c r="F9" i="30"/>
  <c r="F63" i="30" s="1"/>
  <c r="F16" i="30"/>
  <c r="F70" i="30" s="1"/>
  <c r="E16" i="18" s="1"/>
  <c r="B26" i="30"/>
  <c r="L14" i="30"/>
  <c r="L68" i="30" s="1"/>
  <c r="K14" i="18" s="1"/>
  <c r="L26" i="30"/>
  <c r="L80" i="30" s="1"/>
  <c r="F30" i="30" l="1"/>
  <c r="E84" i="30"/>
  <c r="K3" i="18"/>
  <c r="K13" i="18"/>
  <c r="F31" i="30"/>
  <c r="E85" i="30"/>
  <c r="F24" i="30"/>
  <c r="E78" i="30"/>
  <c r="K25" i="30"/>
  <c r="K79" i="30" s="1"/>
  <c r="J79" i="30"/>
  <c r="I48" i="30"/>
  <c r="H102" i="30"/>
  <c r="F35" i="30"/>
  <c r="E89" i="30"/>
  <c r="F32" i="30"/>
  <c r="E86" i="30"/>
  <c r="F21" i="30"/>
  <c r="E75" i="30"/>
  <c r="F36" i="30"/>
  <c r="E90" i="30"/>
  <c r="F27" i="30"/>
  <c r="E81" i="30"/>
  <c r="L21" i="19"/>
  <c r="AC21" i="19"/>
  <c r="AD21" i="19"/>
  <c r="AE21" i="19"/>
  <c r="X21" i="19"/>
  <c r="C21" i="19"/>
  <c r="Q21" i="19"/>
  <c r="Z21" i="19"/>
  <c r="AB21" i="19"/>
  <c r="AA21" i="19"/>
  <c r="S21" i="19"/>
  <c r="E21" i="19"/>
  <c r="N21" i="19"/>
  <c r="F21" i="19"/>
  <c r="U21" i="19"/>
  <c r="H21" i="19"/>
  <c r="I21" i="19"/>
  <c r="Y21" i="19"/>
  <c r="J21" i="19"/>
  <c r="R21" i="19"/>
  <c r="D21" i="19"/>
  <c r="O21" i="19"/>
  <c r="T21" i="19"/>
  <c r="K21" i="19"/>
  <c r="V21" i="19"/>
  <c r="W21" i="19"/>
  <c r="P21" i="19"/>
  <c r="M21" i="19"/>
  <c r="G21" i="19"/>
  <c r="F23" i="30"/>
  <c r="E77" i="30"/>
  <c r="F22" i="30"/>
  <c r="E76" i="30"/>
  <c r="F34" i="30"/>
  <c r="E88" i="30"/>
  <c r="EB8" i="40"/>
  <c r="I8" i="30"/>
  <c r="I62" i="30" s="1"/>
  <c r="D25" i="30"/>
  <c r="D79" i="30" s="1"/>
  <c r="E11" i="30"/>
  <c r="E65" i="30" s="1"/>
  <c r="D11" i="18" s="1"/>
  <c r="D3" i="30"/>
  <c r="D57" i="30" s="1"/>
  <c r="C2" i="18" s="1"/>
  <c r="B33" i="30"/>
  <c r="B87" i="30" s="1"/>
  <c r="D33" i="9"/>
  <c r="L33" i="30" s="1"/>
  <c r="L87" i="30" s="1"/>
  <c r="C4" i="30"/>
  <c r="C58" i="30" s="1"/>
  <c r="B4" i="18" s="1"/>
  <c r="E29" i="30"/>
  <c r="E83" i="30" s="1"/>
  <c r="H26" i="30"/>
  <c r="H80" i="30" s="1"/>
  <c r="C13" i="30"/>
  <c r="C67" i="30" s="1"/>
  <c r="C14" i="30"/>
  <c r="C68" i="30" s="1"/>
  <c r="B14" i="18" s="1"/>
  <c r="D8" i="30"/>
  <c r="D62" i="30" s="1"/>
  <c r="D5" i="30"/>
  <c r="D59" i="30" s="1"/>
  <c r="C5" i="18" s="1"/>
  <c r="C26" i="30"/>
  <c r="C80" i="30" s="1"/>
  <c r="E28" i="30"/>
  <c r="E82" i="30" s="1"/>
  <c r="C15" i="30"/>
  <c r="C69" i="30" s="1"/>
  <c r="E10" i="30"/>
  <c r="E64" i="30" s="1"/>
  <c r="D10" i="18" s="1"/>
  <c r="G47" i="30"/>
  <c r="F101" i="30"/>
  <c r="F43" i="30"/>
  <c r="E97" i="30"/>
  <c r="G16" i="30"/>
  <c r="G70" i="30" s="1"/>
  <c r="F16" i="18" s="1"/>
  <c r="G17" i="30"/>
  <c r="G71" i="30" s="1"/>
  <c r="F17" i="18" s="1"/>
  <c r="G6" i="30"/>
  <c r="G60" i="30" s="1"/>
  <c r="F6" i="18" s="1"/>
  <c r="G12" i="30"/>
  <c r="G66" i="30" s="1"/>
  <c r="F12" i="18" s="1"/>
  <c r="G18" i="30"/>
  <c r="G72" i="30" s="1"/>
  <c r="F18" i="18" s="1"/>
  <c r="G9" i="30"/>
  <c r="G63" i="30" s="1"/>
  <c r="F7" i="30"/>
  <c r="AA7" i="30" a="1"/>
  <c r="AA61" i="30" s="1"/>
  <c r="EC8" i="40" l="1"/>
  <c r="ED8" i="40" s="1"/>
  <c r="EE8" i="40" s="1"/>
  <c r="EF8" i="40" s="1"/>
  <c r="EG8" i="40" s="1"/>
  <c r="EH8" i="40" s="1"/>
  <c r="EI8" i="40" s="1"/>
  <c r="EJ8" i="40" s="1"/>
  <c r="EK8" i="40" s="1"/>
  <c r="EL8" i="40" s="1"/>
  <c r="EM8" i="40" s="1"/>
  <c r="EN8" i="40" s="1"/>
  <c r="EO8" i="40" s="1"/>
  <c r="EP8" i="40" s="1"/>
  <c r="EQ8" i="40" s="1"/>
  <c r="ER8" i="40" s="1"/>
  <c r="ES8" i="40" s="1"/>
  <c r="ET8" i="40" s="1"/>
  <c r="EU8" i="40" s="1"/>
  <c r="EV8" i="40" s="1"/>
  <c r="EW8" i="40" s="1"/>
  <c r="EX8" i="40" s="1"/>
  <c r="EY8" i="40" s="1"/>
  <c r="EZ8" i="40" s="1"/>
  <c r="FA8" i="40" s="1"/>
  <c r="FB8" i="40" s="1"/>
  <c r="FC8" i="40" s="1"/>
  <c r="FD8" i="40" s="1"/>
  <c r="FE8" i="40" s="1"/>
  <c r="FF8" i="40" s="1"/>
  <c r="FG8" i="40" s="1"/>
  <c r="FH8" i="40" s="1"/>
  <c r="FI8" i="40" s="1"/>
  <c r="FJ8" i="40" s="1"/>
  <c r="FK8" i="40" s="1"/>
  <c r="FL8" i="40" s="1"/>
  <c r="FM8" i="40" s="1"/>
  <c r="FN8" i="40" s="1"/>
  <c r="FO8" i="40" s="1"/>
  <c r="FP8" i="40" s="1"/>
  <c r="FQ8" i="40" s="1"/>
  <c r="FR8" i="40" s="1"/>
  <c r="FS8" i="40" s="1"/>
  <c r="FT8" i="40" s="1"/>
  <c r="FU8" i="40" s="1"/>
  <c r="FV8" i="40" s="1"/>
  <c r="FW8" i="40" s="1"/>
  <c r="FX8" i="40" s="1"/>
  <c r="FY8" i="40" s="1"/>
  <c r="FZ8" i="40" s="1"/>
  <c r="GA8" i="40" s="1"/>
  <c r="GB8" i="40" s="1"/>
  <c r="GC8" i="40" s="1"/>
  <c r="GD8" i="40" s="1"/>
  <c r="GE8" i="40" s="1"/>
  <c r="GF8" i="40" s="1"/>
  <c r="GG8" i="40" s="1"/>
  <c r="GH8" i="40" s="1"/>
  <c r="GI8" i="40" s="1"/>
  <c r="GJ8" i="40" s="1"/>
  <c r="GK8" i="40" s="1"/>
  <c r="GL8" i="40" s="1"/>
  <c r="GM8" i="40" s="1"/>
  <c r="GN8" i="40" s="1"/>
  <c r="GO8" i="40" s="1"/>
  <c r="GP8" i="40" s="1"/>
  <c r="GQ8" i="40" s="1"/>
  <c r="GR8" i="40" s="1"/>
  <c r="GS8" i="40" s="1"/>
  <c r="GT8" i="40" s="1"/>
  <c r="GU8" i="40" s="1"/>
  <c r="GV8" i="40" s="1"/>
  <c r="GW8" i="40" s="1"/>
  <c r="GX8" i="40" s="1"/>
  <c r="GY8" i="40" s="1"/>
  <c r="GZ8" i="40" s="1"/>
  <c r="HA8" i="40" s="1"/>
  <c r="HB8" i="40" s="1"/>
  <c r="HC8" i="40" s="1"/>
  <c r="EA8" i="40"/>
  <c r="DZ8" i="40" s="1"/>
  <c r="DY8" i="40" s="1"/>
  <c r="DX8" i="40" s="1"/>
  <c r="DW8" i="40" s="1"/>
  <c r="DV8" i="40" s="1"/>
  <c r="DU8" i="40" s="1"/>
  <c r="DT8" i="40" s="1"/>
  <c r="DS8" i="40" s="1"/>
  <c r="DR8" i="40" s="1"/>
  <c r="DQ8" i="40" s="1"/>
  <c r="DP8" i="40" s="1"/>
  <c r="DO8" i="40" s="1"/>
  <c r="DN8" i="40" s="1"/>
  <c r="DM8" i="40" s="1"/>
  <c r="DL8" i="40" s="1"/>
  <c r="DK8" i="40" s="1"/>
  <c r="DJ8" i="40" s="1"/>
  <c r="DI8" i="40" s="1"/>
  <c r="DH8" i="40" s="1"/>
  <c r="DG8" i="40" s="1"/>
  <c r="DF8" i="40" s="1"/>
  <c r="DE8" i="40" s="1"/>
  <c r="DD8" i="40" s="1"/>
  <c r="DC8" i="40" s="1"/>
  <c r="DB8" i="40" s="1"/>
  <c r="DA8" i="40" s="1"/>
  <c r="CZ8" i="40" s="1"/>
  <c r="CY8" i="40" s="1"/>
  <c r="CX8" i="40" s="1"/>
  <c r="CW8" i="40" s="1"/>
  <c r="CV8" i="40" s="1"/>
  <c r="CU8" i="40" s="1"/>
  <c r="CT8" i="40" s="1"/>
  <c r="CS8" i="40" s="1"/>
  <c r="CR8" i="40" s="1"/>
  <c r="CQ8" i="40" s="1"/>
  <c r="CP8" i="40" s="1"/>
  <c r="CO8" i="40" s="1"/>
  <c r="CN8" i="40" s="1"/>
  <c r="CM8" i="40" s="1"/>
  <c r="CL8" i="40" s="1"/>
  <c r="CK8" i="40" s="1"/>
  <c r="CJ8" i="40" s="1"/>
  <c r="CI8" i="40" s="1"/>
  <c r="CH8" i="40" s="1"/>
  <c r="CG8" i="40" s="1"/>
  <c r="CF8" i="40" s="1"/>
  <c r="CE8" i="40" s="1"/>
  <c r="CD8" i="40" s="1"/>
  <c r="CC8" i="40" s="1"/>
  <c r="CB8" i="40" s="1"/>
  <c r="CA8" i="40" s="1"/>
  <c r="BZ8" i="40" s="1"/>
  <c r="BY8" i="40" s="1"/>
  <c r="BX8" i="40" s="1"/>
  <c r="BW8" i="40" s="1"/>
  <c r="BV8" i="40" s="1"/>
  <c r="BU8" i="40" s="1"/>
  <c r="BT8" i="40" s="1"/>
  <c r="BS8" i="40" s="1"/>
  <c r="BR8" i="40" s="1"/>
  <c r="BQ8" i="40" s="1"/>
  <c r="BP8" i="40" s="1"/>
  <c r="BO8" i="40" s="1"/>
  <c r="BN8" i="40" s="1"/>
  <c r="BM8" i="40" s="1"/>
  <c r="BL8" i="40" s="1"/>
  <c r="BK8" i="40" s="1"/>
  <c r="BJ8" i="40" s="1"/>
  <c r="BI8" i="40" s="1"/>
  <c r="BH8" i="40" s="1"/>
  <c r="BG8" i="40" s="1"/>
  <c r="BF8" i="40" s="1"/>
  <c r="BE8" i="40" s="1"/>
  <c r="BD8" i="40" s="1"/>
  <c r="BC8" i="40" s="1"/>
  <c r="BB8" i="40" s="1"/>
  <c r="BA8" i="40" s="1"/>
  <c r="AZ8" i="40" s="1"/>
  <c r="AY8" i="40" s="1"/>
  <c r="AX8" i="40" s="1"/>
  <c r="AW8" i="40" s="1"/>
  <c r="AV8" i="40" s="1"/>
  <c r="AU8" i="40" s="1"/>
  <c r="AT8" i="40" s="1"/>
  <c r="AS8" i="40" s="1"/>
  <c r="AR8" i="40" s="1"/>
  <c r="AQ8" i="40" s="1"/>
  <c r="AP8" i="40" s="1"/>
  <c r="AO8" i="40" s="1"/>
  <c r="AN8" i="40" s="1"/>
  <c r="AM8" i="40" s="1"/>
  <c r="AL8" i="40" s="1"/>
  <c r="AK8" i="40" s="1"/>
  <c r="AJ8" i="40" s="1"/>
  <c r="AI8" i="40" s="1"/>
  <c r="AH8" i="40" s="1"/>
  <c r="AG8" i="40" s="1"/>
  <c r="AF8" i="40" s="1"/>
  <c r="AE8" i="40" s="1"/>
  <c r="AD8" i="40" s="1"/>
  <c r="AC8" i="40" s="1"/>
  <c r="AB8" i="40" s="1"/>
  <c r="AA8" i="40" s="1"/>
  <c r="Z8" i="40" s="1"/>
  <c r="Y8" i="40" s="1"/>
  <c r="X8" i="40" s="1"/>
  <c r="W8" i="40" s="1"/>
  <c r="V8" i="40" s="1"/>
  <c r="U8" i="40" s="1"/>
  <c r="T8" i="40" s="1"/>
  <c r="S8" i="40" s="1"/>
  <c r="R8" i="40" s="1"/>
  <c r="Q8" i="40" s="1"/>
  <c r="P8" i="40" s="1"/>
  <c r="O8" i="40" s="1"/>
  <c r="N8" i="40" s="1"/>
  <c r="M8" i="40" s="1"/>
  <c r="L8" i="40" s="1"/>
  <c r="K8" i="40" s="1"/>
  <c r="J8" i="40" s="1"/>
  <c r="I8" i="40" s="1"/>
  <c r="H8" i="40" s="1"/>
  <c r="G8" i="40" s="1"/>
  <c r="F8" i="40" s="1"/>
  <c r="E8" i="40" s="1"/>
  <c r="D8" i="40" s="1"/>
  <c r="C8" i="40" s="1"/>
  <c r="B8" i="40" s="1"/>
  <c r="G23" i="30"/>
  <c r="F77" i="30"/>
  <c r="Q8" i="19"/>
  <c r="Z8" i="19"/>
  <c r="J8" i="19"/>
  <c r="AC8" i="19"/>
  <c r="AD8" i="19"/>
  <c r="AA8" i="19"/>
  <c r="K8" i="19"/>
  <c r="AE8" i="19"/>
  <c r="M8" i="19"/>
  <c r="I8" i="19"/>
  <c r="AB8" i="19"/>
  <c r="L8" i="19"/>
  <c r="X8" i="19"/>
  <c r="F8" i="19"/>
  <c r="Y8" i="19"/>
  <c r="P8" i="19"/>
  <c r="N8" i="19"/>
  <c r="O8" i="19"/>
  <c r="T8" i="19"/>
  <c r="D8" i="19"/>
  <c r="E8" i="19"/>
  <c r="U8" i="19"/>
  <c r="W8" i="19"/>
  <c r="V8" i="19"/>
  <c r="G8" i="19"/>
  <c r="C8" i="19"/>
  <c r="H8" i="19"/>
  <c r="S8" i="19"/>
  <c r="R8" i="19"/>
  <c r="G35" i="30"/>
  <c r="F89" i="30"/>
  <c r="G21" i="30"/>
  <c r="F75" i="30"/>
  <c r="G27" i="30"/>
  <c r="F81" i="30"/>
  <c r="G30" i="30"/>
  <c r="F84" i="30"/>
  <c r="J48" i="30"/>
  <c r="I102" i="30"/>
  <c r="G32" i="30"/>
  <c r="F86" i="30"/>
  <c r="W7" i="30" a="1"/>
  <c r="W61" i="30" s="1"/>
  <c r="F61" i="30"/>
  <c r="G24" i="30"/>
  <c r="F78" i="30"/>
  <c r="B3" i="18"/>
  <c r="EB3" i="40" s="1"/>
  <c r="EC3" i="40" s="1"/>
  <c r="ED3" i="40" s="1"/>
  <c r="EE3" i="40" s="1"/>
  <c r="EF3" i="40" s="1"/>
  <c r="EG3" i="40" s="1"/>
  <c r="EH3" i="40" s="1"/>
  <c r="EI3" i="40" s="1"/>
  <c r="EJ3" i="40" s="1"/>
  <c r="EK3" i="40" s="1"/>
  <c r="EL3" i="40" s="1"/>
  <c r="EM3" i="40" s="1"/>
  <c r="EN3" i="40" s="1"/>
  <c r="EO3" i="40" s="1"/>
  <c r="EP3" i="40" s="1"/>
  <c r="EQ3" i="40" s="1"/>
  <c r="ER3" i="40" s="1"/>
  <c r="ES3" i="40" s="1"/>
  <c r="ET3" i="40" s="1"/>
  <c r="EU3" i="40" s="1"/>
  <c r="EV3" i="40" s="1"/>
  <c r="EW3" i="40" s="1"/>
  <c r="EX3" i="40" s="1"/>
  <c r="EY3" i="40" s="1"/>
  <c r="EZ3" i="40" s="1"/>
  <c r="FA3" i="40" s="1"/>
  <c r="FB3" i="40" s="1"/>
  <c r="FC3" i="40" s="1"/>
  <c r="FD3" i="40" s="1"/>
  <c r="FE3" i="40" s="1"/>
  <c r="FF3" i="40" s="1"/>
  <c r="FG3" i="40" s="1"/>
  <c r="FH3" i="40" s="1"/>
  <c r="FI3" i="40" s="1"/>
  <c r="FJ3" i="40" s="1"/>
  <c r="FK3" i="40" s="1"/>
  <c r="FL3" i="40" s="1"/>
  <c r="FM3" i="40" s="1"/>
  <c r="FN3" i="40" s="1"/>
  <c r="FO3" i="40" s="1"/>
  <c r="FP3" i="40" s="1"/>
  <c r="FQ3" i="40" s="1"/>
  <c r="FR3" i="40" s="1"/>
  <c r="FS3" i="40" s="1"/>
  <c r="FT3" i="40" s="1"/>
  <c r="FU3" i="40" s="1"/>
  <c r="FV3" i="40" s="1"/>
  <c r="FW3" i="40" s="1"/>
  <c r="FX3" i="40" s="1"/>
  <c r="FY3" i="40" s="1"/>
  <c r="FZ3" i="40" s="1"/>
  <c r="GA3" i="40" s="1"/>
  <c r="GB3" i="40" s="1"/>
  <c r="GC3" i="40" s="1"/>
  <c r="GD3" i="40" s="1"/>
  <c r="GE3" i="40" s="1"/>
  <c r="GF3" i="40" s="1"/>
  <c r="GG3" i="40" s="1"/>
  <c r="GH3" i="40" s="1"/>
  <c r="GI3" i="40" s="1"/>
  <c r="GJ3" i="40" s="1"/>
  <c r="GK3" i="40" s="1"/>
  <c r="GL3" i="40" s="1"/>
  <c r="GM3" i="40" s="1"/>
  <c r="GN3" i="40" s="1"/>
  <c r="GO3" i="40" s="1"/>
  <c r="GP3" i="40" s="1"/>
  <c r="GQ3" i="40" s="1"/>
  <c r="GR3" i="40" s="1"/>
  <c r="GS3" i="40" s="1"/>
  <c r="GT3" i="40" s="1"/>
  <c r="GU3" i="40" s="1"/>
  <c r="GV3" i="40" s="1"/>
  <c r="GW3" i="40" s="1"/>
  <c r="GX3" i="40" s="1"/>
  <c r="GY3" i="40" s="1"/>
  <c r="GZ3" i="40" s="1"/>
  <c r="HA3" i="40" s="1"/>
  <c r="HB3" i="40" s="1"/>
  <c r="HC3" i="40" s="1"/>
  <c r="EB4" i="40"/>
  <c r="EC4" i="40" s="1"/>
  <c r="ED4" i="40" s="1"/>
  <c r="EE4" i="40" s="1"/>
  <c r="EF4" i="40" s="1"/>
  <c r="EG4" i="40" s="1"/>
  <c r="EH4" i="40" s="1"/>
  <c r="EI4" i="40" s="1"/>
  <c r="EJ4" i="40" s="1"/>
  <c r="EK4" i="40" s="1"/>
  <c r="EL4" i="40" s="1"/>
  <c r="EM4" i="40" s="1"/>
  <c r="EN4" i="40" s="1"/>
  <c r="EO4" i="40" s="1"/>
  <c r="EP4" i="40" s="1"/>
  <c r="EQ4" i="40" s="1"/>
  <c r="ER4" i="40" s="1"/>
  <c r="ES4" i="40" s="1"/>
  <c r="ET4" i="40" s="1"/>
  <c r="EU4" i="40" s="1"/>
  <c r="EV4" i="40" s="1"/>
  <c r="EW4" i="40" s="1"/>
  <c r="EX4" i="40" s="1"/>
  <c r="EY4" i="40" s="1"/>
  <c r="EZ4" i="40" s="1"/>
  <c r="FA4" i="40" s="1"/>
  <c r="FB4" i="40" s="1"/>
  <c r="FC4" i="40" s="1"/>
  <c r="FD4" i="40" s="1"/>
  <c r="FE4" i="40" s="1"/>
  <c r="FF4" i="40" s="1"/>
  <c r="FG4" i="40" s="1"/>
  <c r="FH4" i="40" s="1"/>
  <c r="FI4" i="40" s="1"/>
  <c r="FJ4" i="40" s="1"/>
  <c r="FK4" i="40" s="1"/>
  <c r="FL4" i="40" s="1"/>
  <c r="FM4" i="40" s="1"/>
  <c r="FN4" i="40" s="1"/>
  <c r="FO4" i="40" s="1"/>
  <c r="FP4" i="40" s="1"/>
  <c r="FQ4" i="40" s="1"/>
  <c r="FR4" i="40" s="1"/>
  <c r="FS4" i="40" s="1"/>
  <c r="FT4" i="40" s="1"/>
  <c r="FU4" i="40" s="1"/>
  <c r="FV4" i="40" s="1"/>
  <c r="FW4" i="40" s="1"/>
  <c r="FX4" i="40" s="1"/>
  <c r="FY4" i="40" s="1"/>
  <c r="FZ4" i="40" s="1"/>
  <c r="GA4" i="40" s="1"/>
  <c r="GB4" i="40" s="1"/>
  <c r="GC4" i="40" s="1"/>
  <c r="GD4" i="40" s="1"/>
  <c r="GE4" i="40" s="1"/>
  <c r="GF4" i="40" s="1"/>
  <c r="GG4" i="40" s="1"/>
  <c r="GH4" i="40" s="1"/>
  <c r="GI4" i="40" s="1"/>
  <c r="GJ4" i="40" s="1"/>
  <c r="GK4" i="40" s="1"/>
  <c r="GL4" i="40" s="1"/>
  <c r="GM4" i="40" s="1"/>
  <c r="GN4" i="40" s="1"/>
  <c r="GO4" i="40" s="1"/>
  <c r="GP4" i="40" s="1"/>
  <c r="GQ4" i="40" s="1"/>
  <c r="GR4" i="40" s="1"/>
  <c r="GS4" i="40" s="1"/>
  <c r="GT4" i="40" s="1"/>
  <c r="GU4" i="40" s="1"/>
  <c r="GV4" i="40" s="1"/>
  <c r="GW4" i="40" s="1"/>
  <c r="GX4" i="40" s="1"/>
  <c r="GY4" i="40" s="1"/>
  <c r="GZ4" i="40" s="1"/>
  <c r="HA4" i="40" s="1"/>
  <c r="HB4" i="40" s="1"/>
  <c r="HC4" i="40" s="1"/>
  <c r="B20" i="19"/>
  <c r="B13" i="18"/>
  <c r="EB13" i="40" s="1"/>
  <c r="EC13" i="40" s="1"/>
  <c r="ED13" i="40" s="1"/>
  <c r="EE13" i="40" s="1"/>
  <c r="EF13" i="40" s="1"/>
  <c r="EG13" i="40" s="1"/>
  <c r="EH13" i="40" s="1"/>
  <c r="EI13" i="40" s="1"/>
  <c r="EJ13" i="40" s="1"/>
  <c r="EK13" i="40" s="1"/>
  <c r="EL13" i="40" s="1"/>
  <c r="EM13" i="40" s="1"/>
  <c r="EN13" i="40" s="1"/>
  <c r="EO13" i="40" s="1"/>
  <c r="EP13" i="40" s="1"/>
  <c r="EQ13" i="40" s="1"/>
  <c r="ER13" i="40" s="1"/>
  <c r="ES13" i="40" s="1"/>
  <c r="ET13" i="40" s="1"/>
  <c r="EU13" i="40" s="1"/>
  <c r="EV13" i="40" s="1"/>
  <c r="EW13" i="40" s="1"/>
  <c r="EX13" i="40" s="1"/>
  <c r="EY13" i="40" s="1"/>
  <c r="EZ13" i="40" s="1"/>
  <c r="FA13" i="40" s="1"/>
  <c r="FB13" i="40" s="1"/>
  <c r="FC13" i="40" s="1"/>
  <c r="FD13" i="40" s="1"/>
  <c r="FE13" i="40" s="1"/>
  <c r="FF13" i="40" s="1"/>
  <c r="FG13" i="40" s="1"/>
  <c r="FH13" i="40" s="1"/>
  <c r="FI13" i="40" s="1"/>
  <c r="FJ13" i="40" s="1"/>
  <c r="FK13" i="40" s="1"/>
  <c r="FL13" i="40" s="1"/>
  <c r="FM13" i="40" s="1"/>
  <c r="FN13" i="40" s="1"/>
  <c r="FO13" i="40" s="1"/>
  <c r="FP13" i="40" s="1"/>
  <c r="FQ13" i="40" s="1"/>
  <c r="FR13" i="40" s="1"/>
  <c r="FS13" i="40" s="1"/>
  <c r="FT13" i="40" s="1"/>
  <c r="FU13" i="40" s="1"/>
  <c r="FV13" i="40" s="1"/>
  <c r="FW13" i="40" s="1"/>
  <c r="FX13" i="40" s="1"/>
  <c r="FY13" i="40" s="1"/>
  <c r="FZ13" i="40" s="1"/>
  <c r="GA13" i="40" s="1"/>
  <c r="GB13" i="40" s="1"/>
  <c r="GC13" i="40" s="1"/>
  <c r="GD13" i="40" s="1"/>
  <c r="GE13" i="40" s="1"/>
  <c r="GF13" i="40" s="1"/>
  <c r="GG13" i="40" s="1"/>
  <c r="GH13" i="40" s="1"/>
  <c r="GI13" i="40" s="1"/>
  <c r="GJ13" i="40" s="1"/>
  <c r="GK13" i="40" s="1"/>
  <c r="GL13" i="40" s="1"/>
  <c r="GM13" i="40" s="1"/>
  <c r="GN13" i="40" s="1"/>
  <c r="GO13" i="40" s="1"/>
  <c r="GP13" i="40" s="1"/>
  <c r="GQ13" i="40" s="1"/>
  <c r="GR13" i="40" s="1"/>
  <c r="GS13" i="40" s="1"/>
  <c r="GT13" i="40" s="1"/>
  <c r="GU13" i="40" s="1"/>
  <c r="GV13" i="40" s="1"/>
  <c r="GW13" i="40" s="1"/>
  <c r="GX13" i="40" s="1"/>
  <c r="GY13" i="40" s="1"/>
  <c r="GZ13" i="40" s="1"/>
  <c r="HA13" i="40" s="1"/>
  <c r="HB13" i="40" s="1"/>
  <c r="HC13" i="40" s="1"/>
  <c r="G22" i="30"/>
  <c r="F76" i="30"/>
  <c r="G31" i="30"/>
  <c r="F85" i="30"/>
  <c r="B22" i="19"/>
  <c r="EB14" i="40"/>
  <c r="EC14" i="40" s="1"/>
  <c r="ED14" i="40" s="1"/>
  <c r="EE14" i="40" s="1"/>
  <c r="EF14" i="40" s="1"/>
  <c r="EG14" i="40" s="1"/>
  <c r="EH14" i="40" s="1"/>
  <c r="EI14" i="40" s="1"/>
  <c r="EJ14" i="40" s="1"/>
  <c r="EK14" i="40" s="1"/>
  <c r="EL14" i="40" s="1"/>
  <c r="EM14" i="40" s="1"/>
  <c r="EN14" i="40" s="1"/>
  <c r="EO14" i="40" s="1"/>
  <c r="EP14" i="40" s="1"/>
  <c r="EQ14" i="40" s="1"/>
  <c r="ER14" i="40" s="1"/>
  <c r="ES14" i="40" s="1"/>
  <c r="ET14" i="40" s="1"/>
  <c r="EU14" i="40" s="1"/>
  <c r="EV14" i="40" s="1"/>
  <c r="EW14" i="40" s="1"/>
  <c r="EX14" i="40" s="1"/>
  <c r="EY14" i="40" s="1"/>
  <c r="EZ14" i="40" s="1"/>
  <c r="FA14" i="40" s="1"/>
  <c r="FB14" i="40" s="1"/>
  <c r="FC14" i="40" s="1"/>
  <c r="FD14" i="40" s="1"/>
  <c r="FE14" i="40" s="1"/>
  <c r="FF14" i="40" s="1"/>
  <c r="FG14" i="40" s="1"/>
  <c r="FH14" i="40" s="1"/>
  <c r="FI14" i="40" s="1"/>
  <c r="FJ14" i="40" s="1"/>
  <c r="FK14" i="40" s="1"/>
  <c r="FL14" i="40" s="1"/>
  <c r="FM14" i="40" s="1"/>
  <c r="FN14" i="40" s="1"/>
  <c r="FO14" i="40" s="1"/>
  <c r="FP14" i="40" s="1"/>
  <c r="FQ14" i="40" s="1"/>
  <c r="FR14" i="40" s="1"/>
  <c r="FS14" i="40" s="1"/>
  <c r="FT14" i="40" s="1"/>
  <c r="FU14" i="40" s="1"/>
  <c r="FV14" i="40" s="1"/>
  <c r="FW14" i="40" s="1"/>
  <c r="FX14" i="40" s="1"/>
  <c r="FY14" i="40" s="1"/>
  <c r="FZ14" i="40" s="1"/>
  <c r="GA14" i="40" s="1"/>
  <c r="GB14" i="40" s="1"/>
  <c r="GC14" i="40" s="1"/>
  <c r="GD14" i="40" s="1"/>
  <c r="GE14" i="40" s="1"/>
  <c r="GF14" i="40" s="1"/>
  <c r="GG14" i="40" s="1"/>
  <c r="GH14" i="40" s="1"/>
  <c r="GI14" i="40" s="1"/>
  <c r="GJ14" i="40" s="1"/>
  <c r="GK14" i="40" s="1"/>
  <c r="GL14" i="40" s="1"/>
  <c r="GM14" i="40" s="1"/>
  <c r="GN14" i="40" s="1"/>
  <c r="GO14" i="40" s="1"/>
  <c r="GP14" i="40" s="1"/>
  <c r="GQ14" i="40" s="1"/>
  <c r="GR14" i="40" s="1"/>
  <c r="GS14" i="40" s="1"/>
  <c r="GT14" i="40" s="1"/>
  <c r="GU14" i="40" s="1"/>
  <c r="GV14" i="40" s="1"/>
  <c r="GW14" i="40" s="1"/>
  <c r="GX14" i="40" s="1"/>
  <c r="GY14" i="40" s="1"/>
  <c r="GZ14" i="40" s="1"/>
  <c r="HA14" i="40" s="1"/>
  <c r="HB14" i="40" s="1"/>
  <c r="HC14" i="40" s="1"/>
  <c r="G34" i="30"/>
  <c r="F88" i="30"/>
  <c r="G36" i="30"/>
  <c r="F90" i="30"/>
  <c r="Z7" i="30" a="1"/>
  <c r="Z61" i="30" s="1"/>
  <c r="AB7" i="30" a="1"/>
  <c r="AB61" i="30" s="1"/>
  <c r="Y7" i="30" a="1"/>
  <c r="Y61" i="30" s="1"/>
  <c r="EB15" i="40"/>
  <c r="B15" i="19"/>
  <c r="D13" i="30"/>
  <c r="D67" i="30" s="1"/>
  <c r="C33" i="30"/>
  <c r="C87" i="30" s="1"/>
  <c r="D26" i="30"/>
  <c r="D80" i="30" s="1"/>
  <c r="E3" i="30"/>
  <c r="E57" i="30" s="1"/>
  <c r="D2" i="18" s="1"/>
  <c r="E25" i="30"/>
  <c r="E79" i="30" s="1"/>
  <c r="E5" i="30"/>
  <c r="E59" i="30" s="1"/>
  <c r="D5" i="18" s="1"/>
  <c r="I26" i="30"/>
  <c r="I80" i="30" s="1"/>
  <c r="E8" i="30"/>
  <c r="E62" i="30" s="1"/>
  <c r="F11" i="30"/>
  <c r="F65" i="30" s="1"/>
  <c r="E11" i="18" s="1"/>
  <c r="J8" i="30"/>
  <c r="J62" i="30" s="1"/>
  <c r="F10" i="30"/>
  <c r="F64" i="30" s="1"/>
  <c r="E10" i="18" s="1"/>
  <c r="F28" i="30"/>
  <c r="F82" i="30" s="1"/>
  <c r="F29" i="30"/>
  <c r="F83" i="30" s="1"/>
  <c r="D4" i="30"/>
  <c r="D58" i="30" s="1"/>
  <c r="C4" i="18" s="1"/>
  <c r="D15" i="30"/>
  <c r="D69" i="30" s="1"/>
  <c r="D14" i="30"/>
  <c r="D68" i="30" s="1"/>
  <c r="C14" i="18" s="1"/>
  <c r="G43" i="30"/>
  <c r="F97" i="30"/>
  <c r="H47" i="30"/>
  <c r="G101" i="30"/>
  <c r="AE7" i="30" a="1"/>
  <c r="AE61" i="30" s="1"/>
  <c r="H6" i="30"/>
  <c r="H60" i="30" s="1"/>
  <c r="G6" i="18" s="1"/>
  <c r="H9" i="30"/>
  <c r="H63" i="30" s="1"/>
  <c r="M7" i="30" a="1"/>
  <c r="M61" i="30" s="1"/>
  <c r="H18" i="30"/>
  <c r="H72" i="30" s="1"/>
  <c r="G18" i="18" s="1"/>
  <c r="H16" i="30"/>
  <c r="H70" i="30" s="1"/>
  <c r="G16" i="18" s="1"/>
  <c r="O7" i="30" a="1"/>
  <c r="O61" i="30" s="1"/>
  <c r="V7" i="30" a="1"/>
  <c r="V61" i="30" s="1"/>
  <c r="H12" i="30"/>
  <c r="H66" i="30" s="1"/>
  <c r="G12" i="18" s="1"/>
  <c r="H17" i="30"/>
  <c r="H71" i="30" s="1"/>
  <c r="G17" i="18" s="1"/>
  <c r="N7" i="30" a="1"/>
  <c r="N61" i="30" s="1"/>
  <c r="P7" i="30" a="1"/>
  <c r="P61" i="30" s="1"/>
  <c r="U7" i="30" a="1"/>
  <c r="U61" i="30" s="1"/>
  <c r="AD7" i="30" a="1"/>
  <c r="AD61" i="30" s="1"/>
  <c r="T7" i="30" a="1"/>
  <c r="T61" i="30" s="1"/>
  <c r="AF7" i="30" a="1"/>
  <c r="AF61" i="30" s="1"/>
  <c r="Q7" i="30" a="1"/>
  <c r="Q61" i="30" s="1"/>
  <c r="R7" i="30" a="1"/>
  <c r="R61" i="30" s="1"/>
  <c r="AC7" i="30" a="1"/>
  <c r="AC61" i="30" s="1"/>
  <c r="X7" i="30" a="1"/>
  <c r="X61" i="30" s="1"/>
  <c r="S7" i="30" a="1"/>
  <c r="S61" i="30" s="1"/>
  <c r="EC15" i="40" l="1"/>
  <c r="ED15" i="40" s="1"/>
  <c r="EE15" i="40" s="1"/>
  <c r="EF15" i="40" s="1"/>
  <c r="EG15" i="40" s="1"/>
  <c r="EH15" i="40" s="1"/>
  <c r="EI15" i="40" s="1"/>
  <c r="EJ15" i="40" s="1"/>
  <c r="EK15" i="40" s="1"/>
  <c r="EL15" i="40" s="1"/>
  <c r="EM15" i="40" s="1"/>
  <c r="EN15" i="40" s="1"/>
  <c r="EO15" i="40" s="1"/>
  <c r="EP15" i="40" s="1"/>
  <c r="EQ15" i="40" s="1"/>
  <c r="ER15" i="40" s="1"/>
  <c r="ES15" i="40" s="1"/>
  <c r="ET15" i="40" s="1"/>
  <c r="EU15" i="40" s="1"/>
  <c r="EV15" i="40" s="1"/>
  <c r="EW15" i="40" s="1"/>
  <c r="EX15" i="40" s="1"/>
  <c r="EY15" i="40" s="1"/>
  <c r="EZ15" i="40" s="1"/>
  <c r="FA15" i="40" s="1"/>
  <c r="FB15" i="40" s="1"/>
  <c r="FC15" i="40" s="1"/>
  <c r="FD15" i="40" s="1"/>
  <c r="FE15" i="40" s="1"/>
  <c r="FF15" i="40" s="1"/>
  <c r="FG15" i="40" s="1"/>
  <c r="FH15" i="40" s="1"/>
  <c r="FI15" i="40" s="1"/>
  <c r="FJ15" i="40" s="1"/>
  <c r="FK15" i="40" s="1"/>
  <c r="FL15" i="40" s="1"/>
  <c r="FM15" i="40" s="1"/>
  <c r="FN15" i="40" s="1"/>
  <c r="FO15" i="40" s="1"/>
  <c r="FP15" i="40" s="1"/>
  <c r="FQ15" i="40" s="1"/>
  <c r="FR15" i="40" s="1"/>
  <c r="FS15" i="40" s="1"/>
  <c r="FT15" i="40" s="1"/>
  <c r="FU15" i="40" s="1"/>
  <c r="FV15" i="40" s="1"/>
  <c r="FW15" i="40" s="1"/>
  <c r="FX15" i="40" s="1"/>
  <c r="FY15" i="40" s="1"/>
  <c r="FZ15" i="40" s="1"/>
  <c r="GA15" i="40" s="1"/>
  <c r="GB15" i="40" s="1"/>
  <c r="GC15" i="40" s="1"/>
  <c r="GD15" i="40" s="1"/>
  <c r="GE15" i="40" s="1"/>
  <c r="GF15" i="40" s="1"/>
  <c r="GG15" i="40" s="1"/>
  <c r="GH15" i="40" s="1"/>
  <c r="GI15" i="40" s="1"/>
  <c r="GJ15" i="40" s="1"/>
  <c r="GK15" i="40" s="1"/>
  <c r="GL15" i="40" s="1"/>
  <c r="GM15" i="40" s="1"/>
  <c r="GN15" i="40" s="1"/>
  <c r="GO15" i="40" s="1"/>
  <c r="GP15" i="40" s="1"/>
  <c r="GQ15" i="40" s="1"/>
  <c r="GR15" i="40" s="1"/>
  <c r="GS15" i="40" s="1"/>
  <c r="GT15" i="40" s="1"/>
  <c r="GU15" i="40" s="1"/>
  <c r="GV15" i="40" s="1"/>
  <c r="GW15" i="40" s="1"/>
  <c r="GX15" i="40" s="1"/>
  <c r="GY15" i="40" s="1"/>
  <c r="GZ15" i="40" s="1"/>
  <c r="HA15" i="40" s="1"/>
  <c r="HB15" i="40" s="1"/>
  <c r="HC15" i="40" s="1"/>
  <c r="EA15" i="40"/>
  <c r="DZ15" i="40" s="1"/>
  <c r="DY15" i="40" s="1"/>
  <c r="DX15" i="40" s="1"/>
  <c r="DW15" i="40" s="1"/>
  <c r="DV15" i="40" s="1"/>
  <c r="DU15" i="40" s="1"/>
  <c r="DT15" i="40" s="1"/>
  <c r="DS15" i="40" s="1"/>
  <c r="DR15" i="40" s="1"/>
  <c r="DQ15" i="40" s="1"/>
  <c r="DP15" i="40" s="1"/>
  <c r="DO15" i="40" s="1"/>
  <c r="DN15" i="40" s="1"/>
  <c r="DM15" i="40" s="1"/>
  <c r="DL15" i="40" s="1"/>
  <c r="DK15" i="40" s="1"/>
  <c r="DJ15" i="40" s="1"/>
  <c r="DI15" i="40" s="1"/>
  <c r="DH15" i="40" s="1"/>
  <c r="DG15" i="40" s="1"/>
  <c r="DF15" i="40" s="1"/>
  <c r="DE15" i="40" s="1"/>
  <c r="DD15" i="40" s="1"/>
  <c r="DC15" i="40" s="1"/>
  <c r="DB15" i="40" s="1"/>
  <c r="DA15" i="40" s="1"/>
  <c r="CZ15" i="40" s="1"/>
  <c r="CY15" i="40" s="1"/>
  <c r="CX15" i="40" s="1"/>
  <c r="CW15" i="40" s="1"/>
  <c r="CV15" i="40" s="1"/>
  <c r="CU15" i="40" s="1"/>
  <c r="CT15" i="40" s="1"/>
  <c r="CS15" i="40" s="1"/>
  <c r="CR15" i="40" s="1"/>
  <c r="CQ15" i="40" s="1"/>
  <c r="CP15" i="40" s="1"/>
  <c r="CO15" i="40" s="1"/>
  <c r="CN15" i="40" s="1"/>
  <c r="CM15" i="40" s="1"/>
  <c r="CL15" i="40" s="1"/>
  <c r="CK15" i="40" s="1"/>
  <c r="CJ15" i="40" s="1"/>
  <c r="CI15" i="40" s="1"/>
  <c r="CH15" i="40" s="1"/>
  <c r="CG15" i="40" s="1"/>
  <c r="CF15" i="40" s="1"/>
  <c r="CE15" i="40" s="1"/>
  <c r="CD15" i="40" s="1"/>
  <c r="CC15" i="40" s="1"/>
  <c r="CB15" i="40" s="1"/>
  <c r="CA15" i="40" s="1"/>
  <c r="BZ15" i="40" s="1"/>
  <c r="BY15" i="40" s="1"/>
  <c r="BX15" i="40" s="1"/>
  <c r="BW15" i="40" s="1"/>
  <c r="BV15" i="40" s="1"/>
  <c r="BU15" i="40" s="1"/>
  <c r="BT15" i="40" s="1"/>
  <c r="BS15" i="40" s="1"/>
  <c r="BR15" i="40" s="1"/>
  <c r="BQ15" i="40" s="1"/>
  <c r="BP15" i="40" s="1"/>
  <c r="BO15" i="40" s="1"/>
  <c r="BN15" i="40" s="1"/>
  <c r="BM15" i="40" s="1"/>
  <c r="BL15" i="40" s="1"/>
  <c r="BK15" i="40" s="1"/>
  <c r="BJ15" i="40" s="1"/>
  <c r="BI15" i="40" s="1"/>
  <c r="BH15" i="40" s="1"/>
  <c r="BG15" i="40" s="1"/>
  <c r="BF15" i="40" s="1"/>
  <c r="BE15" i="40" s="1"/>
  <c r="BD15" i="40" s="1"/>
  <c r="BC15" i="40" s="1"/>
  <c r="BB15" i="40" s="1"/>
  <c r="BA15" i="40" s="1"/>
  <c r="AZ15" i="40" s="1"/>
  <c r="AY15" i="40" s="1"/>
  <c r="AX15" i="40" s="1"/>
  <c r="AW15" i="40" s="1"/>
  <c r="AV15" i="40" s="1"/>
  <c r="AU15" i="40" s="1"/>
  <c r="AT15" i="40" s="1"/>
  <c r="AS15" i="40" s="1"/>
  <c r="AR15" i="40" s="1"/>
  <c r="AQ15" i="40" s="1"/>
  <c r="AP15" i="40" s="1"/>
  <c r="AO15" i="40" s="1"/>
  <c r="AN15" i="40" s="1"/>
  <c r="AM15" i="40" s="1"/>
  <c r="AL15" i="40" s="1"/>
  <c r="AK15" i="40" s="1"/>
  <c r="AJ15" i="40" s="1"/>
  <c r="AI15" i="40" s="1"/>
  <c r="AH15" i="40" s="1"/>
  <c r="AG15" i="40" s="1"/>
  <c r="AF15" i="40" s="1"/>
  <c r="AE15" i="40" s="1"/>
  <c r="AD15" i="40" s="1"/>
  <c r="AC15" i="40" s="1"/>
  <c r="AB15" i="40" s="1"/>
  <c r="AA15" i="40" s="1"/>
  <c r="Z15" i="40" s="1"/>
  <c r="Y15" i="40" s="1"/>
  <c r="X15" i="40" s="1"/>
  <c r="W15" i="40" s="1"/>
  <c r="V15" i="40" s="1"/>
  <c r="U15" i="40" s="1"/>
  <c r="T15" i="40" s="1"/>
  <c r="S15" i="40" s="1"/>
  <c r="R15" i="40" s="1"/>
  <c r="Q15" i="40" s="1"/>
  <c r="P15" i="40" s="1"/>
  <c r="O15" i="40" s="1"/>
  <c r="N15" i="40" s="1"/>
  <c r="M15" i="40" s="1"/>
  <c r="L15" i="40" s="1"/>
  <c r="K15" i="40" s="1"/>
  <c r="J15" i="40" s="1"/>
  <c r="I15" i="40" s="1"/>
  <c r="H15" i="40" s="1"/>
  <c r="G15" i="40" s="1"/>
  <c r="F15" i="40" s="1"/>
  <c r="E15" i="40" s="1"/>
  <c r="D15" i="40" s="1"/>
  <c r="C15" i="40" s="1"/>
  <c r="B15" i="40" s="1"/>
  <c r="H34" i="30"/>
  <c r="G88" i="30"/>
  <c r="H32" i="30"/>
  <c r="G86" i="30"/>
  <c r="H36" i="30"/>
  <c r="G90" i="30"/>
  <c r="H23" i="30"/>
  <c r="G77" i="30"/>
  <c r="H35" i="30"/>
  <c r="G89" i="30"/>
  <c r="H21" i="30"/>
  <c r="G75" i="30"/>
  <c r="H30" i="30"/>
  <c r="G84" i="30"/>
  <c r="H31" i="30"/>
  <c r="G85" i="30"/>
  <c r="H22" i="30"/>
  <c r="G76" i="30"/>
  <c r="C3" i="18"/>
  <c r="C13" i="18"/>
  <c r="D20" i="19"/>
  <c r="T20" i="19"/>
  <c r="S20" i="19"/>
  <c r="U20" i="19"/>
  <c r="V20" i="19"/>
  <c r="W20" i="19"/>
  <c r="X20" i="19"/>
  <c r="I20" i="19"/>
  <c r="R20" i="19"/>
  <c r="J20" i="19"/>
  <c r="K20" i="19"/>
  <c r="AA20" i="19"/>
  <c r="L20" i="19"/>
  <c r="AD20" i="19"/>
  <c r="O20" i="19"/>
  <c r="Y20" i="19"/>
  <c r="Q20" i="19"/>
  <c r="H20" i="19"/>
  <c r="Z20" i="19"/>
  <c r="AB20" i="19"/>
  <c r="AC20" i="19"/>
  <c r="N20" i="19"/>
  <c r="G20" i="19"/>
  <c r="M20" i="19"/>
  <c r="E20" i="19"/>
  <c r="F20" i="19"/>
  <c r="C20" i="19"/>
  <c r="AE20" i="19"/>
  <c r="P20" i="19"/>
  <c r="K48" i="30"/>
  <c r="J102" i="30"/>
  <c r="U48" i="30" a="1"/>
  <c r="U102" i="30" s="1"/>
  <c r="AF48" i="30" a="1"/>
  <c r="AF102" i="30" s="1"/>
  <c r="O48" i="30" a="1"/>
  <c r="O102" i="30" s="1"/>
  <c r="W48" i="30" a="1"/>
  <c r="W102" i="30" s="1"/>
  <c r="Y48" i="30" a="1"/>
  <c r="Y102" i="30" s="1"/>
  <c r="Z48" i="30" a="1"/>
  <c r="Z102" i="30" s="1"/>
  <c r="P48" i="30" a="1"/>
  <c r="P102" i="30" s="1"/>
  <c r="N48" i="30" a="1"/>
  <c r="N102" i="30" s="1"/>
  <c r="S22" i="19"/>
  <c r="T22" i="19"/>
  <c r="U22" i="19"/>
  <c r="V22" i="19"/>
  <c r="D22" i="19"/>
  <c r="Y22" i="19"/>
  <c r="Q22" i="19"/>
  <c r="F22" i="19"/>
  <c r="AA22" i="19"/>
  <c r="L22" i="19"/>
  <c r="AB22" i="19"/>
  <c r="W22" i="19"/>
  <c r="AE22" i="19"/>
  <c r="C22" i="19"/>
  <c r="P22" i="19"/>
  <c r="I22" i="19"/>
  <c r="E22" i="19"/>
  <c r="J22" i="19"/>
  <c r="Z22" i="19"/>
  <c r="R22" i="19"/>
  <c r="G22" i="19"/>
  <c r="N22" i="19"/>
  <c r="O22" i="19"/>
  <c r="K22" i="19"/>
  <c r="H22" i="19"/>
  <c r="M22" i="19"/>
  <c r="X22" i="19"/>
  <c r="AC22" i="19"/>
  <c r="AD22" i="19"/>
  <c r="H27" i="30"/>
  <c r="G81" i="30"/>
  <c r="H24" i="30"/>
  <c r="G78" i="30"/>
  <c r="C15" i="19"/>
  <c r="S15" i="19"/>
  <c r="U15" i="19"/>
  <c r="D15" i="19"/>
  <c r="AB15" i="19"/>
  <c r="L15" i="19"/>
  <c r="AE15" i="19"/>
  <c r="O15" i="19"/>
  <c r="T15" i="19"/>
  <c r="V15" i="19"/>
  <c r="AC15" i="19"/>
  <c r="W15" i="19"/>
  <c r="E15" i="19"/>
  <c r="X15" i="19"/>
  <c r="F15" i="19"/>
  <c r="J15" i="19"/>
  <c r="AD15" i="19"/>
  <c r="Q15" i="19"/>
  <c r="Z15" i="19"/>
  <c r="G15" i="19"/>
  <c r="AA15" i="19"/>
  <c r="H15" i="19"/>
  <c r="K15" i="19"/>
  <c r="M15" i="19"/>
  <c r="N15" i="19"/>
  <c r="P15" i="19"/>
  <c r="R15" i="19"/>
  <c r="Y15" i="19"/>
  <c r="I15" i="19"/>
  <c r="E14" i="30"/>
  <c r="E68" i="30" s="1"/>
  <c r="D14" i="18" s="1"/>
  <c r="G29" i="30"/>
  <c r="G83" i="30" s="1"/>
  <c r="G10" i="30"/>
  <c r="G64" i="30" s="1"/>
  <c r="F10" i="18" s="1"/>
  <c r="K8" i="30"/>
  <c r="K62" i="30" s="1"/>
  <c r="J26" i="30"/>
  <c r="J80" i="30" s="1"/>
  <c r="F25" i="30"/>
  <c r="E15" i="30"/>
  <c r="E69" i="30" s="1"/>
  <c r="G11" i="30"/>
  <c r="G65" i="30" s="1"/>
  <c r="F11" i="18" s="1"/>
  <c r="F5" i="30"/>
  <c r="F59" i="30" s="1"/>
  <c r="E5" i="18" s="1"/>
  <c r="D33" i="30"/>
  <c r="D87" i="30" s="1"/>
  <c r="E13" i="30"/>
  <c r="E67" i="30" s="1"/>
  <c r="E4" i="30"/>
  <c r="E58" i="30" s="1"/>
  <c r="D4" i="18" s="1"/>
  <c r="E26" i="30"/>
  <c r="E80" i="30" s="1"/>
  <c r="F3" i="30"/>
  <c r="F57" i="30" s="1"/>
  <c r="E2" i="18" s="1"/>
  <c r="G28" i="30"/>
  <c r="G82" i="30" s="1"/>
  <c r="F8" i="30"/>
  <c r="I47" i="30"/>
  <c r="H101" i="30"/>
  <c r="H43" i="30"/>
  <c r="G97" i="30"/>
  <c r="I17" i="30"/>
  <c r="I71" i="30" s="1"/>
  <c r="H17" i="18" s="1"/>
  <c r="I9" i="30"/>
  <c r="I63" i="30" s="1"/>
  <c r="I6" i="30"/>
  <c r="I60" i="30" s="1"/>
  <c r="H6" i="18" s="1"/>
  <c r="I16" i="30"/>
  <c r="I70" i="30" s="1"/>
  <c r="H16" i="18" s="1"/>
  <c r="I12" i="30"/>
  <c r="I66" i="30" s="1"/>
  <c r="H12" i="18" s="1"/>
  <c r="I18" i="30"/>
  <c r="I72" i="30" s="1"/>
  <c r="H18" i="18" s="1"/>
  <c r="I31" i="30" l="1"/>
  <c r="H85" i="30"/>
  <c r="I30" i="30"/>
  <c r="H84" i="30"/>
  <c r="I24" i="30"/>
  <c r="H78" i="30"/>
  <c r="I22" i="30"/>
  <c r="H76" i="30"/>
  <c r="I21" i="30"/>
  <c r="H75" i="30"/>
  <c r="K102" i="30"/>
  <c r="AD48" i="30" a="1"/>
  <c r="AD102" i="30" s="1"/>
  <c r="Q48" i="30" a="1"/>
  <c r="Q102" i="30" s="1"/>
  <c r="AB48" i="30" a="1"/>
  <c r="AB102" i="30" s="1"/>
  <c r="AC48" i="30" a="1"/>
  <c r="AC102" i="30" s="1"/>
  <c r="V48" i="30" a="1"/>
  <c r="V102" i="30" s="1"/>
  <c r="AE48" i="30" a="1"/>
  <c r="AE102" i="30" s="1"/>
  <c r="X48" i="30" a="1"/>
  <c r="X102" i="30" s="1"/>
  <c r="AA48" i="30" a="1"/>
  <c r="AA102" i="30" s="1"/>
  <c r="T48" i="30" a="1"/>
  <c r="T102" i="30" s="1"/>
  <c r="M48" i="30" a="1"/>
  <c r="M102" i="30" s="1"/>
  <c r="S48" i="30" a="1"/>
  <c r="S102" i="30" s="1"/>
  <c r="R48" i="30" a="1"/>
  <c r="R102" i="30" s="1"/>
  <c r="Q8" i="30" a="1"/>
  <c r="Q62" i="30" s="1"/>
  <c r="F62" i="30"/>
  <c r="D3" i="18"/>
  <c r="D13" i="18"/>
  <c r="I35" i="30"/>
  <c r="H89" i="30"/>
  <c r="I36" i="30"/>
  <c r="H90" i="30"/>
  <c r="AC25" i="30" a="1"/>
  <c r="AC79" i="30" s="1"/>
  <c r="F79" i="30"/>
  <c r="I23" i="30"/>
  <c r="H77" i="30"/>
  <c r="I32" i="30"/>
  <c r="H86" i="30"/>
  <c r="I34" i="30"/>
  <c r="H88" i="30"/>
  <c r="AC8" i="30" a="1"/>
  <c r="AC62" i="30" s="1"/>
  <c r="I27" i="30"/>
  <c r="H81" i="30"/>
  <c r="O8" i="30" a="1"/>
  <c r="O62" i="30" s="1"/>
  <c r="M8" i="30" a="1"/>
  <c r="M62" i="30" s="1"/>
  <c r="W8" i="30" a="1"/>
  <c r="W62" i="30" s="1"/>
  <c r="P8" i="30" a="1"/>
  <c r="P62" i="30" s="1"/>
  <c r="AA25" i="30" a="1"/>
  <c r="AA79" i="30" s="1"/>
  <c r="R8" i="30" a="1"/>
  <c r="R62" i="30" s="1"/>
  <c r="X25" i="30" a="1"/>
  <c r="X79" i="30" s="1"/>
  <c r="V8" i="30" a="1"/>
  <c r="V62" i="30" s="1"/>
  <c r="S25" i="30" a="1"/>
  <c r="S79" i="30" s="1"/>
  <c r="T25" i="30" a="1"/>
  <c r="T79" i="30" s="1"/>
  <c r="U8" i="30" a="1"/>
  <c r="U62" i="30" s="1"/>
  <c r="R25" i="30" a="1"/>
  <c r="R79" i="30" s="1"/>
  <c r="AB25" i="30" a="1"/>
  <c r="AB79" i="30" s="1"/>
  <c r="N25" i="30" a="1"/>
  <c r="N79" i="30" s="1"/>
  <c r="P25" i="30" a="1"/>
  <c r="P79" i="30" s="1"/>
  <c r="S8" i="30" a="1"/>
  <c r="S62" i="30" s="1"/>
  <c r="T8" i="30" a="1"/>
  <c r="T62" i="30" s="1"/>
  <c r="AF25" i="30" a="1"/>
  <c r="AF79" i="30" s="1"/>
  <c r="X8" i="30" a="1"/>
  <c r="X62" i="30" s="1"/>
  <c r="V25" i="30" a="1"/>
  <c r="V79" i="30" s="1"/>
  <c r="H28" i="30"/>
  <c r="H82" i="30" s="1"/>
  <c r="G3" i="30"/>
  <c r="G57" i="30" s="1"/>
  <c r="F2" i="18" s="1"/>
  <c r="F4" i="30"/>
  <c r="F58" i="30" s="1"/>
  <c r="E4" i="18" s="1"/>
  <c r="H10" i="30"/>
  <c r="H64" i="30" s="1"/>
  <c r="G10" i="18" s="1"/>
  <c r="F13" i="30"/>
  <c r="F67" i="30" s="1"/>
  <c r="G5" i="30"/>
  <c r="G59" i="30" s="1"/>
  <c r="F5" i="18" s="1"/>
  <c r="H11" i="30"/>
  <c r="H65" i="30" s="1"/>
  <c r="G11" i="18" s="1"/>
  <c r="Z8" i="30" a="1"/>
  <c r="Z62" i="30" s="1"/>
  <c r="U25" i="30" a="1"/>
  <c r="U79" i="30" s="1"/>
  <c r="O25" i="30" a="1"/>
  <c r="O79" i="30" s="1"/>
  <c r="M25" i="30" a="1"/>
  <c r="M79" i="30" s="1"/>
  <c r="Q25" i="30" a="1"/>
  <c r="Q79" i="30" s="1"/>
  <c r="Y25" i="30" a="1"/>
  <c r="Y79" i="30" s="1"/>
  <c r="AD25" i="30" a="1"/>
  <c r="AD79" i="30" s="1"/>
  <c r="F26" i="30"/>
  <c r="F80" i="30" s="1"/>
  <c r="E33" i="30"/>
  <c r="E87" i="30" s="1"/>
  <c r="F15" i="30"/>
  <c r="F69" i="30" s="1"/>
  <c r="K26" i="30"/>
  <c r="K80" i="30" s="1"/>
  <c r="H29" i="30"/>
  <c r="H83" i="30" s="1"/>
  <c r="AD8" i="30" a="1"/>
  <c r="AD62" i="30" s="1"/>
  <c r="AA8" i="30" a="1"/>
  <c r="AA62" i="30" s="1"/>
  <c r="Y8" i="30" a="1"/>
  <c r="Y62" i="30" s="1"/>
  <c r="AB8" i="30" a="1"/>
  <c r="AB62" i="30" s="1"/>
  <c r="N8" i="30" a="1"/>
  <c r="N62" i="30" s="1"/>
  <c r="AF8" i="30" a="1"/>
  <c r="AF62" i="30" s="1"/>
  <c r="W25" i="30" a="1"/>
  <c r="W79" i="30" s="1"/>
  <c r="Z25" i="30" a="1"/>
  <c r="Z79" i="30" s="1"/>
  <c r="AE8" i="30" a="1"/>
  <c r="AE62" i="30" s="1"/>
  <c r="AE25" i="30" a="1"/>
  <c r="AE79" i="30" s="1"/>
  <c r="F14" i="30"/>
  <c r="F68" i="30" s="1"/>
  <c r="E14" i="18" s="1"/>
  <c r="I43" i="30"/>
  <c r="H97" i="30"/>
  <c r="J47" i="30"/>
  <c r="I101" i="30"/>
  <c r="J12" i="30"/>
  <c r="J66" i="30" s="1"/>
  <c r="I12" i="18" s="1"/>
  <c r="J6" i="30"/>
  <c r="J60" i="30" s="1"/>
  <c r="I6" i="18" s="1"/>
  <c r="J9" i="30"/>
  <c r="J63" i="30" s="1"/>
  <c r="J17" i="30"/>
  <c r="J71" i="30" s="1"/>
  <c r="I17" i="18" s="1"/>
  <c r="J16" i="30"/>
  <c r="J70" i="30" s="1"/>
  <c r="I16" i="18" s="1"/>
  <c r="J18" i="30"/>
  <c r="J72" i="30" s="1"/>
  <c r="I18" i="18" s="1"/>
  <c r="J34" i="30" l="1"/>
  <c r="I88" i="30"/>
  <c r="E13" i="18"/>
  <c r="E3" i="18"/>
  <c r="J30" i="30"/>
  <c r="I84" i="30"/>
  <c r="J32" i="30"/>
  <c r="I86" i="30"/>
  <c r="J21" i="30"/>
  <c r="I75" i="30"/>
  <c r="J23" i="30"/>
  <c r="I77" i="30"/>
  <c r="J36" i="30"/>
  <c r="I90" i="30"/>
  <c r="J24" i="30"/>
  <c r="I78" i="30"/>
  <c r="J27" i="30"/>
  <c r="I81" i="30"/>
  <c r="J22" i="30"/>
  <c r="I76" i="30"/>
  <c r="J31" i="30"/>
  <c r="I85" i="30"/>
  <c r="J35" i="30"/>
  <c r="I89" i="30"/>
  <c r="AF26" i="30" a="1"/>
  <c r="AF80" i="30" s="1"/>
  <c r="P26" i="30" a="1"/>
  <c r="P80" i="30" s="1"/>
  <c r="I29" i="30"/>
  <c r="I83" i="30" s="1"/>
  <c r="AC26" i="30" a="1"/>
  <c r="AC80" i="30" s="1"/>
  <c r="I11" i="30"/>
  <c r="I65" i="30" s="1"/>
  <c r="H11" i="18" s="1"/>
  <c r="W26" i="30" a="1"/>
  <c r="W80" i="30" s="1"/>
  <c r="AD26" i="30" a="1"/>
  <c r="AD80" i="30" s="1"/>
  <c r="Q26" i="30" a="1"/>
  <c r="Q80" i="30" s="1"/>
  <c r="Y26" i="30" a="1"/>
  <c r="Y80" i="30" s="1"/>
  <c r="Z26" i="30" a="1"/>
  <c r="Z80" i="30" s="1"/>
  <c r="R26" i="30" a="1"/>
  <c r="R80" i="30" s="1"/>
  <c r="AA26" i="30" a="1"/>
  <c r="AA80" i="30" s="1"/>
  <c r="H5" i="30"/>
  <c r="H59" i="30" s="1"/>
  <c r="G5" i="18" s="1"/>
  <c r="H3" i="30"/>
  <c r="H57" i="30" s="1"/>
  <c r="G2" i="18" s="1"/>
  <c r="X26" i="30" a="1"/>
  <c r="X80" i="30" s="1"/>
  <c r="G4" i="30"/>
  <c r="G58" i="30" s="1"/>
  <c r="F4" i="18" s="1"/>
  <c r="O26" i="30" a="1"/>
  <c r="O80" i="30" s="1"/>
  <c r="U26" i="30" a="1"/>
  <c r="U80" i="30" s="1"/>
  <c r="G13" i="30"/>
  <c r="G67" i="30" s="1"/>
  <c r="G14" i="30"/>
  <c r="G68" i="30" s="1"/>
  <c r="F14" i="18" s="1"/>
  <c r="AE26" i="30" a="1"/>
  <c r="AE80" i="30" s="1"/>
  <c r="G15" i="30"/>
  <c r="G69" i="30" s="1"/>
  <c r="AB26" i="30" a="1"/>
  <c r="AB80" i="30" s="1"/>
  <c r="I10" i="30"/>
  <c r="I64" i="30" s="1"/>
  <c r="H10" i="18" s="1"/>
  <c r="V26" i="30" a="1"/>
  <c r="V80" i="30" s="1"/>
  <c r="S26" i="30" a="1"/>
  <c r="S80" i="30" s="1"/>
  <c r="F33" i="30"/>
  <c r="F87" i="30" s="1"/>
  <c r="N26" i="30" a="1"/>
  <c r="N80" i="30" s="1"/>
  <c r="M26" i="30" a="1"/>
  <c r="M80" i="30" s="1"/>
  <c r="T26" i="30" a="1"/>
  <c r="T80" i="30" s="1"/>
  <c r="I28" i="30"/>
  <c r="I82" i="30" s="1"/>
  <c r="K47" i="30"/>
  <c r="AE47" i="30" s="1" a="1"/>
  <c r="AE101" i="30" s="1"/>
  <c r="J101" i="30"/>
  <c r="V47" i="30" a="1"/>
  <c r="V101" i="30" s="1"/>
  <c r="T47" i="30" a="1"/>
  <c r="T101" i="30" s="1"/>
  <c r="S47" i="30" a="1"/>
  <c r="S101" i="30" s="1"/>
  <c r="U47" i="30" a="1"/>
  <c r="U101" i="30" s="1"/>
  <c r="Z47" i="30" a="1"/>
  <c r="Z101" i="30" s="1"/>
  <c r="AF47" i="30" a="1"/>
  <c r="AF101" i="30" s="1"/>
  <c r="P47" i="30" a="1"/>
  <c r="P101" i="30" s="1"/>
  <c r="AC47" i="30" a="1"/>
  <c r="AC101" i="30" s="1"/>
  <c r="J43" i="30"/>
  <c r="I97" i="30"/>
  <c r="K18" i="30"/>
  <c r="K72" i="30" s="1"/>
  <c r="J18" i="18" s="1"/>
  <c r="Z18" i="30" a="1"/>
  <c r="Z72" i="30" s="1"/>
  <c r="Y18" i="18" s="1"/>
  <c r="AC18" i="30" a="1"/>
  <c r="AC72" i="30" s="1"/>
  <c r="AB18" i="18" s="1"/>
  <c r="M18" i="30" a="1"/>
  <c r="M72" i="30" s="1"/>
  <c r="L18" i="18" s="1"/>
  <c r="AB18" i="30" a="1"/>
  <c r="AB72" i="30" s="1"/>
  <c r="AA18" i="18" s="1"/>
  <c r="W18" i="30" a="1"/>
  <c r="W72" i="30" s="1"/>
  <c r="V18" i="18" s="1"/>
  <c r="K17" i="30"/>
  <c r="S17" i="30" a="1"/>
  <c r="S71" i="30" s="1"/>
  <c r="R17" i="18" s="1"/>
  <c r="K6" i="30"/>
  <c r="K9" i="30"/>
  <c r="AB9" i="30" a="1"/>
  <c r="AB63" i="30" s="1"/>
  <c r="N9" i="30" a="1"/>
  <c r="N63" i="30" s="1"/>
  <c r="Z9" i="30" a="1"/>
  <c r="Z63" i="30" s="1"/>
  <c r="K12" i="30"/>
  <c r="K66" i="30" s="1"/>
  <c r="J12" i="18" s="1"/>
  <c r="T12" i="30" a="1"/>
  <c r="T66" i="30" s="1"/>
  <c r="S12" i="18" s="1"/>
  <c r="AA12" i="30" a="1"/>
  <c r="AA66" i="30" s="1"/>
  <c r="Z12" i="18" s="1"/>
  <c r="AF18" i="30" a="1"/>
  <c r="AF72" i="30" s="1"/>
  <c r="AE18" i="18" s="1"/>
  <c r="AF9" i="30" a="1"/>
  <c r="AF63" i="30" s="1"/>
  <c r="Q18" i="30" a="1"/>
  <c r="Q72" i="30" s="1"/>
  <c r="P18" i="18" s="1"/>
  <c r="P18" i="30" a="1"/>
  <c r="P72" i="30" s="1"/>
  <c r="O18" i="18" s="1"/>
  <c r="Y9" i="30" a="1"/>
  <c r="Y63" i="30" s="1"/>
  <c r="K16" i="30"/>
  <c r="K70" i="30" s="1"/>
  <c r="J16" i="18" s="1"/>
  <c r="O9" i="30" a="1"/>
  <c r="O63" i="30" s="1"/>
  <c r="K27" i="30" l="1"/>
  <c r="J81" i="30"/>
  <c r="W27" i="30" a="1"/>
  <c r="W81" i="30" s="1"/>
  <c r="S27" i="30" a="1"/>
  <c r="S81" i="30" s="1"/>
  <c r="Q27" i="30" a="1"/>
  <c r="Q81" i="30" s="1"/>
  <c r="U27" i="30" a="1"/>
  <c r="U81" i="30" s="1"/>
  <c r="AF27" i="30" a="1"/>
  <c r="AF81" i="30" s="1"/>
  <c r="R27" i="30" a="1"/>
  <c r="R81" i="30" s="1"/>
  <c r="K24" i="30"/>
  <c r="J78" i="30"/>
  <c r="R24" i="30" a="1"/>
  <c r="R78" i="30" s="1"/>
  <c r="P27" i="30" a="1"/>
  <c r="P81" i="30" s="1"/>
  <c r="M24" i="30" a="1"/>
  <c r="M78" i="30" s="1"/>
  <c r="K30" i="30"/>
  <c r="AF30" i="30" s="1" a="1"/>
  <c r="AF84" i="30" s="1"/>
  <c r="J84" i="30"/>
  <c r="AD27" i="30" a="1"/>
  <c r="AD81" i="30" s="1"/>
  <c r="Y12" i="30" a="1"/>
  <c r="Y66" i="30" s="1"/>
  <c r="X12" i="18" s="1"/>
  <c r="O27" i="30" a="1"/>
  <c r="O81" i="30" s="1"/>
  <c r="K22" i="30"/>
  <c r="AA22" i="30" s="1" a="1"/>
  <c r="AA76" i="30" s="1"/>
  <c r="J76" i="30"/>
  <c r="S22" i="30" a="1"/>
  <c r="S76" i="30" s="1"/>
  <c r="AB22" i="30" a="1"/>
  <c r="AB76" i="30" s="1"/>
  <c r="AD22" i="30" a="1"/>
  <c r="AD76" i="30" s="1"/>
  <c r="Y22" i="30" a="1"/>
  <c r="Y76" i="30" s="1"/>
  <c r="T27" i="30" a="1"/>
  <c r="T81" i="30" s="1"/>
  <c r="AE27" i="30" a="1"/>
  <c r="AE81" i="30" s="1"/>
  <c r="Z27" i="30" a="1"/>
  <c r="Z81" i="30" s="1"/>
  <c r="W47" i="30" a="1"/>
  <c r="W101" i="30" s="1"/>
  <c r="K31" i="30"/>
  <c r="R31" i="30" s="1" a="1"/>
  <c r="R85" i="30" s="1"/>
  <c r="J85" i="30"/>
  <c r="AC31" i="30" a="1"/>
  <c r="AC85" i="30" s="1"/>
  <c r="AF31" i="30" a="1"/>
  <c r="AF85" i="30" s="1"/>
  <c r="AB31" i="30" a="1"/>
  <c r="AB85" i="30" s="1"/>
  <c r="T31" i="30" a="1"/>
  <c r="T85" i="30" s="1"/>
  <c r="X9" i="30" a="1"/>
  <c r="X63" i="30" s="1"/>
  <c r="K63" i="30"/>
  <c r="K34" i="30"/>
  <c r="J88" i="30"/>
  <c r="U6" i="30" a="1"/>
  <c r="U60" i="30" s="1"/>
  <c r="T6" i="18" s="1"/>
  <c r="K60" i="30"/>
  <c r="J6" i="18" s="1"/>
  <c r="Q34" i="30" a="1"/>
  <c r="Q88" i="30" s="1"/>
  <c r="AA18" i="30" a="1"/>
  <c r="AA72" i="30" s="1"/>
  <c r="Z18" i="18" s="1"/>
  <c r="X47" i="30" a="1"/>
  <c r="X101" i="30" s="1"/>
  <c r="M27" i="30" a="1"/>
  <c r="M81" i="30" s="1"/>
  <c r="K32" i="30"/>
  <c r="J86" i="30"/>
  <c r="AF32" i="30" a="1"/>
  <c r="AF86" i="30" s="1"/>
  <c r="T32" i="30" a="1"/>
  <c r="T86" i="30" s="1"/>
  <c r="S32" i="30" a="1"/>
  <c r="S86" i="30" s="1"/>
  <c r="AE32" i="30" a="1"/>
  <c r="AE86" i="30" s="1"/>
  <c r="W32" i="30" a="1"/>
  <c r="W86" i="30" s="1"/>
  <c r="AF34" i="30" a="1"/>
  <c r="AF88" i="30" s="1"/>
  <c r="K21" i="30"/>
  <c r="J75" i="30"/>
  <c r="F13" i="18"/>
  <c r="F3" i="18"/>
  <c r="R47" i="30" a="1"/>
  <c r="R101" i="30" s="1"/>
  <c r="AB27" i="30" a="1"/>
  <c r="AB81" i="30" s="1"/>
  <c r="N47" i="30" a="1"/>
  <c r="N101" i="30" s="1"/>
  <c r="AA27" i="30" a="1"/>
  <c r="AA81" i="30" s="1"/>
  <c r="Y18" i="30" a="1"/>
  <c r="Y72" i="30" s="1"/>
  <c r="X18" i="18" s="1"/>
  <c r="AD47" i="30" a="1"/>
  <c r="AD101" i="30" s="1"/>
  <c r="AC22" i="30" a="1"/>
  <c r="AC76" i="30" s="1"/>
  <c r="K36" i="30"/>
  <c r="M36" i="30" s="1" a="1"/>
  <c r="M90" i="30" s="1"/>
  <c r="J90" i="30"/>
  <c r="O47" i="30" a="1"/>
  <c r="O101" i="30" s="1"/>
  <c r="V22" i="30" a="1"/>
  <c r="V76" i="30" s="1"/>
  <c r="W17" i="30" a="1"/>
  <c r="W71" i="30" s="1"/>
  <c r="V17" i="18" s="1"/>
  <c r="K71" i="30"/>
  <c r="J17" i="18" s="1"/>
  <c r="O12" i="30" a="1"/>
  <c r="O66" i="30" s="1"/>
  <c r="N12" i="18" s="1"/>
  <c r="AD18" i="30" a="1"/>
  <c r="AD72" i="30" s="1"/>
  <c r="AC18" i="18" s="1"/>
  <c r="K35" i="30"/>
  <c r="J89" i="30"/>
  <c r="N35" i="30" a="1"/>
  <c r="N89" i="30" s="1"/>
  <c r="Q35" i="30" a="1"/>
  <c r="Q89" i="30" s="1"/>
  <c r="AB35" i="30" a="1"/>
  <c r="AB89" i="30" s="1"/>
  <c r="V35" i="30" a="1"/>
  <c r="V89" i="30" s="1"/>
  <c r="AF35" i="30" a="1"/>
  <c r="AF89" i="30" s="1"/>
  <c r="Z35" i="30" a="1"/>
  <c r="Z89" i="30" s="1"/>
  <c r="T35" i="30" a="1"/>
  <c r="T89" i="30" s="1"/>
  <c r="AC35" i="30" a="1"/>
  <c r="AC89" i="30" s="1"/>
  <c r="Y35" i="30" a="1"/>
  <c r="Y89" i="30" s="1"/>
  <c r="P35" i="30" a="1"/>
  <c r="P89" i="30" s="1"/>
  <c r="AD35" i="30" a="1"/>
  <c r="AD89" i="30" s="1"/>
  <c r="AA35" i="30" a="1"/>
  <c r="AA89" i="30" s="1"/>
  <c r="W35" i="30" a="1"/>
  <c r="W89" i="30" s="1"/>
  <c r="M35" i="30" a="1"/>
  <c r="M89" i="30" s="1"/>
  <c r="K23" i="30"/>
  <c r="J77" i="30"/>
  <c r="P23" i="30" a="1"/>
  <c r="P77" i="30" s="1"/>
  <c r="M23" i="30" a="1"/>
  <c r="M77" i="30" s="1"/>
  <c r="AD23" i="30" a="1"/>
  <c r="AD77" i="30" s="1"/>
  <c r="AF23" i="30" a="1"/>
  <c r="AF77" i="30" s="1"/>
  <c r="AA23" i="30" a="1"/>
  <c r="AA77" i="30" s="1"/>
  <c r="AB23" i="30" a="1"/>
  <c r="AB77" i="30" s="1"/>
  <c r="AE23" i="30" a="1"/>
  <c r="AE77" i="30" s="1"/>
  <c r="S23" i="30" a="1"/>
  <c r="S77" i="30" s="1"/>
  <c r="V23" i="30" a="1"/>
  <c r="V77" i="30" s="1"/>
  <c r="U23" i="30" a="1"/>
  <c r="U77" i="30" s="1"/>
  <c r="AC23" i="30" a="1"/>
  <c r="AC77" i="30" s="1"/>
  <c r="T23" i="30" a="1"/>
  <c r="T77" i="30" s="1"/>
  <c r="R23" i="30" a="1"/>
  <c r="R77" i="30" s="1"/>
  <c r="N23" i="30" a="1"/>
  <c r="N77" i="30" s="1"/>
  <c r="O23" i="30" a="1"/>
  <c r="O77" i="30" s="1"/>
  <c r="Q23" i="30" a="1"/>
  <c r="Q77" i="30" s="1"/>
  <c r="J10" i="30"/>
  <c r="J64" i="30" s="1"/>
  <c r="I10" i="18" s="1"/>
  <c r="I3" i="30"/>
  <c r="I57" i="30" s="1"/>
  <c r="H2" i="18" s="1"/>
  <c r="J11" i="30"/>
  <c r="J65" i="30" s="1"/>
  <c r="I11" i="18" s="1"/>
  <c r="J28" i="30"/>
  <c r="J82" i="30" s="1"/>
  <c r="H4" i="30"/>
  <c r="H58" i="30" s="1"/>
  <c r="G4" i="18" s="1"/>
  <c r="H15" i="30"/>
  <c r="H69" i="30" s="1"/>
  <c r="I5" i="30"/>
  <c r="I59" i="30" s="1"/>
  <c r="H5" i="18" s="1"/>
  <c r="G33" i="30"/>
  <c r="G87" i="30" s="1"/>
  <c r="H14" i="30"/>
  <c r="H68" i="30" s="1"/>
  <c r="G14" i="18" s="1"/>
  <c r="J29" i="30"/>
  <c r="J83" i="30" s="1"/>
  <c r="H13" i="30"/>
  <c r="H67" i="30" s="1"/>
  <c r="K43" i="30"/>
  <c r="P43" i="30" s="1" a="1"/>
  <c r="P97" i="30" s="1"/>
  <c r="J97" i="30"/>
  <c r="K101" i="30"/>
  <c r="AB47" i="30" a="1"/>
  <c r="AB101" i="30" s="1"/>
  <c r="Y47" i="30" a="1"/>
  <c r="Y101" i="30" s="1"/>
  <c r="M47" i="30" a="1"/>
  <c r="M101" i="30" s="1"/>
  <c r="Q47" i="30" a="1"/>
  <c r="Q101" i="30" s="1"/>
  <c r="AA47" i="30" a="1"/>
  <c r="AA101" i="30" s="1"/>
  <c r="P17" i="30" a="1"/>
  <c r="P71" i="30" s="1"/>
  <c r="O17" i="18" s="1"/>
  <c r="V17" i="30" a="1"/>
  <c r="V71" i="30" s="1"/>
  <c r="U17" i="18" s="1"/>
  <c r="U17" i="30" a="1"/>
  <c r="U71" i="30" s="1"/>
  <c r="T17" i="18" s="1"/>
  <c r="Q17" i="30" a="1"/>
  <c r="Q71" i="30" s="1"/>
  <c r="P17" i="18" s="1"/>
  <c r="AD17" i="30" a="1"/>
  <c r="AD71" i="30" s="1"/>
  <c r="AC17" i="18" s="1"/>
  <c r="N17" i="30" a="1"/>
  <c r="N71" i="30" s="1"/>
  <c r="M17" i="18" s="1"/>
  <c r="U9" i="30" a="1"/>
  <c r="U63" i="30" s="1"/>
  <c r="X17" i="30" a="1"/>
  <c r="X71" i="30" s="1"/>
  <c r="W17" i="18" s="1"/>
  <c r="AE9" i="30" a="1"/>
  <c r="AE63" i="30" s="1"/>
  <c r="AF17" i="30" a="1"/>
  <c r="AF71" i="30" s="1"/>
  <c r="AE17" i="18" s="1"/>
  <c r="T17" i="30" a="1"/>
  <c r="T71" i="30" s="1"/>
  <c r="S17" i="18" s="1"/>
  <c r="Q9" i="30" a="1"/>
  <c r="Q63" i="30" s="1"/>
  <c r="R9" i="30" a="1"/>
  <c r="R63" i="30" s="1"/>
  <c r="Y17" i="30" a="1"/>
  <c r="Y71" i="30" s="1"/>
  <c r="X17" i="18" s="1"/>
  <c r="AE16" i="30" a="1"/>
  <c r="AE70" i="30" s="1"/>
  <c r="AD16" i="18" s="1"/>
  <c r="AD16" i="30" a="1"/>
  <c r="AD70" i="30" s="1"/>
  <c r="AC16" i="18" s="1"/>
  <c r="S16" i="30" a="1"/>
  <c r="S70" i="30" s="1"/>
  <c r="R16" i="18" s="1"/>
  <c r="W16" i="30" a="1"/>
  <c r="W70" i="30" s="1"/>
  <c r="V16" i="18" s="1"/>
  <c r="O16" i="30" a="1"/>
  <c r="O70" i="30" s="1"/>
  <c r="N16" i="18" s="1"/>
  <c r="AA16" i="30" a="1"/>
  <c r="AA70" i="30" s="1"/>
  <c r="Z16" i="18" s="1"/>
  <c r="U16" i="30" a="1"/>
  <c r="U70" i="30" s="1"/>
  <c r="T16" i="18" s="1"/>
  <c r="M16" i="30" a="1"/>
  <c r="M70" i="30" s="1"/>
  <c r="L16" i="18" s="1"/>
  <c r="Z16" i="30" a="1"/>
  <c r="Z70" i="30" s="1"/>
  <c r="Y16" i="18" s="1"/>
  <c r="R16" i="30" a="1"/>
  <c r="R70" i="30" s="1"/>
  <c r="Q16" i="18" s="1"/>
  <c r="T16" i="30" a="1"/>
  <c r="T70" i="30" s="1"/>
  <c r="S16" i="18" s="1"/>
  <c r="Q16" i="30" a="1"/>
  <c r="Q70" i="30" s="1"/>
  <c r="P16" i="18" s="1"/>
  <c r="AC16" i="30" a="1"/>
  <c r="AC70" i="30" s="1"/>
  <c r="AB16" i="18" s="1"/>
  <c r="X16" i="30" a="1"/>
  <c r="X70" i="30" s="1"/>
  <c r="W16" i="18" s="1"/>
  <c r="AF16" i="30" a="1"/>
  <c r="AF70" i="30" s="1"/>
  <c r="AE16" i="18" s="1"/>
  <c r="P16" i="30" a="1"/>
  <c r="P70" i="30" s="1"/>
  <c r="O16" i="18" s="1"/>
  <c r="V16" i="30" a="1"/>
  <c r="V70" i="30" s="1"/>
  <c r="U16" i="18" s="1"/>
  <c r="N16" i="30" a="1"/>
  <c r="N70" i="30" s="1"/>
  <c r="M16" i="18" s="1"/>
  <c r="AB16" i="30" a="1"/>
  <c r="AB70" i="30" s="1"/>
  <c r="AA16" i="18" s="1"/>
  <c r="Y16" i="30" a="1"/>
  <c r="Y70" i="30" s="1"/>
  <c r="X16" i="18" s="1"/>
  <c r="R6" i="30" a="1"/>
  <c r="R60" i="30" s="1"/>
  <c r="Q6" i="18" s="1"/>
  <c r="P9" i="30" a="1"/>
  <c r="P63" i="30" s="1"/>
  <c r="AD9" i="30" a="1"/>
  <c r="AD63" i="30" s="1"/>
  <c r="W9" i="30" a="1"/>
  <c r="W63" i="30" s="1"/>
  <c r="M9" i="30" a="1"/>
  <c r="M63" i="30" s="1"/>
  <c r="T9" i="30" a="1"/>
  <c r="T63" i="30" s="1"/>
  <c r="AA9" i="30" a="1"/>
  <c r="AA63" i="30" s="1"/>
  <c r="S9" i="30" a="1"/>
  <c r="S63" i="30" s="1"/>
  <c r="U18" i="30" a="1"/>
  <c r="U72" i="30" s="1"/>
  <c r="T18" i="18" s="1"/>
  <c r="AE18" i="30" a="1"/>
  <c r="AE72" i="30" s="1"/>
  <c r="AD18" i="18" s="1"/>
  <c r="V18" i="30" a="1"/>
  <c r="V72" i="30" s="1"/>
  <c r="U18" i="18" s="1"/>
  <c r="O18" i="30" a="1"/>
  <c r="O72" i="30" s="1"/>
  <c r="N18" i="18" s="1"/>
  <c r="R18" i="30" a="1"/>
  <c r="R72" i="30" s="1"/>
  <c r="Q18" i="18" s="1"/>
  <c r="N18" i="30" a="1"/>
  <c r="N72" i="30" s="1"/>
  <c r="M18" i="18" s="1"/>
  <c r="S18" i="30" a="1"/>
  <c r="S72" i="30" s="1"/>
  <c r="R18" i="18" s="1"/>
  <c r="T18" i="30" a="1"/>
  <c r="T72" i="30" s="1"/>
  <c r="S18" i="18" s="1"/>
  <c r="M6" i="30" a="1"/>
  <c r="M60" i="30" s="1"/>
  <c r="L6" i="18" s="1"/>
  <c r="W6" i="30" a="1"/>
  <c r="W60" i="30" s="1"/>
  <c r="V6" i="18" s="1"/>
  <c r="AA6" i="30" a="1"/>
  <c r="AA60" i="30" s="1"/>
  <c r="Z6" i="18" s="1"/>
  <c r="AB6" i="30" a="1"/>
  <c r="AB60" i="30" s="1"/>
  <c r="AA6" i="18" s="1"/>
  <c r="P6" i="30" a="1"/>
  <c r="P60" i="30" s="1"/>
  <c r="O6" i="18" s="1"/>
  <c r="T6" i="30" a="1"/>
  <c r="T60" i="30" s="1"/>
  <c r="S6" i="18" s="1"/>
  <c r="AE6" i="30" a="1"/>
  <c r="AE60" i="30" s="1"/>
  <c r="AD6" i="18" s="1"/>
  <c r="AF6" i="30" a="1"/>
  <c r="AF60" i="30" s="1"/>
  <c r="AE6" i="18" s="1"/>
  <c r="Y6" i="30" a="1"/>
  <c r="Y60" i="30" s="1"/>
  <c r="X6" i="18" s="1"/>
  <c r="S6" i="30" a="1"/>
  <c r="S60" i="30" s="1"/>
  <c r="R6" i="18" s="1"/>
  <c r="X6" i="30" a="1"/>
  <c r="X60" i="30" s="1"/>
  <c r="W6" i="18" s="1"/>
  <c r="V6" i="30" a="1"/>
  <c r="V60" i="30" s="1"/>
  <c r="U6" i="18" s="1"/>
  <c r="Q6" i="30" a="1"/>
  <c r="Q60" i="30" s="1"/>
  <c r="P6" i="18" s="1"/>
  <c r="AD6" i="30" a="1"/>
  <c r="AD60" i="30" s="1"/>
  <c r="AC6" i="18" s="1"/>
  <c r="AC6" i="30" a="1"/>
  <c r="AC60" i="30" s="1"/>
  <c r="AB6" i="18" s="1"/>
  <c r="N6" i="30" a="1"/>
  <c r="N60" i="30" s="1"/>
  <c r="M6" i="18" s="1"/>
  <c r="Z6" i="30" a="1"/>
  <c r="Z60" i="30" s="1"/>
  <c r="Y6" i="18" s="1"/>
  <c r="V9" i="30" a="1"/>
  <c r="V63" i="30" s="1"/>
  <c r="O6" i="30" a="1"/>
  <c r="O60" i="30" s="1"/>
  <c r="N6" i="18" s="1"/>
  <c r="AE17" i="30" a="1"/>
  <c r="AE71" i="30" s="1"/>
  <c r="AD17" i="18" s="1"/>
  <c r="M17" i="30" a="1"/>
  <c r="M71" i="30" s="1"/>
  <c r="L17" i="18" s="1"/>
  <c r="R17" i="30" a="1"/>
  <c r="R71" i="30" s="1"/>
  <c r="Q17" i="18" s="1"/>
  <c r="Z17" i="30" a="1"/>
  <c r="Z71" i="30" s="1"/>
  <c r="Y17" i="18" s="1"/>
  <c r="AB17" i="30" a="1"/>
  <c r="AB71" i="30" s="1"/>
  <c r="AA17" i="18" s="1"/>
  <c r="O17" i="30" a="1"/>
  <c r="O71" i="30" s="1"/>
  <c r="N17" i="18" s="1"/>
  <c r="AA17" i="30" a="1"/>
  <c r="AA71" i="30" s="1"/>
  <c r="Z17" i="18" s="1"/>
  <c r="AB12" i="30" a="1"/>
  <c r="AB66" i="30" s="1"/>
  <c r="AA12" i="18" s="1"/>
  <c r="U12" i="30" a="1"/>
  <c r="U66" i="30" s="1"/>
  <c r="T12" i="18" s="1"/>
  <c r="Q12" i="30" a="1"/>
  <c r="Q66" i="30" s="1"/>
  <c r="P12" i="18" s="1"/>
  <c r="M12" i="30" a="1"/>
  <c r="M66" i="30" s="1"/>
  <c r="L12" i="18" s="1"/>
  <c r="Z12" i="30" a="1"/>
  <c r="Z66" i="30" s="1"/>
  <c r="Y12" i="18" s="1"/>
  <c r="AC12" i="30" a="1"/>
  <c r="AC66" i="30" s="1"/>
  <c r="AB12" i="18" s="1"/>
  <c r="S12" i="30" a="1"/>
  <c r="S66" i="30" s="1"/>
  <c r="R12" i="18" s="1"/>
  <c r="N12" i="30" a="1"/>
  <c r="N66" i="30" s="1"/>
  <c r="M12" i="18" s="1"/>
  <c r="V12" i="30" a="1"/>
  <c r="V66" i="30" s="1"/>
  <c r="U12" i="18" s="1"/>
  <c r="AE12" i="30" a="1"/>
  <c r="AE66" i="30" s="1"/>
  <c r="AD12" i="18" s="1"/>
  <c r="W12" i="30" a="1"/>
  <c r="W66" i="30" s="1"/>
  <c r="V12" i="18" s="1"/>
  <c r="X12" i="30" a="1"/>
  <c r="X66" i="30" s="1"/>
  <c r="W12" i="18" s="1"/>
  <c r="AF12" i="30" a="1"/>
  <c r="AF66" i="30" s="1"/>
  <c r="AE12" i="18" s="1"/>
  <c r="R12" i="30" a="1"/>
  <c r="R66" i="30" s="1"/>
  <c r="Q12" i="18" s="1"/>
  <c r="AD12" i="30" a="1"/>
  <c r="AD66" i="30" s="1"/>
  <c r="AC12" i="18" s="1"/>
  <c r="P12" i="30" a="1"/>
  <c r="P66" i="30" s="1"/>
  <c r="O12" i="18" s="1"/>
  <c r="AC9" i="30" a="1"/>
  <c r="AC63" i="30" s="1"/>
  <c r="AC17" i="30" a="1"/>
  <c r="AC71" i="30" s="1"/>
  <c r="AB17" i="18" s="1"/>
  <c r="X18" i="30" a="1"/>
  <c r="X72" i="30" s="1"/>
  <c r="W18" i="18" s="1"/>
  <c r="K88" i="30" l="1"/>
  <c r="W34" i="30" a="1"/>
  <c r="W88" i="30" s="1"/>
  <c r="Y34" i="30" a="1"/>
  <c r="Y88" i="30" s="1"/>
  <c r="T34" i="30" a="1"/>
  <c r="T88" i="30" s="1"/>
  <c r="N34" i="30" a="1"/>
  <c r="N88" i="30" s="1"/>
  <c r="M34" i="30" a="1"/>
  <c r="M88" i="30" s="1"/>
  <c r="U34" i="30" a="1"/>
  <c r="U88" i="30" s="1"/>
  <c r="AD34" i="30" a="1"/>
  <c r="AD88" i="30" s="1"/>
  <c r="Z34" i="30" a="1"/>
  <c r="Z88" i="30" s="1"/>
  <c r="AA34" i="30" a="1"/>
  <c r="AA88" i="30" s="1"/>
  <c r="V34" i="30" a="1"/>
  <c r="V88" i="30" s="1"/>
  <c r="X34" i="30" a="1"/>
  <c r="X88" i="30" s="1"/>
  <c r="S34" i="30" a="1"/>
  <c r="S88" i="30" s="1"/>
  <c r="O34" i="30" a="1"/>
  <c r="O88" i="30" s="1"/>
  <c r="AB34" i="30" a="1"/>
  <c r="AB88" i="30" s="1"/>
  <c r="AE34" i="30" a="1"/>
  <c r="AE88" i="30" s="1"/>
  <c r="K78" i="30"/>
  <c r="W24" i="30" a="1"/>
  <c r="W78" i="30" s="1"/>
  <c r="T24" i="30" a="1"/>
  <c r="T78" i="30" s="1"/>
  <c r="AC24" i="30" a="1"/>
  <c r="AC78" i="30" s="1"/>
  <c r="S24" i="30" a="1"/>
  <c r="S78" i="30" s="1"/>
  <c r="AD24" i="30" a="1"/>
  <c r="AD78" i="30" s="1"/>
  <c r="Q24" i="30" a="1"/>
  <c r="Q78" i="30" s="1"/>
  <c r="AB24" i="30" a="1"/>
  <c r="AB78" i="30" s="1"/>
  <c r="AE24" i="30" a="1"/>
  <c r="AE78" i="30" s="1"/>
  <c r="Y24" i="30" a="1"/>
  <c r="Y78" i="30" s="1"/>
  <c r="AF24" i="30" a="1"/>
  <c r="AF78" i="30" s="1"/>
  <c r="N24" i="30" a="1"/>
  <c r="N78" i="30" s="1"/>
  <c r="P24" i="30" a="1"/>
  <c r="P78" i="30" s="1"/>
  <c r="AA24" i="30" a="1"/>
  <c r="AA78" i="30" s="1"/>
  <c r="X24" i="30" a="1"/>
  <c r="X78" i="30" s="1"/>
  <c r="V24" i="30" a="1"/>
  <c r="V78" i="30" s="1"/>
  <c r="W43" i="30" a="1"/>
  <c r="W97" i="30" s="1"/>
  <c r="Z36" i="30" a="1"/>
  <c r="Z90" i="30" s="1"/>
  <c r="K86" i="30"/>
  <c r="X32" i="30" a="1"/>
  <c r="X86" i="30" s="1"/>
  <c r="M32" i="30" a="1"/>
  <c r="M86" i="30" s="1"/>
  <c r="Y32" i="30" a="1"/>
  <c r="Y86" i="30" s="1"/>
  <c r="AB32" i="30" a="1"/>
  <c r="AB86" i="30" s="1"/>
  <c r="AD32" i="30" a="1"/>
  <c r="AD86" i="30" s="1"/>
  <c r="Z32" i="30" a="1"/>
  <c r="Z86" i="30" s="1"/>
  <c r="P32" i="30" a="1"/>
  <c r="P86" i="30" s="1"/>
  <c r="N32" i="30" a="1"/>
  <c r="N86" i="30" s="1"/>
  <c r="V32" i="30" a="1"/>
  <c r="V86" i="30" s="1"/>
  <c r="R32" i="30" a="1"/>
  <c r="R86" i="30" s="1"/>
  <c r="AC32" i="30" a="1"/>
  <c r="AC86" i="30" s="1"/>
  <c r="U32" i="30" a="1"/>
  <c r="U86" i="30" s="1"/>
  <c r="AA32" i="30" a="1"/>
  <c r="AA86" i="30" s="1"/>
  <c r="Q32" i="30" a="1"/>
  <c r="Q86" i="30" s="1"/>
  <c r="O32" i="30" a="1"/>
  <c r="O86" i="30" s="1"/>
  <c r="M31" i="30" a="1"/>
  <c r="M85" i="30" s="1"/>
  <c r="AB43" i="30" a="1"/>
  <c r="AB97" i="30" s="1"/>
  <c r="R34" i="30" a="1"/>
  <c r="R88" i="30" s="1"/>
  <c r="Q36" i="30" a="1"/>
  <c r="Q90" i="30" s="1"/>
  <c r="Z24" i="30" a="1"/>
  <c r="Z78" i="30" s="1"/>
  <c r="X31" i="30" a="1"/>
  <c r="X85" i="30" s="1"/>
  <c r="Q22" i="30" a="1"/>
  <c r="Q76" i="30" s="1"/>
  <c r="M30" i="30" a="1"/>
  <c r="M84" i="30" s="1"/>
  <c r="K75" i="30"/>
  <c r="AB21" i="30" a="1"/>
  <c r="AB75" i="30" s="1"/>
  <c r="R21" i="30" a="1"/>
  <c r="R75" i="30" s="1"/>
  <c r="AF21" i="30" a="1"/>
  <c r="AF75" i="30" s="1"/>
  <c r="V21" i="30" a="1"/>
  <c r="V75" i="30" s="1"/>
  <c r="AC21" i="30" a="1"/>
  <c r="AC75" i="30" s="1"/>
  <c r="Q21" i="30" a="1"/>
  <c r="Q75" i="30" s="1"/>
  <c r="T21" i="30" a="1"/>
  <c r="T75" i="30" s="1"/>
  <c r="O21" i="30" a="1"/>
  <c r="O75" i="30" s="1"/>
  <c r="Y21" i="30" a="1"/>
  <c r="Y75" i="30" s="1"/>
  <c r="M21" i="30" a="1"/>
  <c r="M75" i="30" s="1"/>
  <c r="AD21" i="30" a="1"/>
  <c r="AD75" i="30" s="1"/>
  <c r="X21" i="30" a="1"/>
  <c r="X75" i="30" s="1"/>
  <c r="O43" i="30" a="1"/>
  <c r="O97" i="30" s="1"/>
  <c r="AB36" i="30" a="1"/>
  <c r="AB90" i="30" s="1"/>
  <c r="X22" i="30" a="1"/>
  <c r="X76" i="30" s="1"/>
  <c r="N36" i="30" a="1"/>
  <c r="N90" i="30" s="1"/>
  <c r="S30" i="30" a="1"/>
  <c r="S84" i="30" s="1"/>
  <c r="AA43" i="30" a="1"/>
  <c r="AA97" i="30" s="1"/>
  <c r="AA21" i="30" a="1"/>
  <c r="AA75" i="30" s="1"/>
  <c r="X36" i="30" a="1"/>
  <c r="X90" i="30" s="1"/>
  <c r="S21" i="30" a="1"/>
  <c r="S75" i="30" s="1"/>
  <c r="AD31" i="30" a="1"/>
  <c r="AD85" i="30" s="1"/>
  <c r="K81" i="30"/>
  <c r="V27" i="30" a="1"/>
  <c r="V81" i="30" s="1"/>
  <c r="N27" i="30" a="1"/>
  <c r="N81" i="30" s="1"/>
  <c r="Y27" i="30" a="1"/>
  <c r="Y81" i="30" s="1"/>
  <c r="AC27" i="30" a="1"/>
  <c r="AC81" i="30" s="1"/>
  <c r="K84" i="30"/>
  <c r="V30" i="30" a="1"/>
  <c r="V84" i="30" s="1"/>
  <c r="AA30" i="30" a="1"/>
  <c r="AA84" i="30" s="1"/>
  <c r="U30" i="30" a="1"/>
  <c r="U84" i="30" s="1"/>
  <c r="AC30" i="30" a="1"/>
  <c r="AC84" i="30" s="1"/>
  <c r="W30" i="30" a="1"/>
  <c r="W84" i="30" s="1"/>
  <c r="T30" i="30" a="1"/>
  <c r="T84" i="30" s="1"/>
  <c r="N30" i="30" a="1"/>
  <c r="N84" i="30" s="1"/>
  <c r="P30" i="30" a="1"/>
  <c r="P84" i="30" s="1"/>
  <c r="Q30" i="30" a="1"/>
  <c r="Q84" i="30" s="1"/>
  <c r="AE30" i="30" a="1"/>
  <c r="AE84" i="30" s="1"/>
  <c r="O30" i="30" a="1"/>
  <c r="O84" i="30" s="1"/>
  <c r="AB30" i="30" a="1"/>
  <c r="AB84" i="30" s="1"/>
  <c r="Y30" i="30" a="1"/>
  <c r="Y84" i="30" s="1"/>
  <c r="Z30" i="30" a="1"/>
  <c r="Z84" i="30" s="1"/>
  <c r="Y43" i="30" a="1"/>
  <c r="Y97" i="30" s="1"/>
  <c r="AD43" i="30" a="1"/>
  <c r="AD97" i="30" s="1"/>
  <c r="N21" i="30" a="1"/>
  <c r="N75" i="30" s="1"/>
  <c r="K76" i="30"/>
  <c r="N22" i="30" a="1"/>
  <c r="N76" i="30" s="1"/>
  <c r="W22" i="30" a="1"/>
  <c r="W76" i="30" s="1"/>
  <c r="M22" i="30" a="1"/>
  <c r="M76" i="30" s="1"/>
  <c r="U22" i="30" a="1"/>
  <c r="U76" i="30" s="1"/>
  <c r="T22" i="30" a="1"/>
  <c r="T76" i="30" s="1"/>
  <c r="O22" i="30" a="1"/>
  <c r="O76" i="30" s="1"/>
  <c r="AF22" i="30" a="1"/>
  <c r="AF76" i="30" s="1"/>
  <c r="W36" i="30" a="1"/>
  <c r="W90" i="30" s="1"/>
  <c r="Z21" i="30" a="1"/>
  <c r="Z75" i="30" s="1"/>
  <c r="AC36" i="30" a="1"/>
  <c r="AC90" i="30" s="1"/>
  <c r="P21" i="30" a="1"/>
  <c r="P75" i="30" s="1"/>
  <c r="AD30" i="30" a="1"/>
  <c r="AD84" i="30" s="1"/>
  <c r="O24" i="30" a="1"/>
  <c r="O78" i="30" s="1"/>
  <c r="X30" i="30" a="1"/>
  <c r="X84" i="30" s="1"/>
  <c r="Z43" i="30" a="1"/>
  <c r="Z97" i="30" s="1"/>
  <c r="AE21" i="30" a="1"/>
  <c r="AE75" i="30" s="1"/>
  <c r="P34" i="30" a="1"/>
  <c r="P88" i="30" s="1"/>
  <c r="P22" i="30" a="1"/>
  <c r="P76" i="30" s="1"/>
  <c r="R30" i="30" a="1"/>
  <c r="R84" i="30" s="1"/>
  <c r="AC34" i="30" a="1"/>
  <c r="AC88" i="30" s="1"/>
  <c r="K90" i="30"/>
  <c r="AF36" i="30" a="1"/>
  <c r="AF90" i="30" s="1"/>
  <c r="T36" i="30" a="1"/>
  <c r="T90" i="30" s="1"/>
  <c r="S36" i="30" a="1"/>
  <c r="S90" i="30" s="1"/>
  <c r="V36" i="30" a="1"/>
  <c r="V90" i="30" s="1"/>
  <c r="Y36" i="30" a="1"/>
  <c r="Y90" i="30" s="1"/>
  <c r="R36" i="30" a="1"/>
  <c r="R90" i="30" s="1"/>
  <c r="O36" i="30" a="1"/>
  <c r="O90" i="30" s="1"/>
  <c r="AE36" i="30" a="1"/>
  <c r="AE90" i="30" s="1"/>
  <c r="AA36" i="30" a="1"/>
  <c r="AA90" i="30" s="1"/>
  <c r="U36" i="30" a="1"/>
  <c r="U90" i="30" s="1"/>
  <c r="AD36" i="30" a="1"/>
  <c r="AD90" i="30" s="1"/>
  <c r="R43" i="30" a="1"/>
  <c r="R97" i="30" s="1"/>
  <c r="K85" i="30"/>
  <c r="Y31" i="30" a="1"/>
  <c r="Y85" i="30" s="1"/>
  <c r="N31" i="30" a="1"/>
  <c r="N85" i="30" s="1"/>
  <c r="Z31" i="30" a="1"/>
  <c r="Z85" i="30" s="1"/>
  <c r="O31" i="30" a="1"/>
  <c r="O85" i="30" s="1"/>
  <c r="V31" i="30" a="1"/>
  <c r="V85" i="30" s="1"/>
  <c r="AA31" i="30" a="1"/>
  <c r="AA85" i="30" s="1"/>
  <c r="W31" i="30" a="1"/>
  <c r="W85" i="30" s="1"/>
  <c r="P31" i="30" a="1"/>
  <c r="P85" i="30" s="1"/>
  <c r="U31" i="30" a="1"/>
  <c r="U85" i="30" s="1"/>
  <c r="AE31" i="30" a="1"/>
  <c r="AE85" i="30" s="1"/>
  <c r="U24" i="30" a="1"/>
  <c r="U78" i="30" s="1"/>
  <c r="M43" i="30" a="1"/>
  <c r="M97" i="30" s="1"/>
  <c r="G13" i="18"/>
  <c r="G3" i="18"/>
  <c r="N43" i="30" a="1"/>
  <c r="N97" i="30" s="1"/>
  <c r="X43" i="30" a="1"/>
  <c r="X97" i="30" s="1"/>
  <c r="Q43" i="30" a="1"/>
  <c r="Q97" i="30" s="1"/>
  <c r="S31" i="30" a="1"/>
  <c r="S85" i="30" s="1"/>
  <c r="P36" i="30" a="1"/>
  <c r="P90" i="30" s="1"/>
  <c r="Z22" i="30" a="1"/>
  <c r="Z76" i="30" s="1"/>
  <c r="R22" i="30" a="1"/>
  <c r="R76" i="30" s="1"/>
  <c r="K77" i="30"/>
  <c r="X23" i="30" a="1"/>
  <c r="X77" i="30" s="1"/>
  <c r="Y23" i="30" a="1"/>
  <c r="Y77" i="30" s="1"/>
  <c r="Z23" i="30" a="1"/>
  <c r="Z77" i="30" s="1"/>
  <c r="W23" i="30" a="1"/>
  <c r="W77" i="30" s="1"/>
  <c r="K89" i="30"/>
  <c r="R35" i="30" a="1"/>
  <c r="R89" i="30" s="1"/>
  <c r="O35" i="30" a="1"/>
  <c r="O89" i="30" s="1"/>
  <c r="AE35" i="30" a="1"/>
  <c r="AE89" i="30" s="1"/>
  <c r="X35" i="30" a="1"/>
  <c r="X89" i="30" s="1"/>
  <c r="S35" i="30" a="1"/>
  <c r="S89" i="30" s="1"/>
  <c r="U35" i="30" a="1"/>
  <c r="U89" i="30" s="1"/>
  <c r="U21" i="30" a="1"/>
  <c r="U75" i="30" s="1"/>
  <c r="X27" i="30" a="1"/>
  <c r="X81" i="30" s="1"/>
  <c r="Q31" i="30" a="1"/>
  <c r="Q85" i="30" s="1"/>
  <c r="AE22" i="30" a="1"/>
  <c r="AE76" i="30" s="1"/>
  <c r="W21" i="30" a="1"/>
  <c r="W75" i="30" s="1"/>
  <c r="J5" i="30"/>
  <c r="J59" i="30" s="1"/>
  <c r="I5" i="18" s="1"/>
  <c r="I15" i="30"/>
  <c r="I69" i="30" s="1"/>
  <c r="K28" i="30"/>
  <c r="K29" i="30"/>
  <c r="K83" i="30" s="1"/>
  <c r="R29" i="30" a="1"/>
  <c r="R83" i="30" s="1"/>
  <c r="T29" i="30" a="1"/>
  <c r="T83" i="30" s="1"/>
  <c r="I4" i="30"/>
  <c r="I58" i="30" s="1"/>
  <c r="H4" i="18" s="1"/>
  <c r="K11" i="30"/>
  <c r="K65" i="30" s="1"/>
  <c r="J11" i="18" s="1"/>
  <c r="M28" i="30" a="1"/>
  <c r="M82" i="30" s="1"/>
  <c r="I14" i="30"/>
  <c r="I68" i="30" s="1"/>
  <c r="H14" i="18" s="1"/>
  <c r="O28" i="30" a="1"/>
  <c r="O82" i="30" s="1"/>
  <c r="Y28" i="30" a="1"/>
  <c r="Y82" i="30" s="1"/>
  <c r="AD28" i="30" a="1"/>
  <c r="AD82" i="30" s="1"/>
  <c r="AE28" i="30" a="1"/>
  <c r="AE82" i="30" s="1"/>
  <c r="T28" i="30" a="1"/>
  <c r="T82" i="30" s="1"/>
  <c r="J3" i="30"/>
  <c r="J57" i="30" s="1"/>
  <c r="I2" i="18" s="1"/>
  <c r="I13" i="30"/>
  <c r="I67" i="30" s="1"/>
  <c r="H33" i="30"/>
  <c r="H87" i="30" s="1"/>
  <c r="Q28" i="30" a="1"/>
  <c r="Q82" i="30" s="1"/>
  <c r="S28" i="30" a="1"/>
  <c r="S82" i="30" s="1"/>
  <c r="K10" i="30"/>
  <c r="Y10" i="30" a="1"/>
  <c r="Y64" i="30" s="1"/>
  <c r="X10" i="18" s="1"/>
  <c r="K97" i="30"/>
  <c r="AC43" i="30" a="1"/>
  <c r="AC97" i="30" s="1"/>
  <c r="T43" i="30" a="1"/>
  <c r="T97" i="30" s="1"/>
  <c r="V43" i="30" a="1"/>
  <c r="V97" i="30" s="1"/>
  <c r="S43" i="30" a="1"/>
  <c r="S97" i="30" s="1"/>
  <c r="AE43" i="30" a="1"/>
  <c r="AE97" i="30" s="1"/>
  <c r="AF43" i="30" a="1"/>
  <c r="AF97" i="30" s="1"/>
  <c r="U43" i="30" a="1"/>
  <c r="U97" i="30" s="1"/>
  <c r="H13" i="18" l="1"/>
  <c r="H3" i="18"/>
  <c r="AC28" i="30" a="1"/>
  <c r="AC82" i="30" s="1"/>
  <c r="K82" i="30"/>
  <c r="M10" i="30" a="1"/>
  <c r="M64" i="30" s="1"/>
  <c r="L10" i="18" s="1"/>
  <c r="K64" i="30"/>
  <c r="J10" i="18" s="1"/>
  <c r="Y29" i="30" a="1"/>
  <c r="Y83" i="30" s="1"/>
  <c r="P28" i="30" a="1"/>
  <c r="P82" i="30" s="1"/>
  <c r="I33" i="30"/>
  <c r="I87" i="30" s="1"/>
  <c r="AD29" i="30" a="1"/>
  <c r="AD83" i="30" s="1"/>
  <c r="AC29" i="30" a="1"/>
  <c r="AC83" i="30" s="1"/>
  <c r="AE29" i="30" a="1"/>
  <c r="AE83" i="30" s="1"/>
  <c r="J15" i="30"/>
  <c r="J69" i="30" s="1"/>
  <c r="V10" i="30" a="1"/>
  <c r="V64" i="30" s="1"/>
  <c r="U10" i="18" s="1"/>
  <c r="AE10" i="30" a="1"/>
  <c r="AE64" i="30" s="1"/>
  <c r="AD10" i="18" s="1"/>
  <c r="AC10" i="30" a="1"/>
  <c r="AC64" i="30" s="1"/>
  <c r="AB10" i="18" s="1"/>
  <c r="P10" i="30" a="1"/>
  <c r="P64" i="30" s="1"/>
  <c r="O10" i="18" s="1"/>
  <c r="Z10" i="30" a="1"/>
  <c r="Z64" i="30" s="1"/>
  <c r="Y10" i="18" s="1"/>
  <c r="AA10" i="30" a="1"/>
  <c r="AA64" i="30" s="1"/>
  <c r="Z10" i="18" s="1"/>
  <c r="S10" i="30" a="1"/>
  <c r="S64" i="30" s="1"/>
  <c r="R10" i="18" s="1"/>
  <c r="T10" i="30" a="1"/>
  <c r="T64" i="30" s="1"/>
  <c r="S10" i="18" s="1"/>
  <c r="R10" i="30" a="1"/>
  <c r="R64" i="30" s="1"/>
  <c r="Q10" i="18" s="1"/>
  <c r="AF10" i="30" a="1"/>
  <c r="AF64" i="30" s="1"/>
  <c r="AE10" i="18" s="1"/>
  <c r="W10" i="30" a="1"/>
  <c r="W64" i="30" s="1"/>
  <c r="V10" i="18" s="1"/>
  <c r="AC11" i="30" a="1"/>
  <c r="N11" i="30" a="1"/>
  <c r="U11" i="30" a="1"/>
  <c r="W11" i="30" a="1"/>
  <c r="Q11" i="30" a="1"/>
  <c r="AD11" i="30" a="1"/>
  <c r="AF11" i="30" a="1"/>
  <c r="AB11" i="30" a="1"/>
  <c r="AE11" i="30" a="1"/>
  <c r="AA11" i="30" a="1"/>
  <c r="Z11" i="30" a="1"/>
  <c r="R11" i="30" a="1"/>
  <c r="O11" i="30" a="1"/>
  <c r="M11" i="30" a="1"/>
  <c r="P11" i="30" a="1"/>
  <c r="Y11" i="30" a="1"/>
  <c r="S11" i="30" a="1"/>
  <c r="T11" i="30" a="1"/>
  <c r="V11" i="30" a="1"/>
  <c r="X11" i="30" a="1"/>
  <c r="U29" i="30" a="1"/>
  <c r="U83" i="30" s="1"/>
  <c r="X28" i="30" a="1"/>
  <c r="X82" i="30" s="1"/>
  <c r="V28" i="30" a="1"/>
  <c r="V82" i="30" s="1"/>
  <c r="Z28" i="30" a="1"/>
  <c r="Z82" i="30" s="1"/>
  <c r="AA28" i="30" a="1"/>
  <c r="AA82" i="30" s="1"/>
  <c r="N28" i="30" a="1"/>
  <c r="N82" i="30" s="1"/>
  <c r="U28" i="30" a="1"/>
  <c r="U82" i="30" s="1"/>
  <c r="AF28" i="30" a="1"/>
  <c r="AF82" i="30" s="1"/>
  <c r="W28" i="30" a="1"/>
  <c r="W82" i="30" s="1"/>
  <c r="AB28" i="30" a="1"/>
  <c r="AB82" i="30" s="1"/>
  <c r="W29" i="30" a="1"/>
  <c r="W83" i="30" s="1"/>
  <c r="AB10" i="30" a="1"/>
  <c r="AB64" i="30" s="1"/>
  <c r="AA10" i="18" s="1"/>
  <c r="J13" i="30"/>
  <c r="J67" i="30" s="1"/>
  <c r="X29" i="30" a="1"/>
  <c r="X83" i="30" s="1"/>
  <c r="N10" i="30" a="1"/>
  <c r="N64" i="30" s="1"/>
  <c r="M10" i="18" s="1"/>
  <c r="J4" i="30"/>
  <c r="J58" i="30" s="1"/>
  <c r="I4" i="18" s="1"/>
  <c r="Q29" i="30" a="1"/>
  <c r="Q83" i="30" s="1"/>
  <c r="X10" i="30" a="1"/>
  <c r="X64" i="30" s="1"/>
  <c r="W10" i="18" s="1"/>
  <c r="M29" i="30" a="1"/>
  <c r="M83" i="30" s="1"/>
  <c r="AB29" i="30" a="1"/>
  <c r="AB83" i="30" s="1"/>
  <c r="O10" i="30" a="1"/>
  <c r="O64" i="30" s="1"/>
  <c r="N10" i="18" s="1"/>
  <c r="K3" i="30"/>
  <c r="P29" i="30" a="1"/>
  <c r="P83" i="30" s="1"/>
  <c r="N29" i="30" a="1"/>
  <c r="N83" i="30" s="1"/>
  <c r="U10" i="30" a="1"/>
  <c r="U64" i="30" s="1"/>
  <c r="T10" i="18" s="1"/>
  <c r="AF29" i="30" a="1"/>
  <c r="AF83" i="30" s="1"/>
  <c r="S29" i="30" a="1"/>
  <c r="S83" i="30" s="1"/>
  <c r="AD10" i="30" a="1"/>
  <c r="AD64" i="30" s="1"/>
  <c r="AC10" i="18" s="1"/>
  <c r="AA29" i="30" a="1"/>
  <c r="AA83" i="30" s="1"/>
  <c r="V29" i="30" a="1"/>
  <c r="V83" i="30" s="1"/>
  <c r="K5" i="30"/>
  <c r="Q10" i="30" a="1"/>
  <c r="Q64" i="30" s="1"/>
  <c r="P10" i="18" s="1"/>
  <c r="R28" i="30" a="1"/>
  <c r="R82" i="30" s="1"/>
  <c r="J14" i="30"/>
  <c r="J68" i="30" s="1"/>
  <c r="I14" i="18" s="1"/>
  <c r="Z29" i="30" a="1"/>
  <c r="Z83" i="30" s="1"/>
  <c r="O29" i="30" a="1"/>
  <c r="O83" i="30" s="1"/>
  <c r="I13" i="18" l="1"/>
  <c r="I3" i="18"/>
  <c r="AD5" i="30" a="1"/>
  <c r="AD59" i="30" s="1"/>
  <c r="AC5" i="18" s="1"/>
  <c r="K59" i="30"/>
  <c r="J5" i="18" s="1"/>
  <c r="AA3" i="30" a="1"/>
  <c r="AA57" i="30" s="1"/>
  <c r="Z2" i="18" s="1"/>
  <c r="K57" i="30"/>
  <c r="J2" i="18" s="1"/>
  <c r="Q65" i="30"/>
  <c r="P11" i="18" s="1"/>
  <c r="V65" i="30"/>
  <c r="U11" i="18" s="1"/>
  <c r="R65" i="30"/>
  <c r="Q11" i="18" s="1"/>
  <c r="W65" i="30"/>
  <c r="V11" i="18" s="1"/>
  <c r="U65" i="30"/>
  <c r="T11" i="18" s="1"/>
  <c r="S65" i="30"/>
  <c r="R11" i="18" s="1"/>
  <c r="AA65" i="30"/>
  <c r="Z11" i="18" s="1"/>
  <c r="N65" i="30"/>
  <c r="M11" i="18" s="1"/>
  <c r="T65" i="30"/>
  <c r="S11" i="18" s="1"/>
  <c r="Y65" i="30"/>
  <c r="X11" i="18" s="1"/>
  <c r="AE65" i="30"/>
  <c r="AD11" i="18" s="1"/>
  <c r="AC65" i="30"/>
  <c r="AB11" i="18" s="1"/>
  <c r="X65" i="30"/>
  <c r="W11" i="18" s="1"/>
  <c r="Z65" i="30"/>
  <c r="Y11" i="18" s="1"/>
  <c r="P65" i="30"/>
  <c r="O11" i="18" s="1"/>
  <c r="AB65" i="30"/>
  <c r="AA11" i="18" s="1"/>
  <c r="O65" i="30"/>
  <c r="N11" i="18" s="1"/>
  <c r="M65" i="30"/>
  <c r="L11" i="18" s="1"/>
  <c r="AF65" i="30"/>
  <c r="AE11" i="18" s="1"/>
  <c r="AD65" i="30"/>
  <c r="AC11" i="18" s="1"/>
  <c r="T5" i="30" a="1"/>
  <c r="T59" i="30" s="1"/>
  <c r="S5" i="18" s="1"/>
  <c r="O5" i="30" a="1"/>
  <c r="O59" i="30" s="1"/>
  <c r="N5" i="18" s="1"/>
  <c r="N3" i="30" a="1"/>
  <c r="N57" i="30" s="1"/>
  <c r="M2" i="18" s="1"/>
  <c r="P5" i="30" a="1"/>
  <c r="P59" i="30" s="1"/>
  <c r="O5" i="18" s="1"/>
  <c r="W5" i="30" a="1"/>
  <c r="W59" i="30" s="1"/>
  <c r="V5" i="18" s="1"/>
  <c r="Q5" i="30" a="1"/>
  <c r="Q59" i="30" s="1"/>
  <c r="P5" i="18" s="1"/>
  <c r="U5" i="30" a="1"/>
  <c r="U59" i="30" s="1"/>
  <c r="T5" i="18" s="1"/>
  <c r="AE5" i="30" a="1"/>
  <c r="AE59" i="30" s="1"/>
  <c r="AD5" i="18" s="1"/>
  <c r="S3" i="30" a="1"/>
  <c r="S57" i="30" s="1"/>
  <c r="R2" i="18" s="1"/>
  <c r="O3" i="30" a="1"/>
  <c r="O57" i="30" s="1"/>
  <c r="N2" i="18" s="1"/>
  <c r="AF5" i="30" a="1"/>
  <c r="AF59" i="30" s="1"/>
  <c r="AE5" i="18" s="1"/>
  <c r="V5" i="30" a="1"/>
  <c r="V59" i="30" s="1"/>
  <c r="U5" i="18" s="1"/>
  <c r="S5" i="30" a="1"/>
  <c r="S59" i="30" s="1"/>
  <c r="R5" i="18" s="1"/>
  <c r="U3" i="30" a="1"/>
  <c r="U57" i="30" s="1"/>
  <c r="T2" i="18" s="1"/>
  <c r="Q3" i="30" a="1"/>
  <c r="Q57" i="30" s="1"/>
  <c r="P2" i="18" s="1"/>
  <c r="V3" i="30" a="1"/>
  <c r="V57" i="30" s="1"/>
  <c r="U2" i="18" s="1"/>
  <c r="Y3" i="30" a="1"/>
  <c r="Y57" i="30" s="1"/>
  <c r="X2" i="18" s="1"/>
  <c r="K4" i="30"/>
  <c r="K58" i="30" s="1"/>
  <c r="J4" i="18" s="1"/>
  <c r="P4" i="30" a="1"/>
  <c r="P58" i="30" s="1"/>
  <c r="O4" i="18" s="1"/>
  <c r="K15" i="30"/>
  <c r="AA15" i="30" s="1" a="1"/>
  <c r="AA69" i="30" s="1"/>
  <c r="M15" i="30" a="1"/>
  <c r="M69" i="30" s="1"/>
  <c r="V15" i="30" a="1"/>
  <c r="V69" i="30" s="1"/>
  <c r="R3" i="30" a="1"/>
  <c r="R57" i="30" s="1"/>
  <c r="Q2" i="18" s="1"/>
  <c r="P3" i="30" a="1"/>
  <c r="P57" i="30" s="1"/>
  <c r="O2" i="18" s="1"/>
  <c r="M3" i="30" a="1"/>
  <c r="M57" i="30" s="1"/>
  <c r="L2" i="18" s="1"/>
  <c r="W3" i="30" a="1"/>
  <c r="W57" i="30" s="1"/>
  <c r="V2" i="18" s="1"/>
  <c r="AC3" i="30" a="1"/>
  <c r="AC57" i="30" s="1"/>
  <c r="AB2" i="18" s="1"/>
  <c r="Z3" i="30" a="1"/>
  <c r="Z57" i="30" s="1"/>
  <c r="Y2" i="18" s="1"/>
  <c r="AE3" i="30" a="1"/>
  <c r="AE57" i="30" s="1"/>
  <c r="AD2" i="18" s="1"/>
  <c r="AD3" i="30" a="1"/>
  <c r="AD57" i="30" s="1"/>
  <c r="AC2" i="18" s="1"/>
  <c r="T3" i="30" a="1"/>
  <c r="T57" i="30" s="1"/>
  <c r="S2" i="18" s="1"/>
  <c r="AB3" i="30" a="1"/>
  <c r="AB57" i="30" s="1"/>
  <c r="AA2" i="18" s="1"/>
  <c r="AF3" i="30" a="1"/>
  <c r="AF57" i="30" s="1"/>
  <c r="AE2" i="18" s="1"/>
  <c r="AA5" i="30" a="1"/>
  <c r="AA59" i="30" s="1"/>
  <c r="Z5" i="18" s="1"/>
  <c r="AE4" i="30" a="1"/>
  <c r="AE58" i="30" s="1"/>
  <c r="AD4" i="18" s="1"/>
  <c r="AD4" i="30" a="1"/>
  <c r="AD58" i="30" s="1"/>
  <c r="AC4" i="18" s="1"/>
  <c r="J33" i="30"/>
  <c r="J87" i="30" s="1"/>
  <c r="K14" i="30"/>
  <c r="AA14" i="30" a="1"/>
  <c r="AA68" i="30" s="1"/>
  <c r="Z14" i="18" s="1"/>
  <c r="AB14" i="30" a="1"/>
  <c r="AB68" i="30" s="1"/>
  <c r="AA14" i="18" s="1"/>
  <c r="X5" i="30" a="1"/>
  <c r="X59" i="30" s="1"/>
  <c r="W5" i="18" s="1"/>
  <c r="Y5" i="30" a="1"/>
  <c r="Y59" i="30" s="1"/>
  <c r="X5" i="18" s="1"/>
  <c r="AC5" i="30" a="1"/>
  <c r="AC59" i="30" s="1"/>
  <c r="AB5" i="18" s="1"/>
  <c r="R5" i="30" a="1"/>
  <c r="R59" i="30" s="1"/>
  <c r="Q5" i="18" s="1"/>
  <c r="N5" i="30" a="1"/>
  <c r="N59" i="30" s="1"/>
  <c r="M5" i="18" s="1"/>
  <c r="Z5" i="30" a="1"/>
  <c r="Z59" i="30" s="1"/>
  <c r="Y5" i="18" s="1"/>
  <c r="M5" i="30" a="1"/>
  <c r="M59" i="30" s="1"/>
  <c r="L5" i="18" s="1"/>
  <c r="AB5" i="30" a="1"/>
  <c r="AB59" i="30" s="1"/>
  <c r="AA5" i="18" s="1"/>
  <c r="Q4" i="30" a="1"/>
  <c r="Q58" i="30" s="1"/>
  <c r="P4" i="18" s="1"/>
  <c r="AB4" i="30" a="1"/>
  <c r="AB58" i="30" s="1"/>
  <c r="AA4" i="18" s="1"/>
  <c r="K13" i="30"/>
  <c r="X3" i="30" a="1"/>
  <c r="X57" i="30" s="1"/>
  <c r="W2" i="18" s="1"/>
  <c r="AC13" i="18" l="1"/>
  <c r="AC3" i="18"/>
  <c r="AD13" i="18"/>
  <c r="AD3" i="18"/>
  <c r="AF15" i="30" a="1"/>
  <c r="AF69" i="30" s="1"/>
  <c r="X15" i="30" a="1"/>
  <c r="X69" i="30" s="1"/>
  <c r="T14" i="30" a="1"/>
  <c r="T68" i="30" s="1"/>
  <c r="S14" i="18" s="1"/>
  <c r="K68" i="30"/>
  <c r="J14" i="18" s="1"/>
  <c r="J3" i="18"/>
  <c r="J13" i="18"/>
  <c r="AD13" i="30" a="1"/>
  <c r="AD67" i="30" s="1"/>
  <c r="K67" i="30"/>
  <c r="AA3" i="18"/>
  <c r="AA13" i="18"/>
  <c r="P13" i="18"/>
  <c r="P3" i="18"/>
  <c r="O13" i="18"/>
  <c r="O3" i="18"/>
  <c r="S15" i="30" a="1"/>
  <c r="S69" i="30" s="1"/>
  <c r="W15" i="30" a="1"/>
  <c r="W69" i="30" s="1"/>
  <c r="K69" i="30"/>
  <c r="Z14" i="30" a="1"/>
  <c r="Z68" i="30" s="1"/>
  <c r="Y14" i="18" s="1"/>
  <c r="AC13" i="30" a="1"/>
  <c r="AC67" i="30" s="1"/>
  <c r="N14" i="30" a="1"/>
  <c r="N68" i="30" s="1"/>
  <c r="M14" i="18" s="1"/>
  <c r="P14" i="30" a="1"/>
  <c r="P68" i="30" s="1"/>
  <c r="O14" i="18" s="1"/>
  <c r="Y14" i="30" a="1"/>
  <c r="Y68" i="30" s="1"/>
  <c r="X14" i="18" s="1"/>
  <c r="X14" i="30" a="1"/>
  <c r="X68" i="30" s="1"/>
  <c r="W14" i="18" s="1"/>
  <c r="O14" i="30" a="1"/>
  <c r="O68" i="30" s="1"/>
  <c r="N14" i="18" s="1"/>
  <c r="AF14" i="30" a="1"/>
  <c r="AF68" i="30" s="1"/>
  <c r="AE14" i="18" s="1"/>
  <c r="K33" i="30"/>
  <c r="Q33" i="30" s="1" a="1"/>
  <c r="Q87" i="30" s="1"/>
  <c r="S33" i="30" a="1"/>
  <c r="S87" i="30" s="1"/>
  <c r="U33" i="30" a="1"/>
  <c r="U87" i="30" s="1"/>
  <c r="W13" i="30" a="1"/>
  <c r="W67" i="30" s="1"/>
  <c r="AA13" i="30" a="1"/>
  <c r="AA67" i="30" s="1"/>
  <c r="N13" i="30" a="1"/>
  <c r="N67" i="30" s="1"/>
  <c r="AB13" i="30" a="1"/>
  <c r="AB67" i="30" s="1"/>
  <c r="Z13" i="30" a="1"/>
  <c r="Z67" i="30" s="1"/>
  <c r="Q13" i="30" a="1"/>
  <c r="Q67" i="30" s="1"/>
  <c r="M13" i="30" a="1"/>
  <c r="M67" i="30" s="1"/>
  <c r="X13" i="30" a="1"/>
  <c r="X67" i="30" s="1"/>
  <c r="T13" i="30" a="1"/>
  <c r="T67" i="30" s="1"/>
  <c r="U13" i="30" a="1"/>
  <c r="U67" i="30" s="1"/>
  <c r="AE13" i="30" a="1"/>
  <c r="AE67" i="30" s="1"/>
  <c r="P13" i="30" a="1"/>
  <c r="P67" i="30" s="1"/>
  <c r="AF13" i="30" a="1"/>
  <c r="AF67" i="30" s="1"/>
  <c r="V13" i="30" a="1"/>
  <c r="V67" i="30" s="1"/>
  <c r="O13" i="30" a="1"/>
  <c r="O67" i="30" s="1"/>
  <c r="S13" i="30" a="1"/>
  <c r="S67" i="30" s="1"/>
  <c r="AB15" i="30" a="1"/>
  <c r="AB69" i="30" s="1"/>
  <c r="AD15" i="30" a="1"/>
  <c r="AD69" i="30" s="1"/>
  <c r="O15" i="30" a="1"/>
  <c r="O69" i="30" s="1"/>
  <c r="U15" i="30" a="1"/>
  <c r="U69" i="30" s="1"/>
  <c r="R15" i="30" a="1"/>
  <c r="R69" i="30" s="1"/>
  <c r="AC15" i="30" a="1"/>
  <c r="AC69" i="30" s="1"/>
  <c r="AE15" i="30" a="1"/>
  <c r="AE69" i="30" s="1"/>
  <c r="Q15" i="30" a="1"/>
  <c r="Q69" i="30" s="1"/>
  <c r="T15" i="30" a="1"/>
  <c r="T69" i="30" s="1"/>
  <c r="N15" i="30" a="1"/>
  <c r="N69" i="30" s="1"/>
  <c r="Y15" i="30" a="1"/>
  <c r="Y69" i="30" s="1"/>
  <c r="P15" i="30" a="1"/>
  <c r="P69" i="30" s="1"/>
  <c r="Z15" i="30" a="1"/>
  <c r="Z69" i="30" s="1"/>
  <c r="AF4" i="30" a="1"/>
  <c r="AF58" i="30" s="1"/>
  <c r="AE4" i="18" s="1"/>
  <c r="S4" i="30" a="1"/>
  <c r="S58" i="30" s="1"/>
  <c r="R4" i="18" s="1"/>
  <c r="AA4" i="30" a="1"/>
  <c r="AA58" i="30" s="1"/>
  <c r="Z4" i="18" s="1"/>
  <c r="Y4" i="30" a="1"/>
  <c r="Y58" i="30" s="1"/>
  <c r="X4" i="18" s="1"/>
  <c r="Z4" i="30" a="1"/>
  <c r="Z58" i="30" s="1"/>
  <c r="Y4" i="18" s="1"/>
  <c r="U4" i="30" a="1"/>
  <c r="U58" i="30" s="1"/>
  <c r="T4" i="18" s="1"/>
  <c r="AC4" i="30" a="1"/>
  <c r="AC58" i="30" s="1"/>
  <c r="AB4" i="18" s="1"/>
  <c r="O4" i="30" a="1"/>
  <c r="O58" i="30" s="1"/>
  <c r="N4" i="18" s="1"/>
  <c r="X4" i="30" a="1"/>
  <c r="X58" i="30" s="1"/>
  <c r="W4" i="18" s="1"/>
  <c r="R4" i="30" a="1"/>
  <c r="R58" i="30" s="1"/>
  <c r="Q4" i="18" s="1"/>
  <c r="W4" i="30" a="1"/>
  <c r="W58" i="30" s="1"/>
  <c r="V4" i="18" s="1"/>
  <c r="M4" i="30" a="1"/>
  <c r="M58" i="30" s="1"/>
  <c r="L4" i="18" s="1"/>
  <c r="V4" i="30" a="1"/>
  <c r="V58" i="30" s="1"/>
  <c r="U4" i="18" s="1"/>
  <c r="T4" i="30" a="1"/>
  <c r="T58" i="30" s="1"/>
  <c r="S4" i="18" s="1"/>
  <c r="N4" i="30" a="1"/>
  <c r="N58" i="30" s="1"/>
  <c r="M4" i="18" s="1"/>
  <c r="AD14" i="30" a="1"/>
  <c r="AD68" i="30" s="1"/>
  <c r="AC14" i="18" s="1"/>
  <c r="M14" i="30" a="1"/>
  <c r="M68" i="30" s="1"/>
  <c r="L14" i="18" s="1"/>
  <c r="Y13" i="30" a="1"/>
  <c r="Y67" i="30" s="1"/>
  <c r="R14" i="30" a="1"/>
  <c r="R68" i="30" s="1"/>
  <c r="Q14" i="18" s="1"/>
  <c r="AC14" i="30" a="1"/>
  <c r="AC68" i="30" s="1"/>
  <c r="AB14" i="18" s="1"/>
  <c r="Q14" i="30" a="1"/>
  <c r="Q68" i="30" s="1"/>
  <c r="P14" i="18" s="1"/>
  <c r="W14" i="30" a="1"/>
  <c r="W68" i="30" s="1"/>
  <c r="V14" i="18" s="1"/>
  <c r="AE14" i="30" a="1"/>
  <c r="AE68" i="30" s="1"/>
  <c r="AD14" i="18" s="1"/>
  <c r="V14" i="30" a="1"/>
  <c r="V68" i="30" s="1"/>
  <c r="U14" i="18" s="1"/>
  <c r="U14" i="30" a="1"/>
  <c r="U68" i="30" s="1"/>
  <c r="T14" i="18" s="1"/>
  <c r="S14" i="30" a="1"/>
  <c r="S68" i="30" s="1"/>
  <c r="R14" i="18" s="1"/>
  <c r="R13" i="30" a="1"/>
  <c r="R67" i="30" s="1"/>
  <c r="Q13" i="18" l="1"/>
  <c r="Q3" i="18"/>
  <c r="V3" i="18"/>
  <c r="V13" i="18"/>
  <c r="AE13" i="18"/>
  <c r="AE3" i="18"/>
  <c r="L13" i="18"/>
  <c r="L3" i="18"/>
  <c r="N13" i="18"/>
  <c r="N3" i="18"/>
  <c r="T3" i="18"/>
  <c r="T13" i="18"/>
  <c r="X3" i="18"/>
  <c r="X13" i="18"/>
  <c r="R13" i="18"/>
  <c r="R3" i="18"/>
  <c r="M13" i="18"/>
  <c r="M3" i="18"/>
  <c r="S3" i="18"/>
  <c r="S13" i="18"/>
  <c r="U3" i="18"/>
  <c r="U13" i="18"/>
  <c r="W3" i="18"/>
  <c r="W13" i="18"/>
  <c r="AB13" i="18"/>
  <c r="AB3" i="18"/>
  <c r="Y3" i="18"/>
  <c r="Y13" i="18"/>
  <c r="Z3" i="18"/>
  <c r="Z13" i="18"/>
  <c r="P33" i="30" a="1"/>
  <c r="P87" i="30" s="1"/>
  <c r="M33" i="30" a="1"/>
  <c r="M87" i="30" s="1"/>
  <c r="W33" i="30" a="1"/>
  <c r="W87" i="30" s="1"/>
  <c r="Z33" i="30" a="1"/>
  <c r="Z87" i="30" s="1"/>
  <c r="V33" i="30" a="1"/>
  <c r="V87" i="30" s="1"/>
  <c r="R33" i="30" a="1"/>
  <c r="R87" i="30" s="1"/>
  <c r="T33" i="30" a="1"/>
  <c r="T87" i="30" s="1"/>
  <c r="AF33" i="30" a="1"/>
  <c r="AF87" i="30" s="1"/>
  <c r="X33" i="30" a="1"/>
  <c r="X87" i="30" s="1"/>
  <c r="AE33" i="30" a="1"/>
  <c r="AE87" i="30" s="1"/>
  <c r="K87" i="30"/>
  <c r="AB33" i="30" a="1"/>
  <c r="AB87" i="30" s="1"/>
  <c r="O33" i="30" a="1"/>
  <c r="O87" i="30" s="1"/>
  <c r="N33" i="30" a="1"/>
  <c r="N87" i="30" s="1"/>
  <c r="AD33" i="30" a="1"/>
  <c r="AD87" i="30" s="1"/>
  <c r="AC33" i="30" a="1"/>
  <c r="AC87" i="30" s="1"/>
  <c r="Y33" i="30" a="1"/>
  <c r="Y87" i="30" s="1"/>
  <c r="AA33" i="30" a="1"/>
  <c r="AA87" i="30" s="1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<sst xmlns="http://schemas.openxmlformats.org/spreadsheetml/2006/main" count="1420" uniqueCount="370">
  <si>
    <t>Onshore Wind</t>
  </si>
  <si>
    <t>Sources:</t>
  </si>
  <si>
    <t>CCaMC BAU Construction Cost per Unit Capacity</t>
  </si>
  <si>
    <t>CCaMC Annual Fixed O&amp;M Cost per Unit Capacity</t>
  </si>
  <si>
    <t>CCaMC Variable O&amp;M Cost per Unit Elec Output</t>
  </si>
  <si>
    <t>nuclear</t>
  </si>
  <si>
    <t>hydro</t>
  </si>
  <si>
    <t>solar PV</t>
  </si>
  <si>
    <t>solar thermal</t>
  </si>
  <si>
    <t>biomass</t>
  </si>
  <si>
    <t>Notes:</t>
  </si>
  <si>
    <t>natural gas nonpeaker</t>
  </si>
  <si>
    <t>geothermal</t>
  </si>
  <si>
    <t>petroleum</t>
  </si>
  <si>
    <t>natural gas peaker</t>
  </si>
  <si>
    <t>Offshore Wind</t>
  </si>
  <si>
    <t>hard coal</t>
  </si>
  <si>
    <t>offshore wind</t>
  </si>
  <si>
    <t>onshore wind</t>
  </si>
  <si>
    <t>lignite</t>
  </si>
  <si>
    <t>crude oil</t>
  </si>
  <si>
    <t>heavy or residual fuel oil</t>
  </si>
  <si>
    <t>municipal solid waste</t>
  </si>
  <si>
    <t>Solar PV</t>
  </si>
  <si>
    <t>Nuclear (NOT USED)</t>
  </si>
  <si>
    <t>Hydro (NOT USED)</t>
  </si>
  <si>
    <t>Solar Thermal (NOT USED)</t>
  </si>
  <si>
    <t>Biomass (NOT USED)</t>
  </si>
  <si>
    <t>Geothermal (NOT USED)</t>
  </si>
  <si>
    <t>Petroleum (NOT USED)</t>
  </si>
  <si>
    <t>Natural Gas Peaker (NOT USED)</t>
  </si>
  <si>
    <t>Lignite (NOT USED)</t>
  </si>
  <si>
    <t>Crude Oil (NOT USED)</t>
  </si>
  <si>
    <t>Heavy or Residual Fuel Oil (NOT USED)</t>
  </si>
  <si>
    <t>Municipal Solid Waste (NOT USED)</t>
  </si>
  <si>
    <t>Unit: $/MW</t>
  </si>
  <si>
    <t>Hard Coal (NOT USED)</t>
  </si>
  <si>
    <t>CCaMC BAU Soft Costs per Unit Capacity</t>
  </si>
  <si>
    <t>Exchate rate</t>
    <phoneticPr fontId="31" type="noConversion"/>
  </si>
  <si>
    <t>CAPEX (KRW/kW)</t>
    <phoneticPr fontId="31" type="noConversion"/>
  </si>
  <si>
    <t>Fixed O&amp;M (KRW/kW-yr)</t>
    <phoneticPr fontId="31" type="noConversion"/>
  </si>
  <si>
    <t>Variable O&amp;M (KRW/MWh)</t>
    <phoneticPr fontId="31" type="noConversion"/>
  </si>
  <si>
    <t>Korea Energy Economics Institute</t>
    <phoneticPr fontId="31" type="noConversion"/>
  </si>
  <si>
    <t>Medium-to-long-term levelized cost of electricity (LCOE) forecast (1/5)</t>
    <phoneticPr fontId="31" type="noConversion"/>
  </si>
  <si>
    <t>http://www.keei.re.kr/web_keei/d_results.nsf/0/A10FCB3438C55F4349258669004FC436/$file/%EA%B8%B0%EB%B3%B8%202020-21_%EC%9E%AC%EC%83%9D%EC%97%90%EB%84%88%EC%A7%80%20%EA%B3%B5%EA%B8%89%ED%99%95%EB%8C%80%EB%A5%BC%20%EC%9C%84%ED%95%9C%20%EC%A4%91%EC%9E%A5%EA%B8%B0%20%EB%B0%9C%EC%A0%84%EB%8B%A8%EA%B0%80(LCOE)%20%EC%A0%84%EB%A7%9D%20%EC%8B%9C%EC%8A%A4%ED%85%9C%20%EA%B5%AC%EC%B6%95%20%EB%B0%8F%20%EC%9A%B4%EC%98%81.pdf</t>
  </si>
  <si>
    <t>IEA 2020 Levelized cost of Electricity</t>
    <phoneticPr fontId="31" type="noConversion"/>
  </si>
  <si>
    <t>https://www.iea.org/articles/levelised-cost-of-electricity-calculator</t>
  </si>
  <si>
    <t>KEEI 발전원별 균등화 발전원가 최종보고서</t>
    <phoneticPr fontId="31" type="noConversion"/>
  </si>
  <si>
    <t>Variable O&amp;M (USD/MWh)</t>
    <phoneticPr fontId="31" type="noConversion"/>
  </si>
  <si>
    <t>= natural gas nonpeaker</t>
    <phoneticPr fontId="31" type="noConversion"/>
  </si>
  <si>
    <t>=hard coal</t>
    <phoneticPr fontId="31" type="noConversion"/>
  </si>
  <si>
    <t>https://www.kpx.or.kr/www/downloadBbsFile.do?atchmnflNo=29587</t>
  </si>
  <si>
    <t>KPX 발전 설비 현황</t>
    <phoneticPr fontId="31" type="noConversion"/>
  </si>
  <si>
    <t>=gas non peaker * 70%, assumed</t>
    <phoneticPr fontId="31" type="noConversion"/>
  </si>
  <si>
    <t>2.5% of construction cost, assumed</t>
    <phoneticPr fontId="31" type="noConversion"/>
  </si>
  <si>
    <t>other renewables</t>
    <phoneticPr fontId="31" type="noConversion"/>
  </si>
  <si>
    <t>KPX</t>
    <phoneticPr fontId="31" type="noConversion"/>
  </si>
  <si>
    <t>Power generation statistics</t>
    <phoneticPr fontId="31" type="noConversion"/>
  </si>
  <si>
    <t>KEEI Levelized cost of electricity by source</t>
    <phoneticPr fontId="31" type="noConversion"/>
  </si>
  <si>
    <t>http://www.alio.go.kr/informationResearchView.do?seq=2477139</t>
  </si>
  <si>
    <t>IEA</t>
    <phoneticPr fontId="31" type="noConversion"/>
  </si>
  <si>
    <t>Levelised Cost of Electricity Calculator</t>
    <phoneticPr fontId="31" type="noConversion"/>
  </si>
  <si>
    <t>Gas and conventional power Capital and O&amp;M Costs</t>
    <phoneticPr fontId="31" type="noConversion"/>
  </si>
  <si>
    <t>PV and Onshore wind Capital and O&amp;M Costs</t>
    <phoneticPr fontId="31" type="noConversion"/>
  </si>
  <si>
    <t>Conventional Power Capital and O&amp;M Costs</t>
    <phoneticPr fontId="31" type="noConversion"/>
  </si>
  <si>
    <t>All Generator Capital and O&amp;M Costs</t>
    <phoneticPr fontId="31" type="noConversion"/>
  </si>
  <si>
    <t>CAPEX (USD/MW)</t>
    <phoneticPr fontId="31" type="noConversion"/>
  </si>
  <si>
    <t>Fixed O&amp;M (USD/MW-yr)</t>
    <phoneticPr fontId="31" type="noConversion"/>
  </si>
  <si>
    <t>Select Costs</t>
  </si>
  <si>
    <t>United States EPS version 3.3.1</t>
  </si>
  <si>
    <t>elec/CCaMC</t>
  </si>
  <si>
    <t>For several plant types, we use US costs directly due to limited data availability (highlighted in yellow</t>
  </si>
  <si>
    <t xml:space="preserve">on the KRW tab. </t>
  </si>
  <si>
    <t>We were not able to identify soft cost data for renewable technologies, and therefore use the ratio</t>
  </si>
  <si>
    <t>of hard costs to soft costs from the US model.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</si>
  <si>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</si>
  <si>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</si>
  <si>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</si>
  <si>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</si>
  <si>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</si>
  <si>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</si>
  <si>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</si>
  <si>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</si>
  <si>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</si>
  <si>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Variable O&amp;M ($/MWh)</t>
  </si>
  <si>
    <t>Fixed O&amp;M ($/MW)</t>
  </si>
  <si>
    <t>Natural Gas Steam Turbine (NOT USED)</t>
  </si>
  <si>
    <t>Natural Gas Combined Cycle (NOT USED)</t>
  </si>
  <si>
    <t>small modular reactor (NOT USED)</t>
  </si>
  <si>
    <t>hydrogen combustion turbine (NOT USED)</t>
  </si>
  <si>
    <t>hydrogen combined cycle (NOT USED)</t>
  </si>
  <si>
    <t>Vintage2019</t>
  </si>
  <si>
    <t>Vintage2020</t>
  </si>
  <si>
    <t>Vintage2021</t>
  </si>
  <si>
    <t>Vintage2022</t>
  </si>
  <si>
    <t>Vintage2023</t>
  </si>
  <si>
    <t>Vintage2024</t>
  </si>
  <si>
    <t>Vintage2025</t>
  </si>
  <si>
    <t>Vintage2026</t>
  </si>
  <si>
    <t>Vintage2027</t>
  </si>
  <si>
    <t>Vintage2028</t>
  </si>
  <si>
    <t>Vintage2029</t>
  </si>
  <si>
    <t>Vintage2030</t>
  </si>
  <si>
    <t>Vintage2031</t>
  </si>
  <si>
    <t>Vintage2032</t>
  </si>
  <si>
    <t>Vintage2033</t>
  </si>
  <si>
    <t>Vintage2034</t>
  </si>
  <si>
    <t>Vintage2035</t>
  </si>
  <si>
    <t>Vintage2036</t>
  </si>
  <si>
    <t>Vintage2037</t>
  </si>
  <si>
    <t>Vintage2038</t>
  </si>
  <si>
    <t>Vintage2039</t>
  </si>
  <si>
    <t>Vintage2040</t>
  </si>
  <si>
    <t>Vintage2041</t>
  </si>
  <si>
    <t>Vintage2042</t>
  </si>
  <si>
    <t>Vintage2043</t>
  </si>
  <si>
    <t>Vintage2044</t>
  </si>
  <si>
    <t>Vintage2045</t>
  </si>
  <si>
    <t>Vintage2046</t>
  </si>
  <si>
    <t>Vintage2047</t>
  </si>
  <si>
    <t>Vintage2048</t>
  </si>
  <si>
    <t>Vintage2049</t>
  </si>
  <si>
    <t>Vintage2050</t>
  </si>
  <si>
    <t>Annual CapEx ($/MW)</t>
  </si>
  <si>
    <t>Onshore Wind (NOT USED)</t>
  </si>
  <si>
    <t>Solar PV (NOT USED)</t>
  </si>
  <si>
    <t>Offshore Wind (NOT USED)</t>
  </si>
  <si>
    <t>기본데이터</t>
    <phoneticPr fontId="31" type="noConversion"/>
  </si>
  <si>
    <t>비고</t>
    <phoneticPr fontId="31" type="noConversion"/>
  </si>
  <si>
    <t>재생에너지 공급확대를 위한 중장기 발전단가(LCOE)전망 시스템 구축(5/5)</t>
    <phoneticPr fontId="31" type="noConversion"/>
  </si>
  <si>
    <t>재생에너지 공급확대를 위한 중장기 발전단가 (LCOE)전망 시스템 구축 및 운영(3/5)</t>
    <phoneticPr fontId="31" type="noConversion"/>
  </si>
  <si>
    <t>육상풍력 20MW 기준 설비비용 + 토지 임대비용</t>
    <phoneticPr fontId="31" type="noConversion"/>
  </si>
  <si>
    <t>태양광 지상 3MW 기준 설비비용 + 토지 임대비용</t>
    <phoneticPr fontId="31" type="noConversion"/>
  </si>
  <si>
    <t>태양광 3MW 기준 운영 및 유지비용</t>
    <phoneticPr fontId="31" type="noConversion"/>
  </si>
  <si>
    <t>육상풍력 20MW 기준 운영 및 유지비용</t>
    <phoneticPr fontId="31" type="noConversion"/>
  </si>
  <si>
    <t>해상풍력 30~365MW 기준 운영 및 유지비용</t>
    <phoneticPr fontId="31" type="noConversion"/>
  </si>
  <si>
    <t>해상풍력 30~365MW 기준 평균값 + 토지 임대비용</t>
    <phoneticPr fontId="31" type="noConversion"/>
  </si>
  <si>
    <t>Utility PV - Class 1</t>
  </si>
  <si>
    <t>Advanced</t>
  </si>
  <si>
    <t>Moderate</t>
  </si>
  <si>
    <t>Conservative</t>
  </si>
  <si>
    <t>Utility PV - Class 2</t>
  </si>
  <si>
    <t>Utility PV - Class 3</t>
  </si>
  <si>
    <t>Utility PV - Class 4</t>
  </si>
  <si>
    <t>Utility PV - Class 5</t>
  </si>
  <si>
    <t>Utility PV - Class 6</t>
  </si>
  <si>
    <t>Utility PV - Class 7</t>
  </si>
  <si>
    <t>Utility PV - Class 8</t>
  </si>
  <si>
    <t>Utility PV - Class 9</t>
  </si>
  <si>
    <t>Utility PV - Class 10</t>
  </si>
  <si>
    <t>감소율</t>
    <phoneticPr fontId="31" type="noConversion"/>
  </si>
  <si>
    <t>hydro</t>
    <phoneticPr fontId="31" type="noConversion"/>
  </si>
  <si>
    <t>NREL ATB 2022~2030 변화율 참고</t>
    <phoneticPr fontId="31" type="noConversion"/>
  </si>
  <si>
    <t>Land-Based Wind - Class 1 - Technology 1</t>
  </si>
  <si>
    <t>Land-Based Wind - Class 2 - Technology 1</t>
  </si>
  <si>
    <t>Land-Based Wind - Class 3 - Technology 1</t>
  </si>
  <si>
    <t>Land-Based Wind - Class 4 - Technology 1</t>
  </si>
  <si>
    <t>Land-Based Wind - Class 5 - Technology 1</t>
  </si>
  <si>
    <t>Land-Based Wind - Class 6 - Technology 1</t>
  </si>
  <si>
    <t>Land-Based Wind - Class 7 - Technology 1</t>
  </si>
  <si>
    <t>Land-Based Wind - Class 8 - Technology 2</t>
  </si>
  <si>
    <t>Land-Based Wind - Class 9 - Technology 3</t>
  </si>
  <si>
    <t>Land-Based Wind - Class 10 - Technology 4</t>
  </si>
  <si>
    <t>Offshore Wind - Class 1</t>
  </si>
  <si>
    <t>Offshore Wind - Class 2</t>
  </si>
  <si>
    <t>Offshore Wind - Class 3</t>
  </si>
  <si>
    <t>Offshore Wind - Class 4</t>
  </si>
  <si>
    <t>Offshore Wind - Class 5</t>
  </si>
  <si>
    <t>Offshore Wind - Class 6</t>
  </si>
  <si>
    <t>Offshore Wind - Class 7</t>
  </si>
  <si>
    <t>Offshore Wind - Class 8</t>
  </si>
  <si>
    <t>Offshore Wind - Class 9</t>
  </si>
  <si>
    <t>Offshore Wind - Class 10</t>
  </si>
  <si>
    <t>Offshore Wind - Class 11</t>
  </si>
  <si>
    <t>Offshore Wind - Class 12</t>
  </si>
  <si>
    <t>Offshore Wind - Class 13</t>
  </si>
  <si>
    <t>Offshore Wind - Class 14</t>
  </si>
  <si>
    <t>Vintage1891</t>
  </si>
  <si>
    <t>Vintage1892</t>
  </si>
  <si>
    <t>Vintage1893</t>
  </si>
  <si>
    <t>Vintage1894</t>
  </si>
  <si>
    <t>Vintage1895</t>
  </si>
  <si>
    <t>Vintage1896</t>
  </si>
  <si>
    <t>Vintage1897</t>
  </si>
  <si>
    <t>Vintage1898</t>
  </si>
  <si>
    <t>Vintage1899</t>
  </si>
  <si>
    <t>Vintage1900</t>
  </si>
  <si>
    <t>Vintage1901</t>
  </si>
  <si>
    <t>Vintage1902</t>
  </si>
  <si>
    <t>Vintage1903</t>
  </si>
  <si>
    <t>Vintage1904</t>
  </si>
  <si>
    <t>Vintage1905</t>
  </si>
  <si>
    <t>Vintage1906</t>
  </si>
  <si>
    <t>Vintage1907</t>
  </si>
  <si>
    <t>Vintage1908</t>
  </si>
  <si>
    <t>Vintage1909</t>
  </si>
  <si>
    <t>Vintage1910</t>
  </si>
  <si>
    <t>Vintage1911</t>
  </si>
  <si>
    <t>Vintage1912</t>
  </si>
  <si>
    <t>Vintage1913</t>
  </si>
  <si>
    <t>Vintage1914</t>
  </si>
  <si>
    <t>Vintage1915</t>
  </si>
  <si>
    <t>Vintage1916</t>
  </si>
  <si>
    <t>Vintage1917</t>
  </si>
  <si>
    <t>Vintage1918</t>
  </si>
  <si>
    <t>Vintage1919</t>
  </si>
  <si>
    <t>Vintage1920</t>
  </si>
  <si>
    <t>Vintage1921</t>
  </si>
  <si>
    <t>Vintage1922</t>
  </si>
  <si>
    <t>Vintage1923</t>
  </si>
  <si>
    <t>Vintage1924</t>
  </si>
  <si>
    <t>Vintage1925</t>
  </si>
  <si>
    <t>Vintage1926</t>
  </si>
  <si>
    <t>Vintage1927</t>
  </si>
  <si>
    <t>Vintage1928</t>
  </si>
  <si>
    <t>Vintage1929</t>
  </si>
  <si>
    <t>Vintage1930</t>
  </si>
  <si>
    <t>Vintage1931</t>
  </si>
  <si>
    <t>Vintage1932</t>
  </si>
  <si>
    <t>Vintage1933</t>
  </si>
  <si>
    <t>Vintage1934</t>
  </si>
  <si>
    <t>Vintage1935</t>
  </si>
  <si>
    <t>Vintage1936</t>
  </si>
  <si>
    <t>Vintage1937</t>
  </si>
  <si>
    <t>Vintage1938</t>
  </si>
  <si>
    <t>Vintage1939</t>
  </si>
  <si>
    <t>Vintage1940</t>
  </si>
  <si>
    <t>Vintage1941</t>
  </si>
  <si>
    <t>Vintage1942</t>
  </si>
  <si>
    <t>Vintage1943</t>
  </si>
  <si>
    <t>Vintage1944</t>
  </si>
  <si>
    <t>Vintage1945</t>
  </si>
  <si>
    <t>Vintage1946</t>
  </si>
  <si>
    <t>Vintage1947</t>
  </si>
  <si>
    <t>Vintage1948</t>
  </si>
  <si>
    <t>Vintage1949</t>
  </si>
  <si>
    <t>Vintage1950</t>
  </si>
  <si>
    <t>Vintage1951</t>
  </si>
  <si>
    <t>Vintage1952</t>
  </si>
  <si>
    <t>Vintage1953</t>
  </si>
  <si>
    <t>Vintage1954</t>
  </si>
  <si>
    <t>Vintage1955</t>
  </si>
  <si>
    <t>Vintage1956</t>
  </si>
  <si>
    <t>Vintage1957</t>
  </si>
  <si>
    <t>Vintage1958</t>
  </si>
  <si>
    <t>Vintage1959</t>
  </si>
  <si>
    <t>Vintage1960</t>
  </si>
  <si>
    <t>Vintage1961</t>
  </si>
  <si>
    <t>Vintage1962</t>
  </si>
  <si>
    <t>Vintage1963</t>
  </si>
  <si>
    <t>Vintage1964</t>
  </si>
  <si>
    <t>Vintage1965</t>
  </si>
  <si>
    <t>Vintage1966</t>
  </si>
  <si>
    <t>Vintage1967</t>
  </si>
  <si>
    <t>Vintage1968</t>
  </si>
  <si>
    <t>Vintage1969</t>
  </si>
  <si>
    <t>Vintage1970</t>
  </si>
  <si>
    <t>Vintage1971</t>
  </si>
  <si>
    <t>Vintage1972</t>
  </si>
  <si>
    <t>Vintage1973</t>
  </si>
  <si>
    <t>Vintage1974</t>
  </si>
  <si>
    <t>Vintage1975</t>
  </si>
  <si>
    <t>Vintage1976</t>
  </si>
  <si>
    <t>Vintage1977</t>
  </si>
  <si>
    <t>Vintage1978</t>
  </si>
  <si>
    <t>Vintage1979</t>
  </si>
  <si>
    <t>Vintage1980</t>
  </si>
  <si>
    <t>Vintage1981</t>
  </si>
  <si>
    <t>Vintage1982</t>
  </si>
  <si>
    <t>Vintage1983</t>
  </si>
  <si>
    <t>Vintage1984</t>
  </si>
  <si>
    <t>Vintage1985</t>
  </si>
  <si>
    <t>Vintage1986</t>
  </si>
  <si>
    <t>Vintage1987</t>
  </si>
  <si>
    <t>Vintage1988</t>
  </si>
  <si>
    <t>Vintage1989</t>
  </si>
  <si>
    <t>Vintage1990</t>
  </si>
  <si>
    <t>Vintage1991</t>
  </si>
  <si>
    <t>Vintage1992</t>
  </si>
  <si>
    <t>Vintage1993</t>
  </si>
  <si>
    <t>Vintage1994</t>
  </si>
  <si>
    <t>Vintage1995</t>
  </si>
  <si>
    <t>Vintage1996</t>
  </si>
  <si>
    <t>Vintage1997</t>
  </si>
  <si>
    <t>Vintage1998</t>
  </si>
  <si>
    <t>Vintage1999</t>
  </si>
  <si>
    <t>Vintage2000</t>
  </si>
  <si>
    <t>Vintage2001</t>
  </si>
  <si>
    <t>Vintage2002</t>
  </si>
  <si>
    <t>Vintage2003</t>
  </si>
  <si>
    <t>Vintage2004</t>
  </si>
  <si>
    <t>Vintage2005</t>
  </si>
  <si>
    <t>Vintage2006</t>
  </si>
  <si>
    <t>Vintage2007</t>
  </si>
  <si>
    <t>Vintage2008</t>
  </si>
  <si>
    <t>Vintage2009</t>
  </si>
  <si>
    <t>Vintage2010</t>
  </si>
  <si>
    <t>Vintage2011</t>
  </si>
  <si>
    <t>Vintage2012</t>
  </si>
  <si>
    <t>Vintage2013</t>
  </si>
  <si>
    <t>Vintage2014</t>
  </si>
  <si>
    <t>Vintage2015</t>
  </si>
  <si>
    <t>Vintage2016</t>
  </si>
  <si>
    <t>Vintage2017</t>
  </si>
  <si>
    <t>Vintage2018</t>
  </si>
  <si>
    <t>Vintage2051</t>
  </si>
  <si>
    <t>Vintage2052</t>
  </si>
  <si>
    <t>Vintage2053</t>
  </si>
  <si>
    <t>Vintage2054</t>
  </si>
  <si>
    <t>Vintage2055</t>
  </si>
  <si>
    <t>Vintage2056</t>
  </si>
  <si>
    <t>Vintage2057</t>
  </si>
  <si>
    <t>Vintage2058</t>
  </si>
  <si>
    <t>Vintage2059</t>
  </si>
  <si>
    <t>Vintage2060</t>
  </si>
  <si>
    <t>Vintage2061</t>
  </si>
  <si>
    <t>Vintage2062</t>
  </si>
  <si>
    <t>Vintage2063</t>
  </si>
  <si>
    <t>Vintage2064</t>
  </si>
  <si>
    <t>Vintage2065</t>
  </si>
  <si>
    <t>Vintage2066</t>
  </si>
  <si>
    <t>Vintage2067</t>
  </si>
  <si>
    <t>Vintage2068</t>
  </si>
  <si>
    <t>Vintage2069</t>
  </si>
  <si>
    <t>Vintage2070</t>
  </si>
  <si>
    <t>Vintage2071</t>
  </si>
  <si>
    <t>Vintage2072</t>
  </si>
  <si>
    <t>Vintage2073</t>
  </si>
  <si>
    <t>Vintage2074</t>
  </si>
  <si>
    <t>Vintage2075</t>
  </si>
  <si>
    <t>Vintage2076</t>
  </si>
  <si>
    <t>Vintage2077</t>
  </si>
  <si>
    <t>Vintage2078</t>
  </si>
  <si>
    <t>Vintage2079</t>
  </si>
  <si>
    <t>Vintage2080</t>
  </si>
  <si>
    <t>Vintage2081</t>
  </si>
  <si>
    <t>Vintage2082</t>
  </si>
  <si>
    <t>Vintage2083</t>
  </si>
  <si>
    <t>Vintage2084</t>
  </si>
  <si>
    <t>Vintage2085</t>
  </si>
  <si>
    <t>Vintage2086</t>
  </si>
  <si>
    <t>Vintage2087</t>
  </si>
  <si>
    <t>Vintage2088</t>
  </si>
  <si>
    <t>Vintage2089</t>
  </si>
  <si>
    <t>Vintage2090</t>
  </si>
  <si>
    <t>Vintage2091</t>
  </si>
  <si>
    <t>Vintage2092</t>
  </si>
  <si>
    <t>Vintage2093</t>
  </si>
  <si>
    <t>Vintage2094</t>
  </si>
  <si>
    <t>Vintage2095</t>
  </si>
  <si>
    <t>Vintage2096</t>
  </si>
  <si>
    <t>Vintage2097</t>
  </si>
  <si>
    <t>Vintage2098</t>
  </si>
  <si>
    <t>Vintage2099</t>
  </si>
  <si>
    <t>Vintage2100</t>
  </si>
  <si>
    <t>2012 환율</t>
    <phoneticPr fontId="31" type="noConversion"/>
  </si>
  <si>
    <t>2017 PPI</t>
    <phoneticPr fontId="31" type="noConversion"/>
  </si>
  <si>
    <t>2012 PPI</t>
    <phoneticPr fontId="31" type="noConversion"/>
  </si>
  <si>
    <t>Grid connection (spur line) cost ALREADY INCLUDED in the KEEI CAPEX above, KRW/kW, 2020 basis (KEEI 기본연구 24-22, 재생에너지 LCOE 전망 시스템 5/5, Tables 3-6 / 3-11 / 3-13). Moved out of CCaMC-BCCpUC into CCaMC-SLCCpUC on 2026-09-08 so the total is unchanged.</t>
  </si>
  <si>
    <t>Technology</t>
  </si>
  <si>
    <t>KRW/kW</t>
  </si>
  <si>
    <t>Basis / note</t>
  </si>
  <si>
    <t>계통연계 row, 20 MW basis, 2020 (40,000 in 2024); 전기공사 (internal electrical works, 116,000) NOT included</t>
  </si>
  <si>
    <t>한전계통비용 row, 3 MW ground-mount basis, 2020 (32,000 in 2024); the separate 변전소 (substation) row is left in CAPEX</t>
  </si>
  <si>
    <t>ASSUMPTION: 50% of KEEI's combined 전기공사+계통연계 (mean of 5 Korean cases 432/740/581/389/1,096 M KRW/MW = 648,000 KRW/kW); KEEI does not split export cable/connection from array cabling. Total capex unaffected by the split.</t>
  </si>
  <si>
    <t>Spur line (grid connection) cost, USD/MW, constant in real terms = KRW!B59:B61 / exchange rate x 1000 (same conversion as CAPEX)</t>
  </si>
  <si>
    <t>CAPEX EXCLUDING SPUR LINE, USD/MW = CAPEX row - spur line (USED IN CCaMC-BCCpUC for these three rows)</t>
  </si>
  <si>
    <t>Year</t>
  </si>
  <si>
    <t>2026-09-08: grid-connection (spur line) costs split out of the KEEI-based CAPEX for onshore wind, solar PV and offshore wind and placed in CCaMC-SLCCpUC (KRW tab rows 57-61, Calculation rows 110-119). KEEI's capex totals include 계통연계/한전계통비용, so before this change SLCCpUC = 0 was consistent but the spur line was invisible; now BCCpUC + SLCCpUC equals the previous BCCpUC for every year. Values (2020 KRW/kW): onshore 42,000; solar 23,000; offshore 324,000 (assumed half of KEEI's combined electrical-works-plus-connection figure). Thermal and nuclear connection costs remain inside their CAPEX (not itemized by KEEI). Source: KEEI 기본연구 24-22.</t>
  </si>
  <si>
    <t>2026-09-08: CCaMC-BSCpUC year header repaired. The tab had 31 year columns labelled 2021, 2022, 2022, 2023 ... 2050: the data columns were aligned to the US tab's 2021-2050 (B..AE) but every label from column D onward was one year low, and a 32nd column referenced the US tab's empty column and read 0 as '2050'. So the exported soft costs were shifted a year late from 2023 and fell to 0 in 2050. Fixed by relabelling B..AE 2021-2050 and deleting the extra column; values unchanged otherwise. The exported CSV also carried a slightly older conversion (onshore 335,912 vs workbook 330,704 $/MW in 2021); the re-export brings the CSV to the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</si>
</sst>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0.000"/>
    <numFmt numFmtId="167" formatCode="&quot;₩&quot;#,##0_);[Red]\(&quot;₩&quot;#,##0\)"/>
    <numFmt numFmtId="168" formatCode="0.00_);[Red]\(0.00\)"/>
  </numFmts>
  <fonts count="3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sz val="11"/>
      <color theme="1"/>
      <name val="Times New Roman"/>
      <family val="2"/>
    </font>
    <font>
      <b/>
      <sz val="10"/>
      <color rgb="FF00B050"/>
      <name val="Helvetica Neue"/>
    </font>
    <font>
      <b/>
      <sz val="10"/>
      <color theme="9"/>
      <name val="Helvetica Neue"/>
    </font>
    <font>
      <b/>
      <sz val="13"/>
      <color theme="3"/>
      <name val="Times New Roman"/>
      <family val="2"/>
    </font>
    <font>
      <b/>
      <sz val="10"/>
      <color theme="6"/>
      <name val="Helvetica Neue"/>
    </font>
    <font>
      <u/>
      <sz val="12"/>
      <color theme="10"/>
      <name val="Calibri"/>
      <family val="2"/>
      <scheme val="minor"/>
    </font>
    <font>
      <u/>
      <sz val="10"/>
      <color theme="10"/>
      <name val="Arial"/>
      <family val="2"/>
    </font>
    <font>
      <u/>
      <sz val="12"/>
      <color theme="10"/>
      <name val="Calibri"/>
      <family val="2"/>
    </font>
    <font>
      <u/>
      <sz val="10"/>
      <color indexed="12"/>
      <name val="Arial"/>
      <family val="2"/>
    </font>
    <font>
      <b/>
      <sz val="10"/>
      <color theme="7"/>
      <name val="Helvetica Neue"/>
    </font>
    <font>
      <b/>
      <sz val="10"/>
      <color rgb="FF00B0F0"/>
      <name val="Helvetica Neue"/>
    </font>
    <font>
      <sz val="10"/>
      <name val="Helvetica Neue"/>
    </font>
    <font>
      <sz val="10"/>
      <color theme="1"/>
      <name val="Calibri"/>
      <family val="2"/>
      <scheme val="minor"/>
    </font>
    <font>
      <b/>
      <sz val="10"/>
      <color rgb="FFFF0000"/>
      <name val="Helvetica Neue"/>
    </font>
    <font>
      <b/>
      <sz val="10"/>
      <color theme="1"/>
      <name val="Helvetica Neue"/>
    </font>
    <font>
      <b/>
      <sz val="10"/>
      <color theme="5"/>
      <name val="Helvetica Neue"/>
    </font>
    <font>
      <b/>
      <sz val="10"/>
      <color rgb="FF7F7F7F"/>
      <name val="Helvetica Neue"/>
    </font>
    <font>
      <i/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3"/>
      <charset val="129"/>
      <scheme val="minor"/>
    </font>
    <font>
      <sz val="10.5"/>
      <color rgb="FF555555"/>
      <name val="Noto Sans KR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6" tint="-0.24994659260841701"/>
      </left>
      <right style="thin">
        <color theme="6" tint="-0.24994659260841701"/>
      </right>
      <top style="thin">
        <color theme="6" tint="-0.24994659260841701"/>
      </top>
      <bottom style="thin">
        <color theme="6" tint="-0.24994659260841701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230">
    <xf numFmtId="0" fontId="0" fillId="0" borderId="0"/>
    <xf numFmtId="0" fontId="2" fillId="0" borderId="0" applyNumberFormat="0" applyProtection="0">
      <alignment horizontal="left"/>
    </xf>
    <xf numFmtId="0" fontId="3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4" applyNumberFormat="0" applyProtection="0">
      <alignment vertical="top" wrapText="1"/>
    </xf>
    <xf numFmtId="0" fontId="6" fillId="0" borderId="0" applyNumberFormat="0" applyFill="0" applyBorder="0" applyAlignment="0" applyProtection="0">
      <alignment vertical="top"/>
      <protection locked="0"/>
    </xf>
    <xf numFmtId="0" fontId="4" fillId="0" borderId="0" applyNumberFormat="0" applyProtection="0">
      <alignment vertical="top" wrapText="1"/>
    </xf>
    <xf numFmtId="0" fontId="3" fillId="0" borderId="5" applyNumberFormat="0" applyProtection="0">
      <alignment horizontal="left" wrapText="1"/>
    </xf>
    <xf numFmtId="0" fontId="7" fillId="0" borderId="0" applyNumberFormat="0" applyFill="0" applyBorder="0" applyAlignment="0" applyProtection="0">
      <alignment vertical="top"/>
      <protection locked="0"/>
    </xf>
    <xf numFmtId="0" fontId="4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10" fillId="0" borderId="0"/>
    <xf numFmtId="0" fontId="11" fillId="0" borderId="0"/>
    <xf numFmtId="0" fontId="13" fillId="3" borderId="0" applyNumberFormat="0" applyBorder="0" applyAlignment="0" applyProtection="0"/>
    <xf numFmtId="0" fontId="9" fillId="3" borderId="0" applyNumberFormat="0" applyBorder="0" applyAlignment="0" applyProtection="0"/>
    <xf numFmtId="0" fontId="13" fillId="4" borderId="0" applyNumberFormat="0" applyBorder="0" applyAlignment="0" applyProtection="0"/>
    <xf numFmtId="0" fontId="9" fillId="4" borderId="0" applyNumberFormat="0" applyBorder="0" applyAlignment="0" applyProtection="0"/>
    <xf numFmtId="0" fontId="13" fillId="5" borderId="0" applyNumberFormat="0" applyBorder="0" applyAlignment="0" applyProtection="0"/>
    <xf numFmtId="0" fontId="9" fillId="5" borderId="0" applyNumberFormat="0" applyBorder="0" applyAlignment="0" applyProtection="0"/>
    <xf numFmtId="0" fontId="13" fillId="6" borderId="0" applyNumberFormat="0" applyBorder="0" applyAlignment="0" applyProtection="0"/>
    <xf numFmtId="0" fontId="9" fillId="6" borderId="0" applyNumberFormat="0" applyBorder="0" applyAlignment="0" applyProtection="0"/>
    <xf numFmtId="166" fontId="14" fillId="0" borderId="0" applyFill="0" applyProtection="0">
      <alignment horizontal="right" vertical="center"/>
    </xf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9" fillId="0" borderId="0" applyFont="0" applyFill="0" applyBorder="0" applyAlignment="0" applyProtection="0"/>
    <xf numFmtId="49" fontId="15" fillId="0" borderId="0" applyFill="0" applyBorder="0" applyProtection="0">
      <alignment horizontal="right" vertical="center"/>
    </xf>
    <xf numFmtId="0" fontId="16" fillId="0" borderId="8" applyNumberFormat="0" applyFill="0" applyAlignment="0" applyProtection="0"/>
    <xf numFmtId="0" fontId="17" fillId="0" borderId="0" applyFill="0" applyBorder="0" applyProtection="0">
      <alignment horizontal="right" vertical="center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22" fillId="0" borderId="0" applyFill="0" applyProtection="0">
      <alignment horizontal="right" vertical="center"/>
    </xf>
    <xf numFmtId="166" fontId="23" fillId="0" borderId="0" applyFill="0" applyProtection="0">
      <alignment horizontal="right" vertical="center"/>
    </xf>
    <xf numFmtId="0" fontId="9" fillId="0" borderId="0"/>
    <xf numFmtId="0" fontId="10" fillId="0" borderId="0"/>
    <xf numFmtId="0" fontId="8" fillId="0" borderId="0"/>
    <xf numFmtId="0" fontId="24" fillId="0" borderId="0">
      <alignment horizontal="right" vertical="center"/>
    </xf>
    <xf numFmtId="0" fontId="9" fillId="0" borderId="0"/>
    <xf numFmtId="0" fontId="8" fillId="0" borderId="0"/>
    <xf numFmtId="0" fontId="10" fillId="0" borderId="0"/>
    <xf numFmtId="0" fontId="25" fillId="0" borderId="0"/>
    <xf numFmtId="9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166" fontId="26" fillId="0" borderId="0" applyFill="0" applyProtection="0">
      <alignment horizontal="right" vertical="center"/>
    </xf>
    <xf numFmtId="0" fontId="12" fillId="0" borderId="0" applyNumberFormat="0" applyFill="0" applyBorder="0" applyAlignment="0" applyProtection="0"/>
    <xf numFmtId="0" fontId="27" fillId="0" borderId="0" applyFill="0" applyBorder="0" applyProtection="0">
      <alignment horizontal="right" vertical="center"/>
    </xf>
    <xf numFmtId="0" fontId="28" fillId="0" borderId="0" applyFill="0" applyBorder="0" applyProtection="0">
      <alignment horizontal="right" vertical="center"/>
    </xf>
    <xf numFmtId="0" fontId="8" fillId="7" borderId="9"/>
    <xf numFmtId="0" fontId="29" fillId="0" borderId="0" applyFill="0" applyBorder="0" applyProtection="0">
      <alignment horizontal="right" vertical="center"/>
    </xf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5" fillId="0" borderId="0" xfId="5"/>
    <xf numFmtId="1" fontId="0" fillId="0" borderId="0" xfId="0" applyNumberFormat="1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  <xf numFmtId="1" fontId="1" fillId="2" borderId="0" xfId="0" applyNumberFormat="1" applyFont="1" applyFill="1" applyAlignment="1">
      <alignment horizontal="left"/>
    </xf>
    <xf numFmtId="0" fontId="0" fillId="0" borderId="0" xfId="0" applyAlignment="1">
      <alignment wrapText="1"/>
    </xf>
    <xf numFmtId="2" fontId="0" fillId="0" borderId="0" xfId="0" applyNumberFormat="1"/>
    <xf numFmtId="1" fontId="0" fillId="2" borderId="0" xfId="0" applyNumberFormat="1" applyFill="1"/>
    <xf numFmtId="0" fontId="30" fillId="0" borderId="0" xfId="0" applyFont="1"/>
    <xf numFmtId="9" fontId="0" fillId="0" borderId="0" xfId="228" applyFont="1"/>
    <xf numFmtId="0" fontId="1" fillId="0" borderId="0" xfId="0" applyFont="1" applyAlignment="1">
      <alignment horizontal="left" wrapText="1"/>
    </xf>
    <xf numFmtId="2" fontId="0" fillId="8" borderId="0" xfId="0" applyNumberFormat="1" applyFill="1"/>
    <xf numFmtId="0" fontId="0" fillId="0" borderId="0" xfId="0" applyAlignment="1">
      <alignment vertical="center"/>
    </xf>
    <xf numFmtId="0" fontId="32" fillId="0" borderId="0" xfId="0" applyFont="1"/>
    <xf numFmtId="167" fontId="0" fillId="0" borderId="0" xfId="0" applyNumberFormat="1"/>
    <xf numFmtId="0" fontId="0" fillId="0" borderId="0" xfId="0" quotePrefix="1"/>
    <xf numFmtId="0" fontId="33" fillId="0" borderId="0" xfId="0" applyFont="1"/>
    <xf numFmtId="168" fontId="0" fillId="0" borderId="0" xfId="0" applyNumberFormat="1"/>
    <xf numFmtId="0" fontId="0" fillId="9" borderId="0" xfId="0" applyFill="1"/>
    <xf numFmtId="0" fontId="0" fillId="0" borderId="0" xfId="228" applyNumberFormat="1" applyFont="1" applyFill="1"/>
    <xf numFmtId="0" fontId="34" fillId="0" borderId="0" xfId="0" applyFont="1" applyAlignment="1">
      <alignment vertical="center"/>
    </xf>
    <xf numFmtId="9" fontId="0" fillId="0" borderId="0" xfId="228" applyFont="1" applyFill="1"/>
    <xf numFmtId="1" fontId="33" fillId="0" borderId="0" xfId="0" applyNumberFormat="1" applyFont="1"/>
    <xf numFmtId="0" fontId="0" fillId="0" borderId="0" xfId="0" applyAlignment="1">
      <alignment horizontal="right"/>
    </xf>
    <xf numFmtId="0" fontId="0" fillId="2" borderId="0" xfId="0" applyFill="1"/>
    <xf numFmtId="0" fontId="32" fillId="0" borderId="0" xfId="0" applyFont="1" applyAlignment="1">
      <alignment wrapText="1"/>
    </xf>
    <xf numFmtId="0" fontId="35" fillId="0" borderId="0" xfId="0" applyFont="1"/>
    <xf numFmtId="0" fontId="0" fillId="2" borderId="0" xfId="228" applyNumberFormat="1" applyFont="1" applyFill="1"/>
    <xf numFmtId="164" fontId="0" fillId="0" borderId="0" xfId="229" applyFont="1" applyAlignment="1"/>
    <xf numFmtId="164" fontId="0" fillId="0" borderId="0" xfId="0" applyNumberFormat="1"/>
    <xf numFmtId="1" fontId="0" fillId="9" borderId="0" xfId="0" applyNumberFormat="1" applyFill="1"/>
    <xf numFmtId="4" fontId="0" fillId="0" borderId="0" xfId="0" applyNumberFormat="1" applyAlignment="1">
      <alignment vertical="center"/>
    </xf>
    <xf numFmtId="0" fontId="36" fillId="0" borderId="10" xfId="0" applyFont="1" applyBorder="1" applyAlignment="1">
      <alignment horizontal="right" vertical="center"/>
    </xf>
  </cellXfs>
  <cellStyles count="230">
    <cellStyle name="20% - Accent1 2" xfId="16" xr:uid="{00000000-0005-0000-0000-000000000000}"/>
    <cellStyle name="20% - Accent1 2 2" xfId="17" xr:uid="{00000000-0005-0000-0000-000001000000}"/>
    <cellStyle name="20% - Accent1 2 2 2" xfId="151" xr:uid="{00000000-0005-0000-0000-000002000000}"/>
    <cellStyle name="20% - Accent1 2 2 2 2" xfId="173" xr:uid="{00000000-0005-0000-0000-000003000000}"/>
    <cellStyle name="20% - Accent1 2 2 2 2 2" xfId="217" xr:uid="{00000000-0005-0000-0000-000004000000}"/>
    <cellStyle name="20% - Accent1 2 2 2 3" xfId="195" xr:uid="{00000000-0005-0000-0000-000005000000}"/>
    <cellStyle name="20% - Accent1 2 2 3" xfId="162" xr:uid="{00000000-0005-0000-0000-000006000000}"/>
    <cellStyle name="20% - Accent1 2 2 3 2" xfId="206" xr:uid="{00000000-0005-0000-0000-000007000000}"/>
    <cellStyle name="20% - Accent1 2 2 4" xfId="184" xr:uid="{00000000-0005-0000-0000-000008000000}"/>
    <cellStyle name="20% - Accent2 2" xfId="18" xr:uid="{00000000-0005-0000-0000-000009000000}"/>
    <cellStyle name="20% - Accent2 2 2" xfId="19" xr:uid="{00000000-0005-0000-0000-00000A000000}"/>
    <cellStyle name="20% - Accent2 2 2 2" xfId="152" xr:uid="{00000000-0005-0000-0000-00000B000000}"/>
    <cellStyle name="20% - Accent2 2 2 2 2" xfId="174" xr:uid="{00000000-0005-0000-0000-00000C000000}"/>
    <cellStyle name="20% - Accent2 2 2 2 2 2" xfId="218" xr:uid="{00000000-0005-0000-0000-00000D000000}"/>
    <cellStyle name="20% - Accent2 2 2 2 3" xfId="196" xr:uid="{00000000-0005-0000-0000-00000E000000}"/>
    <cellStyle name="20% - Accent2 2 2 3" xfId="163" xr:uid="{00000000-0005-0000-0000-00000F000000}"/>
    <cellStyle name="20% - Accent2 2 2 3 2" xfId="207" xr:uid="{00000000-0005-0000-0000-000010000000}"/>
    <cellStyle name="20% - Accent2 2 2 4" xfId="185" xr:uid="{00000000-0005-0000-0000-000011000000}"/>
    <cellStyle name="20% - Accent3 2" xfId="20" xr:uid="{00000000-0005-0000-0000-000012000000}"/>
    <cellStyle name="20% - Accent3 2 2" xfId="21" xr:uid="{00000000-0005-0000-0000-000013000000}"/>
    <cellStyle name="20% - Accent3 2 2 2" xfId="153" xr:uid="{00000000-0005-0000-0000-000014000000}"/>
    <cellStyle name="20% - Accent3 2 2 2 2" xfId="175" xr:uid="{00000000-0005-0000-0000-000015000000}"/>
    <cellStyle name="20% - Accent3 2 2 2 2 2" xfId="219" xr:uid="{00000000-0005-0000-0000-000016000000}"/>
    <cellStyle name="20% - Accent3 2 2 2 3" xfId="197" xr:uid="{00000000-0005-0000-0000-000017000000}"/>
    <cellStyle name="20% - Accent3 2 2 3" xfId="164" xr:uid="{00000000-0005-0000-0000-000018000000}"/>
    <cellStyle name="20% - Accent3 2 2 3 2" xfId="208" xr:uid="{00000000-0005-0000-0000-000019000000}"/>
    <cellStyle name="20% - Accent3 2 2 4" xfId="186" xr:uid="{00000000-0005-0000-0000-00001A000000}"/>
    <cellStyle name="20% - Accent4 2" xfId="22" xr:uid="{00000000-0005-0000-0000-00001B000000}"/>
    <cellStyle name="20% - Accent4 2 2" xfId="23" xr:uid="{00000000-0005-0000-0000-00001C000000}"/>
    <cellStyle name="20% - Accent4 2 2 2" xfId="154" xr:uid="{00000000-0005-0000-0000-00001D000000}"/>
    <cellStyle name="20% - Accent4 2 2 2 2" xfId="176" xr:uid="{00000000-0005-0000-0000-00001E000000}"/>
    <cellStyle name="20% - Accent4 2 2 2 2 2" xfId="220" xr:uid="{00000000-0005-0000-0000-00001F000000}"/>
    <cellStyle name="20% - Accent4 2 2 2 3" xfId="198" xr:uid="{00000000-0005-0000-0000-000020000000}"/>
    <cellStyle name="20% - Accent4 2 2 3" xfId="165" xr:uid="{00000000-0005-0000-0000-000021000000}"/>
    <cellStyle name="20% - Accent4 2 2 3 2" xfId="209" xr:uid="{00000000-0005-0000-0000-000022000000}"/>
    <cellStyle name="20% - Accent4 2 2 4" xfId="187" xr:uid="{00000000-0005-0000-0000-000023000000}"/>
    <cellStyle name="Body: normal cell" xfId="4" xr:uid="{00000000-0005-0000-0000-000024000000}"/>
    <cellStyle name="Calculated" xfId="24" xr:uid="{00000000-0005-0000-0000-000025000000}"/>
    <cellStyle name="Comma [0]" xfId="229" builtinId="6"/>
    <cellStyle name="Comma 10" xfId="25" xr:uid="{00000000-0005-0000-0000-000026000000}"/>
    <cellStyle name="Comma 10 2" xfId="155" xr:uid="{00000000-0005-0000-0000-000027000000}"/>
    <cellStyle name="Comma 10 2 2" xfId="177" xr:uid="{00000000-0005-0000-0000-000028000000}"/>
    <cellStyle name="Comma 10 2 2 2" xfId="221" xr:uid="{00000000-0005-0000-0000-000029000000}"/>
    <cellStyle name="Comma 10 2 3" xfId="199" xr:uid="{00000000-0005-0000-0000-00002A000000}"/>
    <cellStyle name="Comma 10 3" xfId="166" xr:uid="{00000000-0005-0000-0000-00002B000000}"/>
    <cellStyle name="Comma 10 3 2" xfId="210" xr:uid="{00000000-0005-0000-0000-00002C000000}"/>
    <cellStyle name="Comma 10 4" xfId="188" xr:uid="{00000000-0005-0000-0000-00002D000000}"/>
    <cellStyle name="Comma 11" xfId="26" xr:uid="{00000000-0005-0000-0000-00002E000000}"/>
    <cellStyle name="Comma 2" xfId="27" xr:uid="{00000000-0005-0000-0000-00002F000000}"/>
    <cellStyle name="Comma 2 2" xfId="28" xr:uid="{00000000-0005-0000-0000-000030000000}"/>
    <cellStyle name="Comma 2 2 2" xfId="156" xr:uid="{00000000-0005-0000-0000-000031000000}"/>
    <cellStyle name="Comma 2 2 2 2" xfId="178" xr:uid="{00000000-0005-0000-0000-000032000000}"/>
    <cellStyle name="Comma 2 2 2 2 2" xfId="222" xr:uid="{00000000-0005-0000-0000-000033000000}"/>
    <cellStyle name="Comma 2 2 2 3" xfId="200" xr:uid="{00000000-0005-0000-0000-000034000000}"/>
    <cellStyle name="Comma 2 2 3" xfId="167" xr:uid="{00000000-0005-0000-0000-000035000000}"/>
    <cellStyle name="Comma 2 2 3 2" xfId="211" xr:uid="{00000000-0005-0000-0000-000036000000}"/>
    <cellStyle name="Comma 2 2 4" xfId="189" xr:uid="{00000000-0005-0000-0000-000037000000}"/>
    <cellStyle name="Comma 3" xfId="29" xr:uid="{00000000-0005-0000-0000-000038000000}"/>
    <cellStyle name="Comma 3 2" xfId="30" xr:uid="{00000000-0005-0000-0000-000039000000}"/>
    <cellStyle name="Comma 3 2 2" xfId="157" xr:uid="{00000000-0005-0000-0000-00003A000000}"/>
    <cellStyle name="Comma 3 2 2 2" xfId="179" xr:uid="{00000000-0005-0000-0000-00003B000000}"/>
    <cellStyle name="Comma 3 2 2 2 2" xfId="223" xr:uid="{00000000-0005-0000-0000-00003C000000}"/>
    <cellStyle name="Comma 3 2 2 3" xfId="201" xr:uid="{00000000-0005-0000-0000-00003D000000}"/>
    <cellStyle name="Comma 3 2 3" xfId="168" xr:uid="{00000000-0005-0000-0000-00003E000000}"/>
    <cellStyle name="Comma 3 2 3 2" xfId="212" xr:uid="{00000000-0005-0000-0000-00003F000000}"/>
    <cellStyle name="Comma 3 2 4" xfId="190" xr:uid="{00000000-0005-0000-0000-000040000000}"/>
    <cellStyle name="Comma 4" xfId="31" xr:uid="{00000000-0005-0000-0000-000041000000}"/>
    <cellStyle name="Comma 5" xfId="32" xr:uid="{00000000-0005-0000-0000-000042000000}"/>
    <cellStyle name="Comma 6" xfId="33" xr:uid="{00000000-0005-0000-0000-000043000000}"/>
    <cellStyle name="Comma 7" xfId="34" xr:uid="{00000000-0005-0000-0000-000044000000}"/>
    <cellStyle name="Comma 8" xfId="35" xr:uid="{00000000-0005-0000-0000-000045000000}"/>
    <cellStyle name="Comma 9" xfId="36" xr:uid="{00000000-0005-0000-0000-000046000000}"/>
    <cellStyle name="Currency 2" xfId="37" xr:uid="{00000000-0005-0000-0000-000047000000}"/>
    <cellStyle name="Currency 3" xfId="38" xr:uid="{00000000-0005-0000-0000-000048000000}"/>
    <cellStyle name="Currency 4" xfId="39" xr:uid="{00000000-0005-0000-0000-000049000000}"/>
    <cellStyle name="Currency 5" xfId="40" xr:uid="{00000000-0005-0000-0000-00004A000000}"/>
    <cellStyle name="Currency 6" xfId="41" xr:uid="{00000000-0005-0000-0000-00004B000000}"/>
    <cellStyle name="Currency 7" xfId="42" xr:uid="{00000000-0005-0000-0000-00004C000000}"/>
    <cellStyle name="Currency 8" xfId="43" xr:uid="{00000000-0005-0000-0000-00004D000000}"/>
    <cellStyle name="Currency 8 2" xfId="158" xr:uid="{00000000-0005-0000-0000-00004E000000}"/>
    <cellStyle name="Currency 8 2 2" xfId="180" xr:uid="{00000000-0005-0000-0000-00004F000000}"/>
    <cellStyle name="Currency 8 2 2 2" xfId="224" xr:uid="{00000000-0005-0000-0000-000050000000}"/>
    <cellStyle name="Currency 8 2 3" xfId="202" xr:uid="{00000000-0005-0000-0000-000051000000}"/>
    <cellStyle name="Currency 8 3" xfId="169" xr:uid="{00000000-0005-0000-0000-000052000000}"/>
    <cellStyle name="Currency 8 3 2" xfId="213" xr:uid="{00000000-0005-0000-0000-000053000000}"/>
    <cellStyle name="Currency 8 4" xfId="191" xr:uid="{00000000-0005-0000-0000-000054000000}"/>
    <cellStyle name="Followed Hyperlink" xfId="8" builtinId="9" customBuiltin="1"/>
    <cellStyle name="Font: Calibri, 9pt regular" xfId="6" xr:uid="{00000000-0005-0000-0000-000056000000}"/>
    <cellStyle name="Footnotes: all except top row" xfId="9" xr:uid="{00000000-0005-0000-0000-000057000000}"/>
    <cellStyle name="Footnotes: top row" xfId="7" xr:uid="{00000000-0005-0000-0000-000058000000}"/>
    <cellStyle name="Header: bottom row" xfId="2" xr:uid="{00000000-0005-0000-0000-000059000000}"/>
    <cellStyle name="Header: top rows" xfId="10" xr:uid="{00000000-0005-0000-0000-00005A000000}"/>
    <cellStyle name="Heading" xfId="44" xr:uid="{00000000-0005-0000-0000-00005B000000}"/>
    <cellStyle name="Heading 2 2" xfId="45" xr:uid="{00000000-0005-0000-0000-00005C000000}"/>
    <cellStyle name="Heading2" xfId="46" xr:uid="{00000000-0005-0000-0000-00005D000000}"/>
    <cellStyle name="Hyperlink" xfId="5" builtinId="8"/>
    <cellStyle name="Hyperlink 10" xfId="47" xr:uid="{00000000-0005-0000-0000-00005F000000}"/>
    <cellStyle name="Hyperlink 10 2" xfId="48" xr:uid="{00000000-0005-0000-0000-000060000000}"/>
    <cellStyle name="Hyperlink 10 3" xfId="49" xr:uid="{00000000-0005-0000-0000-000061000000}"/>
    <cellStyle name="Hyperlink 11" xfId="50" xr:uid="{00000000-0005-0000-0000-000062000000}"/>
    <cellStyle name="Hyperlink 11 2" xfId="51" xr:uid="{00000000-0005-0000-0000-000063000000}"/>
    <cellStyle name="Hyperlink 11 3" xfId="52" xr:uid="{00000000-0005-0000-0000-000064000000}"/>
    <cellStyle name="Hyperlink 12" xfId="53" xr:uid="{00000000-0005-0000-0000-000065000000}"/>
    <cellStyle name="Hyperlink 12 2" xfId="54" xr:uid="{00000000-0005-0000-0000-000066000000}"/>
    <cellStyle name="Hyperlink 12 3" xfId="55" xr:uid="{00000000-0005-0000-0000-000067000000}"/>
    <cellStyle name="Hyperlink 13" xfId="56" xr:uid="{00000000-0005-0000-0000-000068000000}"/>
    <cellStyle name="Hyperlink 13 2" xfId="57" xr:uid="{00000000-0005-0000-0000-000069000000}"/>
    <cellStyle name="Hyperlink 13 3" xfId="58" xr:uid="{00000000-0005-0000-0000-00006A000000}"/>
    <cellStyle name="Hyperlink 14" xfId="59" xr:uid="{00000000-0005-0000-0000-00006B000000}"/>
    <cellStyle name="Hyperlink 14 2" xfId="60" xr:uid="{00000000-0005-0000-0000-00006C000000}"/>
    <cellStyle name="Hyperlink 14 3" xfId="61" xr:uid="{00000000-0005-0000-0000-00006D000000}"/>
    <cellStyle name="Hyperlink 15" xfId="62" xr:uid="{00000000-0005-0000-0000-00006E000000}"/>
    <cellStyle name="Hyperlink 15 2" xfId="63" xr:uid="{00000000-0005-0000-0000-00006F000000}"/>
    <cellStyle name="Hyperlink 15 3" xfId="64" xr:uid="{00000000-0005-0000-0000-000070000000}"/>
    <cellStyle name="Hyperlink 16" xfId="65" xr:uid="{00000000-0005-0000-0000-000071000000}"/>
    <cellStyle name="Hyperlink 16 2" xfId="66" xr:uid="{00000000-0005-0000-0000-000072000000}"/>
    <cellStyle name="Hyperlink 16 3" xfId="67" xr:uid="{00000000-0005-0000-0000-000073000000}"/>
    <cellStyle name="Hyperlink 17" xfId="68" xr:uid="{00000000-0005-0000-0000-000074000000}"/>
    <cellStyle name="Hyperlink 17 2" xfId="69" xr:uid="{00000000-0005-0000-0000-000075000000}"/>
    <cellStyle name="Hyperlink 17 3" xfId="70" xr:uid="{00000000-0005-0000-0000-000076000000}"/>
    <cellStyle name="Hyperlink 18" xfId="71" xr:uid="{00000000-0005-0000-0000-000077000000}"/>
    <cellStyle name="Hyperlink 18 2" xfId="72" xr:uid="{00000000-0005-0000-0000-000078000000}"/>
    <cellStyle name="Hyperlink 18 3" xfId="73" xr:uid="{00000000-0005-0000-0000-000079000000}"/>
    <cellStyle name="Hyperlink 19" xfId="74" xr:uid="{00000000-0005-0000-0000-00007A000000}"/>
    <cellStyle name="Hyperlink 19 2" xfId="75" xr:uid="{00000000-0005-0000-0000-00007B000000}"/>
    <cellStyle name="Hyperlink 19 3" xfId="76" xr:uid="{00000000-0005-0000-0000-00007C000000}"/>
    <cellStyle name="Hyperlink 2" xfId="11" xr:uid="{00000000-0005-0000-0000-00007D000000}"/>
    <cellStyle name="Hyperlink 2 2" xfId="78" xr:uid="{00000000-0005-0000-0000-00007E000000}"/>
    <cellStyle name="Hyperlink 2 3" xfId="79" xr:uid="{00000000-0005-0000-0000-00007F000000}"/>
    <cellStyle name="Hyperlink 2 4" xfId="77" xr:uid="{00000000-0005-0000-0000-000080000000}"/>
    <cellStyle name="Hyperlink 20" xfId="80" xr:uid="{00000000-0005-0000-0000-000081000000}"/>
    <cellStyle name="Hyperlink 20 2" xfId="81" xr:uid="{00000000-0005-0000-0000-000082000000}"/>
    <cellStyle name="Hyperlink 20 3" xfId="82" xr:uid="{00000000-0005-0000-0000-000083000000}"/>
    <cellStyle name="Hyperlink 21" xfId="83" xr:uid="{00000000-0005-0000-0000-000084000000}"/>
    <cellStyle name="Hyperlink 21 2" xfId="84" xr:uid="{00000000-0005-0000-0000-000085000000}"/>
    <cellStyle name="Hyperlink 21 3" xfId="85" xr:uid="{00000000-0005-0000-0000-000086000000}"/>
    <cellStyle name="Hyperlink 22" xfId="86" xr:uid="{00000000-0005-0000-0000-000087000000}"/>
    <cellStyle name="Hyperlink 22 2" xfId="87" xr:uid="{00000000-0005-0000-0000-000088000000}"/>
    <cellStyle name="Hyperlink 22 3" xfId="88" xr:uid="{00000000-0005-0000-0000-000089000000}"/>
    <cellStyle name="Hyperlink 23" xfId="89" xr:uid="{00000000-0005-0000-0000-00008A000000}"/>
    <cellStyle name="Hyperlink 23 2" xfId="90" xr:uid="{00000000-0005-0000-0000-00008B000000}"/>
    <cellStyle name="Hyperlink 23 3" xfId="91" xr:uid="{00000000-0005-0000-0000-00008C000000}"/>
    <cellStyle name="Hyperlink 24" xfId="92" xr:uid="{00000000-0005-0000-0000-00008D000000}"/>
    <cellStyle name="Hyperlink 25" xfId="93" xr:uid="{00000000-0005-0000-0000-00008E000000}"/>
    <cellStyle name="Hyperlink 26" xfId="94" xr:uid="{00000000-0005-0000-0000-00008F000000}"/>
    <cellStyle name="Hyperlink 27" xfId="95" xr:uid="{00000000-0005-0000-0000-000090000000}"/>
    <cellStyle name="Hyperlink 28" xfId="96" xr:uid="{00000000-0005-0000-0000-000091000000}"/>
    <cellStyle name="Hyperlink 29" xfId="97" xr:uid="{00000000-0005-0000-0000-000092000000}"/>
    <cellStyle name="Hyperlink 3" xfId="98" xr:uid="{00000000-0005-0000-0000-000093000000}"/>
    <cellStyle name="Hyperlink 3 2" xfId="99" xr:uid="{00000000-0005-0000-0000-000094000000}"/>
    <cellStyle name="Hyperlink 3 3" xfId="100" xr:uid="{00000000-0005-0000-0000-000095000000}"/>
    <cellStyle name="Hyperlink 30" xfId="101" xr:uid="{00000000-0005-0000-0000-000096000000}"/>
    <cellStyle name="Hyperlink 31" xfId="102" xr:uid="{00000000-0005-0000-0000-000097000000}"/>
    <cellStyle name="Hyperlink 32" xfId="103" xr:uid="{00000000-0005-0000-0000-000098000000}"/>
    <cellStyle name="Hyperlink 33" xfId="104" xr:uid="{00000000-0005-0000-0000-000099000000}"/>
    <cellStyle name="Hyperlink 33 2" xfId="105" xr:uid="{00000000-0005-0000-0000-00009A000000}"/>
    <cellStyle name="Hyperlink 33 3" xfId="106" xr:uid="{00000000-0005-0000-0000-00009B000000}"/>
    <cellStyle name="Hyperlink 34" xfId="107" xr:uid="{00000000-0005-0000-0000-00009C000000}"/>
    <cellStyle name="Hyperlink 34 2" xfId="108" xr:uid="{00000000-0005-0000-0000-00009D000000}"/>
    <cellStyle name="Hyperlink 34 3" xfId="109" xr:uid="{00000000-0005-0000-0000-00009E000000}"/>
    <cellStyle name="Hyperlink 34 4" xfId="110" xr:uid="{00000000-0005-0000-0000-00009F000000}"/>
    <cellStyle name="Hyperlink 34 5" xfId="111" xr:uid="{00000000-0005-0000-0000-0000A0000000}"/>
    <cellStyle name="Hyperlink 4" xfId="112" xr:uid="{00000000-0005-0000-0000-0000A1000000}"/>
    <cellStyle name="Hyperlink 4 2" xfId="113" xr:uid="{00000000-0005-0000-0000-0000A2000000}"/>
    <cellStyle name="Hyperlink 4 3" xfId="114" xr:uid="{00000000-0005-0000-0000-0000A3000000}"/>
    <cellStyle name="Hyperlink 5" xfId="115" xr:uid="{00000000-0005-0000-0000-0000A4000000}"/>
    <cellStyle name="Hyperlink 5 2" xfId="116" xr:uid="{00000000-0005-0000-0000-0000A5000000}"/>
    <cellStyle name="Hyperlink 5 3" xfId="117" xr:uid="{00000000-0005-0000-0000-0000A6000000}"/>
    <cellStyle name="Hyperlink 6" xfId="118" xr:uid="{00000000-0005-0000-0000-0000A7000000}"/>
    <cellStyle name="Hyperlink 6 2" xfId="119" xr:uid="{00000000-0005-0000-0000-0000A8000000}"/>
    <cellStyle name="Hyperlink 6 3" xfId="120" xr:uid="{00000000-0005-0000-0000-0000A9000000}"/>
    <cellStyle name="Hyperlink 7" xfId="121" xr:uid="{00000000-0005-0000-0000-0000AA000000}"/>
    <cellStyle name="Hyperlink 7 2" xfId="122" xr:uid="{00000000-0005-0000-0000-0000AB000000}"/>
    <cellStyle name="Hyperlink 7 3" xfId="123" xr:uid="{00000000-0005-0000-0000-0000AC000000}"/>
    <cellStyle name="Hyperlink 8" xfId="124" xr:uid="{00000000-0005-0000-0000-0000AD000000}"/>
    <cellStyle name="Hyperlink 8 2" xfId="125" xr:uid="{00000000-0005-0000-0000-0000AE000000}"/>
    <cellStyle name="Hyperlink 8 3" xfId="126" xr:uid="{00000000-0005-0000-0000-0000AF000000}"/>
    <cellStyle name="Hyperlink 9" xfId="127" xr:uid="{00000000-0005-0000-0000-0000B0000000}"/>
    <cellStyle name="Hyperlink 9 2" xfId="128" xr:uid="{00000000-0005-0000-0000-0000B1000000}"/>
    <cellStyle name="Hyperlink 9 3" xfId="129" xr:uid="{00000000-0005-0000-0000-0000B2000000}"/>
    <cellStyle name="Input 2" xfId="130" xr:uid="{00000000-0005-0000-0000-0000B3000000}"/>
    <cellStyle name="Linked" xfId="131" xr:uid="{00000000-0005-0000-0000-0000B4000000}"/>
    <cellStyle name="Normal" xfId="0" builtinId="0"/>
    <cellStyle name="Normal 2" xfId="15" xr:uid="{00000000-0005-0000-0000-0000B6000000}"/>
    <cellStyle name="Normal 2 2" xfId="14" xr:uid="{00000000-0005-0000-0000-0000B7000000}"/>
    <cellStyle name="Normal 2 2 2" xfId="132" xr:uid="{00000000-0005-0000-0000-0000B8000000}"/>
    <cellStyle name="Normal 2 2 2 2" xfId="159" xr:uid="{00000000-0005-0000-0000-0000B9000000}"/>
    <cellStyle name="Normal 2 2 2 2 2" xfId="181" xr:uid="{00000000-0005-0000-0000-0000BA000000}"/>
    <cellStyle name="Normal 2 2 2 2 2 2" xfId="225" xr:uid="{00000000-0005-0000-0000-0000BB000000}"/>
    <cellStyle name="Normal 2 2 2 2 3" xfId="203" xr:uid="{00000000-0005-0000-0000-0000BC000000}"/>
    <cellStyle name="Normal 2 2 2 3" xfId="170" xr:uid="{00000000-0005-0000-0000-0000BD000000}"/>
    <cellStyle name="Normal 2 2 2 3 2" xfId="214" xr:uid="{00000000-0005-0000-0000-0000BE000000}"/>
    <cellStyle name="Normal 2 2 2 4" xfId="192" xr:uid="{00000000-0005-0000-0000-0000BF000000}"/>
    <cellStyle name="Normal 3" xfId="133" xr:uid="{00000000-0005-0000-0000-0000C0000000}"/>
    <cellStyle name="Normal 4" xfId="134" xr:uid="{00000000-0005-0000-0000-0000C1000000}"/>
    <cellStyle name="Normal 5" xfId="135" xr:uid="{00000000-0005-0000-0000-0000C2000000}"/>
    <cellStyle name="Normal 6" xfId="136" xr:uid="{00000000-0005-0000-0000-0000C3000000}"/>
    <cellStyle name="Normal 6 2" xfId="160" xr:uid="{00000000-0005-0000-0000-0000C4000000}"/>
    <cellStyle name="Normal 6 2 2" xfId="182" xr:uid="{00000000-0005-0000-0000-0000C5000000}"/>
    <cellStyle name="Normal 6 2 2 2" xfId="226" xr:uid="{00000000-0005-0000-0000-0000C6000000}"/>
    <cellStyle name="Normal 6 2 3" xfId="204" xr:uid="{00000000-0005-0000-0000-0000C7000000}"/>
    <cellStyle name="Normal 6 3" xfId="171" xr:uid="{00000000-0005-0000-0000-0000C8000000}"/>
    <cellStyle name="Normal 6 3 2" xfId="215" xr:uid="{00000000-0005-0000-0000-0000C9000000}"/>
    <cellStyle name="Normal 6 4" xfId="193" xr:uid="{00000000-0005-0000-0000-0000CA000000}"/>
    <cellStyle name="Normal 7" xfId="137" xr:uid="{00000000-0005-0000-0000-0000CB000000}"/>
    <cellStyle name="Normal 8" xfId="138" xr:uid="{00000000-0005-0000-0000-0000CC000000}"/>
    <cellStyle name="Normal Small" xfId="139" xr:uid="{00000000-0005-0000-0000-0000CD000000}"/>
    <cellStyle name="Parent row" xfId="3" xr:uid="{00000000-0005-0000-0000-0000CE000000}"/>
    <cellStyle name="Percent" xfId="228" builtinId="5"/>
    <cellStyle name="Percent 2" xfId="140" xr:uid="{00000000-0005-0000-0000-0000D0000000}"/>
    <cellStyle name="Percent 2 2" xfId="141" xr:uid="{00000000-0005-0000-0000-0000D1000000}"/>
    <cellStyle name="Percent 2 3" xfId="142" xr:uid="{00000000-0005-0000-0000-0000D2000000}"/>
    <cellStyle name="Percent 2 4" xfId="161" xr:uid="{00000000-0005-0000-0000-0000D3000000}"/>
    <cellStyle name="Percent 2 4 2" xfId="183" xr:uid="{00000000-0005-0000-0000-0000D4000000}"/>
    <cellStyle name="Percent 2 4 2 2" xfId="227" xr:uid="{00000000-0005-0000-0000-0000D5000000}"/>
    <cellStyle name="Percent 2 4 3" xfId="205" xr:uid="{00000000-0005-0000-0000-0000D6000000}"/>
    <cellStyle name="Percent 2 5" xfId="172" xr:uid="{00000000-0005-0000-0000-0000D7000000}"/>
    <cellStyle name="Percent 2 5 2" xfId="216" xr:uid="{00000000-0005-0000-0000-0000D8000000}"/>
    <cellStyle name="Percent 2 6" xfId="194" xr:uid="{00000000-0005-0000-0000-0000D9000000}"/>
    <cellStyle name="Percent 3" xfId="143" xr:uid="{00000000-0005-0000-0000-0000DA000000}"/>
    <cellStyle name="Percent 3 2" xfId="144" xr:uid="{00000000-0005-0000-0000-0000DB000000}"/>
    <cellStyle name="Results" xfId="145" xr:uid="{00000000-0005-0000-0000-0000DC000000}"/>
    <cellStyle name="Section Break" xfId="12" xr:uid="{00000000-0005-0000-0000-0000DD000000}"/>
    <cellStyle name="Section Break: parent row" xfId="13" xr:uid="{00000000-0005-0000-0000-0000DE000000}"/>
    <cellStyle name="Table title" xfId="1" xr:uid="{00000000-0005-0000-0000-0000DF000000}"/>
    <cellStyle name="Title 2" xfId="146" xr:uid="{00000000-0005-0000-0000-0000E0000000}"/>
    <cellStyle name="Title 3" xfId="147" xr:uid="{00000000-0005-0000-0000-0000E1000000}"/>
    <cellStyle name="Unit" xfId="148" xr:uid="{00000000-0005-0000-0000-0000E2000000}"/>
    <cellStyle name="UserInput" xfId="149" xr:uid="{00000000-0005-0000-0000-0000E3000000}"/>
    <cellStyle name="Variable" xfId="150" xr:uid="{00000000-0005-0000-0000-0000E4000000}"/>
  </cellStyles>
  <dxfs count="4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2" defaultTableStyle="TableStyleMedium2" defaultPivotStyle="PivotStyleLight16">
    <tableStyle name="Table Style 1" pivot="0" count="2" xr9:uid="{00000000-0011-0000-FFFF-FFFF00000000}">
      <tableStyleElement type="wholeTable" dxfId="3"/>
      <tableStyleElement type="headerRow" dxfId="2"/>
    </tableStyle>
    <tableStyle name="MySqlDefault" pivot="0" table="0" count="2" xr9:uid="{00000000-0011-0000-FFFF-FFFF01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nergy.gov/sites/prod/files/wv_chapter2_wind_power_in_the_united_states.pdf" TargetMode="External"/><Relationship Id="rId2" Type="http://schemas.openxmlformats.org/officeDocument/2006/relationships/hyperlink" Target="https://www.eia.gov/forecasts/aeo/assumptions/pdf/electricity.pdf" TargetMode="External"/><Relationship Id="rId1" Type="http://schemas.openxmlformats.org/officeDocument/2006/relationships/hyperlink" Target="https://www.epa.gov/sites/production/files/2015-08/documents/coalperform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opLeftCell="A16" workbookViewId="0">
      <selection activeCell="D64" sqref="D64"/>
    </sheetView>
  </sheetViews>
  <sheetFormatPr defaultColWidth="9.08984375" defaultRowHeight="14.5"/>
  <cols>
    <col min="1" max="1" width="9.08984375" style="2"/>
    <col min="2" max="2" width="17.81640625" style="2" customWidth="1"/>
    <col min="3" max="3" width="7.1796875" style="2" customWidth="1"/>
    <col min="4" max="4" width="77.1796875" style="2" customWidth="1"/>
    <col min="5" max="5" width="10.81640625" style="2" customWidth="1"/>
    <col min="6" max="6" width="56.08984375" style="2" bestFit="1" customWidth="1"/>
    <col min="7" max="11" width="10.81640625" style="2" customWidth="1"/>
    <col min="12" max="16384" width="9.08984375" style="2"/>
  </cols>
  <sheetData>
    <row r="1" spans="1:4">
      <c r="A1" s="1" t="s">
        <v>2</v>
      </c>
    </row>
    <row r="2" spans="1:4">
      <c r="A2" s="1" t="s">
        <v>3</v>
      </c>
    </row>
    <row r="3" spans="1:4">
      <c r="A3" s="1" t="s">
        <v>4</v>
      </c>
    </row>
    <row r="4" spans="1:4">
      <c r="A4" s="1" t="s">
        <v>37</v>
      </c>
      <c r="D4" s="5"/>
    </row>
    <row r="5" spans="1:4">
      <c r="D5" s="5"/>
    </row>
    <row r="6" spans="1:4">
      <c r="A6" s="5" t="s">
        <v>1</v>
      </c>
      <c r="B6" s="8" t="s">
        <v>63</v>
      </c>
      <c r="D6" s="5"/>
    </row>
    <row r="7" spans="1:4">
      <c r="B7" t="s">
        <v>42</v>
      </c>
      <c r="D7" s="5"/>
    </row>
    <row r="8" spans="1:4">
      <c r="B8" s="2">
        <v>2020</v>
      </c>
      <c r="D8" s="5"/>
    </row>
    <row r="9" spans="1:4">
      <c r="B9" t="s">
        <v>43</v>
      </c>
      <c r="D9" s="5"/>
    </row>
    <row r="10" spans="1:4">
      <c r="B10" s="3" t="s">
        <v>44</v>
      </c>
      <c r="D10" s="5"/>
    </row>
    <row r="11" spans="1:4">
      <c r="D11" s="5"/>
    </row>
    <row r="12" spans="1:4">
      <c r="B12" s="8" t="s">
        <v>62</v>
      </c>
      <c r="D12" s="5"/>
    </row>
    <row r="13" spans="1:4">
      <c r="B13" t="s">
        <v>60</v>
      </c>
      <c r="D13" s="5"/>
    </row>
    <row r="14" spans="1:4">
      <c r="B14" s="2">
        <v>2020</v>
      </c>
      <c r="D14" s="5"/>
    </row>
    <row r="15" spans="1:4">
      <c r="B15" s="2" t="s">
        <v>61</v>
      </c>
    </row>
    <row r="16" spans="1:4">
      <c r="B16" s="2" t="s">
        <v>46</v>
      </c>
    </row>
    <row r="18" spans="2:4">
      <c r="B18" s="8" t="s">
        <v>64</v>
      </c>
      <c r="D18" t="s">
        <v>47</v>
      </c>
    </row>
    <row r="19" spans="2:4">
      <c r="B19" t="s">
        <v>42</v>
      </c>
    </row>
    <row r="20" spans="2:4">
      <c r="B20" s="2">
        <v>2020</v>
      </c>
    </row>
    <row r="21" spans="2:4">
      <c r="B21" t="s">
        <v>58</v>
      </c>
    </row>
    <row r="22" spans="2:4">
      <c r="B22" s="3" t="s">
        <v>59</v>
      </c>
    </row>
    <row r="24" spans="2:4">
      <c r="B24" s="8" t="s">
        <v>65</v>
      </c>
    </row>
    <row r="25" spans="2:4">
      <c r="B25" t="s">
        <v>56</v>
      </c>
    </row>
    <row r="26" spans="2:4">
      <c r="B26" s="2">
        <v>2018</v>
      </c>
      <c r="D26" s="5"/>
    </row>
    <row r="27" spans="2:4">
      <c r="B27" t="s">
        <v>57</v>
      </c>
      <c r="D27" s="5"/>
    </row>
    <row r="28" spans="2:4">
      <c r="B28" s="2" t="s">
        <v>51</v>
      </c>
      <c r="D28" s="5"/>
    </row>
    <row r="29" spans="2:4">
      <c r="B29"/>
      <c r="D29" s="5"/>
    </row>
    <row r="30" spans="2:4">
      <c r="B30" s="8" t="s">
        <v>68</v>
      </c>
      <c r="D30" s="5"/>
    </row>
    <row r="31" spans="2:4">
      <c r="B31" t="s">
        <v>69</v>
      </c>
      <c r="D31" s="5"/>
    </row>
    <row r="32" spans="2:4">
      <c r="B32" t="s">
        <v>70</v>
      </c>
      <c r="D32" s="5"/>
    </row>
    <row r="33" spans="1:11">
      <c r="B33"/>
      <c r="D33" s="5"/>
    </row>
    <row r="34" spans="1:11">
      <c r="A34" s="5" t="s">
        <v>10</v>
      </c>
      <c r="D34" s="5"/>
      <c r="E34" s="7"/>
      <c r="F34" s="7"/>
      <c r="G34" s="7"/>
      <c r="H34" s="7"/>
      <c r="I34" s="7"/>
      <c r="J34" s="7"/>
      <c r="K34" s="7"/>
    </row>
    <row r="35" spans="1:11">
      <c r="A35" s="2" t="s">
        <v>356</v>
      </c>
      <c r="B35" s="36">
        <v>98.58</v>
      </c>
      <c r="D35" s="5"/>
      <c r="E35" s="7"/>
      <c r="F35" s="7"/>
      <c r="G35" s="7"/>
      <c r="H35" s="7"/>
      <c r="I35" s="7"/>
      <c r="J35" s="7"/>
      <c r="K35" s="7"/>
    </row>
    <row r="36" spans="1:11">
      <c r="A36" s="2" t="s">
        <v>357</v>
      </c>
      <c r="B36" s="36">
        <v>103.31</v>
      </c>
      <c r="C36" s="2">
        <f>B35/B36</f>
        <v>0.95421546800890522</v>
      </c>
      <c r="D36" s="5"/>
      <c r="E36" s="7"/>
      <c r="F36" s="7"/>
      <c r="G36" s="7"/>
      <c r="H36" s="7"/>
      <c r="I36" s="7"/>
      <c r="J36" s="7"/>
      <c r="K36" s="7"/>
    </row>
    <row r="37" spans="1:11">
      <c r="A37" s="2" t="s">
        <v>355</v>
      </c>
      <c r="B37" s="35">
        <v>1126.8800000000001</v>
      </c>
      <c r="D37" s="5"/>
      <c r="E37" s="7"/>
      <c r="F37" s="7"/>
      <c r="G37" s="7"/>
      <c r="H37" s="7"/>
      <c r="I37" s="7"/>
      <c r="J37" s="7"/>
      <c r="K37" s="7"/>
    </row>
    <row r="38" spans="1:11">
      <c r="A38" s="2" t="s">
        <v>38</v>
      </c>
      <c r="D38" s="5"/>
      <c r="E38" s="7"/>
      <c r="F38" s="7"/>
      <c r="G38" s="7"/>
      <c r="H38" s="7"/>
      <c r="I38" s="7"/>
      <c r="J38" s="7"/>
      <c r="K38" s="7"/>
    </row>
    <row r="39" spans="1:11">
      <c r="A39" s="16">
        <f>B37*C36</f>
        <v>1075.2863265898752</v>
      </c>
      <c r="D39" s="5"/>
      <c r="E39" s="7"/>
      <c r="F39" s="7"/>
      <c r="G39" s="7"/>
      <c r="H39" s="7"/>
      <c r="I39" s="7"/>
      <c r="J39" s="7"/>
      <c r="K39" s="7"/>
    </row>
    <row r="40" spans="1:11">
      <c r="D40" s="5"/>
      <c r="E40" s="7"/>
      <c r="F40" s="7"/>
      <c r="G40" s="7"/>
      <c r="H40" s="7"/>
      <c r="I40" s="7"/>
      <c r="J40" s="7"/>
      <c r="K40" s="7"/>
    </row>
    <row r="41" spans="1:11">
      <c r="A41" s="2" t="s">
        <v>71</v>
      </c>
      <c r="D41" s="5"/>
      <c r="E41" s="7"/>
      <c r="F41" s="7"/>
      <c r="G41" s="7"/>
      <c r="H41" s="7"/>
      <c r="I41" s="7"/>
      <c r="J41" s="7"/>
      <c r="K41" s="7"/>
    </row>
    <row r="42" spans="1:11">
      <c r="A42" s="2" t="s">
        <v>72</v>
      </c>
      <c r="D42" s="5"/>
      <c r="E42" s="7"/>
      <c r="F42" s="7"/>
      <c r="G42" s="7"/>
      <c r="H42" s="7"/>
      <c r="I42" s="7"/>
      <c r="J42" s="7"/>
      <c r="K42" s="7"/>
    </row>
    <row r="43" spans="1:11">
      <c r="A43" s="2" t="s">
        <v>73</v>
      </c>
      <c r="D43" s="5"/>
      <c r="E43" s="7"/>
      <c r="F43" s="7"/>
      <c r="G43" s="7"/>
      <c r="H43" s="7"/>
      <c r="I43" s="7"/>
      <c r="J43" s="7"/>
      <c r="K43" s="7"/>
    </row>
    <row r="44" spans="1:11">
      <c r="A44" s="2" t="s">
        <v>74</v>
      </c>
      <c r="D44" s="5"/>
      <c r="E44" s="7"/>
      <c r="F44" s="7"/>
      <c r="G44" s="7"/>
      <c r="H44" s="7"/>
      <c r="I44" s="7"/>
      <c r="J44" s="7"/>
      <c r="K44" s="7"/>
    </row>
    <row r="45" spans="1:11">
      <c r="D45" s="5"/>
      <c r="E45" s="7"/>
      <c r="F45" s="7"/>
      <c r="G45" s="7"/>
      <c r="H45" s="7"/>
      <c r="I45" s="7"/>
      <c r="J45" s="7"/>
      <c r="K45" s="7"/>
    </row>
    <row r="46" spans="1:11">
      <c r="A46" s="2" t="s">
        <v>368</v>
      </c>
      <c r="D46" s="5"/>
      <c r="E46" s="7"/>
      <c r="F46" s="7"/>
      <c r="G46" s="7"/>
      <c r="H46" s="7"/>
      <c r="I46" s="7"/>
      <c r="J46" s="7"/>
      <c r="K46" s="7"/>
    </row>
    <row r="47" spans="1:11">
      <c r="D47" s="5"/>
      <c r="E47" s="7"/>
      <c r="F47" s="7"/>
      <c r="G47" s="7"/>
      <c r="H47" s="7"/>
      <c r="I47" s="7"/>
      <c r="J47" s="7"/>
      <c r="K47" s="7"/>
    </row>
    <row r="48" spans="1:11">
      <c r="A48" s="2" t="s">
        <v>369</v>
      </c>
      <c r="D48" s="5"/>
      <c r="E48" s="7"/>
      <c r="F48" s="7"/>
      <c r="G48" s="7"/>
      <c r="H48" s="7"/>
      <c r="I48" s="7"/>
      <c r="J48" s="7"/>
      <c r="K48" s="7"/>
    </row>
    <row r="49" spans="4:11">
      <c r="D49" s="5"/>
      <c r="E49" s="7"/>
      <c r="F49" s="7"/>
      <c r="G49" s="7"/>
      <c r="H49" s="7"/>
      <c r="I49" s="7"/>
      <c r="J49" s="7"/>
      <c r="K49" s="7"/>
    </row>
    <row r="50" spans="4:11">
      <c r="D50" s="5"/>
      <c r="E50" s="7"/>
      <c r="F50" s="7"/>
      <c r="G50" s="7"/>
      <c r="H50" s="7"/>
      <c r="I50" s="7"/>
      <c r="J50" s="7"/>
      <c r="K50" s="7"/>
    </row>
    <row r="51" spans="4:11">
      <c r="D51" s="5"/>
      <c r="E51" s="7"/>
      <c r="F51" s="7"/>
      <c r="G51" s="7"/>
      <c r="H51" s="7"/>
      <c r="I51" s="7"/>
      <c r="J51" s="7"/>
      <c r="K51" s="7"/>
    </row>
    <row r="52" spans="4:11">
      <c r="D52" s="5"/>
      <c r="E52" s="7"/>
      <c r="F52" s="7"/>
      <c r="G52" s="7"/>
      <c r="H52" s="7"/>
      <c r="I52" s="7"/>
      <c r="J52" s="7"/>
      <c r="K52" s="7"/>
    </row>
    <row r="53" spans="4:11">
      <c r="D53" s="5"/>
      <c r="E53" s="7"/>
      <c r="F53" s="7"/>
      <c r="G53" s="7"/>
      <c r="H53" s="7"/>
      <c r="I53" s="7"/>
      <c r="J53" s="7"/>
      <c r="K53" s="7"/>
    </row>
    <row r="54" spans="4:11">
      <c r="D54" s="5"/>
      <c r="E54" s="7"/>
      <c r="F54" s="7"/>
      <c r="G54" s="7"/>
      <c r="H54" s="7"/>
      <c r="I54" s="7"/>
      <c r="J54" s="7"/>
      <c r="K54" s="7"/>
    </row>
    <row r="55" spans="4:11">
      <c r="D55" s="5"/>
      <c r="E55" s="7"/>
      <c r="F55" s="7"/>
      <c r="G55" s="7"/>
      <c r="H55" s="7"/>
      <c r="I55" s="7"/>
      <c r="J55" s="7"/>
      <c r="K55" s="7"/>
    </row>
    <row r="56" spans="4:11">
      <c r="D56" s="5"/>
      <c r="E56" s="7"/>
      <c r="F56" s="7"/>
      <c r="G56" s="7"/>
      <c r="H56" s="7"/>
      <c r="I56" s="7"/>
      <c r="J56" s="7"/>
      <c r="K56" s="7"/>
    </row>
    <row r="57" spans="4:11">
      <c r="D57" s="5"/>
      <c r="E57" s="7"/>
      <c r="F57" s="7"/>
      <c r="G57" s="7"/>
      <c r="H57" s="7"/>
      <c r="I57" s="7"/>
      <c r="J57" s="7"/>
      <c r="K57" s="7"/>
    </row>
    <row r="58" spans="4:11">
      <c r="D58" s="5"/>
      <c r="E58" s="7"/>
      <c r="F58" s="7"/>
      <c r="G58" s="7"/>
      <c r="H58" s="7"/>
      <c r="I58" s="7"/>
      <c r="J58" s="7"/>
      <c r="K58" s="7"/>
    </row>
    <row r="59" spans="4:11">
      <c r="D59" s="5"/>
      <c r="E59" s="7"/>
      <c r="F59" s="7"/>
      <c r="G59" s="7"/>
      <c r="H59" s="7"/>
      <c r="I59" s="7"/>
      <c r="J59" s="7"/>
      <c r="K59" s="7"/>
    </row>
    <row r="60" spans="4:11">
      <c r="D60" s="5"/>
      <c r="E60" s="7"/>
      <c r="F60" s="7"/>
      <c r="G60" s="7"/>
      <c r="H60" s="7"/>
      <c r="I60" s="7"/>
      <c r="J60" s="7"/>
      <c r="K60" s="7"/>
    </row>
    <row r="61" spans="4:11">
      <c r="D61" s="5"/>
      <c r="E61" s="7"/>
      <c r="F61" s="7"/>
      <c r="G61" s="7"/>
      <c r="H61" s="7"/>
      <c r="I61" s="7"/>
      <c r="J61" s="7"/>
      <c r="K61" s="7"/>
    </row>
    <row r="62" spans="4:11">
      <c r="D62" s="5"/>
      <c r="E62" s="7"/>
      <c r="F62" s="7"/>
      <c r="G62" s="7"/>
      <c r="H62" s="7"/>
      <c r="I62" s="7"/>
      <c r="J62" s="7"/>
      <c r="K62" s="7"/>
    </row>
    <row r="63" spans="4:11">
      <c r="D63" s="5"/>
      <c r="E63" s="7"/>
      <c r="F63" s="7"/>
      <c r="G63" s="7"/>
      <c r="H63" s="7"/>
      <c r="I63" s="7"/>
      <c r="J63" s="7"/>
      <c r="K63" s="7"/>
    </row>
    <row r="64" spans="4:11">
      <c r="D64" s="5"/>
      <c r="E64" s="7"/>
      <c r="F64" s="7"/>
      <c r="G64" s="7"/>
      <c r="H64" s="7"/>
      <c r="I64" s="7"/>
      <c r="J64" s="7"/>
      <c r="K64" s="7"/>
    </row>
    <row r="65" spans="4:11">
      <c r="D65" s="5"/>
      <c r="E65" s="7"/>
      <c r="F65" s="7"/>
      <c r="G65" s="7"/>
      <c r="H65" s="7"/>
      <c r="I65" s="7"/>
      <c r="J65" s="7"/>
      <c r="K65" s="7"/>
    </row>
    <row r="66" spans="4:11">
      <c r="D66" s="5"/>
      <c r="E66" s="7"/>
      <c r="F66" s="7"/>
      <c r="G66" s="7"/>
      <c r="H66" s="7"/>
      <c r="I66" s="7"/>
      <c r="J66" s="7"/>
      <c r="K66" s="7"/>
    </row>
    <row r="67" spans="4:11">
      <c r="D67" s="5"/>
      <c r="E67" s="7"/>
      <c r="F67" s="7"/>
      <c r="G67" s="7"/>
      <c r="H67" s="7"/>
      <c r="I67" s="7"/>
      <c r="J67" s="7"/>
      <c r="K67" s="7"/>
    </row>
    <row r="68" spans="4:11">
      <c r="D68" s="5"/>
      <c r="E68" s="7"/>
      <c r="F68" s="7"/>
      <c r="G68" s="7"/>
      <c r="H68" s="7"/>
      <c r="I68" s="7"/>
      <c r="J68" s="7"/>
      <c r="K68" s="7"/>
    </row>
    <row r="69" spans="4:11">
      <c r="D69" s="5"/>
      <c r="E69" s="7"/>
      <c r="F69" s="7"/>
      <c r="G69" s="7"/>
      <c r="H69" s="7"/>
      <c r="I69" s="7"/>
      <c r="J69" s="7"/>
      <c r="K69" s="7"/>
    </row>
    <row r="70" spans="4:11">
      <c r="D70" s="5"/>
      <c r="E70" s="7"/>
      <c r="F70" s="7"/>
      <c r="G70" s="7"/>
      <c r="H70" s="7"/>
      <c r="I70" s="7"/>
      <c r="J70" s="7"/>
      <c r="K70" s="7"/>
    </row>
    <row r="71" spans="4:11">
      <c r="D71" s="5"/>
      <c r="E71" s="7"/>
      <c r="F71" s="7"/>
      <c r="G71" s="7"/>
      <c r="H71" s="7"/>
      <c r="I71" s="7"/>
      <c r="J71" s="7"/>
      <c r="K71" s="7"/>
    </row>
    <row r="72" spans="4:11">
      <c r="D72" s="5"/>
      <c r="E72" s="7"/>
      <c r="F72" s="7"/>
      <c r="G72" s="7"/>
      <c r="H72" s="7"/>
      <c r="I72" s="7"/>
      <c r="J72" s="7"/>
      <c r="K72" s="7"/>
    </row>
    <row r="73" spans="4:11">
      <c r="D73" s="5"/>
      <c r="E73" s="7"/>
      <c r="F73" s="7"/>
      <c r="G73" s="7"/>
      <c r="H73" s="7"/>
      <c r="I73" s="7"/>
      <c r="J73" s="7"/>
      <c r="K73" s="7"/>
    </row>
    <row r="74" spans="4:11">
      <c r="D74" s="5"/>
      <c r="E74" s="7"/>
      <c r="F74" s="7"/>
      <c r="G74" s="7"/>
      <c r="H74" s="7"/>
      <c r="I74" s="7"/>
      <c r="J74" s="7"/>
      <c r="K74" s="7"/>
    </row>
    <row r="75" spans="4:11">
      <c r="D75" s="5"/>
      <c r="E75" s="7"/>
      <c r="F75" s="7"/>
      <c r="G75" s="7"/>
      <c r="H75" s="7"/>
      <c r="I75" s="7"/>
      <c r="J75" s="7"/>
      <c r="K75" s="7"/>
    </row>
    <row r="76" spans="4:11">
      <c r="D76" s="5"/>
      <c r="E76" s="7"/>
      <c r="F76" s="7"/>
      <c r="G76" s="7"/>
      <c r="H76" s="7"/>
      <c r="I76" s="7"/>
      <c r="J76" s="7"/>
      <c r="K76" s="7"/>
    </row>
    <row r="77" spans="4:11">
      <c r="D77" s="5"/>
      <c r="E77" s="7"/>
      <c r="F77" s="7"/>
      <c r="G77" s="7"/>
      <c r="H77" s="7"/>
      <c r="I77" s="7"/>
      <c r="J77" s="7"/>
      <c r="K77" s="7"/>
    </row>
    <row r="78" spans="4:11">
      <c r="D78" s="5"/>
      <c r="E78" s="7"/>
      <c r="F78" s="7"/>
      <c r="G78" s="7"/>
      <c r="H78" s="7"/>
      <c r="I78" s="7"/>
      <c r="J78" s="7"/>
      <c r="K78" s="7"/>
    </row>
    <row r="79" spans="4:11">
      <c r="E79" s="7"/>
      <c r="F79" s="7"/>
      <c r="G79" s="7"/>
      <c r="H79" s="7"/>
      <c r="I79" s="7"/>
      <c r="J79" s="7"/>
      <c r="K79" s="7"/>
    </row>
    <row r="80" spans="4:11">
      <c r="E80" s="7"/>
      <c r="F80" s="7"/>
      <c r="G80" s="7"/>
      <c r="H80" s="7"/>
      <c r="I80" s="7"/>
      <c r="J80" s="7"/>
      <c r="K80" s="7"/>
    </row>
    <row r="81" spans="4:11">
      <c r="E81" s="7"/>
      <c r="F81" s="7"/>
      <c r="G81" s="7"/>
      <c r="H81" s="7"/>
      <c r="I81" s="7"/>
      <c r="J81" s="7"/>
      <c r="K81" s="7"/>
    </row>
    <row r="82" spans="4:11">
      <c r="E82" s="7"/>
      <c r="F82" s="7"/>
      <c r="G82" s="7"/>
      <c r="H82" s="7"/>
      <c r="I82" s="7"/>
      <c r="J82" s="7"/>
      <c r="K82" s="7"/>
    </row>
    <row r="83" spans="4:11">
      <c r="E83" s="7"/>
      <c r="F83" s="7"/>
      <c r="G83" s="7"/>
      <c r="H83" s="7"/>
      <c r="I83" s="7"/>
      <c r="J83" s="7"/>
      <c r="K83" s="7"/>
    </row>
    <row r="84" spans="4:11">
      <c r="E84" s="7"/>
      <c r="F84" s="7"/>
      <c r="G84" s="7"/>
      <c r="H84" s="7"/>
      <c r="I84" s="7"/>
      <c r="J84" s="7"/>
      <c r="K84" s="7"/>
    </row>
    <row r="85" spans="4:11">
      <c r="E85" s="7"/>
      <c r="F85" s="7"/>
      <c r="G85" s="7"/>
      <c r="H85" s="7"/>
      <c r="I85" s="7"/>
      <c r="J85" s="7"/>
      <c r="K85" s="7"/>
    </row>
    <row r="86" spans="4:11">
      <c r="E86" s="7"/>
      <c r="F86" s="7"/>
      <c r="G86" s="7"/>
      <c r="H86" s="7"/>
      <c r="I86" s="7"/>
      <c r="J86" s="7"/>
      <c r="K86" s="7"/>
    </row>
    <row r="87" spans="4:11">
      <c r="E87" s="7"/>
      <c r="F87" s="7"/>
      <c r="G87" s="7"/>
      <c r="H87" s="7"/>
      <c r="I87" s="7"/>
      <c r="J87" s="7"/>
      <c r="K87" s="7"/>
    </row>
    <row r="88" spans="4:11">
      <c r="E88" s="7"/>
      <c r="F88" s="7"/>
      <c r="G88" s="7"/>
      <c r="H88" s="7"/>
      <c r="I88" s="7"/>
      <c r="J88" s="7"/>
      <c r="K88" s="7"/>
    </row>
    <row r="89" spans="4:11">
      <c r="E89" s="7"/>
      <c r="F89" s="7"/>
      <c r="G89" s="7"/>
      <c r="H89" s="7"/>
      <c r="I89" s="7"/>
      <c r="J89" s="7"/>
      <c r="K89" s="7"/>
    </row>
    <row r="90" spans="4:11">
      <c r="E90" s="7"/>
      <c r="F90" s="7"/>
      <c r="G90" s="7"/>
      <c r="H90" s="7"/>
      <c r="I90" s="7"/>
      <c r="J90" s="7"/>
      <c r="K90" s="7"/>
    </row>
    <row r="91" spans="4:11">
      <c r="D91" s="5"/>
      <c r="E91" s="7"/>
      <c r="F91" s="7"/>
      <c r="G91" s="7"/>
      <c r="H91" s="7"/>
      <c r="I91" s="7"/>
      <c r="J91" s="7"/>
      <c r="K91" s="7"/>
    </row>
    <row r="92" spans="4:11">
      <c r="D92" s="5"/>
      <c r="E92" s="7"/>
      <c r="F92" s="7"/>
      <c r="G92" s="7"/>
      <c r="H92" s="7"/>
      <c r="I92" s="7"/>
      <c r="J92" s="7"/>
      <c r="K92" s="7"/>
    </row>
    <row r="93" spans="4:11">
      <c r="D93" s="5"/>
      <c r="E93" s="7"/>
      <c r="F93" s="7"/>
      <c r="G93" s="7"/>
      <c r="H93" s="7"/>
      <c r="I93" s="7"/>
      <c r="J93" s="7"/>
      <c r="K93" s="7"/>
    </row>
    <row r="94" spans="4:11">
      <c r="D94" s="5"/>
      <c r="E94" s="7"/>
      <c r="F94" s="7"/>
      <c r="G94" s="7"/>
      <c r="H94" s="7"/>
      <c r="I94" s="7"/>
      <c r="J94" s="7"/>
      <c r="K94" s="7"/>
    </row>
    <row r="95" spans="4:11">
      <c r="D95" s="5"/>
      <c r="E95" s="7"/>
      <c r="F95" s="7"/>
      <c r="G95" s="7"/>
      <c r="H95" s="7"/>
      <c r="I95" s="7"/>
      <c r="J95" s="7"/>
      <c r="K95" s="7"/>
    </row>
    <row r="96" spans="4:11">
      <c r="D96" s="5"/>
      <c r="E96" s="7"/>
      <c r="F96" s="7"/>
      <c r="G96" s="7"/>
      <c r="H96" s="7"/>
      <c r="I96" s="7"/>
      <c r="J96" s="7"/>
      <c r="K96" s="7"/>
    </row>
    <row r="97" spans="2:11">
      <c r="D97" s="5"/>
      <c r="E97" s="7"/>
      <c r="F97" s="7"/>
      <c r="G97" s="7"/>
      <c r="H97" s="7"/>
      <c r="I97" s="7"/>
      <c r="J97" s="7"/>
      <c r="K97" s="7"/>
    </row>
    <row r="98" spans="2:11">
      <c r="D98" s="5"/>
      <c r="E98" s="7"/>
      <c r="F98" s="7"/>
      <c r="G98" s="7"/>
      <c r="H98" s="7"/>
      <c r="I98" s="7"/>
      <c r="J98" s="7"/>
      <c r="K98" s="7"/>
    </row>
    <row r="99" spans="2:11">
      <c r="D99" s="5"/>
      <c r="E99" s="7"/>
      <c r="F99" s="7"/>
      <c r="G99" s="7"/>
      <c r="H99" s="7"/>
      <c r="I99" s="7"/>
      <c r="J99" s="7"/>
      <c r="K99" s="7"/>
    </row>
    <row r="100" spans="2:11">
      <c r="B100" s="6"/>
      <c r="D100" s="5"/>
      <c r="E100" s="7"/>
      <c r="F100" s="7"/>
      <c r="G100" s="7"/>
      <c r="H100" s="7"/>
      <c r="I100" s="7"/>
      <c r="J100" s="7"/>
      <c r="K100" s="7"/>
    </row>
    <row r="101" spans="2:11">
      <c r="B101" s="6"/>
      <c r="D101" s="5"/>
      <c r="E101" s="7"/>
      <c r="F101" s="7"/>
      <c r="G101" s="7"/>
      <c r="H101" s="7"/>
      <c r="I101" s="7"/>
      <c r="J101" s="7"/>
      <c r="K101" s="7"/>
    </row>
    <row r="102" spans="2:11">
      <c r="B102" s="6"/>
      <c r="D102" s="5"/>
      <c r="E102" s="7"/>
      <c r="F102" s="7"/>
      <c r="G102" s="7"/>
      <c r="H102" s="7"/>
      <c r="I102" s="7"/>
      <c r="J102" s="7"/>
      <c r="K102" s="7"/>
    </row>
    <row r="103" spans="2:11">
      <c r="B103" s="6"/>
      <c r="D103" s="5"/>
      <c r="E103" s="7"/>
      <c r="F103" s="7"/>
      <c r="G103" s="7"/>
      <c r="H103" s="7"/>
      <c r="I103" s="7"/>
      <c r="J103" s="7"/>
      <c r="K103" s="7"/>
    </row>
    <row r="104" spans="2:11">
      <c r="B104" s="6"/>
      <c r="D104" s="5"/>
      <c r="E104" s="7"/>
      <c r="F104" s="7"/>
      <c r="G104" s="7"/>
      <c r="H104" s="7"/>
      <c r="I104" s="7"/>
      <c r="J104" s="7"/>
      <c r="K104" s="7"/>
    </row>
    <row r="105" spans="2:11">
      <c r="B105" s="6"/>
      <c r="D105" s="5"/>
      <c r="E105" s="7"/>
      <c r="F105" s="7"/>
      <c r="G105" s="7"/>
      <c r="H105" s="7"/>
      <c r="I105" s="7"/>
      <c r="J105" s="7"/>
      <c r="K105" s="7"/>
    </row>
    <row r="106" spans="2:11">
      <c r="B106" s="6"/>
      <c r="D106" s="5"/>
      <c r="E106" s="7"/>
      <c r="F106" s="7"/>
      <c r="G106" s="7"/>
      <c r="H106" s="7"/>
      <c r="I106" s="7"/>
      <c r="J106" s="7"/>
      <c r="K106" s="7"/>
    </row>
    <row r="107" spans="2:11">
      <c r="B107" s="6"/>
      <c r="E107" s="7"/>
      <c r="F107" s="7"/>
      <c r="G107" s="7"/>
      <c r="H107" s="7"/>
      <c r="I107" s="7"/>
      <c r="J107" s="7"/>
      <c r="K107" s="7"/>
    </row>
    <row r="108" spans="2:11">
      <c r="B108" s="6"/>
      <c r="E108" s="7"/>
      <c r="F108" s="7"/>
      <c r="G108" s="7"/>
      <c r="H108" s="7"/>
      <c r="I108" s="7"/>
      <c r="J108" s="7"/>
      <c r="K108" s="7"/>
    </row>
    <row r="109" spans="2:11">
      <c r="B109" s="6"/>
      <c r="E109" s="7"/>
      <c r="F109" s="7"/>
      <c r="G109" s="7"/>
      <c r="H109" s="7"/>
      <c r="I109" s="7"/>
      <c r="J109" s="7"/>
      <c r="K109" s="7"/>
    </row>
    <row r="110" spans="2:11">
      <c r="B110" s="6"/>
      <c r="E110" s="7"/>
      <c r="F110" s="7"/>
      <c r="G110" s="7"/>
      <c r="H110" s="7"/>
      <c r="I110" s="7"/>
      <c r="J110" s="7"/>
      <c r="K110" s="7"/>
    </row>
    <row r="111" spans="2:11">
      <c r="B111" s="6"/>
      <c r="E111" s="7"/>
      <c r="F111" s="7"/>
      <c r="G111" s="7"/>
      <c r="H111" s="7"/>
      <c r="I111" s="7"/>
      <c r="J111" s="7"/>
      <c r="K111" s="7"/>
    </row>
    <row r="112" spans="2:11">
      <c r="B112" s="6"/>
      <c r="E112" s="7"/>
      <c r="F112" s="7"/>
      <c r="G112" s="7"/>
      <c r="H112" s="7"/>
      <c r="I112" s="7"/>
      <c r="J112" s="7"/>
      <c r="K112" s="7"/>
    </row>
    <row r="113" spans="1:11">
      <c r="A113" s="5"/>
      <c r="B113" s="6"/>
      <c r="E113" s="7"/>
      <c r="F113" s="7"/>
      <c r="G113" s="7"/>
      <c r="H113" s="7"/>
      <c r="I113" s="7"/>
      <c r="J113" s="7"/>
      <c r="K113" s="7"/>
    </row>
  </sheetData>
  <phoneticPr fontId="31" type="noConversion"/>
  <hyperlinks>
    <hyperlink ref="D17" r:id="rId1" display="https://www.epa.gov/sites/production/files/2015-08/documents/coalperform.pdf" xr:uid="{00000000-0004-0000-0000-000000000000}"/>
    <hyperlink ref="D10" r:id="rId2" display="https://www.eia.gov/forecasts/aeo/assumptions/pdf/electricity.pdf" xr:uid="{00000000-0004-0000-0000-000001000000}"/>
    <hyperlink ref="D24" r:id="rId3" display="https://www.energy.gov/sites/prod/files/wv_chapter2_wind_power_in_the_united_states.pdf" xr:uid="{00000000-0004-0000-0000-000003000000}"/>
  </hyperlinks>
  <pageMargins left="0.7" right="0.7" top="0.75" bottom="0.75" header="0.3" footer="0.3"/>
  <pageSetup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zoomScale="85" zoomScaleNormal="85" workbookViewId="0">
      <selection activeCell="B9" sqref="B9"/>
    </sheetView>
  </sheetViews>
  <sheetFormatPr defaultColWidth="8.81640625" defaultRowHeight="14.5"/>
  <cols>
    <col min="1" max="1" width="26.81640625" style="17" bestFit="1" customWidth="1"/>
    <col min="2" max="2" width="16.81640625" customWidth="1"/>
    <col min="3" max="4" width="11.08984375" bestFit="1" customWidth="1"/>
    <col min="6" max="6" width="5.08984375" bestFit="1" customWidth="1"/>
    <col min="7" max="7" width="75.81640625" bestFit="1" customWidth="1"/>
    <col min="8" max="8" width="21.1796875" bestFit="1" customWidth="1"/>
    <col min="9" max="9" width="23.1796875" bestFit="1" customWidth="1"/>
    <col min="13" max="13" width="9.08984375" customWidth="1"/>
  </cols>
  <sheetData>
    <row r="1" spans="1:10">
      <c r="B1" s="17"/>
      <c r="C1" s="17"/>
    </row>
    <row r="2" spans="1:10">
      <c r="A2" s="17" t="s">
        <v>39</v>
      </c>
      <c r="B2" s="17">
        <v>2020</v>
      </c>
      <c r="C2">
        <v>2025</v>
      </c>
      <c r="D2">
        <v>2030</v>
      </c>
      <c r="G2" t="s">
        <v>127</v>
      </c>
      <c r="H2" t="s">
        <v>128</v>
      </c>
    </row>
    <row r="3" spans="1:10">
      <c r="A3" t="s">
        <v>16</v>
      </c>
      <c r="B3" s="18">
        <f>1396000+42461</f>
        <v>1438461</v>
      </c>
      <c r="C3" s="18"/>
      <c r="D3" s="18">
        <f>1920000+42451</f>
        <v>1962451</v>
      </c>
      <c r="G3" t="s">
        <v>47</v>
      </c>
    </row>
    <row r="4" spans="1:10">
      <c r="A4" t="s">
        <v>11</v>
      </c>
      <c r="B4" s="18">
        <f>924000+15879</f>
        <v>939879</v>
      </c>
      <c r="C4" s="18"/>
      <c r="D4" s="18">
        <f>1009000+15879</f>
        <v>1024879</v>
      </c>
      <c r="G4" t="s">
        <v>47</v>
      </c>
    </row>
    <row r="5" spans="1:10">
      <c r="A5" t="s">
        <v>5</v>
      </c>
      <c r="B5" s="18">
        <f>2624000+124426+8946+2486042000000/1400000</f>
        <v>4533116.2857142854</v>
      </c>
      <c r="C5" s="18"/>
      <c r="D5" s="18">
        <f>3740000+124426+8946+2486042000000/1400000</f>
        <v>5649116.2857142854</v>
      </c>
      <c r="G5" t="s">
        <v>47</v>
      </c>
    </row>
    <row r="6" spans="1:10">
      <c r="A6" t="s">
        <v>151</v>
      </c>
      <c r="B6" s="18">
        <v>968700</v>
      </c>
      <c r="C6" s="18"/>
      <c r="D6" s="18">
        <v>968700</v>
      </c>
      <c r="G6" t="s">
        <v>52</v>
      </c>
    </row>
    <row r="7" spans="1:10">
      <c r="A7" t="s">
        <v>18</v>
      </c>
      <c r="B7" s="18">
        <f>2731000+5378</f>
        <v>2736378</v>
      </c>
      <c r="C7" s="18">
        <f>B7*0.95</f>
        <v>2599559.1</v>
      </c>
      <c r="D7" s="18">
        <f>B7*0.86</f>
        <v>2353285.08</v>
      </c>
      <c r="G7" s="9" t="s">
        <v>130</v>
      </c>
      <c r="H7" t="s">
        <v>131</v>
      </c>
      <c r="J7" t="s">
        <v>152</v>
      </c>
    </row>
    <row r="8" spans="1:10">
      <c r="A8" t="s">
        <v>7</v>
      </c>
      <c r="B8" s="18">
        <f>1355000+15174</f>
        <v>1370174</v>
      </c>
      <c r="C8" s="18">
        <f>B8</f>
        <v>1370174</v>
      </c>
      <c r="D8" s="18">
        <f>B8*0.82</f>
        <v>1123542.68</v>
      </c>
      <c r="G8" s="9" t="s">
        <v>130</v>
      </c>
      <c r="H8" t="s">
        <v>132</v>
      </c>
      <c r="J8" t="s">
        <v>152</v>
      </c>
    </row>
    <row r="9" spans="1:10">
      <c r="A9" t="s">
        <v>8</v>
      </c>
      <c r="B9" s="18">
        <v>0</v>
      </c>
      <c r="C9" s="18"/>
      <c r="D9" s="18">
        <v>0</v>
      </c>
    </row>
    <row r="10" spans="1:10">
      <c r="A10" t="s">
        <v>9</v>
      </c>
      <c r="B10" s="18">
        <f>(2980000+4666667)/2</f>
        <v>3823333.5</v>
      </c>
      <c r="C10" s="18"/>
      <c r="D10" s="18">
        <f>B10</f>
        <v>3823333.5</v>
      </c>
      <c r="G10" t="s">
        <v>52</v>
      </c>
    </row>
    <row r="11" spans="1:10">
      <c r="A11" s="22" t="s">
        <v>12</v>
      </c>
      <c r="B11" s="18">
        <f>8208*About!A39</f>
        <v>8825950.1686496958</v>
      </c>
      <c r="C11" s="18"/>
      <c r="D11" s="18">
        <f>B11</f>
        <v>8825950.1686496958</v>
      </c>
      <c r="G11" t="s">
        <v>45</v>
      </c>
    </row>
    <row r="12" spans="1:10">
      <c r="A12" t="s">
        <v>13</v>
      </c>
      <c r="B12" s="18">
        <v>1895634</v>
      </c>
      <c r="C12" s="18"/>
      <c r="D12" s="18">
        <f>B12</f>
        <v>1895634</v>
      </c>
      <c r="G12" t="s">
        <v>52</v>
      </c>
    </row>
    <row r="13" spans="1:10">
      <c r="A13" s="22" t="s">
        <v>14</v>
      </c>
      <c r="B13" s="18">
        <f>B4*0.7</f>
        <v>657915.29999999993</v>
      </c>
      <c r="C13" s="18"/>
      <c r="D13" s="18">
        <f>D4*0.7</f>
        <v>717415.29999999993</v>
      </c>
      <c r="G13" s="19" t="s">
        <v>53</v>
      </c>
    </row>
    <row r="14" spans="1:10">
      <c r="A14" t="s">
        <v>19</v>
      </c>
      <c r="B14" s="18">
        <f>B3</f>
        <v>1438461</v>
      </c>
      <c r="C14" s="18"/>
      <c r="D14" s="18">
        <f>D3</f>
        <v>1962451</v>
      </c>
      <c r="G14" t="s">
        <v>52</v>
      </c>
    </row>
    <row r="15" spans="1:10">
      <c r="A15" s="22" t="s">
        <v>17</v>
      </c>
      <c r="B15" s="18">
        <f>6000000+5300</f>
        <v>6005300</v>
      </c>
      <c r="C15" s="18">
        <f>B15*0.93</f>
        <v>5584929</v>
      </c>
      <c r="D15" s="18">
        <f>B15*0.74</f>
        <v>4443922</v>
      </c>
      <c r="G15" s="9" t="s">
        <v>130</v>
      </c>
      <c r="H15" t="s">
        <v>136</v>
      </c>
      <c r="J15" t="s">
        <v>152</v>
      </c>
    </row>
    <row r="16" spans="1:10">
      <c r="A16" t="s">
        <v>20</v>
      </c>
      <c r="B16" s="18">
        <v>1895634</v>
      </c>
      <c r="C16" s="18"/>
      <c r="D16" s="18">
        <f>B16</f>
        <v>1895634</v>
      </c>
      <c r="G16" t="s">
        <v>52</v>
      </c>
    </row>
    <row r="17" spans="1:8">
      <c r="A17" t="s">
        <v>21</v>
      </c>
      <c r="B17" s="18">
        <v>1895634</v>
      </c>
      <c r="C17" s="18"/>
      <c r="D17" s="18">
        <f>B17</f>
        <v>1895634</v>
      </c>
      <c r="G17" t="s">
        <v>52</v>
      </c>
    </row>
    <row r="18" spans="1:8">
      <c r="A18" t="s">
        <v>22</v>
      </c>
      <c r="B18" s="18">
        <v>4800000</v>
      </c>
      <c r="C18" s="18"/>
      <c r="D18" s="18">
        <f>B18</f>
        <v>4800000</v>
      </c>
      <c r="G18" t="s">
        <v>52</v>
      </c>
    </row>
    <row r="19" spans="1:8">
      <c r="A19"/>
      <c r="B19" s="18"/>
      <c r="C19" s="18"/>
      <c r="D19" s="18"/>
    </row>
    <row r="20" spans="1:8">
      <c r="A20" s="17" t="s">
        <v>40</v>
      </c>
      <c r="B20" s="18"/>
      <c r="C20" s="18"/>
      <c r="D20" s="18"/>
    </row>
    <row r="21" spans="1:8">
      <c r="A21" t="s">
        <v>16</v>
      </c>
      <c r="B21" s="18">
        <f>5525*12+30.86*12</f>
        <v>66670.320000000007</v>
      </c>
      <c r="C21" s="18"/>
      <c r="D21" s="18">
        <f>5525*12+30.86*12</f>
        <v>66670.320000000007</v>
      </c>
      <c r="G21" t="s">
        <v>47</v>
      </c>
    </row>
    <row r="22" spans="1:8">
      <c r="A22" t="s">
        <v>11</v>
      </c>
      <c r="B22" s="18">
        <f>3623*12+29.97*12</f>
        <v>43835.64</v>
      </c>
      <c r="C22" s="18"/>
      <c r="D22" s="18">
        <f>3623*12+29.97*12</f>
        <v>43835.64</v>
      </c>
      <c r="G22" t="s">
        <v>47</v>
      </c>
    </row>
    <row r="23" spans="1:8">
      <c r="A23" t="s">
        <v>5</v>
      </c>
      <c r="B23" s="18">
        <f>12441*12+63.48*12+82*12+1325*12</f>
        <v>166937.76</v>
      </c>
      <c r="C23" s="18"/>
      <c r="D23" s="18">
        <f>12441*12+63.48*12+82*12+1325*12</f>
        <v>166937.76</v>
      </c>
      <c r="G23" t="s">
        <v>47</v>
      </c>
    </row>
    <row r="24" spans="1:8">
      <c r="A24" s="22" t="s">
        <v>6</v>
      </c>
      <c r="B24" s="18">
        <f>B6*0.025</f>
        <v>24217.5</v>
      </c>
      <c r="C24" s="18"/>
      <c r="D24" s="18">
        <f>B24</f>
        <v>24217.5</v>
      </c>
      <c r="G24" t="s">
        <v>54</v>
      </c>
    </row>
    <row r="25" spans="1:8">
      <c r="A25" s="22" t="s">
        <v>18</v>
      </c>
      <c r="B25" s="18">
        <v>51027</v>
      </c>
      <c r="C25" s="18">
        <f>B25</f>
        <v>51027</v>
      </c>
      <c r="D25" s="18">
        <f>B25</f>
        <v>51027</v>
      </c>
      <c r="G25" t="s">
        <v>129</v>
      </c>
      <c r="H25" t="s">
        <v>134</v>
      </c>
    </row>
    <row r="26" spans="1:8">
      <c r="A26" s="22" t="s">
        <v>7</v>
      </c>
      <c r="B26" s="18">
        <v>24871</v>
      </c>
      <c r="C26" s="18">
        <f>B26</f>
        <v>24871</v>
      </c>
      <c r="D26" s="18">
        <f>B26</f>
        <v>24871</v>
      </c>
      <c r="G26" s="9" t="s">
        <v>130</v>
      </c>
      <c r="H26" t="s">
        <v>133</v>
      </c>
    </row>
    <row r="27" spans="1:8">
      <c r="A27" s="22" t="s">
        <v>8</v>
      </c>
      <c r="B27" s="18">
        <f t="shared" ref="B27:B31" si="0">B9*0.025</f>
        <v>0</v>
      </c>
      <c r="C27" s="18"/>
      <c r="D27" s="18">
        <f t="shared" ref="D27:D30" si="1">B27</f>
        <v>0</v>
      </c>
      <c r="G27" t="s">
        <v>54</v>
      </c>
    </row>
    <row r="28" spans="1:8">
      <c r="A28" s="22" t="s">
        <v>9</v>
      </c>
      <c r="B28" s="18">
        <f t="shared" si="0"/>
        <v>95583.337500000009</v>
      </c>
      <c r="C28" s="18"/>
      <c r="D28" s="18">
        <f t="shared" si="1"/>
        <v>95583.337500000009</v>
      </c>
      <c r="G28" t="s">
        <v>54</v>
      </c>
    </row>
    <row r="29" spans="1:8">
      <c r="A29" s="22" t="s">
        <v>12</v>
      </c>
      <c r="B29" s="18">
        <f t="shared" si="0"/>
        <v>220648.75421624241</v>
      </c>
      <c r="C29" s="18"/>
      <c r="D29" s="18">
        <f t="shared" si="1"/>
        <v>220648.75421624241</v>
      </c>
      <c r="G29" t="s">
        <v>54</v>
      </c>
    </row>
    <row r="30" spans="1:8">
      <c r="A30" s="22" t="s">
        <v>13</v>
      </c>
      <c r="B30" s="18">
        <f t="shared" si="0"/>
        <v>47390.850000000006</v>
      </c>
      <c r="C30" s="18"/>
      <c r="D30" s="18">
        <f t="shared" si="1"/>
        <v>47390.850000000006</v>
      </c>
      <c r="G30" t="s">
        <v>54</v>
      </c>
    </row>
    <row r="31" spans="1:8">
      <c r="A31" s="22" t="s">
        <v>14</v>
      </c>
      <c r="B31" s="18">
        <f t="shared" si="0"/>
        <v>16447.8825</v>
      </c>
      <c r="C31" s="18"/>
      <c r="D31" s="18">
        <f>B31</f>
        <v>16447.8825</v>
      </c>
      <c r="G31" t="s">
        <v>54</v>
      </c>
    </row>
    <row r="32" spans="1:8">
      <c r="A32" s="22" t="s">
        <v>19</v>
      </c>
      <c r="B32" s="18">
        <f>B21</f>
        <v>66670.320000000007</v>
      </c>
      <c r="C32" s="18"/>
      <c r="D32" s="18">
        <f>D21</f>
        <v>66670.320000000007</v>
      </c>
      <c r="G32" s="19" t="s">
        <v>50</v>
      </c>
    </row>
    <row r="33" spans="1:8">
      <c r="A33" s="22" t="s">
        <v>17</v>
      </c>
      <c r="B33" s="18">
        <f>122000</f>
        <v>122000</v>
      </c>
      <c r="C33" s="18">
        <f>122000</f>
        <v>122000</v>
      </c>
      <c r="D33" s="18">
        <f>B33</f>
        <v>122000</v>
      </c>
      <c r="G33" s="9" t="s">
        <v>130</v>
      </c>
      <c r="H33" t="s">
        <v>135</v>
      </c>
    </row>
    <row r="34" spans="1:8">
      <c r="A34" s="22" t="s">
        <v>20</v>
      </c>
      <c r="B34" s="18">
        <f t="shared" ref="B34:D36" si="2">B16*0.025</f>
        <v>47390.850000000006</v>
      </c>
      <c r="C34" s="18"/>
      <c r="D34" s="18">
        <f t="shared" si="2"/>
        <v>47390.850000000006</v>
      </c>
      <c r="G34" t="s">
        <v>54</v>
      </c>
    </row>
    <row r="35" spans="1:8">
      <c r="A35" s="22" t="s">
        <v>21</v>
      </c>
      <c r="B35" s="18">
        <f t="shared" si="2"/>
        <v>47390.850000000006</v>
      </c>
      <c r="C35" s="18"/>
      <c r="D35" s="18">
        <f t="shared" si="2"/>
        <v>47390.850000000006</v>
      </c>
      <c r="G35" t="s">
        <v>54</v>
      </c>
    </row>
    <row r="36" spans="1:8">
      <c r="A36" s="22" t="s">
        <v>22</v>
      </c>
      <c r="B36" s="18">
        <f t="shared" si="2"/>
        <v>120000</v>
      </c>
      <c r="C36" s="18"/>
      <c r="D36" s="18">
        <f t="shared" si="2"/>
        <v>120000</v>
      </c>
      <c r="G36" t="s">
        <v>54</v>
      </c>
    </row>
    <row r="37" spans="1:8">
      <c r="A37"/>
      <c r="B37" s="18"/>
      <c r="C37" s="18"/>
      <c r="D37" s="18"/>
    </row>
    <row r="38" spans="1:8">
      <c r="A38" s="17" t="s">
        <v>41</v>
      </c>
      <c r="B38" s="18"/>
      <c r="C38" s="18"/>
      <c r="D38" s="18"/>
    </row>
    <row r="39" spans="1:8">
      <c r="A39" t="s">
        <v>16</v>
      </c>
      <c r="B39" s="18">
        <f>880+300</f>
        <v>1180</v>
      </c>
      <c r="C39" s="18"/>
      <c r="D39" s="18">
        <f>B39</f>
        <v>1180</v>
      </c>
      <c r="G39" t="s">
        <v>47</v>
      </c>
    </row>
    <row r="40" spans="1:8">
      <c r="A40" t="s">
        <v>11</v>
      </c>
      <c r="B40" s="18">
        <f>340+300</f>
        <v>640</v>
      </c>
      <c r="C40" s="18"/>
      <c r="D40" s="18">
        <f t="shared" ref="D40:D54" si="3">B40</f>
        <v>640</v>
      </c>
      <c r="G40" t="s">
        <v>47</v>
      </c>
    </row>
    <row r="41" spans="1:8">
      <c r="A41" t="s">
        <v>5</v>
      </c>
      <c r="B41" s="18">
        <f>990+1000</f>
        <v>1990</v>
      </c>
      <c r="C41" s="18"/>
      <c r="D41" s="18">
        <f t="shared" si="3"/>
        <v>1990</v>
      </c>
      <c r="G41" t="s">
        <v>47</v>
      </c>
    </row>
    <row r="42" spans="1:8">
      <c r="A42" s="22" t="s">
        <v>6</v>
      </c>
      <c r="B42" s="18">
        <v>200</v>
      </c>
      <c r="C42" s="18"/>
      <c r="D42" s="18">
        <f t="shared" si="3"/>
        <v>200</v>
      </c>
    </row>
    <row r="43" spans="1:8">
      <c r="A43" t="s">
        <v>18</v>
      </c>
      <c r="B43" s="18">
        <v>100</v>
      </c>
      <c r="C43" s="18"/>
      <c r="D43" s="18">
        <f t="shared" si="3"/>
        <v>100</v>
      </c>
      <c r="G43" t="s">
        <v>47</v>
      </c>
    </row>
    <row r="44" spans="1:8">
      <c r="A44" t="s">
        <v>7</v>
      </c>
      <c r="B44" s="18">
        <v>100</v>
      </c>
      <c r="C44" s="18"/>
      <c r="D44" s="18">
        <f t="shared" si="3"/>
        <v>100</v>
      </c>
      <c r="G44" t="s">
        <v>47</v>
      </c>
    </row>
    <row r="45" spans="1:8">
      <c r="A45" s="22" t="s">
        <v>8</v>
      </c>
      <c r="B45" s="18"/>
      <c r="C45" s="18"/>
      <c r="D45" s="18">
        <f t="shared" si="3"/>
        <v>0</v>
      </c>
    </row>
    <row r="46" spans="1:8">
      <c r="A46" s="22" t="s">
        <v>9</v>
      </c>
      <c r="B46" s="18">
        <v>100</v>
      </c>
      <c r="C46" s="18"/>
      <c r="D46" s="18">
        <f t="shared" si="3"/>
        <v>100</v>
      </c>
      <c r="G46" t="s">
        <v>55</v>
      </c>
    </row>
    <row r="47" spans="1:8">
      <c r="A47" s="22" t="s">
        <v>12</v>
      </c>
      <c r="B47" s="18">
        <v>100</v>
      </c>
      <c r="C47" s="18"/>
      <c r="D47" s="18">
        <f t="shared" si="3"/>
        <v>100</v>
      </c>
      <c r="G47" t="s">
        <v>55</v>
      </c>
    </row>
    <row r="48" spans="1:8">
      <c r="A48" s="22" t="s">
        <v>13</v>
      </c>
      <c r="B48" s="18">
        <v>150</v>
      </c>
      <c r="C48" s="18"/>
      <c r="D48" s="18">
        <f t="shared" si="3"/>
        <v>150</v>
      </c>
    </row>
    <row r="49" spans="1:7">
      <c r="A49" t="s">
        <v>14</v>
      </c>
      <c r="B49" s="18">
        <f>B40</f>
        <v>640</v>
      </c>
      <c r="C49" s="18"/>
      <c r="D49" s="18">
        <f t="shared" si="3"/>
        <v>640</v>
      </c>
      <c r="G49" s="19" t="s">
        <v>49</v>
      </c>
    </row>
    <row r="50" spans="1:7">
      <c r="A50" s="22" t="s">
        <v>19</v>
      </c>
      <c r="B50" s="18">
        <f>B39</f>
        <v>1180</v>
      </c>
      <c r="C50" s="18"/>
      <c r="D50" s="18">
        <f t="shared" si="3"/>
        <v>1180</v>
      </c>
    </row>
    <row r="51" spans="1:7">
      <c r="A51" s="22" t="s">
        <v>17</v>
      </c>
      <c r="B51" s="18"/>
      <c r="C51" s="18"/>
      <c r="D51" s="18">
        <f t="shared" si="3"/>
        <v>0</v>
      </c>
      <c r="G51" t="s">
        <v>47</v>
      </c>
    </row>
    <row r="52" spans="1:7">
      <c r="A52" s="22" t="s">
        <v>20</v>
      </c>
      <c r="B52" s="18">
        <v>150</v>
      </c>
      <c r="C52" s="18"/>
      <c r="D52" s="18">
        <f t="shared" si="3"/>
        <v>150</v>
      </c>
    </row>
    <row r="53" spans="1:7">
      <c r="A53" s="22" t="s">
        <v>21</v>
      </c>
      <c r="B53" s="18">
        <v>150</v>
      </c>
      <c r="C53" s="18"/>
      <c r="D53" s="18">
        <f t="shared" si="3"/>
        <v>150</v>
      </c>
    </row>
    <row r="54" spans="1:7">
      <c r="A54" s="22" t="s">
        <v>22</v>
      </c>
      <c r="B54" s="18">
        <v>100</v>
      </c>
      <c r="C54" s="18"/>
      <c r="D54" s="18">
        <f t="shared" si="3"/>
        <v>100</v>
      </c>
      <c r="G54" t="s">
        <v>55</v>
      </c>
    </row>
    <row r="55" spans="1:7">
      <c r="A55"/>
    </row>
    <row r="57" spans="1:7">
      <c r="A57" s="1" t="s">
        <v>358</v>
      </c>
    </row>
    <row r="58" spans="1:7">
      <c r="A58" s="17" t="s">
        <v>359</v>
      </c>
      <c r="B58" t="s">
        <v>360</v>
      </c>
      <c r="C58" t="s">
        <v>361</v>
      </c>
    </row>
    <row r="59" spans="1:7">
      <c r="A59" s="17" t="s">
        <v>18</v>
      </c>
      <c r="B59">
        <v>42000</v>
      </c>
      <c r="C59" t="s">
        <v>362</v>
      </c>
    </row>
    <row r="60" spans="1:7">
      <c r="A60" s="17" t="s">
        <v>7</v>
      </c>
      <c r="B60">
        <v>23000</v>
      </c>
      <c r="C60" t="s">
        <v>363</v>
      </c>
    </row>
    <row r="61" spans="1:7">
      <c r="A61" s="17" t="s">
        <v>17</v>
      </c>
      <c r="B61">
        <v>324000</v>
      </c>
      <c r="C61" t="s">
        <v>364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2F8C-7E97-4864-A378-98429CEF62A0}">
  <sheetPr filterMode="1"/>
  <dimension ref="A2:AE119"/>
  <sheetViews>
    <sheetView zoomScale="85" zoomScaleNormal="85" workbookViewId="0">
      <selection activeCell="K95" sqref="K95"/>
    </sheetView>
  </sheetViews>
  <sheetFormatPr defaultRowHeight="14.5"/>
  <cols>
    <col min="1" max="1" width="41.1796875" bestFit="1" customWidth="1"/>
    <col min="2" max="2" width="12" bestFit="1" customWidth="1"/>
    <col min="3" max="3" width="7.1796875" bestFit="1" customWidth="1"/>
    <col min="4" max="10" width="12.81640625" bestFit="1" customWidth="1"/>
    <col min="11" max="11" width="14" customWidth="1"/>
    <col min="12" max="31" width="12.81640625" bestFit="1" customWidth="1"/>
  </cols>
  <sheetData>
    <row r="2" spans="1:31"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>
      <c r="A3" t="s">
        <v>137</v>
      </c>
      <c r="B3" t="s">
        <v>138</v>
      </c>
      <c r="C3" s="32">
        <v>1482.6832803021205</v>
      </c>
      <c r="D3" s="32">
        <v>1610.9046644782684</v>
      </c>
      <c r="E3" s="32">
        <v>1533.570638746058</v>
      </c>
      <c r="F3" s="32">
        <v>1456.236613013845</v>
      </c>
      <c r="G3" s="32">
        <v>1378.9025872816319</v>
      </c>
      <c r="H3" s="32">
        <v>1301.5685615494185</v>
      </c>
      <c r="I3" s="32">
        <v>1224.2345358172054</v>
      </c>
      <c r="J3" s="32">
        <v>1146.9005100849922</v>
      </c>
      <c r="K3" s="32">
        <v>1069.5664843527793</v>
      </c>
      <c r="L3" s="32">
        <v>992.23245862056592</v>
      </c>
      <c r="M3" s="32">
        <v>914.89843288835289</v>
      </c>
      <c r="N3" s="32">
        <v>837.56440715613974</v>
      </c>
      <c r="O3" s="32">
        <v>760.23038142392636</v>
      </c>
      <c r="P3" s="32">
        <v>682.89635569171378</v>
      </c>
      <c r="Q3" s="32">
        <v>674.87451529002556</v>
      </c>
      <c r="R3" s="32">
        <v>666.85267488833733</v>
      </c>
      <c r="S3" s="32">
        <v>658.83083448664922</v>
      </c>
      <c r="T3" s="32">
        <v>650.80899408496111</v>
      </c>
      <c r="U3" s="32">
        <v>642.78715368327289</v>
      </c>
      <c r="V3" s="32">
        <v>634.76531328158478</v>
      </c>
      <c r="W3" s="32">
        <v>626.74347287989656</v>
      </c>
      <c r="X3" s="32">
        <v>618.72163247820833</v>
      </c>
      <c r="Y3" s="32">
        <v>610.69979207652023</v>
      </c>
      <c r="Z3" s="32">
        <v>602.67795167483212</v>
      </c>
      <c r="AA3" s="32">
        <v>594.65611127314389</v>
      </c>
      <c r="AB3" s="32">
        <v>586.63427087145567</v>
      </c>
      <c r="AC3" s="32">
        <v>578.61243046976756</v>
      </c>
      <c r="AD3" s="32">
        <v>570.59059006807934</v>
      </c>
      <c r="AE3" s="32">
        <v>562.568749666391</v>
      </c>
    </row>
    <row r="4" spans="1:31">
      <c r="A4" t="s">
        <v>137</v>
      </c>
      <c r="B4" t="s">
        <v>139</v>
      </c>
      <c r="C4" s="32">
        <v>1482.6832803021205</v>
      </c>
      <c r="D4" s="32">
        <v>1610.9046644782707</v>
      </c>
      <c r="E4" s="32">
        <v>1551.2727044066685</v>
      </c>
      <c r="F4" s="32">
        <v>1491.6407443350658</v>
      </c>
      <c r="G4" s="32">
        <v>1432.0087842634634</v>
      </c>
      <c r="H4" s="32">
        <v>1372.376824191861</v>
      </c>
      <c r="I4" s="32">
        <v>1312.7448641202586</v>
      </c>
      <c r="J4" s="32">
        <v>1253.112904048656</v>
      </c>
      <c r="K4" s="32">
        <v>1193.4809439770536</v>
      </c>
      <c r="L4" s="32">
        <v>1133.8489839054512</v>
      </c>
      <c r="M4" s="32">
        <v>1074.217023833849</v>
      </c>
      <c r="N4" s="32">
        <v>1014.5850637622466</v>
      </c>
      <c r="O4" s="32">
        <v>954.95310369064418</v>
      </c>
      <c r="P4" s="32">
        <v>895.32114361904189</v>
      </c>
      <c r="Q4" s="32">
        <v>881.15949109055327</v>
      </c>
      <c r="R4" s="32">
        <v>866.99783856206466</v>
      </c>
      <c r="S4" s="32">
        <v>852.83618603357615</v>
      </c>
      <c r="T4" s="32">
        <v>838.67453350508754</v>
      </c>
      <c r="U4" s="32">
        <v>824.51288097659892</v>
      </c>
      <c r="V4" s="32">
        <v>810.35122844811031</v>
      </c>
      <c r="W4" s="32">
        <v>796.18957591962192</v>
      </c>
      <c r="X4" s="32">
        <v>782.02792339113319</v>
      </c>
      <c r="Y4" s="32">
        <v>767.86627086264468</v>
      </c>
      <c r="Z4" s="32">
        <v>753.70461833415618</v>
      </c>
      <c r="AA4" s="32">
        <v>739.54296580566745</v>
      </c>
      <c r="AB4" s="32">
        <v>725.38131327717895</v>
      </c>
      <c r="AC4" s="32">
        <v>711.21966074869022</v>
      </c>
      <c r="AD4" s="32">
        <v>697.05800822020171</v>
      </c>
      <c r="AE4" s="32">
        <v>682.89635569171378</v>
      </c>
    </row>
    <row r="5" spans="1:31">
      <c r="A5" t="s">
        <v>137</v>
      </c>
      <c r="B5" t="s">
        <v>140</v>
      </c>
      <c r="C5" s="32">
        <v>1482.6832803021205</v>
      </c>
      <c r="D5" s="32">
        <v>1610.9046644782707</v>
      </c>
      <c r="E5" s="32">
        <v>1575.7665332950637</v>
      </c>
      <c r="F5" s="32">
        <v>1540.6284021118565</v>
      </c>
      <c r="G5" s="32">
        <v>1505.4902709286494</v>
      </c>
      <c r="H5" s="32">
        <v>1470.3521397454424</v>
      </c>
      <c r="I5" s="32">
        <v>1435.214008562235</v>
      </c>
      <c r="J5" s="32">
        <v>1400.0758773790278</v>
      </c>
      <c r="K5" s="32">
        <v>1364.9377461958204</v>
      </c>
      <c r="L5" s="32">
        <v>1329.7996150126132</v>
      </c>
      <c r="M5" s="32">
        <v>1294.6614838294058</v>
      </c>
      <c r="N5" s="32">
        <v>1259.5233526461986</v>
      </c>
      <c r="O5" s="32">
        <v>1224.385221462991</v>
      </c>
      <c r="P5" s="32">
        <v>1189.2470902797832</v>
      </c>
      <c r="Q5" s="32">
        <v>1169.6520271690672</v>
      </c>
      <c r="R5" s="32">
        <v>1150.0569640583512</v>
      </c>
      <c r="S5" s="32">
        <v>1130.4619009476351</v>
      </c>
      <c r="T5" s="32">
        <v>1110.8668378369191</v>
      </c>
      <c r="U5" s="32">
        <v>1091.2717747262031</v>
      </c>
      <c r="V5" s="32">
        <v>1071.6767116154872</v>
      </c>
      <c r="W5" s="32">
        <v>1052.0816485047712</v>
      </c>
      <c r="X5" s="32">
        <v>1032.4865853940551</v>
      </c>
      <c r="Y5" s="32">
        <v>1012.891522283339</v>
      </c>
      <c r="Z5" s="32">
        <v>993.29645917262303</v>
      </c>
      <c r="AA5" s="32">
        <v>973.70139606190708</v>
      </c>
      <c r="AB5" s="32">
        <v>954.10633295119101</v>
      </c>
      <c r="AC5" s="32">
        <v>934.51126984047494</v>
      </c>
      <c r="AD5" s="32">
        <v>914.91620672975898</v>
      </c>
      <c r="AE5" s="32">
        <v>895.32114361904189</v>
      </c>
    </row>
    <row r="6" spans="1:31">
      <c r="A6" t="s">
        <v>141</v>
      </c>
      <c r="B6" t="s">
        <v>138</v>
      </c>
      <c r="C6" s="32">
        <v>1482.6832803021205</v>
      </c>
      <c r="D6" s="32">
        <v>1610.9046644782684</v>
      </c>
      <c r="E6" s="32">
        <v>1533.570638746058</v>
      </c>
      <c r="F6" s="32">
        <v>1456.236613013845</v>
      </c>
      <c r="G6" s="32">
        <v>1378.9025872816319</v>
      </c>
      <c r="H6" s="32">
        <v>1301.5685615494185</v>
      </c>
      <c r="I6" s="32">
        <v>1224.2345358172054</v>
      </c>
      <c r="J6" s="32">
        <v>1146.9005100849922</v>
      </c>
      <c r="K6" s="32">
        <v>1069.5664843527793</v>
      </c>
      <c r="L6" s="32">
        <v>992.23245862056592</v>
      </c>
      <c r="M6" s="32">
        <v>914.89843288835289</v>
      </c>
      <c r="N6" s="32">
        <v>837.56440715613974</v>
      </c>
      <c r="O6" s="32">
        <v>760.23038142392636</v>
      </c>
      <c r="P6" s="32">
        <v>682.89635569171378</v>
      </c>
      <c r="Q6" s="32">
        <v>674.87451529002556</v>
      </c>
      <c r="R6" s="32">
        <v>666.85267488833733</v>
      </c>
      <c r="S6" s="32">
        <v>658.83083448664922</v>
      </c>
      <c r="T6" s="32">
        <v>650.80899408496111</v>
      </c>
      <c r="U6" s="32">
        <v>642.78715368327289</v>
      </c>
      <c r="V6" s="32">
        <v>634.76531328158478</v>
      </c>
      <c r="W6" s="32">
        <v>626.74347287989656</v>
      </c>
      <c r="X6" s="32">
        <v>618.72163247820833</v>
      </c>
      <c r="Y6" s="32">
        <v>610.69979207652023</v>
      </c>
      <c r="Z6" s="32">
        <v>602.67795167483212</v>
      </c>
      <c r="AA6" s="32">
        <v>594.65611127314389</v>
      </c>
      <c r="AB6" s="32">
        <v>586.63427087145567</v>
      </c>
      <c r="AC6" s="32">
        <v>578.61243046976756</v>
      </c>
      <c r="AD6" s="32">
        <v>570.59059006807934</v>
      </c>
      <c r="AE6" s="32">
        <v>562.568749666391</v>
      </c>
    </row>
    <row r="7" spans="1:31">
      <c r="A7" t="s">
        <v>141</v>
      </c>
      <c r="B7" t="s">
        <v>139</v>
      </c>
      <c r="C7" s="32">
        <v>1482.6832803021205</v>
      </c>
      <c r="D7" s="32">
        <v>1610.9046644782707</v>
      </c>
      <c r="E7" s="32">
        <v>1551.2727044066685</v>
      </c>
      <c r="F7" s="32">
        <v>1491.6407443350658</v>
      </c>
      <c r="G7" s="32">
        <v>1432.0087842634634</v>
      </c>
      <c r="H7" s="32">
        <v>1372.376824191861</v>
      </c>
      <c r="I7" s="32">
        <v>1312.7448641202586</v>
      </c>
      <c r="J7" s="32">
        <v>1253.112904048656</v>
      </c>
      <c r="K7" s="32">
        <v>1193.4809439770536</v>
      </c>
      <c r="L7" s="32">
        <v>1133.8489839054512</v>
      </c>
      <c r="M7" s="32">
        <v>1074.217023833849</v>
      </c>
      <c r="N7" s="32">
        <v>1014.5850637622466</v>
      </c>
      <c r="O7" s="32">
        <v>954.95310369064418</v>
      </c>
      <c r="P7" s="32">
        <v>895.32114361904189</v>
      </c>
      <c r="Q7" s="32">
        <v>881.15949109055327</v>
      </c>
      <c r="R7" s="32">
        <v>866.99783856206466</v>
      </c>
      <c r="S7" s="32">
        <v>852.83618603357615</v>
      </c>
      <c r="T7" s="32">
        <v>838.67453350508754</v>
      </c>
      <c r="U7" s="32">
        <v>824.51288097659892</v>
      </c>
      <c r="V7" s="32">
        <v>810.35122844811031</v>
      </c>
      <c r="W7" s="32">
        <v>796.18957591962192</v>
      </c>
      <c r="X7" s="32">
        <v>782.02792339113319</v>
      </c>
      <c r="Y7" s="32">
        <v>767.86627086264468</v>
      </c>
      <c r="Z7" s="32">
        <v>753.70461833415618</v>
      </c>
      <c r="AA7" s="32">
        <v>739.54296580566745</v>
      </c>
      <c r="AB7" s="32">
        <v>725.38131327717895</v>
      </c>
      <c r="AC7" s="32">
        <v>711.21966074869022</v>
      </c>
      <c r="AD7" s="32">
        <v>697.05800822020171</v>
      </c>
      <c r="AE7" s="32">
        <v>682.89635569171378</v>
      </c>
    </row>
    <row r="8" spans="1:31">
      <c r="A8" t="s">
        <v>141</v>
      </c>
      <c r="B8" t="s">
        <v>140</v>
      </c>
      <c r="C8" s="32">
        <v>1482.6832803021205</v>
      </c>
      <c r="D8" s="32">
        <v>1610.9046644782707</v>
      </c>
      <c r="E8" s="32">
        <v>1575.7665332950637</v>
      </c>
      <c r="F8" s="32">
        <v>1540.6284021118565</v>
      </c>
      <c r="G8" s="32">
        <v>1505.4902709286494</v>
      </c>
      <c r="H8" s="32">
        <v>1470.3521397454424</v>
      </c>
      <c r="I8" s="32">
        <v>1435.214008562235</v>
      </c>
      <c r="J8" s="32">
        <v>1400.0758773790278</v>
      </c>
      <c r="K8" s="32">
        <v>1364.9377461958204</v>
      </c>
      <c r="L8" s="32">
        <v>1329.7996150126132</v>
      </c>
      <c r="M8" s="32">
        <v>1294.6614838294058</v>
      </c>
      <c r="N8" s="32">
        <v>1259.5233526461986</v>
      </c>
      <c r="O8" s="32">
        <v>1224.385221462991</v>
      </c>
      <c r="P8" s="32">
        <v>1189.2470902797832</v>
      </c>
      <c r="Q8" s="32">
        <v>1169.6520271690672</v>
      </c>
      <c r="R8" s="32">
        <v>1150.0569640583512</v>
      </c>
      <c r="S8" s="32">
        <v>1130.4619009476351</v>
      </c>
      <c r="T8" s="32">
        <v>1110.8668378369191</v>
      </c>
      <c r="U8" s="32">
        <v>1091.2717747262031</v>
      </c>
      <c r="V8" s="32">
        <v>1071.6767116154872</v>
      </c>
      <c r="W8" s="32">
        <v>1052.0816485047712</v>
      </c>
      <c r="X8" s="32">
        <v>1032.4865853940551</v>
      </c>
      <c r="Y8" s="32">
        <v>1012.891522283339</v>
      </c>
      <c r="Z8" s="32">
        <v>993.29645917262303</v>
      </c>
      <c r="AA8" s="32">
        <v>973.70139606190708</v>
      </c>
      <c r="AB8" s="32">
        <v>954.10633295119101</v>
      </c>
      <c r="AC8" s="32">
        <v>934.51126984047494</v>
      </c>
      <c r="AD8" s="32">
        <v>914.91620672975898</v>
      </c>
      <c r="AE8" s="32">
        <v>895.32114361904189</v>
      </c>
    </row>
    <row r="9" spans="1:31">
      <c r="A9" t="s">
        <v>142</v>
      </c>
      <c r="B9" t="s">
        <v>138</v>
      </c>
      <c r="C9" s="32">
        <v>1482.6832803021205</v>
      </c>
      <c r="D9" s="32">
        <v>1610.9046644782684</v>
      </c>
      <c r="E9" s="32">
        <v>1533.570638746058</v>
      </c>
      <c r="F9" s="32">
        <v>1456.236613013845</v>
      </c>
      <c r="G9" s="32">
        <v>1378.9025872816319</v>
      </c>
      <c r="H9" s="32">
        <v>1301.5685615494185</v>
      </c>
      <c r="I9" s="32">
        <v>1224.2345358172054</v>
      </c>
      <c r="J9" s="32">
        <v>1146.9005100849922</v>
      </c>
      <c r="K9" s="32">
        <v>1069.5664843527793</v>
      </c>
      <c r="L9" s="32">
        <v>992.23245862056592</v>
      </c>
      <c r="M9" s="32">
        <v>914.89843288835289</v>
      </c>
      <c r="N9" s="32">
        <v>837.56440715613974</v>
      </c>
      <c r="O9" s="32">
        <v>760.23038142392636</v>
      </c>
      <c r="P9" s="32">
        <v>682.89635569171378</v>
      </c>
      <c r="Q9" s="32">
        <v>674.87451529002556</v>
      </c>
      <c r="R9" s="32">
        <v>666.85267488833733</v>
      </c>
      <c r="S9" s="32">
        <v>658.83083448664922</v>
      </c>
      <c r="T9" s="32">
        <v>650.80899408496111</v>
      </c>
      <c r="U9" s="32">
        <v>642.78715368327289</v>
      </c>
      <c r="V9" s="32">
        <v>634.76531328158478</v>
      </c>
      <c r="W9" s="32">
        <v>626.74347287989656</v>
      </c>
      <c r="X9" s="32">
        <v>618.72163247820833</v>
      </c>
      <c r="Y9" s="32">
        <v>610.69979207652023</v>
      </c>
      <c r="Z9" s="32">
        <v>602.67795167483212</v>
      </c>
      <c r="AA9" s="32">
        <v>594.65611127314389</v>
      </c>
      <c r="AB9" s="32">
        <v>586.63427087145567</v>
      </c>
      <c r="AC9" s="32">
        <v>578.61243046976756</v>
      </c>
      <c r="AD9" s="32">
        <v>570.59059006807934</v>
      </c>
      <c r="AE9" s="32">
        <v>562.568749666391</v>
      </c>
    </row>
    <row r="10" spans="1:31">
      <c r="A10" t="s">
        <v>142</v>
      </c>
      <c r="B10" t="s">
        <v>139</v>
      </c>
      <c r="C10" s="32">
        <v>1482.6832803021205</v>
      </c>
      <c r="D10" s="32">
        <v>1610.9046644782707</v>
      </c>
      <c r="E10" s="32">
        <v>1551.2727044066685</v>
      </c>
      <c r="F10" s="32">
        <v>1491.6407443350658</v>
      </c>
      <c r="G10" s="32">
        <v>1432.0087842634634</v>
      </c>
      <c r="H10" s="32">
        <v>1372.376824191861</v>
      </c>
      <c r="I10" s="32">
        <v>1312.7448641202586</v>
      </c>
      <c r="J10" s="32">
        <v>1253.112904048656</v>
      </c>
      <c r="K10" s="32">
        <v>1193.4809439770536</v>
      </c>
      <c r="L10" s="32">
        <v>1133.8489839054512</v>
      </c>
      <c r="M10" s="32">
        <v>1074.217023833849</v>
      </c>
      <c r="N10" s="32">
        <v>1014.5850637622466</v>
      </c>
      <c r="O10" s="32">
        <v>954.95310369064418</v>
      </c>
      <c r="P10" s="32">
        <v>895.32114361904189</v>
      </c>
      <c r="Q10" s="32">
        <v>881.15949109055327</v>
      </c>
      <c r="R10" s="32">
        <v>866.99783856206466</v>
      </c>
      <c r="S10" s="32">
        <v>852.83618603357615</v>
      </c>
      <c r="T10" s="32">
        <v>838.67453350508754</v>
      </c>
      <c r="U10" s="32">
        <v>824.51288097659892</v>
      </c>
      <c r="V10" s="32">
        <v>810.35122844811031</v>
      </c>
      <c r="W10" s="32">
        <v>796.18957591962192</v>
      </c>
      <c r="X10" s="32">
        <v>782.02792339113319</v>
      </c>
      <c r="Y10" s="32">
        <v>767.86627086264468</v>
      </c>
      <c r="Z10" s="32">
        <v>753.70461833415618</v>
      </c>
      <c r="AA10" s="32">
        <v>739.54296580566745</v>
      </c>
      <c r="AB10" s="32">
        <v>725.38131327717895</v>
      </c>
      <c r="AC10" s="32">
        <v>711.21966074869022</v>
      </c>
      <c r="AD10" s="32">
        <v>697.05800822020171</v>
      </c>
      <c r="AE10" s="32">
        <v>682.89635569171378</v>
      </c>
    </row>
    <row r="11" spans="1:31">
      <c r="A11" t="s">
        <v>142</v>
      </c>
      <c r="B11" t="s">
        <v>140</v>
      </c>
      <c r="C11" s="32">
        <v>1482.6832803021205</v>
      </c>
      <c r="D11" s="32">
        <v>1610.9046644782707</v>
      </c>
      <c r="E11" s="32">
        <v>1575.7665332950637</v>
      </c>
      <c r="F11" s="32">
        <v>1540.6284021118565</v>
      </c>
      <c r="G11" s="32">
        <v>1505.4902709286494</v>
      </c>
      <c r="H11" s="32">
        <v>1470.3521397454424</v>
      </c>
      <c r="I11" s="32">
        <v>1435.214008562235</v>
      </c>
      <c r="J11" s="32">
        <v>1400.0758773790278</v>
      </c>
      <c r="K11" s="32">
        <v>1364.9377461958204</v>
      </c>
      <c r="L11" s="32">
        <v>1329.7996150126132</v>
      </c>
      <c r="M11" s="32">
        <v>1294.6614838294058</v>
      </c>
      <c r="N11" s="32">
        <v>1259.5233526461986</v>
      </c>
      <c r="O11" s="32">
        <v>1224.385221462991</v>
      </c>
      <c r="P11" s="32">
        <v>1189.2470902797832</v>
      </c>
      <c r="Q11" s="32">
        <v>1169.6520271690672</v>
      </c>
      <c r="R11" s="32">
        <v>1150.0569640583512</v>
      </c>
      <c r="S11" s="32">
        <v>1130.4619009476351</v>
      </c>
      <c r="T11" s="32">
        <v>1110.8668378369191</v>
      </c>
      <c r="U11" s="32">
        <v>1091.2717747262031</v>
      </c>
      <c r="V11" s="32">
        <v>1071.6767116154872</v>
      </c>
      <c r="W11" s="32">
        <v>1052.0816485047712</v>
      </c>
      <c r="X11" s="32">
        <v>1032.4865853940551</v>
      </c>
      <c r="Y11" s="32">
        <v>1012.891522283339</v>
      </c>
      <c r="Z11" s="32">
        <v>993.29645917262303</v>
      </c>
      <c r="AA11" s="32">
        <v>973.70139606190708</v>
      </c>
      <c r="AB11" s="32">
        <v>954.10633295119101</v>
      </c>
      <c r="AC11" s="32">
        <v>934.51126984047494</v>
      </c>
      <c r="AD11" s="32">
        <v>914.91620672975898</v>
      </c>
      <c r="AE11" s="32">
        <v>895.32114361904189</v>
      </c>
    </row>
    <row r="12" spans="1:31">
      <c r="A12" t="s">
        <v>143</v>
      </c>
      <c r="B12" t="s">
        <v>138</v>
      </c>
      <c r="C12" s="32">
        <v>1482.6832803021205</v>
      </c>
      <c r="D12" s="32">
        <v>1610.9046644782684</v>
      </c>
      <c r="E12" s="32">
        <v>1533.570638746058</v>
      </c>
      <c r="F12" s="32">
        <v>1456.236613013845</v>
      </c>
      <c r="G12" s="32">
        <v>1378.9025872816319</v>
      </c>
      <c r="H12" s="32">
        <v>1301.5685615494185</v>
      </c>
      <c r="I12" s="32">
        <v>1224.2345358172054</v>
      </c>
      <c r="J12" s="32">
        <v>1146.9005100849922</v>
      </c>
      <c r="K12" s="32">
        <v>1069.5664843527793</v>
      </c>
      <c r="L12" s="32">
        <v>992.23245862056592</v>
      </c>
      <c r="M12" s="32">
        <v>914.89843288835289</v>
      </c>
      <c r="N12" s="32">
        <v>837.56440715613974</v>
      </c>
      <c r="O12" s="32">
        <v>760.23038142392636</v>
      </c>
      <c r="P12" s="32">
        <v>682.89635569171378</v>
      </c>
      <c r="Q12" s="32">
        <v>674.87451529002556</v>
      </c>
      <c r="R12" s="32">
        <v>666.85267488833733</v>
      </c>
      <c r="S12" s="32">
        <v>658.83083448664922</v>
      </c>
      <c r="T12" s="32">
        <v>650.80899408496111</v>
      </c>
      <c r="U12" s="32">
        <v>642.78715368327289</v>
      </c>
      <c r="V12" s="32">
        <v>634.76531328158478</v>
      </c>
      <c r="W12" s="32">
        <v>626.74347287989656</v>
      </c>
      <c r="X12" s="32">
        <v>618.72163247820833</v>
      </c>
      <c r="Y12" s="32">
        <v>610.69979207652023</v>
      </c>
      <c r="Z12" s="32">
        <v>602.67795167483212</v>
      </c>
      <c r="AA12" s="32">
        <v>594.65611127314389</v>
      </c>
      <c r="AB12" s="32">
        <v>586.63427087145567</v>
      </c>
      <c r="AC12" s="32">
        <v>578.61243046976756</v>
      </c>
      <c r="AD12" s="32">
        <v>570.59059006807934</v>
      </c>
      <c r="AE12" s="32">
        <v>562.568749666391</v>
      </c>
    </row>
    <row r="13" spans="1:31">
      <c r="A13" t="s">
        <v>143</v>
      </c>
      <c r="B13" t="s">
        <v>139</v>
      </c>
      <c r="C13" s="32">
        <v>1482.6832803021205</v>
      </c>
      <c r="D13" s="32">
        <v>1610.9046644782707</v>
      </c>
      <c r="E13" s="32">
        <v>1551.2727044066685</v>
      </c>
      <c r="F13" s="32">
        <v>1491.6407443350658</v>
      </c>
      <c r="G13" s="32">
        <v>1432.0087842634634</v>
      </c>
      <c r="H13" s="32">
        <v>1372.376824191861</v>
      </c>
      <c r="I13" s="32">
        <v>1312.7448641202586</v>
      </c>
      <c r="J13" s="32">
        <v>1253.112904048656</v>
      </c>
      <c r="K13" s="32">
        <v>1193.4809439770536</v>
      </c>
      <c r="L13" s="32">
        <v>1133.8489839054512</v>
      </c>
      <c r="M13" s="32">
        <v>1074.217023833849</v>
      </c>
      <c r="N13" s="32">
        <v>1014.5850637622466</v>
      </c>
      <c r="O13" s="32">
        <v>954.95310369064418</v>
      </c>
      <c r="P13" s="32">
        <v>895.32114361904189</v>
      </c>
      <c r="Q13" s="32">
        <v>881.15949109055327</v>
      </c>
      <c r="R13" s="32">
        <v>866.99783856206466</v>
      </c>
      <c r="S13" s="32">
        <v>852.83618603357615</v>
      </c>
      <c r="T13" s="32">
        <v>838.67453350508754</v>
      </c>
      <c r="U13" s="32">
        <v>824.51288097659892</v>
      </c>
      <c r="V13" s="32">
        <v>810.35122844811031</v>
      </c>
      <c r="W13" s="32">
        <v>796.18957591962192</v>
      </c>
      <c r="X13" s="32">
        <v>782.02792339113319</v>
      </c>
      <c r="Y13" s="32">
        <v>767.86627086264468</v>
      </c>
      <c r="Z13" s="32">
        <v>753.70461833415618</v>
      </c>
      <c r="AA13" s="32">
        <v>739.54296580566745</v>
      </c>
      <c r="AB13" s="32">
        <v>725.38131327717895</v>
      </c>
      <c r="AC13" s="32">
        <v>711.21966074869022</v>
      </c>
      <c r="AD13" s="32">
        <v>697.05800822020171</v>
      </c>
      <c r="AE13" s="32">
        <v>682.89635569171378</v>
      </c>
    </row>
    <row r="14" spans="1:31">
      <c r="A14" t="s">
        <v>143</v>
      </c>
      <c r="B14" t="s">
        <v>140</v>
      </c>
      <c r="C14" s="32">
        <v>1482.6832803021205</v>
      </c>
      <c r="D14" s="32">
        <v>1610.9046644782707</v>
      </c>
      <c r="E14" s="32">
        <v>1575.7665332950637</v>
      </c>
      <c r="F14" s="32">
        <v>1540.6284021118565</v>
      </c>
      <c r="G14" s="32">
        <v>1505.4902709286494</v>
      </c>
      <c r="H14" s="32">
        <v>1470.3521397454424</v>
      </c>
      <c r="I14" s="32">
        <v>1435.214008562235</v>
      </c>
      <c r="J14" s="32">
        <v>1400.0758773790278</v>
      </c>
      <c r="K14" s="32">
        <v>1364.9377461958204</v>
      </c>
      <c r="L14" s="32">
        <v>1329.7996150126132</v>
      </c>
      <c r="M14" s="32">
        <v>1294.6614838294058</v>
      </c>
      <c r="N14" s="32">
        <v>1259.5233526461986</v>
      </c>
      <c r="O14" s="32">
        <v>1224.385221462991</v>
      </c>
      <c r="P14" s="32">
        <v>1189.2470902797832</v>
      </c>
      <c r="Q14" s="32">
        <v>1169.6520271690672</v>
      </c>
      <c r="R14" s="32">
        <v>1150.0569640583512</v>
      </c>
      <c r="S14" s="32">
        <v>1130.4619009476351</v>
      </c>
      <c r="T14" s="32">
        <v>1110.8668378369191</v>
      </c>
      <c r="U14" s="32">
        <v>1091.2717747262031</v>
      </c>
      <c r="V14" s="32">
        <v>1071.6767116154872</v>
      </c>
      <c r="W14" s="32">
        <v>1052.0816485047712</v>
      </c>
      <c r="X14" s="32">
        <v>1032.4865853940551</v>
      </c>
      <c r="Y14" s="32">
        <v>1012.891522283339</v>
      </c>
      <c r="Z14" s="32">
        <v>993.29645917262303</v>
      </c>
      <c r="AA14" s="32">
        <v>973.70139606190708</v>
      </c>
      <c r="AB14" s="32">
        <v>954.10633295119101</v>
      </c>
      <c r="AC14" s="32">
        <v>934.51126984047494</v>
      </c>
      <c r="AD14" s="32">
        <v>914.91620672975898</v>
      </c>
      <c r="AE14" s="32">
        <v>895.32114361904189</v>
      </c>
    </row>
    <row r="15" spans="1:31">
      <c r="A15" t="s">
        <v>144</v>
      </c>
      <c r="B15" t="s">
        <v>138</v>
      </c>
      <c r="C15" s="32">
        <v>1482.6832803021205</v>
      </c>
      <c r="D15" s="32">
        <v>1610.9046644782684</v>
      </c>
      <c r="E15" s="32">
        <v>1533.570638746058</v>
      </c>
      <c r="F15" s="32">
        <v>1456.236613013845</v>
      </c>
      <c r="G15" s="32">
        <v>1378.9025872816319</v>
      </c>
      <c r="H15" s="32">
        <v>1301.5685615494185</v>
      </c>
      <c r="I15" s="32">
        <v>1224.2345358172054</v>
      </c>
      <c r="J15" s="32">
        <v>1146.9005100849922</v>
      </c>
      <c r="K15" s="32">
        <v>1069.5664843527793</v>
      </c>
      <c r="L15" s="32">
        <v>992.23245862056592</v>
      </c>
      <c r="M15" s="32">
        <v>914.89843288835289</v>
      </c>
      <c r="N15" s="32">
        <v>837.56440715613974</v>
      </c>
      <c r="O15" s="32">
        <v>760.23038142392636</v>
      </c>
      <c r="P15" s="32">
        <v>682.89635569171378</v>
      </c>
      <c r="Q15" s="32">
        <v>674.87451529002556</v>
      </c>
      <c r="R15" s="32">
        <v>666.85267488833733</v>
      </c>
      <c r="S15" s="32">
        <v>658.83083448664922</v>
      </c>
      <c r="T15" s="32">
        <v>650.80899408496111</v>
      </c>
      <c r="U15" s="32">
        <v>642.78715368327289</v>
      </c>
      <c r="V15" s="32">
        <v>634.76531328158478</v>
      </c>
      <c r="W15" s="32">
        <v>626.74347287989656</v>
      </c>
      <c r="X15" s="32">
        <v>618.72163247820833</v>
      </c>
      <c r="Y15" s="32">
        <v>610.69979207652023</v>
      </c>
      <c r="Z15" s="32">
        <v>602.67795167483212</v>
      </c>
      <c r="AA15" s="32">
        <v>594.65611127314389</v>
      </c>
      <c r="AB15" s="32">
        <v>586.63427087145567</v>
      </c>
      <c r="AC15" s="32">
        <v>578.61243046976756</v>
      </c>
      <c r="AD15" s="32">
        <v>570.59059006807934</v>
      </c>
      <c r="AE15" s="32">
        <v>562.568749666391</v>
      </c>
    </row>
    <row r="16" spans="1:31">
      <c r="A16" t="s">
        <v>144</v>
      </c>
      <c r="B16" t="s">
        <v>139</v>
      </c>
      <c r="C16" s="32">
        <v>1482.6832803021205</v>
      </c>
      <c r="D16" s="32">
        <v>1610.9046644782707</v>
      </c>
      <c r="E16" s="32">
        <v>1551.2727044066685</v>
      </c>
      <c r="F16" s="32">
        <v>1491.6407443350658</v>
      </c>
      <c r="G16" s="32">
        <v>1432.0087842634634</v>
      </c>
      <c r="H16" s="32">
        <v>1372.376824191861</v>
      </c>
      <c r="I16" s="32">
        <v>1312.7448641202586</v>
      </c>
      <c r="J16" s="32">
        <v>1253.112904048656</v>
      </c>
      <c r="K16" s="32">
        <v>1193.4809439770536</v>
      </c>
      <c r="L16" s="32">
        <v>1133.8489839054512</v>
      </c>
      <c r="M16" s="32">
        <v>1074.217023833849</v>
      </c>
      <c r="N16" s="32">
        <v>1014.5850637622466</v>
      </c>
      <c r="O16" s="32">
        <v>954.95310369064418</v>
      </c>
      <c r="P16" s="32">
        <v>895.32114361904189</v>
      </c>
      <c r="Q16" s="32">
        <v>881.15949109055327</v>
      </c>
      <c r="R16" s="32">
        <v>866.99783856206466</v>
      </c>
      <c r="S16" s="32">
        <v>852.83618603357615</v>
      </c>
      <c r="T16" s="32">
        <v>838.67453350508754</v>
      </c>
      <c r="U16" s="32">
        <v>824.51288097659892</v>
      </c>
      <c r="V16" s="32">
        <v>810.35122844811031</v>
      </c>
      <c r="W16" s="32">
        <v>796.18957591962192</v>
      </c>
      <c r="X16" s="32">
        <v>782.02792339113319</v>
      </c>
      <c r="Y16" s="32">
        <v>767.86627086264468</v>
      </c>
      <c r="Z16" s="32">
        <v>753.70461833415618</v>
      </c>
      <c r="AA16" s="32">
        <v>739.54296580566745</v>
      </c>
      <c r="AB16" s="32">
        <v>725.38131327717895</v>
      </c>
      <c r="AC16" s="32">
        <v>711.21966074869022</v>
      </c>
      <c r="AD16" s="32">
        <v>697.05800822020171</v>
      </c>
      <c r="AE16" s="32">
        <v>682.89635569171378</v>
      </c>
    </row>
    <row r="17" spans="1:31">
      <c r="A17" t="s">
        <v>144</v>
      </c>
      <c r="B17" t="s">
        <v>140</v>
      </c>
      <c r="C17" s="32">
        <v>1482.6832803021205</v>
      </c>
      <c r="D17" s="32">
        <v>1610.9046644782707</v>
      </c>
      <c r="E17" s="32">
        <v>1575.7665332950637</v>
      </c>
      <c r="F17" s="32">
        <v>1540.6284021118565</v>
      </c>
      <c r="G17" s="32">
        <v>1505.4902709286494</v>
      </c>
      <c r="H17" s="32">
        <v>1470.3521397454424</v>
      </c>
      <c r="I17" s="32">
        <v>1435.214008562235</v>
      </c>
      <c r="J17" s="32">
        <v>1400.0758773790278</v>
      </c>
      <c r="K17" s="32">
        <v>1364.9377461958204</v>
      </c>
      <c r="L17" s="32">
        <v>1329.7996150126132</v>
      </c>
      <c r="M17" s="32">
        <v>1294.6614838294058</v>
      </c>
      <c r="N17" s="32">
        <v>1259.5233526461986</v>
      </c>
      <c r="O17" s="32">
        <v>1224.385221462991</v>
      </c>
      <c r="P17" s="32">
        <v>1189.2470902797832</v>
      </c>
      <c r="Q17" s="32">
        <v>1169.6520271690672</v>
      </c>
      <c r="R17" s="32">
        <v>1150.0569640583512</v>
      </c>
      <c r="S17" s="32">
        <v>1130.4619009476351</v>
      </c>
      <c r="T17" s="32">
        <v>1110.8668378369191</v>
      </c>
      <c r="U17" s="32">
        <v>1091.2717747262031</v>
      </c>
      <c r="V17" s="32">
        <v>1071.6767116154872</v>
      </c>
      <c r="W17" s="32">
        <v>1052.0816485047712</v>
      </c>
      <c r="X17" s="32">
        <v>1032.4865853940551</v>
      </c>
      <c r="Y17" s="32">
        <v>1012.891522283339</v>
      </c>
      <c r="Z17" s="32">
        <v>993.29645917262303</v>
      </c>
      <c r="AA17" s="32">
        <v>973.70139606190708</v>
      </c>
      <c r="AB17" s="32">
        <v>954.10633295119101</v>
      </c>
      <c r="AC17" s="32">
        <v>934.51126984047494</v>
      </c>
      <c r="AD17" s="32">
        <v>914.91620672975898</v>
      </c>
      <c r="AE17" s="32">
        <v>895.32114361904189</v>
      </c>
    </row>
    <row r="18" spans="1:31">
      <c r="A18" t="s">
        <v>145</v>
      </c>
      <c r="B18" t="s">
        <v>138</v>
      </c>
      <c r="C18" s="32">
        <v>1482.6832803021205</v>
      </c>
      <c r="D18" s="32">
        <v>1610.9046644782684</v>
      </c>
      <c r="E18" s="32">
        <v>1533.570638746058</v>
      </c>
      <c r="F18" s="32">
        <v>1456.236613013845</v>
      </c>
      <c r="G18" s="32">
        <v>1378.9025872816319</v>
      </c>
      <c r="H18" s="32">
        <v>1301.5685615494185</v>
      </c>
      <c r="I18" s="32">
        <v>1224.2345358172054</v>
      </c>
      <c r="J18" s="32">
        <v>1146.9005100849922</v>
      </c>
      <c r="K18" s="32">
        <v>1069.5664843527793</v>
      </c>
      <c r="L18" s="32">
        <v>992.23245862056592</v>
      </c>
      <c r="M18" s="32">
        <v>914.89843288835289</v>
      </c>
      <c r="N18" s="32">
        <v>837.56440715613974</v>
      </c>
      <c r="O18" s="32">
        <v>760.23038142392636</v>
      </c>
      <c r="P18" s="32">
        <v>682.89635569171378</v>
      </c>
      <c r="Q18" s="32">
        <v>674.87451529002556</v>
      </c>
      <c r="R18" s="32">
        <v>666.85267488833733</v>
      </c>
      <c r="S18" s="32">
        <v>658.83083448664922</v>
      </c>
      <c r="T18" s="32">
        <v>650.80899408496111</v>
      </c>
      <c r="U18" s="32">
        <v>642.78715368327289</v>
      </c>
      <c r="V18" s="32">
        <v>634.76531328158478</v>
      </c>
      <c r="W18" s="32">
        <v>626.74347287989656</v>
      </c>
      <c r="X18" s="32">
        <v>618.72163247820833</v>
      </c>
      <c r="Y18" s="32">
        <v>610.69979207652023</v>
      </c>
      <c r="Z18" s="32">
        <v>602.67795167483212</v>
      </c>
      <c r="AA18" s="32">
        <v>594.65611127314389</v>
      </c>
      <c r="AB18" s="32">
        <v>586.63427087145567</v>
      </c>
      <c r="AC18" s="32">
        <v>578.61243046976756</v>
      </c>
      <c r="AD18" s="32">
        <v>570.59059006807934</v>
      </c>
      <c r="AE18" s="32">
        <v>562.568749666391</v>
      </c>
    </row>
    <row r="19" spans="1:31">
      <c r="A19" t="s">
        <v>145</v>
      </c>
      <c r="B19" t="s">
        <v>139</v>
      </c>
      <c r="C19" s="32">
        <v>1482.6832803021205</v>
      </c>
      <c r="D19" s="32">
        <v>1610.9046644782707</v>
      </c>
      <c r="E19" s="32">
        <v>1551.2727044066685</v>
      </c>
      <c r="F19" s="32">
        <v>1491.6407443350658</v>
      </c>
      <c r="G19" s="32">
        <v>1432.0087842634634</v>
      </c>
      <c r="H19" s="32">
        <v>1372.376824191861</v>
      </c>
      <c r="I19" s="32">
        <v>1312.7448641202586</v>
      </c>
      <c r="J19" s="32">
        <v>1253.112904048656</v>
      </c>
      <c r="K19" s="32">
        <v>1193.4809439770536</v>
      </c>
      <c r="L19" s="32">
        <v>1133.8489839054512</v>
      </c>
      <c r="M19" s="32">
        <v>1074.217023833849</v>
      </c>
      <c r="N19" s="32">
        <v>1014.5850637622466</v>
      </c>
      <c r="O19" s="32">
        <v>954.95310369064418</v>
      </c>
      <c r="P19" s="32">
        <v>895.32114361904189</v>
      </c>
      <c r="Q19" s="32">
        <v>881.15949109055327</v>
      </c>
      <c r="R19" s="32">
        <v>866.99783856206466</v>
      </c>
      <c r="S19" s="32">
        <v>852.83618603357615</v>
      </c>
      <c r="T19" s="32">
        <v>838.67453350508754</v>
      </c>
      <c r="U19" s="32">
        <v>824.51288097659892</v>
      </c>
      <c r="V19" s="32">
        <v>810.35122844811031</v>
      </c>
      <c r="W19" s="32">
        <v>796.18957591962192</v>
      </c>
      <c r="X19" s="32">
        <v>782.02792339113319</v>
      </c>
      <c r="Y19" s="32">
        <v>767.86627086264468</v>
      </c>
      <c r="Z19" s="32">
        <v>753.70461833415618</v>
      </c>
      <c r="AA19" s="32">
        <v>739.54296580566745</v>
      </c>
      <c r="AB19" s="32">
        <v>725.38131327717895</v>
      </c>
      <c r="AC19" s="32">
        <v>711.21966074869022</v>
      </c>
      <c r="AD19" s="32">
        <v>697.05800822020171</v>
      </c>
      <c r="AE19" s="32">
        <v>682.89635569171378</v>
      </c>
    </row>
    <row r="20" spans="1:31">
      <c r="A20" t="s">
        <v>145</v>
      </c>
      <c r="B20" t="s">
        <v>140</v>
      </c>
      <c r="C20" s="32">
        <v>1482.6832803021205</v>
      </c>
      <c r="D20" s="32">
        <v>1610.9046644782707</v>
      </c>
      <c r="E20" s="32">
        <v>1575.7665332950637</v>
      </c>
      <c r="F20" s="32">
        <v>1540.6284021118565</v>
      </c>
      <c r="G20" s="32">
        <v>1505.4902709286494</v>
      </c>
      <c r="H20" s="32">
        <v>1470.3521397454424</v>
      </c>
      <c r="I20" s="32">
        <v>1435.214008562235</v>
      </c>
      <c r="J20" s="32">
        <v>1400.0758773790278</v>
      </c>
      <c r="K20" s="32">
        <v>1364.9377461958204</v>
      </c>
      <c r="L20" s="32">
        <v>1329.7996150126132</v>
      </c>
      <c r="M20" s="32">
        <v>1294.6614838294058</v>
      </c>
      <c r="N20" s="32">
        <v>1259.5233526461986</v>
      </c>
      <c r="O20" s="32">
        <v>1224.385221462991</v>
      </c>
      <c r="P20" s="32">
        <v>1189.2470902797832</v>
      </c>
      <c r="Q20" s="32">
        <v>1169.6520271690672</v>
      </c>
      <c r="R20" s="32">
        <v>1150.0569640583512</v>
      </c>
      <c r="S20" s="32">
        <v>1130.4619009476351</v>
      </c>
      <c r="T20" s="32">
        <v>1110.8668378369191</v>
      </c>
      <c r="U20" s="32">
        <v>1091.2717747262031</v>
      </c>
      <c r="V20" s="32">
        <v>1071.6767116154872</v>
      </c>
      <c r="W20" s="32">
        <v>1052.0816485047712</v>
      </c>
      <c r="X20" s="32">
        <v>1032.4865853940551</v>
      </c>
      <c r="Y20" s="32">
        <v>1012.891522283339</v>
      </c>
      <c r="Z20" s="32">
        <v>993.29645917262303</v>
      </c>
      <c r="AA20" s="32">
        <v>973.70139606190708</v>
      </c>
      <c r="AB20" s="32">
        <v>954.10633295119101</v>
      </c>
      <c r="AC20" s="32">
        <v>934.51126984047494</v>
      </c>
      <c r="AD20" s="32">
        <v>914.91620672975898</v>
      </c>
      <c r="AE20" s="32">
        <v>895.32114361904189</v>
      </c>
    </row>
    <row r="21" spans="1:31">
      <c r="A21" t="s">
        <v>146</v>
      </c>
      <c r="B21" t="s">
        <v>138</v>
      </c>
      <c r="C21" s="32">
        <v>1482.6832803021205</v>
      </c>
      <c r="D21" s="32">
        <v>1610.9046644782684</v>
      </c>
      <c r="E21" s="32">
        <v>1533.570638746058</v>
      </c>
      <c r="F21" s="32">
        <v>1456.236613013845</v>
      </c>
      <c r="G21" s="32">
        <v>1378.9025872816319</v>
      </c>
      <c r="H21" s="32">
        <v>1301.5685615494185</v>
      </c>
      <c r="I21" s="32">
        <v>1224.2345358172054</v>
      </c>
      <c r="J21" s="32">
        <v>1146.9005100849922</v>
      </c>
      <c r="K21" s="32">
        <v>1069.5664843527793</v>
      </c>
      <c r="L21" s="32">
        <v>992.23245862056592</v>
      </c>
      <c r="M21" s="32">
        <v>914.89843288835289</v>
      </c>
      <c r="N21" s="32">
        <v>837.56440715613974</v>
      </c>
      <c r="O21" s="32">
        <v>760.23038142392636</v>
      </c>
      <c r="P21" s="32">
        <v>682.89635569171378</v>
      </c>
      <c r="Q21" s="32">
        <v>674.87451529002556</v>
      </c>
      <c r="R21" s="32">
        <v>666.85267488833733</v>
      </c>
      <c r="S21" s="32">
        <v>658.83083448664922</v>
      </c>
      <c r="T21" s="32">
        <v>650.80899408496111</v>
      </c>
      <c r="U21" s="32">
        <v>642.78715368327289</v>
      </c>
      <c r="V21" s="32">
        <v>634.76531328158478</v>
      </c>
      <c r="W21" s="32">
        <v>626.74347287989656</v>
      </c>
      <c r="X21" s="32">
        <v>618.72163247820833</v>
      </c>
      <c r="Y21" s="32">
        <v>610.69979207652023</v>
      </c>
      <c r="Z21" s="32">
        <v>602.67795167483212</v>
      </c>
      <c r="AA21" s="32">
        <v>594.65611127314389</v>
      </c>
      <c r="AB21" s="32">
        <v>586.63427087145567</v>
      </c>
      <c r="AC21" s="32">
        <v>578.61243046976756</v>
      </c>
      <c r="AD21" s="32">
        <v>570.59059006807934</v>
      </c>
      <c r="AE21" s="32">
        <v>562.568749666391</v>
      </c>
    </row>
    <row r="22" spans="1:31">
      <c r="A22" t="s">
        <v>146</v>
      </c>
      <c r="B22" t="s">
        <v>139</v>
      </c>
      <c r="C22" s="32">
        <v>1482.6832803021205</v>
      </c>
      <c r="D22" s="32">
        <v>1610.9046644782707</v>
      </c>
      <c r="E22" s="32">
        <v>1551.2727044066685</v>
      </c>
      <c r="F22" s="32">
        <v>1491.6407443350658</v>
      </c>
      <c r="G22" s="32">
        <v>1432.0087842634634</v>
      </c>
      <c r="H22" s="32">
        <v>1372.376824191861</v>
      </c>
      <c r="I22" s="32">
        <v>1312.7448641202586</v>
      </c>
      <c r="J22" s="32">
        <v>1253.112904048656</v>
      </c>
      <c r="K22" s="32">
        <v>1193.4809439770536</v>
      </c>
      <c r="L22" s="32">
        <v>1133.8489839054512</v>
      </c>
      <c r="M22" s="32">
        <v>1074.217023833849</v>
      </c>
      <c r="N22" s="32">
        <v>1014.5850637622466</v>
      </c>
      <c r="O22" s="32">
        <v>954.95310369064418</v>
      </c>
      <c r="P22" s="32">
        <v>895.32114361904189</v>
      </c>
      <c r="Q22" s="32">
        <v>881.15949109055327</v>
      </c>
      <c r="R22" s="32">
        <v>866.99783856206466</v>
      </c>
      <c r="S22" s="32">
        <v>852.83618603357615</v>
      </c>
      <c r="T22" s="32">
        <v>838.67453350508754</v>
      </c>
      <c r="U22" s="32">
        <v>824.51288097659892</v>
      </c>
      <c r="V22" s="32">
        <v>810.35122844811031</v>
      </c>
      <c r="W22" s="32">
        <v>796.18957591962192</v>
      </c>
      <c r="X22" s="32">
        <v>782.02792339113319</v>
      </c>
      <c r="Y22" s="32">
        <v>767.86627086264468</v>
      </c>
      <c r="Z22" s="32">
        <v>753.70461833415618</v>
      </c>
      <c r="AA22" s="32">
        <v>739.54296580566745</v>
      </c>
      <c r="AB22" s="32">
        <v>725.38131327717895</v>
      </c>
      <c r="AC22" s="32">
        <v>711.21966074869022</v>
      </c>
      <c r="AD22" s="32">
        <v>697.05800822020171</v>
      </c>
      <c r="AE22" s="32">
        <v>682.89635569171378</v>
      </c>
    </row>
    <row r="23" spans="1:31">
      <c r="A23" t="s">
        <v>146</v>
      </c>
      <c r="B23" t="s">
        <v>140</v>
      </c>
      <c r="C23" s="32">
        <v>1482.6832803021205</v>
      </c>
      <c r="D23" s="32">
        <v>1610.9046644782707</v>
      </c>
      <c r="E23" s="32">
        <v>1575.7665332950637</v>
      </c>
      <c r="F23" s="32">
        <v>1540.6284021118565</v>
      </c>
      <c r="G23" s="32">
        <v>1505.4902709286494</v>
      </c>
      <c r="H23" s="32">
        <v>1470.3521397454424</v>
      </c>
      <c r="I23" s="32">
        <v>1435.214008562235</v>
      </c>
      <c r="J23" s="32">
        <v>1400.0758773790278</v>
      </c>
      <c r="K23" s="32">
        <v>1364.9377461958204</v>
      </c>
      <c r="L23" s="32">
        <v>1329.7996150126132</v>
      </c>
      <c r="M23" s="32">
        <v>1294.6614838294058</v>
      </c>
      <c r="N23" s="32">
        <v>1259.5233526461986</v>
      </c>
      <c r="O23" s="32">
        <v>1224.385221462991</v>
      </c>
      <c r="P23" s="32">
        <v>1189.2470902797832</v>
      </c>
      <c r="Q23" s="32">
        <v>1169.6520271690672</v>
      </c>
      <c r="R23" s="32">
        <v>1150.0569640583512</v>
      </c>
      <c r="S23" s="32">
        <v>1130.4619009476351</v>
      </c>
      <c r="T23" s="32">
        <v>1110.8668378369191</v>
      </c>
      <c r="U23" s="32">
        <v>1091.2717747262031</v>
      </c>
      <c r="V23" s="32">
        <v>1071.6767116154872</v>
      </c>
      <c r="W23" s="32">
        <v>1052.0816485047712</v>
      </c>
      <c r="X23" s="32">
        <v>1032.4865853940551</v>
      </c>
      <c r="Y23" s="32">
        <v>1012.891522283339</v>
      </c>
      <c r="Z23" s="32">
        <v>993.29645917262303</v>
      </c>
      <c r="AA23" s="32">
        <v>973.70139606190708</v>
      </c>
      <c r="AB23" s="32">
        <v>954.10633295119101</v>
      </c>
      <c r="AC23" s="32">
        <v>934.51126984047494</v>
      </c>
      <c r="AD23" s="32">
        <v>914.91620672975898</v>
      </c>
      <c r="AE23" s="32">
        <v>895.32114361904189</v>
      </c>
    </row>
    <row r="24" spans="1:31">
      <c r="A24" t="s">
        <v>147</v>
      </c>
      <c r="B24" t="s">
        <v>138</v>
      </c>
      <c r="C24" s="32">
        <v>1482.6832803021205</v>
      </c>
      <c r="D24" s="32">
        <v>1610.9046644782684</v>
      </c>
      <c r="E24" s="32">
        <v>1533.570638746058</v>
      </c>
      <c r="F24" s="32">
        <v>1456.236613013845</v>
      </c>
      <c r="G24" s="32">
        <v>1378.9025872816319</v>
      </c>
      <c r="H24" s="32">
        <v>1301.5685615494185</v>
      </c>
      <c r="I24" s="32">
        <v>1224.2345358172054</v>
      </c>
      <c r="J24" s="32">
        <v>1146.9005100849922</v>
      </c>
      <c r="K24" s="32">
        <v>1069.5664843527793</v>
      </c>
      <c r="L24" s="32">
        <v>992.23245862056592</v>
      </c>
      <c r="M24" s="32">
        <v>914.89843288835289</v>
      </c>
      <c r="N24" s="32">
        <v>837.56440715613974</v>
      </c>
      <c r="O24" s="32">
        <v>760.23038142392636</v>
      </c>
      <c r="P24" s="32">
        <v>682.89635569171378</v>
      </c>
      <c r="Q24" s="32">
        <v>674.87451529002556</v>
      </c>
      <c r="R24" s="32">
        <v>666.85267488833733</v>
      </c>
      <c r="S24" s="32">
        <v>658.83083448664922</v>
      </c>
      <c r="T24" s="32">
        <v>650.80899408496111</v>
      </c>
      <c r="U24" s="32">
        <v>642.78715368327289</v>
      </c>
      <c r="V24" s="32">
        <v>634.76531328158478</v>
      </c>
      <c r="W24" s="32">
        <v>626.74347287989656</v>
      </c>
      <c r="X24" s="32">
        <v>618.72163247820833</v>
      </c>
      <c r="Y24" s="32">
        <v>610.69979207652023</v>
      </c>
      <c r="Z24" s="32">
        <v>602.67795167483212</v>
      </c>
      <c r="AA24" s="32">
        <v>594.65611127314389</v>
      </c>
      <c r="AB24" s="32">
        <v>586.63427087145567</v>
      </c>
      <c r="AC24" s="32">
        <v>578.61243046976756</v>
      </c>
      <c r="AD24" s="32">
        <v>570.59059006807934</v>
      </c>
      <c r="AE24" s="32">
        <v>562.568749666391</v>
      </c>
    </row>
    <row r="25" spans="1:31">
      <c r="A25" t="s">
        <v>147</v>
      </c>
      <c r="B25" t="s">
        <v>139</v>
      </c>
      <c r="C25" s="32">
        <v>1482.6832803021205</v>
      </c>
      <c r="D25" s="32">
        <v>1610.9046644782707</v>
      </c>
      <c r="E25" s="32">
        <v>1551.2727044066685</v>
      </c>
      <c r="F25" s="32">
        <v>1491.6407443350658</v>
      </c>
      <c r="G25" s="32">
        <v>1432.0087842634634</v>
      </c>
      <c r="H25" s="32">
        <v>1372.376824191861</v>
      </c>
      <c r="I25" s="32">
        <v>1312.7448641202586</v>
      </c>
      <c r="J25" s="32">
        <v>1253.112904048656</v>
      </c>
      <c r="K25" s="32">
        <v>1193.4809439770536</v>
      </c>
      <c r="L25" s="32">
        <v>1133.8489839054512</v>
      </c>
      <c r="M25" s="32">
        <v>1074.217023833849</v>
      </c>
      <c r="N25" s="32">
        <v>1014.5850637622466</v>
      </c>
      <c r="O25" s="32">
        <v>954.95310369064418</v>
      </c>
      <c r="P25" s="32">
        <v>895.32114361904189</v>
      </c>
      <c r="Q25" s="32">
        <v>881.15949109055327</v>
      </c>
      <c r="R25" s="32">
        <v>866.99783856206466</v>
      </c>
      <c r="S25" s="32">
        <v>852.83618603357615</v>
      </c>
      <c r="T25" s="32">
        <v>838.67453350508754</v>
      </c>
      <c r="U25" s="32">
        <v>824.51288097659892</v>
      </c>
      <c r="V25" s="32">
        <v>810.35122844811031</v>
      </c>
      <c r="W25" s="32">
        <v>796.18957591962192</v>
      </c>
      <c r="X25" s="32">
        <v>782.02792339113319</v>
      </c>
      <c r="Y25" s="32">
        <v>767.86627086264468</v>
      </c>
      <c r="Z25" s="32">
        <v>753.70461833415618</v>
      </c>
      <c r="AA25" s="32">
        <v>739.54296580566745</v>
      </c>
      <c r="AB25" s="32">
        <v>725.38131327717895</v>
      </c>
      <c r="AC25" s="32">
        <v>711.21966074869022</v>
      </c>
      <c r="AD25" s="32">
        <v>697.05800822020171</v>
      </c>
      <c r="AE25" s="32">
        <v>682.89635569171378</v>
      </c>
    </row>
    <row r="26" spans="1:31">
      <c r="A26" t="s">
        <v>147</v>
      </c>
      <c r="B26" t="s">
        <v>140</v>
      </c>
      <c r="C26" s="32">
        <v>1482.6832803021205</v>
      </c>
      <c r="D26" s="32">
        <v>1610.9046644782707</v>
      </c>
      <c r="E26" s="32">
        <v>1575.7665332950637</v>
      </c>
      <c r="F26" s="32">
        <v>1540.6284021118565</v>
      </c>
      <c r="G26" s="32">
        <v>1505.4902709286494</v>
      </c>
      <c r="H26" s="32">
        <v>1470.3521397454424</v>
      </c>
      <c r="I26" s="32">
        <v>1435.214008562235</v>
      </c>
      <c r="J26" s="32">
        <v>1400.0758773790278</v>
      </c>
      <c r="K26" s="32">
        <v>1364.9377461958204</v>
      </c>
      <c r="L26" s="32">
        <v>1329.7996150126132</v>
      </c>
      <c r="M26" s="32">
        <v>1294.6614838294058</v>
      </c>
      <c r="N26" s="32">
        <v>1259.5233526461986</v>
      </c>
      <c r="O26" s="32">
        <v>1224.385221462991</v>
      </c>
      <c r="P26" s="32">
        <v>1189.2470902797832</v>
      </c>
      <c r="Q26" s="32">
        <v>1169.6520271690672</v>
      </c>
      <c r="R26" s="32">
        <v>1150.0569640583512</v>
      </c>
      <c r="S26" s="32">
        <v>1130.4619009476351</v>
      </c>
      <c r="T26" s="32">
        <v>1110.8668378369191</v>
      </c>
      <c r="U26" s="32">
        <v>1091.2717747262031</v>
      </c>
      <c r="V26" s="32">
        <v>1071.6767116154872</v>
      </c>
      <c r="W26" s="32">
        <v>1052.0816485047712</v>
      </c>
      <c r="X26" s="32">
        <v>1032.4865853940551</v>
      </c>
      <c r="Y26" s="32">
        <v>1012.891522283339</v>
      </c>
      <c r="Z26" s="32">
        <v>993.29645917262303</v>
      </c>
      <c r="AA26" s="32">
        <v>973.70139606190708</v>
      </c>
      <c r="AB26" s="32">
        <v>954.10633295119101</v>
      </c>
      <c r="AC26" s="32">
        <v>934.51126984047494</v>
      </c>
      <c r="AD26" s="32">
        <v>914.91620672975898</v>
      </c>
      <c r="AE26" s="32">
        <v>895.32114361904189</v>
      </c>
    </row>
    <row r="27" spans="1:31">
      <c r="A27" t="s">
        <v>148</v>
      </c>
      <c r="B27" t="s">
        <v>138</v>
      </c>
      <c r="C27" s="32">
        <v>1482.6832803021205</v>
      </c>
      <c r="D27" s="32">
        <v>1610.9046644782684</v>
      </c>
      <c r="E27" s="32">
        <v>1533.570638746058</v>
      </c>
      <c r="F27" s="32">
        <v>1456.236613013845</v>
      </c>
      <c r="G27" s="32">
        <v>1378.9025872816319</v>
      </c>
      <c r="H27" s="32">
        <v>1301.5685615494185</v>
      </c>
      <c r="I27" s="32">
        <v>1224.2345358172054</v>
      </c>
      <c r="J27" s="32">
        <v>1146.9005100849922</v>
      </c>
      <c r="K27" s="32">
        <v>1069.5664843527793</v>
      </c>
      <c r="L27" s="32">
        <v>992.23245862056592</v>
      </c>
      <c r="M27" s="32">
        <v>914.89843288835289</v>
      </c>
      <c r="N27" s="32">
        <v>837.56440715613974</v>
      </c>
      <c r="O27" s="32">
        <v>760.23038142392636</v>
      </c>
      <c r="P27" s="32">
        <v>682.89635569171378</v>
      </c>
      <c r="Q27" s="32">
        <v>674.87451529002556</v>
      </c>
      <c r="R27" s="32">
        <v>666.85267488833733</v>
      </c>
      <c r="S27" s="32">
        <v>658.83083448664922</v>
      </c>
      <c r="T27" s="32">
        <v>650.80899408496111</v>
      </c>
      <c r="U27" s="32">
        <v>642.78715368327289</v>
      </c>
      <c r="V27" s="32">
        <v>634.76531328158478</v>
      </c>
      <c r="W27" s="32">
        <v>626.74347287989656</v>
      </c>
      <c r="X27" s="32">
        <v>618.72163247820833</v>
      </c>
      <c r="Y27" s="32">
        <v>610.69979207652023</v>
      </c>
      <c r="Z27" s="32">
        <v>602.67795167483212</v>
      </c>
      <c r="AA27" s="32">
        <v>594.65611127314389</v>
      </c>
      <c r="AB27" s="32">
        <v>586.63427087145567</v>
      </c>
      <c r="AC27" s="32">
        <v>578.61243046976756</v>
      </c>
      <c r="AD27" s="32">
        <v>570.59059006807934</v>
      </c>
      <c r="AE27" s="32">
        <v>562.568749666391</v>
      </c>
    </row>
    <row r="28" spans="1:31">
      <c r="A28" t="s">
        <v>148</v>
      </c>
      <c r="B28" t="s">
        <v>139</v>
      </c>
      <c r="C28" s="32">
        <v>1482.6832803021205</v>
      </c>
      <c r="D28" s="32">
        <v>1610.9046644782707</v>
      </c>
      <c r="E28" s="32">
        <v>1551.2727044066685</v>
      </c>
      <c r="F28" s="32">
        <v>1491.6407443350658</v>
      </c>
      <c r="G28" s="32">
        <v>1432.0087842634634</v>
      </c>
      <c r="H28" s="32">
        <v>1372.376824191861</v>
      </c>
      <c r="I28" s="32">
        <v>1312.7448641202586</v>
      </c>
      <c r="J28" s="32">
        <v>1253.112904048656</v>
      </c>
      <c r="K28" s="32">
        <v>1193.4809439770536</v>
      </c>
      <c r="L28" s="32">
        <v>1133.8489839054512</v>
      </c>
      <c r="M28" s="32">
        <v>1074.217023833849</v>
      </c>
      <c r="N28" s="32">
        <v>1014.5850637622466</v>
      </c>
      <c r="O28" s="32">
        <v>954.95310369064418</v>
      </c>
      <c r="P28" s="32">
        <v>895.32114361904189</v>
      </c>
      <c r="Q28" s="32">
        <v>881.15949109055327</v>
      </c>
      <c r="R28" s="32">
        <v>866.99783856206466</v>
      </c>
      <c r="S28" s="32">
        <v>852.83618603357615</v>
      </c>
      <c r="T28" s="32">
        <v>838.67453350508754</v>
      </c>
      <c r="U28" s="32">
        <v>824.51288097659892</v>
      </c>
      <c r="V28" s="32">
        <v>810.35122844811031</v>
      </c>
      <c r="W28" s="32">
        <v>796.18957591962192</v>
      </c>
      <c r="X28" s="32">
        <v>782.02792339113319</v>
      </c>
      <c r="Y28" s="32">
        <v>767.86627086264468</v>
      </c>
      <c r="Z28" s="32">
        <v>753.70461833415618</v>
      </c>
      <c r="AA28" s="32">
        <v>739.54296580566745</v>
      </c>
      <c r="AB28" s="32">
        <v>725.38131327717895</v>
      </c>
      <c r="AC28" s="32">
        <v>711.21966074869022</v>
      </c>
      <c r="AD28" s="32">
        <v>697.05800822020171</v>
      </c>
      <c r="AE28" s="32">
        <v>682.89635569171378</v>
      </c>
    </row>
    <row r="29" spans="1:31">
      <c r="A29" t="s">
        <v>148</v>
      </c>
      <c r="B29" t="s">
        <v>140</v>
      </c>
      <c r="C29" s="32">
        <v>1482.6832803021205</v>
      </c>
      <c r="D29" s="32">
        <v>1610.9046644782707</v>
      </c>
      <c r="E29" s="32">
        <v>1575.7665332950637</v>
      </c>
      <c r="F29" s="32">
        <v>1540.6284021118565</v>
      </c>
      <c r="G29" s="32">
        <v>1505.4902709286494</v>
      </c>
      <c r="H29" s="32">
        <v>1470.3521397454424</v>
      </c>
      <c r="I29" s="32">
        <v>1435.214008562235</v>
      </c>
      <c r="J29" s="32">
        <v>1400.0758773790278</v>
      </c>
      <c r="K29" s="32">
        <v>1364.9377461958204</v>
      </c>
      <c r="L29" s="32">
        <v>1329.7996150126132</v>
      </c>
      <c r="M29" s="32">
        <v>1294.6614838294058</v>
      </c>
      <c r="N29" s="32">
        <v>1259.5233526461986</v>
      </c>
      <c r="O29" s="32">
        <v>1224.385221462991</v>
      </c>
      <c r="P29" s="32">
        <v>1189.2470902797832</v>
      </c>
      <c r="Q29" s="32">
        <v>1169.6520271690672</v>
      </c>
      <c r="R29" s="32">
        <v>1150.0569640583512</v>
      </c>
      <c r="S29" s="32">
        <v>1130.4619009476351</v>
      </c>
      <c r="T29" s="32">
        <v>1110.8668378369191</v>
      </c>
      <c r="U29" s="32">
        <v>1091.2717747262031</v>
      </c>
      <c r="V29" s="32">
        <v>1071.6767116154872</v>
      </c>
      <c r="W29" s="32">
        <v>1052.0816485047712</v>
      </c>
      <c r="X29" s="32">
        <v>1032.4865853940551</v>
      </c>
      <c r="Y29" s="32">
        <v>1012.891522283339</v>
      </c>
      <c r="Z29" s="32">
        <v>993.29645917262303</v>
      </c>
      <c r="AA29" s="32">
        <v>973.70139606190708</v>
      </c>
      <c r="AB29" s="32">
        <v>954.10633295119101</v>
      </c>
      <c r="AC29" s="32">
        <v>934.51126984047494</v>
      </c>
      <c r="AD29" s="32">
        <v>914.91620672975898</v>
      </c>
      <c r="AE29" s="32">
        <v>895.32114361904189</v>
      </c>
    </row>
    <row r="30" spans="1:31">
      <c r="A30" t="s">
        <v>149</v>
      </c>
      <c r="B30" t="s">
        <v>138</v>
      </c>
      <c r="C30" s="32">
        <v>1482.6832803021205</v>
      </c>
      <c r="D30" s="32">
        <v>1610.9046644782684</v>
      </c>
      <c r="E30" s="32">
        <v>1533.570638746058</v>
      </c>
      <c r="F30" s="32">
        <v>1456.236613013845</v>
      </c>
      <c r="G30" s="32">
        <v>1378.9025872816319</v>
      </c>
      <c r="H30" s="32">
        <v>1301.5685615494185</v>
      </c>
      <c r="I30" s="32">
        <v>1224.2345358172054</v>
      </c>
      <c r="J30" s="32">
        <v>1146.9005100849922</v>
      </c>
      <c r="K30" s="32">
        <v>1069.5664843527793</v>
      </c>
      <c r="L30" s="32">
        <v>992.23245862056592</v>
      </c>
      <c r="M30" s="32">
        <v>914.89843288835289</v>
      </c>
      <c r="N30" s="32">
        <v>837.56440715613974</v>
      </c>
      <c r="O30" s="32">
        <v>760.23038142392636</v>
      </c>
      <c r="P30" s="32">
        <v>682.89635569171378</v>
      </c>
      <c r="Q30" s="32">
        <v>674.87451529002556</v>
      </c>
      <c r="R30" s="32">
        <v>666.85267488833733</v>
      </c>
      <c r="S30" s="32">
        <v>658.83083448664922</v>
      </c>
      <c r="T30" s="32">
        <v>650.80899408496111</v>
      </c>
      <c r="U30" s="32">
        <v>642.78715368327289</v>
      </c>
      <c r="V30" s="32">
        <v>634.76531328158478</v>
      </c>
      <c r="W30" s="32">
        <v>626.74347287989656</v>
      </c>
      <c r="X30" s="32">
        <v>618.72163247820833</v>
      </c>
      <c r="Y30" s="32">
        <v>610.69979207652023</v>
      </c>
      <c r="Z30" s="32">
        <v>602.67795167483212</v>
      </c>
      <c r="AA30" s="32">
        <v>594.65611127314389</v>
      </c>
      <c r="AB30" s="32">
        <v>586.63427087145567</v>
      </c>
      <c r="AC30" s="32">
        <v>578.61243046976756</v>
      </c>
      <c r="AD30" s="32">
        <v>570.59059006807934</v>
      </c>
      <c r="AE30" s="32">
        <v>562.568749666391</v>
      </c>
    </row>
    <row r="31" spans="1:31">
      <c r="A31" t="s">
        <v>149</v>
      </c>
      <c r="B31" t="s">
        <v>139</v>
      </c>
      <c r="C31" s="32">
        <v>1482.6832803021205</v>
      </c>
      <c r="D31" s="32">
        <v>1610.9046644782707</v>
      </c>
      <c r="E31" s="32">
        <v>1551.2727044066685</v>
      </c>
      <c r="F31" s="32">
        <v>1491.6407443350658</v>
      </c>
      <c r="G31" s="32">
        <v>1432.0087842634634</v>
      </c>
      <c r="H31" s="32">
        <v>1372.376824191861</v>
      </c>
      <c r="I31" s="32">
        <v>1312.7448641202586</v>
      </c>
      <c r="J31" s="32">
        <v>1253.112904048656</v>
      </c>
      <c r="K31" s="32">
        <v>1193.4809439770536</v>
      </c>
      <c r="L31" s="32">
        <v>1133.8489839054512</v>
      </c>
      <c r="M31" s="32">
        <v>1074.217023833849</v>
      </c>
      <c r="N31" s="32">
        <v>1014.5850637622466</v>
      </c>
      <c r="O31" s="32">
        <v>954.95310369064418</v>
      </c>
      <c r="P31" s="32">
        <v>895.32114361904189</v>
      </c>
      <c r="Q31" s="32">
        <v>881.15949109055327</v>
      </c>
      <c r="R31" s="32">
        <v>866.99783856206466</v>
      </c>
      <c r="S31" s="32">
        <v>852.83618603357615</v>
      </c>
      <c r="T31" s="32">
        <v>838.67453350508754</v>
      </c>
      <c r="U31" s="32">
        <v>824.51288097659892</v>
      </c>
      <c r="V31" s="32">
        <v>810.35122844811031</v>
      </c>
      <c r="W31" s="32">
        <v>796.18957591962192</v>
      </c>
      <c r="X31" s="32">
        <v>782.02792339113319</v>
      </c>
      <c r="Y31" s="32">
        <v>767.86627086264468</v>
      </c>
      <c r="Z31" s="32">
        <v>753.70461833415618</v>
      </c>
      <c r="AA31" s="32">
        <v>739.54296580566745</v>
      </c>
      <c r="AB31" s="32">
        <v>725.38131327717895</v>
      </c>
      <c r="AC31" s="32">
        <v>711.21966074869022</v>
      </c>
      <c r="AD31" s="32">
        <v>697.05800822020171</v>
      </c>
      <c r="AE31" s="32">
        <v>682.89635569171378</v>
      </c>
    </row>
    <row r="32" spans="1:31">
      <c r="A32" t="s">
        <v>149</v>
      </c>
      <c r="B32" t="s">
        <v>140</v>
      </c>
      <c r="C32" s="32">
        <v>1482.6832803021205</v>
      </c>
      <c r="D32" s="32">
        <v>1610.9046644782707</v>
      </c>
      <c r="E32" s="32">
        <v>1575.7665332950637</v>
      </c>
      <c r="F32" s="32">
        <v>1540.6284021118565</v>
      </c>
      <c r="G32" s="32">
        <v>1505.4902709286494</v>
      </c>
      <c r="H32" s="32">
        <v>1470.3521397454424</v>
      </c>
      <c r="I32" s="32">
        <v>1435.214008562235</v>
      </c>
      <c r="J32" s="32">
        <v>1400.0758773790278</v>
      </c>
      <c r="K32" s="32">
        <v>1364.9377461958204</v>
      </c>
      <c r="L32" s="32">
        <v>1329.7996150126132</v>
      </c>
      <c r="M32" s="32">
        <v>1294.6614838294058</v>
      </c>
      <c r="N32" s="32">
        <v>1259.5233526461986</v>
      </c>
      <c r="O32" s="32">
        <v>1224.385221462991</v>
      </c>
      <c r="P32" s="32">
        <v>1189.2470902797832</v>
      </c>
      <c r="Q32" s="32">
        <v>1169.6520271690672</v>
      </c>
      <c r="R32" s="32">
        <v>1150.0569640583512</v>
      </c>
      <c r="S32" s="32">
        <v>1130.4619009476351</v>
      </c>
      <c r="T32" s="32">
        <v>1110.8668378369191</v>
      </c>
      <c r="U32" s="32">
        <v>1091.2717747262031</v>
      </c>
      <c r="V32" s="32">
        <v>1071.6767116154872</v>
      </c>
      <c r="W32" s="32">
        <v>1052.0816485047712</v>
      </c>
      <c r="X32" s="32">
        <v>1032.4865853940551</v>
      </c>
      <c r="Y32" s="32">
        <v>1012.891522283339</v>
      </c>
      <c r="Z32" s="32">
        <v>993.29645917262303</v>
      </c>
      <c r="AA32" s="32">
        <v>973.70139606190708</v>
      </c>
      <c r="AB32" s="32">
        <v>954.10633295119101</v>
      </c>
      <c r="AC32" s="32">
        <v>934.51126984047494</v>
      </c>
      <c r="AD32" s="32">
        <v>914.91620672975898</v>
      </c>
      <c r="AE32" s="32">
        <v>895.32114361904189</v>
      </c>
    </row>
    <row r="34" spans="1:31">
      <c r="C34" s="33">
        <f>AVERAGE(C3:C32)</f>
        <v>1482.6832803021198</v>
      </c>
      <c r="F34" s="33">
        <f>AVERAGE(F3:F32)</f>
        <v>1496.1685864869225</v>
      </c>
      <c r="K34" s="33">
        <f>AVERAGE(K3:K32)</f>
        <v>1209.3283915085512</v>
      </c>
    </row>
    <row r="35" spans="1:31">
      <c r="A35" t="s">
        <v>150</v>
      </c>
      <c r="F35" s="13">
        <f>F34/$C34</f>
        <v>1.0090952035164618</v>
      </c>
      <c r="K35" s="13">
        <f>K34/$C34</f>
        <v>0.81563500956329105</v>
      </c>
    </row>
    <row r="38" spans="1:31">
      <c r="C38">
        <v>2022</v>
      </c>
      <c r="D38">
        <v>2023</v>
      </c>
      <c r="E38">
        <v>2024</v>
      </c>
      <c r="F38">
        <v>2025</v>
      </c>
      <c r="G38">
        <v>2026</v>
      </c>
      <c r="H38">
        <v>2027</v>
      </c>
      <c r="I38">
        <v>2028</v>
      </c>
      <c r="J38">
        <v>2029</v>
      </c>
      <c r="K38">
        <v>2030</v>
      </c>
      <c r="L38">
        <v>2031</v>
      </c>
      <c r="M38">
        <v>2032</v>
      </c>
      <c r="N38">
        <v>2033</v>
      </c>
      <c r="O38">
        <v>2034</v>
      </c>
      <c r="P38">
        <v>2035</v>
      </c>
      <c r="Q38">
        <v>2036</v>
      </c>
      <c r="R38">
        <v>2037</v>
      </c>
      <c r="S38">
        <v>2038</v>
      </c>
      <c r="T38">
        <v>2039</v>
      </c>
      <c r="U38">
        <v>2040</v>
      </c>
      <c r="V38">
        <v>2041</v>
      </c>
      <c r="W38">
        <v>2042</v>
      </c>
      <c r="X38">
        <v>2043</v>
      </c>
      <c r="Y38">
        <v>2044</v>
      </c>
      <c r="Z38">
        <v>2045</v>
      </c>
      <c r="AA38">
        <v>2046</v>
      </c>
      <c r="AB38">
        <v>2047</v>
      </c>
      <c r="AC38">
        <v>2048</v>
      </c>
      <c r="AD38">
        <v>2049</v>
      </c>
      <c r="AE38">
        <v>2050</v>
      </c>
    </row>
    <row r="39" spans="1:31">
      <c r="A39" t="s">
        <v>153</v>
      </c>
      <c r="B39" t="s">
        <v>138</v>
      </c>
      <c r="C39">
        <v>1665.7865833821902</v>
      </c>
      <c r="D39">
        <v>1777.1999298005069</v>
      </c>
      <c r="E39">
        <v>1658.6961184438392</v>
      </c>
      <c r="F39">
        <v>1544.2437353547416</v>
      </c>
      <c r="G39">
        <v>1503.7294526789253</v>
      </c>
      <c r="H39">
        <v>1463.2151700031093</v>
      </c>
      <c r="I39">
        <v>1422.700887327293</v>
      </c>
      <c r="J39">
        <v>1382.186604651477</v>
      </c>
      <c r="K39">
        <v>1341.6723219756607</v>
      </c>
      <c r="L39">
        <v>1325.0977082026961</v>
      </c>
      <c r="M39">
        <v>1308.5230944297311</v>
      </c>
      <c r="N39">
        <v>1291.9484806567768</v>
      </c>
      <c r="O39">
        <v>1275.3738668838123</v>
      </c>
      <c r="P39">
        <v>1258.7992531108473</v>
      </c>
      <c r="Q39">
        <v>1242.2246393378828</v>
      </c>
      <c r="R39">
        <v>1225.6500255649178</v>
      </c>
      <c r="S39">
        <v>1209.075411791953</v>
      </c>
      <c r="T39">
        <v>1192.5007980189882</v>
      </c>
      <c r="U39">
        <v>1175.9261842460235</v>
      </c>
      <c r="V39">
        <v>1159.3515704730683</v>
      </c>
      <c r="W39">
        <v>1142.7769567001046</v>
      </c>
      <c r="X39">
        <v>1126.2023429271419</v>
      </c>
      <c r="Y39">
        <v>1109.627729154178</v>
      </c>
      <c r="Z39">
        <v>1093.0531153812144</v>
      </c>
      <c r="AA39">
        <v>1076.4785016082508</v>
      </c>
      <c r="AB39">
        <v>1059.9038878352869</v>
      </c>
      <c r="AC39">
        <v>1043.3292740623242</v>
      </c>
      <c r="AD39">
        <v>1026.7546602893606</v>
      </c>
      <c r="AE39">
        <v>1010.1800465163969</v>
      </c>
    </row>
    <row r="40" spans="1:31">
      <c r="A40" t="s">
        <v>153</v>
      </c>
      <c r="B40" t="s">
        <v>139</v>
      </c>
      <c r="C40">
        <v>1665.7865833821902</v>
      </c>
      <c r="D40">
        <v>1786.3135537720393</v>
      </c>
      <c r="E40">
        <v>1676.0948551167523</v>
      </c>
      <c r="F40">
        <v>1569.0990734589152</v>
      </c>
      <c r="G40">
        <v>1536.8699034844901</v>
      </c>
      <c r="H40">
        <v>1504.6407335100548</v>
      </c>
      <c r="I40">
        <v>1472.4115635356297</v>
      </c>
      <c r="J40">
        <v>1440.1823935612049</v>
      </c>
      <c r="K40">
        <v>1407.9532235867798</v>
      </c>
      <c r="L40">
        <v>1393.300972420019</v>
      </c>
      <c r="M40">
        <v>1378.6487212532579</v>
      </c>
      <c r="N40">
        <v>1363.9964700864864</v>
      </c>
      <c r="O40">
        <v>1349.3442189197256</v>
      </c>
      <c r="P40">
        <v>1334.6919677529645</v>
      </c>
      <c r="Q40">
        <v>1320.0397165862037</v>
      </c>
      <c r="R40">
        <v>1305.3874654194426</v>
      </c>
      <c r="S40">
        <v>1290.7352142526818</v>
      </c>
      <c r="T40">
        <v>1276.0829630859207</v>
      </c>
      <c r="U40">
        <v>1261.4307119191492</v>
      </c>
      <c r="V40">
        <v>1246.7784607523884</v>
      </c>
      <c r="W40">
        <v>1232.1262095856273</v>
      </c>
      <c r="X40">
        <v>1217.4739584188665</v>
      </c>
      <c r="Y40">
        <v>1202.8217072521054</v>
      </c>
      <c r="Z40">
        <v>1188.1694560853446</v>
      </c>
      <c r="AA40">
        <v>1173.5172049185733</v>
      </c>
      <c r="AB40">
        <v>1158.8649537518195</v>
      </c>
      <c r="AC40">
        <v>1144.2127025850566</v>
      </c>
      <c r="AD40">
        <v>1129.5604514182946</v>
      </c>
      <c r="AE40">
        <v>1114.9082002515315</v>
      </c>
    </row>
    <row r="41" spans="1:31">
      <c r="A41" t="s">
        <v>153</v>
      </c>
      <c r="B41" t="s">
        <v>140</v>
      </c>
      <c r="C41">
        <v>1665.7865833821902</v>
      </c>
      <c r="D41">
        <v>1809.6113559411617</v>
      </c>
      <c r="E41">
        <v>1720.5724774396324</v>
      </c>
      <c r="F41">
        <v>1632.6385339201561</v>
      </c>
      <c r="G41">
        <v>1621.5891840994777</v>
      </c>
      <c r="H41">
        <v>1610.5398342788103</v>
      </c>
      <c r="I41">
        <v>1599.490484458132</v>
      </c>
      <c r="J41">
        <v>1588.4411346374541</v>
      </c>
      <c r="K41">
        <v>1577.391784816776</v>
      </c>
      <c r="L41">
        <v>1566.343731428004</v>
      </c>
      <c r="M41">
        <v>1555.2956780392428</v>
      </c>
      <c r="N41">
        <v>1544.2476246504709</v>
      </c>
      <c r="O41">
        <v>1533.1995712617097</v>
      </c>
      <c r="P41">
        <v>1522.1515178729378</v>
      </c>
      <c r="Q41">
        <v>1511.1034644841766</v>
      </c>
      <c r="R41">
        <v>1500.0554110954047</v>
      </c>
      <c r="S41">
        <v>1489.0073577066435</v>
      </c>
      <c r="T41">
        <v>1477.9593043178716</v>
      </c>
      <c r="U41">
        <v>1466.9112509291103</v>
      </c>
      <c r="V41">
        <v>1455.8631975403382</v>
      </c>
      <c r="W41">
        <v>1444.815144151577</v>
      </c>
      <c r="X41">
        <v>1433.767090762816</v>
      </c>
      <c r="Y41">
        <v>1422.7190373740441</v>
      </c>
      <c r="Z41">
        <v>1411.6709839852829</v>
      </c>
      <c r="AA41">
        <v>1400.6229305965107</v>
      </c>
      <c r="AB41">
        <v>1389.5748772077495</v>
      </c>
      <c r="AC41">
        <v>1378.5268238189778</v>
      </c>
      <c r="AD41">
        <v>1367.4787704302166</v>
      </c>
      <c r="AE41">
        <v>1356.4307170414445</v>
      </c>
    </row>
    <row r="42" spans="1:31">
      <c r="A42" t="s">
        <v>154</v>
      </c>
      <c r="B42" t="s">
        <v>138</v>
      </c>
      <c r="C42">
        <v>1665.7865833821902</v>
      </c>
      <c r="D42">
        <v>1777.1999298005069</v>
      </c>
      <c r="E42">
        <v>1658.6961184438392</v>
      </c>
      <c r="F42">
        <v>1544.2437353547416</v>
      </c>
      <c r="G42">
        <v>1503.7294526789253</v>
      </c>
      <c r="H42">
        <v>1463.2151700031093</v>
      </c>
      <c r="I42">
        <v>1422.700887327293</v>
      </c>
      <c r="J42">
        <v>1382.186604651477</v>
      </c>
      <c r="K42">
        <v>1341.6723219756607</v>
      </c>
      <c r="L42">
        <v>1325.0977082026961</v>
      </c>
      <c r="M42">
        <v>1308.5230944297311</v>
      </c>
      <c r="N42">
        <v>1291.9484806567768</v>
      </c>
      <c r="O42">
        <v>1275.3738668838123</v>
      </c>
      <c r="P42">
        <v>1258.7992531108473</v>
      </c>
      <c r="Q42">
        <v>1242.2246393378828</v>
      </c>
      <c r="R42">
        <v>1225.6500255649178</v>
      </c>
      <c r="S42">
        <v>1209.075411791953</v>
      </c>
      <c r="T42">
        <v>1192.5007980189882</v>
      </c>
      <c r="U42">
        <v>1175.9261842460235</v>
      </c>
      <c r="V42">
        <v>1159.3515704730683</v>
      </c>
      <c r="W42">
        <v>1142.7769567001046</v>
      </c>
      <c r="X42">
        <v>1126.2023429271419</v>
      </c>
      <c r="Y42">
        <v>1109.627729154178</v>
      </c>
      <c r="Z42">
        <v>1093.0531153812144</v>
      </c>
      <c r="AA42">
        <v>1076.4785016082508</v>
      </c>
      <c r="AB42">
        <v>1059.9038878352869</v>
      </c>
      <c r="AC42">
        <v>1043.3292740623242</v>
      </c>
      <c r="AD42">
        <v>1026.7546602893606</v>
      </c>
      <c r="AE42">
        <v>1010.1800465163969</v>
      </c>
    </row>
    <row r="43" spans="1:31">
      <c r="A43" t="s">
        <v>154</v>
      </c>
      <c r="B43" t="s">
        <v>139</v>
      </c>
      <c r="C43">
        <v>1665.7865833821902</v>
      </c>
      <c r="D43">
        <v>1786.3135537720393</v>
      </c>
      <c r="E43">
        <v>1676.0948551167523</v>
      </c>
      <c r="F43">
        <v>1569.0990734589152</v>
      </c>
      <c r="G43">
        <v>1536.8699034844901</v>
      </c>
      <c r="H43">
        <v>1504.6407335100548</v>
      </c>
      <c r="I43">
        <v>1472.4115635356297</v>
      </c>
      <c r="J43">
        <v>1440.1823935612049</v>
      </c>
      <c r="K43">
        <v>1407.9532235867798</v>
      </c>
      <c r="L43">
        <v>1393.300972420019</v>
      </c>
      <c r="M43">
        <v>1378.6487212532579</v>
      </c>
      <c r="N43">
        <v>1363.9964700864864</v>
      </c>
      <c r="O43">
        <v>1349.3442189197256</v>
      </c>
      <c r="P43">
        <v>1334.6919677529645</v>
      </c>
      <c r="Q43">
        <v>1320.0397165862037</v>
      </c>
      <c r="R43">
        <v>1305.3874654194426</v>
      </c>
      <c r="S43">
        <v>1290.7352142526818</v>
      </c>
      <c r="T43">
        <v>1276.0829630859207</v>
      </c>
      <c r="U43">
        <v>1261.4307119191492</v>
      </c>
      <c r="V43">
        <v>1246.7784607523884</v>
      </c>
      <c r="W43">
        <v>1232.1262095856273</v>
      </c>
      <c r="X43">
        <v>1217.4739584188665</v>
      </c>
      <c r="Y43">
        <v>1202.8217072521054</v>
      </c>
      <c r="Z43">
        <v>1188.1694560853446</v>
      </c>
      <c r="AA43">
        <v>1173.5172049185733</v>
      </c>
      <c r="AB43">
        <v>1158.8649537518195</v>
      </c>
      <c r="AC43">
        <v>1144.2127025850566</v>
      </c>
      <c r="AD43">
        <v>1129.5604514182946</v>
      </c>
      <c r="AE43">
        <v>1114.9082002515315</v>
      </c>
    </row>
    <row r="44" spans="1:31">
      <c r="A44" t="s">
        <v>154</v>
      </c>
      <c r="B44" t="s">
        <v>140</v>
      </c>
      <c r="C44">
        <v>1665.7865833821902</v>
      </c>
      <c r="D44">
        <v>1809.6113559411617</v>
      </c>
      <c r="E44">
        <v>1720.5724774396324</v>
      </c>
      <c r="F44">
        <v>1632.6385339201561</v>
      </c>
      <c r="G44">
        <v>1621.5891840994777</v>
      </c>
      <c r="H44">
        <v>1610.5398342788103</v>
      </c>
      <c r="I44">
        <v>1599.490484458132</v>
      </c>
      <c r="J44">
        <v>1588.4411346374541</v>
      </c>
      <c r="K44">
        <v>1577.391784816776</v>
      </c>
      <c r="L44">
        <v>1566.343731428004</v>
      </c>
      <c r="M44">
        <v>1555.2956780392428</v>
      </c>
      <c r="N44">
        <v>1544.2476246504709</v>
      </c>
      <c r="O44">
        <v>1533.1995712617097</v>
      </c>
      <c r="P44">
        <v>1522.1515178729378</v>
      </c>
      <c r="Q44">
        <v>1511.1034644841766</v>
      </c>
      <c r="R44">
        <v>1500.0554110954047</v>
      </c>
      <c r="S44">
        <v>1489.0073577066435</v>
      </c>
      <c r="T44">
        <v>1477.9593043178716</v>
      </c>
      <c r="U44">
        <v>1466.9112509291103</v>
      </c>
      <c r="V44">
        <v>1455.8631975403382</v>
      </c>
      <c r="W44">
        <v>1444.815144151577</v>
      </c>
      <c r="X44">
        <v>1433.767090762816</v>
      </c>
      <c r="Y44">
        <v>1422.7190373740441</v>
      </c>
      <c r="Z44">
        <v>1411.6709839852829</v>
      </c>
      <c r="AA44">
        <v>1400.6229305965107</v>
      </c>
      <c r="AB44">
        <v>1389.5748772077495</v>
      </c>
      <c r="AC44">
        <v>1378.5268238189778</v>
      </c>
      <c r="AD44">
        <v>1367.4787704302166</v>
      </c>
      <c r="AE44">
        <v>1356.4307170414445</v>
      </c>
    </row>
    <row r="45" spans="1:31">
      <c r="A45" t="s">
        <v>155</v>
      </c>
      <c r="B45" t="s">
        <v>138</v>
      </c>
      <c r="C45">
        <v>1665.7865833821902</v>
      </c>
      <c r="D45">
        <v>1777.1999298005069</v>
      </c>
      <c r="E45">
        <v>1658.6961184438392</v>
      </c>
      <c r="F45">
        <v>1544.2437353547416</v>
      </c>
      <c r="G45">
        <v>1503.7294526789253</v>
      </c>
      <c r="H45">
        <v>1463.2151700031093</v>
      </c>
      <c r="I45">
        <v>1422.700887327293</v>
      </c>
      <c r="J45">
        <v>1382.186604651477</v>
      </c>
      <c r="K45">
        <v>1341.6723219756607</v>
      </c>
      <c r="L45">
        <v>1325.0977082026961</v>
      </c>
      <c r="M45">
        <v>1308.5230944297311</v>
      </c>
      <c r="N45">
        <v>1291.9484806567768</v>
      </c>
      <c r="O45">
        <v>1275.3738668838123</v>
      </c>
      <c r="P45">
        <v>1258.7992531108473</v>
      </c>
      <c r="Q45">
        <v>1242.2246393378828</v>
      </c>
      <c r="R45">
        <v>1225.6500255649178</v>
      </c>
      <c r="S45">
        <v>1209.075411791953</v>
      </c>
      <c r="T45">
        <v>1192.5007980189882</v>
      </c>
      <c r="U45">
        <v>1175.9261842460235</v>
      </c>
      <c r="V45">
        <v>1159.3515704730683</v>
      </c>
      <c r="W45">
        <v>1142.7769567001046</v>
      </c>
      <c r="X45">
        <v>1126.2023429271419</v>
      </c>
      <c r="Y45">
        <v>1109.627729154178</v>
      </c>
      <c r="Z45">
        <v>1093.0531153812144</v>
      </c>
      <c r="AA45">
        <v>1076.4785016082508</v>
      </c>
      <c r="AB45">
        <v>1059.9038878352869</v>
      </c>
      <c r="AC45">
        <v>1043.3292740623242</v>
      </c>
      <c r="AD45">
        <v>1026.7546602893606</v>
      </c>
      <c r="AE45">
        <v>1010.1800465163969</v>
      </c>
    </row>
    <row r="46" spans="1:31">
      <c r="A46" t="s">
        <v>155</v>
      </c>
      <c r="B46" t="s">
        <v>139</v>
      </c>
      <c r="C46">
        <v>1665.7865833821902</v>
      </c>
      <c r="D46">
        <v>1786.3135537720393</v>
      </c>
      <c r="E46">
        <v>1676.0948551167523</v>
      </c>
      <c r="F46">
        <v>1569.0990734589152</v>
      </c>
      <c r="G46">
        <v>1536.8699034844901</v>
      </c>
      <c r="H46">
        <v>1504.6407335100548</v>
      </c>
      <c r="I46">
        <v>1472.4115635356297</v>
      </c>
      <c r="J46">
        <v>1440.1823935612049</v>
      </c>
      <c r="K46">
        <v>1407.9532235867798</v>
      </c>
      <c r="L46">
        <v>1393.300972420019</v>
      </c>
      <c r="M46">
        <v>1378.6487212532579</v>
      </c>
      <c r="N46">
        <v>1363.9964700864864</v>
      </c>
      <c r="O46">
        <v>1349.3442189197256</v>
      </c>
      <c r="P46">
        <v>1334.6919677529645</v>
      </c>
      <c r="Q46">
        <v>1320.0397165862037</v>
      </c>
      <c r="R46">
        <v>1305.3874654194426</v>
      </c>
      <c r="S46">
        <v>1290.7352142526818</v>
      </c>
      <c r="T46">
        <v>1276.0829630859207</v>
      </c>
      <c r="U46">
        <v>1261.4307119191492</v>
      </c>
      <c r="V46">
        <v>1246.7784607523884</v>
      </c>
      <c r="W46">
        <v>1232.1262095856273</v>
      </c>
      <c r="X46">
        <v>1217.4739584188665</v>
      </c>
      <c r="Y46">
        <v>1202.8217072521054</v>
      </c>
      <c r="Z46">
        <v>1188.1694560853446</v>
      </c>
      <c r="AA46">
        <v>1173.5172049185733</v>
      </c>
      <c r="AB46">
        <v>1158.8649537518195</v>
      </c>
      <c r="AC46">
        <v>1144.2127025850566</v>
      </c>
      <c r="AD46">
        <v>1129.5604514182946</v>
      </c>
      <c r="AE46">
        <v>1114.9082002515315</v>
      </c>
    </row>
    <row r="47" spans="1:31">
      <c r="A47" t="s">
        <v>155</v>
      </c>
      <c r="B47" t="s">
        <v>140</v>
      </c>
      <c r="C47">
        <v>1665.7865833821902</v>
      </c>
      <c r="D47">
        <v>1809.6113559411617</v>
      </c>
      <c r="E47">
        <v>1720.5724774396324</v>
      </c>
      <c r="F47">
        <v>1632.6385339201561</v>
      </c>
      <c r="G47">
        <v>1621.5891840994777</v>
      </c>
      <c r="H47">
        <v>1610.5398342788103</v>
      </c>
      <c r="I47">
        <v>1599.490484458132</v>
      </c>
      <c r="J47">
        <v>1588.4411346374541</v>
      </c>
      <c r="K47">
        <v>1577.391784816776</v>
      </c>
      <c r="L47">
        <v>1566.343731428004</v>
      </c>
      <c r="M47">
        <v>1555.2956780392428</v>
      </c>
      <c r="N47">
        <v>1544.2476246504709</v>
      </c>
      <c r="O47">
        <v>1533.1995712617097</v>
      </c>
      <c r="P47">
        <v>1522.1515178729378</v>
      </c>
      <c r="Q47">
        <v>1511.1034644841766</v>
      </c>
      <c r="R47">
        <v>1500.0554110954047</v>
      </c>
      <c r="S47">
        <v>1489.0073577066435</v>
      </c>
      <c r="T47">
        <v>1477.9593043178716</v>
      </c>
      <c r="U47">
        <v>1466.9112509291103</v>
      </c>
      <c r="V47">
        <v>1455.8631975403382</v>
      </c>
      <c r="W47">
        <v>1444.815144151577</v>
      </c>
      <c r="X47">
        <v>1433.767090762816</v>
      </c>
      <c r="Y47">
        <v>1422.7190373740441</v>
      </c>
      <c r="Z47">
        <v>1411.6709839852829</v>
      </c>
      <c r="AA47">
        <v>1400.6229305965107</v>
      </c>
      <c r="AB47">
        <v>1389.5748772077495</v>
      </c>
      <c r="AC47">
        <v>1378.5268238189778</v>
      </c>
      <c r="AD47">
        <v>1367.4787704302166</v>
      </c>
      <c r="AE47">
        <v>1356.4307170414445</v>
      </c>
    </row>
    <row r="48" spans="1:31">
      <c r="A48" t="s">
        <v>156</v>
      </c>
      <c r="B48" t="s">
        <v>138</v>
      </c>
      <c r="C48">
        <v>1665.7865833821902</v>
      </c>
      <c r="D48">
        <v>1777.1999298005069</v>
      </c>
      <c r="E48">
        <v>1658.6961184438392</v>
      </c>
      <c r="F48">
        <v>1544.2437353547416</v>
      </c>
      <c r="G48">
        <v>1503.7294526789253</v>
      </c>
      <c r="H48">
        <v>1463.2151700031093</v>
      </c>
      <c r="I48">
        <v>1422.700887327293</v>
      </c>
      <c r="J48">
        <v>1382.186604651477</v>
      </c>
      <c r="K48">
        <v>1341.6723219756607</v>
      </c>
      <c r="L48">
        <v>1325.0977082026961</v>
      </c>
      <c r="M48">
        <v>1308.5230944297311</v>
      </c>
      <c r="N48">
        <v>1291.9484806567768</v>
      </c>
      <c r="O48">
        <v>1275.3738668838123</v>
      </c>
      <c r="P48">
        <v>1258.7992531108473</v>
      </c>
      <c r="Q48">
        <v>1242.2246393378828</v>
      </c>
      <c r="R48">
        <v>1225.6500255649178</v>
      </c>
      <c r="S48">
        <v>1209.075411791953</v>
      </c>
      <c r="T48">
        <v>1192.5007980189882</v>
      </c>
      <c r="U48">
        <v>1175.9261842460235</v>
      </c>
      <c r="V48">
        <v>1159.3515704730683</v>
      </c>
      <c r="W48">
        <v>1142.7769567001046</v>
      </c>
      <c r="X48">
        <v>1126.2023429271419</v>
      </c>
      <c r="Y48">
        <v>1109.627729154178</v>
      </c>
      <c r="Z48">
        <v>1093.0531153812144</v>
      </c>
      <c r="AA48">
        <v>1076.4785016082508</v>
      </c>
      <c r="AB48">
        <v>1059.9038878352869</v>
      </c>
      <c r="AC48">
        <v>1043.3292740623242</v>
      </c>
      <c r="AD48">
        <v>1026.7546602893606</v>
      </c>
      <c r="AE48">
        <v>1010.1800465163969</v>
      </c>
    </row>
    <row r="49" spans="1:31">
      <c r="A49" t="s">
        <v>156</v>
      </c>
      <c r="B49" t="s">
        <v>139</v>
      </c>
      <c r="C49">
        <v>1665.7865833821902</v>
      </c>
      <c r="D49">
        <v>1786.3135537720393</v>
      </c>
      <c r="E49">
        <v>1676.0948551167523</v>
      </c>
      <c r="F49">
        <v>1569.0990734589152</v>
      </c>
      <c r="G49">
        <v>1536.8699034844901</v>
      </c>
      <c r="H49">
        <v>1504.6407335100548</v>
      </c>
      <c r="I49">
        <v>1472.4115635356297</v>
      </c>
      <c r="J49">
        <v>1440.1823935612049</v>
      </c>
      <c r="K49">
        <v>1407.9532235867798</v>
      </c>
      <c r="L49">
        <v>1393.300972420019</v>
      </c>
      <c r="M49">
        <v>1378.6487212532579</v>
      </c>
      <c r="N49">
        <v>1363.9964700864864</v>
      </c>
      <c r="O49">
        <v>1349.3442189197256</v>
      </c>
      <c r="P49">
        <v>1334.6919677529645</v>
      </c>
      <c r="Q49">
        <v>1320.0397165862037</v>
      </c>
      <c r="R49">
        <v>1305.3874654194426</v>
      </c>
      <c r="S49">
        <v>1290.7352142526818</v>
      </c>
      <c r="T49">
        <v>1276.0829630859207</v>
      </c>
      <c r="U49">
        <v>1261.4307119191492</v>
      </c>
      <c r="V49">
        <v>1246.7784607523884</v>
      </c>
      <c r="W49">
        <v>1232.1262095856273</v>
      </c>
      <c r="X49">
        <v>1217.4739584188665</v>
      </c>
      <c r="Y49">
        <v>1202.8217072521054</v>
      </c>
      <c r="Z49">
        <v>1188.1694560853446</v>
      </c>
      <c r="AA49">
        <v>1173.5172049185733</v>
      </c>
      <c r="AB49">
        <v>1158.8649537518195</v>
      </c>
      <c r="AC49">
        <v>1144.2127025850566</v>
      </c>
      <c r="AD49">
        <v>1129.5604514182946</v>
      </c>
      <c r="AE49">
        <v>1114.9082002515315</v>
      </c>
    </row>
    <row r="50" spans="1:31">
      <c r="A50" t="s">
        <v>156</v>
      </c>
      <c r="B50" t="s">
        <v>140</v>
      </c>
      <c r="C50">
        <v>1665.7865833821902</v>
      </c>
      <c r="D50">
        <v>1809.6113559411617</v>
      </c>
      <c r="E50">
        <v>1720.5724774396324</v>
      </c>
      <c r="F50">
        <v>1632.6385339201561</v>
      </c>
      <c r="G50">
        <v>1621.5891840994777</v>
      </c>
      <c r="H50">
        <v>1610.5398342788103</v>
      </c>
      <c r="I50">
        <v>1599.490484458132</v>
      </c>
      <c r="J50">
        <v>1588.4411346374541</v>
      </c>
      <c r="K50">
        <v>1577.391784816776</v>
      </c>
      <c r="L50">
        <v>1566.343731428004</v>
      </c>
      <c r="M50">
        <v>1555.2956780392428</v>
      </c>
      <c r="N50">
        <v>1544.2476246504709</v>
      </c>
      <c r="O50">
        <v>1533.1995712617097</v>
      </c>
      <c r="P50">
        <v>1522.1515178729378</v>
      </c>
      <c r="Q50">
        <v>1511.1034644841766</v>
      </c>
      <c r="R50">
        <v>1500.0554110954047</v>
      </c>
      <c r="S50">
        <v>1489.0073577066435</v>
      </c>
      <c r="T50">
        <v>1477.9593043178716</v>
      </c>
      <c r="U50">
        <v>1466.9112509291103</v>
      </c>
      <c r="V50">
        <v>1455.8631975403382</v>
      </c>
      <c r="W50">
        <v>1444.815144151577</v>
      </c>
      <c r="X50">
        <v>1433.767090762816</v>
      </c>
      <c r="Y50">
        <v>1422.7190373740441</v>
      </c>
      <c r="Z50">
        <v>1411.6709839852829</v>
      </c>
      <c r="AA50">
        <v>1400.6229305965107</v>
      </c>
      <c r="AB50">
        <v>1389.5748772077495</v>
      </c>
      <c r="AC50">
        <v>1378.5268238189778</v>
      </c>
      <c r="AD50">
        <v>1367.4787704302166</v>
      </c>
      <c r="AE50">
        <v>1356.4307170414445</v>
      </c>
    </row>
    <row r="51" spans="1:31">
      <c r="A51" t="s">
        <v>157</v>
      </c>
      <c r="B51" t="s">
        <v>138</v>
      </c>
      <c r="C51">
        <v>1665.7865833821902</v>
      </c>
      <c r="D51">
        <v>1777.1999298005069</v>
      </c>
      <c r="E51">
        <v>1658.6961184438392</v>
      </c>
      <c r="F51">
        <v>1544.2437353547416</v>
      </c>
      <c r="G51">
        <v>1503.7294526789253</v>
      </c>
      <c r="H51">
        <v>1463.2151700031093</v>
      </c>
      <c r="I51">
        <v>1422.700887327293</v>
      </c>
      <c r="J51">
        <v>1382.186604651477</v>
      </c>
      <c r="K51">
        <v>1341.6723219756607</v>
      </c>
      <c r="L51">
        <v>1325.0977082026961</v>
      </c>
      <c r="M51">
        <v>1308.5230944297311</v>
      </c>
      <c r="N51">
        <v>1291.9484806567768</v>
      </c>
      <c r="O51">
        <v>1275.3738668838123</v>
      </c>
      <c r="P51">
        <v>1258.7992531108473</v>
      </c>
      <c r="Q51">
        <v>1242.2246393378828</v>
      </c>
      <c r="R51">
        <v>1225.6500255649178</v>
      </c>
      <c r="S51">
        <v>1209.075411791953</v>
      </c>
      <c r="T51">
        <v>1192.5007980189882</v>
      </c>
      <c r="U51">
        <v>1175.9261842460235</v>
      </c>
      <c r="V51">
        <v>1159.3515704730683</v>
      </c>
      <c r="W51">
        <v>1142.7769567001046</v>
      </c>
      <c r="X51">
        <v>1126.2023429271419</v>
      </c>
      <c r="Y51">
        <v>1109.627729154178</v>
      </c>
      <c r="Z51">
        <v>1093.0531153812144</v>
      </c>
      <c r="AA51">
        <v>1076.4785016082508</v>
      </c>
      <c r="AB51">
        <v>1059.9038878352869</v>
      </c>
      <c r="AC51">
        <v>1043.3292740623242</v>
      </c>
      <c r="AD51">
        <v>1026.7546602893606</v>
      </c>
      <c r="AE51">
        <v>1010.1800465163969</v>
      </c>
    </row>
    <row r="52" spans="1:31">
      <c r="A52" t="s">
        <v>157</v>
      </c>
      <c r="B52" t="s">
        <v>139</v>
      </c>
      <c r="C52">
        <v>1665.7865833821902</v>
      </c>
      <c r="D52">
        <v>1786.3135537720393</v>
      </c>
      <c r="E52">
        <v>1676.0948551167523</v>
      </c>
      <c r="F52">
        <v>1569.0990734589152</v>
      </c>
      <c r="G52">
        <v>1536.8699034844901</v>
      </c>
      <c r="H52">
        <v>1504.6407335100548</v>
      </c>
      <c r="I52">
        <v>1472.4115635356297</v>
      </c>
      <c r="J52">
        <v>1440.1823935612049</v>
      </c>
      <c r="K52">
        <v>1407.9532235867798</v>
      </c>
      <c r="L52">
        <v>1393.300972420019</v>
      </c>
      <c r="M52">
        <v>1378.6487212532579</v>
      </c>
      <c r="N52">
        <v>1363.9964700864864</v>
      </c>
      <c r="O52">
        <v>1349.3442189197256</v>
      </c>
      <c r="P52">
        <v>1334.6919677529645</v>
      </c>
      <c r="Q52">
        <v>1320.0397165862037</v>
      </c>
      <c r="R52">
        <v>1305.3874654194426</v>
      </c>
      <c r="S52">
        <v>1290.7352142526818</v>
      </c>
      <c r="T52">
        <v>1276.0829630859207</v>
      </c>
      <c r="U52">
        <v>1261.4307119191492</v>
      </c>
      <c r="V52">
        <v>1246.7784607523884</v>
      </c>
      <c r="W52">
        <v>1232.1262095856273</v>
      </c>
      <c r="X52">
        <v>1217.4739584188665</v>
      </c>
      <c r="Y52">
        <v>1202.8217072521054</v>
      </c>
      <c r="Z52">
        <v>1188.1694560853446</v>
      </c>
      <c r="AA52">
        <v>1173.5172049185733</v>
      </c>
      <c r="AB52">
        <v>1158.8649537518195</v>
      </c>
      <c r="AC52">
        <v>1144.2127025850566</v>
      </c>
      <c r="AD52">
        <v>1129.5604514182946</v>
      </c>
      <c r="AE52">
        <v>1114.9082002515315</v>
      </c>
    </row>
    <row r="53" spans="1:31">
      <c r="A53" t="s">
        <v>157</v>
      </c>
      <c r="B53" t="s">
        <v>140</v>
      </c>
      <c r="C53">
        <v>1665.7865833821902</v>
      </c>
      <c r="D53">
        <v>1809.6113559411617</v>
      </c>
      <c r="E53">
        <v>1720.5724774396324</v>
      </c>
      <c r="F53">
        <v>1632.6385339201561</v>
      </c>
      <c r="G53">
        <v>1621.5891840994777</v>
      </c>
      <c r="H53">
        <v>1610.5398342788103</v>
      </c>
      <c r="I53">
        <v>1599.490484458132</v>
      </c>
      <c r="J53">
        <v>1588.4411346374541</v>
      </c>
      <c r="K53">
        <v>1577.391784816776</v>
      </c>
      <c r="L53">
        <v>1566.343731428004</v>
      </c>
      <c r="M53">
        <v>1555.2956780392428</v>
      </c>
      <c r="N53">
        <v>1544.2476246504709</v>
      </c>
      <c r="O53">
        <v>1533.1995712617097</v>
      </c>
      <c r="P53">
        <v>1522.1515178729378</v>
      </c>
      <c r="Q53">
        <v>1511.1034644841766</v>
      </c>
      <c r="R53">
        <v>1500.0554110954047</v>
      </c>
      <c r="S53">
        <v>1489.0073577066435</v>
      </c>
      <c r="T53">
        <v>1477.9593043178716</v>
      </c>
      <c r="U53">
        <v>1466.9112509291103</v>
      </c>
      <c r="V53">
        <v>1455.8631975403382</v>
      </c>
      <c r="W53">
        <v>1444.815144151577</v>
      </c>
      <c r="X53">
        <v>1433.767090762816</v>
      </c>
      <c r="Y53">
        <v>1422.7190373740441</v>
      </c>
      <c r="Z53">
        <v>1411.6709839852829</v>
      </c>
      <c r="AA53">
        <v>1400.6229305965107</v>
      </c>
      <c r="AB53">
        <v>1389.5748772077495</v>
      </c>
      <c r="AC53">
        <v>1378.5268238189778</v>
      </c>
      <c r="AD53">
        <v>1367.4787704302166</v>
      </c>
      <c r="AE53">
        <v>1356.4307170414445</v>
      </c>
    </row>
    <row r="54" spans="1:31">
      <c r="A54" t="s">
        <v>158</v>
      </c>
      <c r="B54" t="s">
        <v>138</v>
      </c>
      <c r="C54">
        <v>1665.7865833821902</v>
      </c>
      <c r="D54">
        <v>1777.1999298005069</v>
      </c>
      <c r="E54">
        <v>1658.6961184438392</v>
      </c>
      <c r="F54">
        <v>1544.2437353547416</v>
      </c>
      <c r="G54">
        <v>1503.7294526789253</v>
      </c>
      <c r="H54">
        <v>1463.2151700031093</v>
      </c>
      <c r="I54">
        <v>1422.700887327293</v>
      </c>
      <c r="J54">
        <v>1382.186604651477</v>
      </c>
      <c r="K54">
        <v>1341.6723219756607</v>
      </c>
      <c r="L54">
        <v>1325.0977082026961</v>
      </c>
      <c r="M54">
        <v>1308.5230944297311</v>
      </c>
      <c r="N54">
        <v>1291.9484806567768</v>
      </c>
      <c r="O54">
        <v>1275.3738668838123</v>
      </c>
      <c r="P54">
        <v>1258.7992531108473</v>
      </c>
      <c r="Q54">
        <v>1242.2246393378828</v>
      </c>
      <c r="R54">
        <v>1225.6500255649178</v>
      </c>
      <c r="S54">
        <v>1209.075411791953</v>
      </c>
      <c r="T54">
        <v>1192.5007980189882</v>
      </c>
      <c r="U54">
        <v>1175.9261842460235</v>
      </c>
      <c r="V54">
        <v>1159.3515704730683</v>
      </c>
      <c r="W54">
        <v>1142.7769567001046</v>
      </c>
      <c r="X54">
        <v>1126.2023429271419</v>
      </c>
      <c r="Y54">
        <v>1109.627729154178</v>
      </c>
      <c r="Z54">
        <v>1093.0531153812144</v>
      </c>
      <c r="AA54">
        <v>1076.4785016082508</v>
      </c>
      <c r="AB54">
        <v>1059.9038878352869</v>
      </c>
      <c r="AC54">
        <v>1043.3292740623242</v>
      </c>
      <c r="AD54">
        <v>1026.7546602893606</v>
      </c>
      <c r="AE54">
        <v>1010.1800465163969</v>
      </c>
    </row>
    <row r="55" spans="1:31">
      <c r="A55" t="s">
        <v>158</v>
      </c>
      <c r="B55" t="s">
        <v>139</v>
      </c>
      <c r="C55">
        <v>1665.7865833821902</v>
      </c>
      <c r="D55">
        <v>1786.3135537720393</v>
      </c>
      <c r="E55">
        <v>1676.0948551167523</v>
      </c>
      <c r="F55">
        <v>1569.0990734589152</v>
      </c>
      <c r="G55">
        <v>1536.8699034844901</v>
      </c>
      <c r="H55">
        <v>1504.6407335100548</v>
      </c>
      <c r="I55">
        <v>1472.4115635356297</v>
      </c>
      <c r="J55">
        <v>1440.1823935612049</v>
      </c>
      <c r="K55">
        <v>1407.9532235867798</v>
      </c>
      <c r="L55">
        <v>1393.300972420019</v>
      </c>
      <c r="M55">
        <v>1378.6487212532579</v>
      </c>
      <c r="N55">
        <v>1363.9964700864864</v>
      </c>
      <c r="O55">
        <v>1349.3442189197256</v>
      </c>
      <c r="P55">
        <v>1334.6919677529645</v>
      </c>
      <c r="Q55">
        <v>1320.0397165862037</v>
      </c>
      <c r="R55">
        <v>1305.3874654194426</v>
      </c>
      <c r="S55">
        <v>1290.7352142526818</v>
      </c>
      <c r="T55">
        <v>1276.0829630859207</v>
      </c>
      <c r="U55">
        <v>1261.4307119191492</v>
      </c>
      <c r="V55">
        <v>1246.7784607523884</v>
      </c>
      <c r="W55">
        <v>1232.1262095856273</v>
      </c>
      <c r="X55">
        <v>1217.4739584188665</v>
      </c>
      <c r="Y55">
        <v>1202.8217072521054</v>
      </c>
      <c r="Z55">
        <v>1188.1694560853446</v>
      </c>
      <c r="AA55">
        <v>1173.5172049185733</v>
      </c>
      <c r="AB55">
        <v>1158.8649537518195</v>
      </c>
      <c r="AC55">
        <v>1144.2127025850566</v>
      </c>
      <c r="AD55">
        <v>1129.5604514182946</v>
      </c>
      <c r="AE55">
        <v>1114.9082002515315</v>
      </c>
    </row>
    <row r="56" spans="1:31">
      <c r="A56" t="s">
        <v>158</v>
      </c>
      <c r="B56" t="s">
        <v>140</v>
      </c>
      <c r="C56">
        <v>1665.7865833821902</v>
      </c>
      <c r="D56">
        <v>1809.6113559411617</v>
      </c>
      <c r="E56">
        <v>1720.5724774396324</v>
      </c>
      <c r="F56">
        <v>1632.6385339201561</v>
      </c>
      <c r="G56">
        <v>1621.5891840994777</v>
      </c>
      <c r="H56">
        <v>1610.5398342788103</v>
      </c>
      <c r="I56">
        <v>1599.490484458132</v>
      </c>
      <c r="J56">
        <v>1588.4411346374541</v>
      </c>
      <c r="K56">
        <v>1577.391784816776</v>
      </c>
      <c r="L56">
        <v>1566.343731428004</v>
      </c>
      <c r="M56">
        <v>1555.2956780392428</v>
      </c>
      <c r="N56">
        <v>1544.2476246504709</v>
      </c>
      <c r="O56">
        <v>1533.1995712617097</v>
      </c>
      <c r="P56">
        <v>1522.1515178729378</v>
      </c>
      <c r="Q56">
        <v>1511.1034644841766</v>
      </c>
      <c r="R56">
        <v>1500.0554110954047</v>
      </c>
      <c r="S56">
        <v>1489.0073577066435</v>
      </c>
      <c r="T56">
        <v>1477.9593043178716</v>
      </c>
      <c r="U56">
        <v>1466.9112509291103</v>
      </c>
      <c r="V56">
        <v>1455.8631975403382</v>
      </c>
      <c r="W56">
        <v>1444.815144151577</v>
      </c>
      <c r="X56">
        <v>1433.767090762816</v>
      </c>
      <c r="Y56">
        <v>1422.7190373740441</v>
      </c>
      <c r="Z56">
        <v>1411.6709839852829</v>
      </c>
      <c r="AA56">
        <v>1400.6229305965107</v>
      </c>
      <c r="AB56">
        <v>1389.5748772077495</v>
      </c>
      <c r="AC56">
        <v>1378.5268238189778</v>
      </c>
      <c r="AD56">
        <v>1367.4787704302166</v>
      </c>
      <c r="AE56">
        <v>1356.4307170414445</v>
      </c>
    </row>
    <row r="57" spans="1:31">
      <c r="A57" t="s">
        <v>159</v>
      </c>
      <c r="B57" t="s">
        <v>138</v>
      </c>
      <c r="C57">
        <v>1665.7865833821902</v>
      </c>
      <c r="D57">
        <v>1777.1999298005069</v>
      </c>
      <c r="E57">
        <v>1658.6961184438392</v>
      </c>
      <c r="F57">
        <v>1544.2437353547416</v>
      </c>
      <c r="G57">
        <v>1503.7294526789253</v>
      </c>
      <c r="H57">
        <v>1463.2151700031093</v>
      </c>
      <c r="I57">
        <v>1422.700887327293</v>
      </c>
      <c r="J57">
        <v>1382.186604651477</v>
      </c>
      <c r="K57">
        <v>1341.6723219756607</v>
      </c>
      <c r="L57">
        <v>1325.0977082026961</v>
      </c>
      <c r="M57">
        <v>1308.5230944297311</v>
      </c>
      <c r="N57">
        <v>1291.9484806567768</v>
      </c>
      <c r="O57">
        <v>1275.3738668838123</v>
      </c>
      <c r="P57">
        <v>1258.7992531108473</v>
      </c>
      <c r="Q57">
        <v>1242.2246393378828</v>
      </c>
      <c r="R57">
        <v>1225.6500255649178</v>
      </c>
      <c r="S57">
        <v>1209.075411791953</v>
      </c>
      <c r="T57">
        <v>1192.5007980189882</v>
      </c>
      <c r="U57">
        <v>1175.9261842460235</v>
      </c>
      <c r="V57">
        <v>1159.3515704730683</v>
      </c>
      <c r="W57">
        <v>1142.7769567001046</v>
      </c>
      <c r="X57">
        <v>1126.2023429271419</v>
      </c>
      <c r="Y57">
        <v>1109.627729154178</v>
      </c>
      <c r="Z57">
        <v>1093.0531153812144</v>
      </c>
      <c r="AA57">
        <v>1076.4785016082508</v>
      </c>
      <c r="AB57">
        <v>1059.9038878352869</v>
      </c>
      <c r="AC57">
        <v>1043.3292740623242</v>
      </c>
      <c r="AD57">
        <v>1026.7546602893606</v>
      </c>
      <c r="AE57">
        <v>1010.1800465163969</v>
      </c>
    </row>
    <row r="58" spans="1:31">
      <c r="A58" t="s">
        <v>159</v>
      </c>
      <c r="B58" t="s">
        <v>139</v>
      </c>
      <c r="C58">
        <v>1665.7865833821902</v>
      </c>
      <c r="D58">
        <v>1795.2370526972948</v>
      </c>
      <c r="E58">
        <v>1693.1306257922363</v>
      </c>
      <c r="F58">
        <v>1593.4358887096005</v>
      </c>
      <c r="G58">
        <v>1569.3189904854144</v>
      </c>
      <c r="H58">
        <v>1545.202092261218</v>
      </c>
      <c r="I58">
        <v>1521.0851940370212</v>
      </c>
      <c r="J58">
        <v>1496.9682958128246</v>
      </c>
      <c r="K58">
        <v>1472.8513975886283</v>
      </c>
      <c r="L58">
        <v>1454.9542377217801</v>
      </c>
      <c r="M58">
        <v>1437.0570778549215</v>
      </c>
      <c r="N58">
        <v>1419.1599179880627</v>
      </c>
      <c r="O58">
        <v>1401.2627581212146</v>
      </c>
      <c r="P58">
        <v>1383.3655982543562</v>
      </c>
      <c r="Q58">
        <v>1365.4684383874974</v>
      </c>
      <c r="R58">
        <v>1347.5712785206495</v>
      </c>
      <c r="S58">
        <v>1329.6741186537909</v>
      </c>
      <c r="T58">
        <v>1311.7769587869323</v>
      </c>
      <c r="U58">
        <v>1293.8797989200841</v>
      </c>
      <c r="V58">
        <v>1275.9826390532253</v>
      </c>
      <c r="W58">
        <v>1258.0854791863669</v>
      </c>
      <c r="X58">
        <v>1240.1883193195081</v>
      </c>
      <c r="Y58">
        <v>1222.2911594526602</v>
      </c>
      <c r="Z58">
        <v>1204.3939995858013</v>
      </c>
      <c r="AA58">
        <v>1186.4968397189427</v>
      </c>
      <c r="AB58">
        <v>1168.5996798520948</v>
      </c>
      <c r="AC58">
        <v>1150.7025199852426</v>
      </c>
      <c r="AD58">
        <v>1132.8053601183869</v>
      </c>
      <c r="AE58">
        <v>1114.9082002515315</v>
      </c>
    </row>
    <row r="59" spans="1:31">
      <c r="A59" t="s">
        <v>159</v>
      </c>
      <c r="B59" t="s">
        <v>140</v>
      </c>
      <c r="C59">
        <v>1665.7865833821902</v>
      </c>
      <c r="D59">
        <v>1809.6113559411617</v>
      </c>
      <c r="E59">
        <v>1720.5724774396324</v>
      </c>
      <c r="F59">
        <v>1632.6385339201561</v>
      </c>
      <c r="G59">
        <v>1621.5891840994777</v>
      </c>
      <c r="H59">
        <v>1610.5398342788103</v>
      </c>
      <c r="I59">
        <v>1599.490484458132</v>
      </c>
      <c r="J59">
        <v>1588.4411346374541</v>
      </c>
      <c r="K59">
        <v>1577.391784816776</v>
      </c>
      <c r="L59">
        <v>1566.343731428004</v>
      </c>
      <c r="M59">
        <v>1555.2956780392428</v>
      </c>
      <c r="N59">
        <v>1544.2476246504709</v>
      </c>
      <c r="O59">
        <v>1533.1995712617097</v>
      </c>
      <c r="P59">
        <v>1522.1515178729378</v>
      </c>
      <c r="Q59">
        <v>1511.1034644841766</v>
      </c>
      <c r="R59">
        <v>1500.0554110954047</v>
      </c>
      <c r="S59">
        <v>1489.0073577066435</v>
      </c>
      <c r="T59">
        <v>1477.9593043178716</v>
      </c>
      <c r="U59">
        <v>1466.9112509291103</v>
      </c>
      <c r="V59">
        <v>1455.8631975403382</v>
      </c>
      <c r="W59">
        <v>1444.815144151577</v>
      </c>
      <c r="X59">
        <v>1433.767090762816</v>
      </c>
      <c r="Y59">
        <v>1422.7190373740441</v>
      </c>
      <c r="Z59">
        <v>1411.6709839852829</v>
      </c>
      <c r="AA59">
        <v>1400.6229305965107</v>
      </c>
      <c r="AB59">
        <v>1389.5748772077495</v>
      </c>
      <c r="AC59">
        <v>1378.5268238189778</v>
      </c>
      <c r="AD59">
        <v>1367.4787704302166</v>
      </c>
      <c r="AE59">
        <v>1356.4307170414445</v>
      </c>
    </row>
    <row r="60" spans="1:31">
      <c r="A60" t="s">
        <v>160</v>
      </c>
      <c r="B60" t="s">
        <v>138</v>
      </c>
      <c r="C60">
        <v>1803.2096453683753</v>
      </c>
      <c r="D60">
        <v>1915.6221545194821</v>
      </c>
      <c r="E60">
        <v>1778.6625141854718</v>
      </c>
      <c r="F60">
        <v>1646.9127697068484</v>
      </c>
      <c r="G60">
        <v>1594.8138111530022</v>
      </c>
      <c r="H60">
        <v>1542.714852599167</v>
      </c>
      <c r="I60">
        <v>1490.6158940453211</v>
      </c>
      <c r="J60">
        <v>1438.5169354914858</v>
      </c>
      <c r="K60">
        <v>1386.4179769376399</v>
      </c>
      <c r="L60">
        <v>1369.0715586201209</v>
      </c>
      <c r="M60">
        <v>1351.7251403025914</v>
      </c>
      <c r="N60">
        <v>1334.3787219850722</v>
      </c>
      <c r="O60">
        <v>1317.0323036675427</v>
      </c>
      <c r="P60">
        <v>1299.6858853500237</v>
      </c>
      <c r="Q60">
        <v>1282.339467032494</v>
      </c>
      <c r="R60">
        <v>1264.993048714975</v>
      </c>
      <c r="S60">
        <v>1247.6466303974453</v>
      </c>
      <c r="T60">
        <v>1230.3002120799263</v>
      </c>
      <c r="U60">
        <v>1212.9537937623966</v>
      </c>
      <c r="V60">
        <v>1195.6073754448776</v>
      </c>
      <c r="W60">
        <v>1178.2609571273479</v>
      </c>
      <c r="X60">
        <v>1160.9145388098298</v>
      </c>
      <c r="Y60">
        <v>1143.5681204923055</v>
      </c>
      <c r="Z60">
        <v>1126.2217021747811</v>
      </c>
      <c r="AA60">
        <v>1108.8752838572568</v>
      </c>
      <c r="AB60">
        <v>1091.5288655397324</v>
      </c>
      <c r="AC60">
        <v>1074.1824472222081</v>
      </c>
      <c r="AD60">
        <v>1056.8360289046836</v>
      </c>
      <c r="AE60">
        <v>1039.4896105871594</v>
      </c>
    </row>
    <row r="61" spans="1:31">
      <c r="A61" t="s">
        <v>160</v>
      </c>
      <c r="B61" t="s">
        <v>139</v>
      </c>
      <c r="C61">
        <v>1803.2096453683753</v>
      </c>
      <c r="D61">
        <v>1936.2929641853975</v>
      </c>
      <c r="E61">
        <v>1818.1249690022184</v>
      </c>
      <c r="F61">
        <v>1703.2877051593421</v>
      </c>
      <c r="G61">
        <v>1669.9803917563379</v>
      </c>
      <c r="H61">
        <v>1636.6730783533233</v>
      </c>
      <c r="I61">
        <v>1603.3657649503193</v>
      </c>
      <c r="J61">
        <v>1570.0584515473047</v>
      </c>
      <c r="K61">
        <v>1536.7511381443007</v>
      </c>
      <c r="L61">
        <v>1520.8763793782166</v>
      </c>
      <c r="M61">
        <v>1505.0016206121327</v>
      </c>
      <c r="N61">
        <v>1489.1268618460485</v>
      </c>
      <c r="O61">
        <v>1473.2521030799751</v>
      </c>
      <c r="P61">
        <v>1457.3773443138912</v>
      </c>
      <c r="Q61">
        <v>1441.502585547807</v>
      </c>
      <c r="R61">
        <v>1425.6278267817229</v>
      </c>
      <c r="S61">
        <v>1409.7530680156387</v>
      </c>
      <c r="T61">
        <v>1393.8783092495548</v>
      </c>
      <c r="U61">
        <v>1378.0035504834707</v>
      </c>
      <c r="V61">
        <v>1362.1287917173865</v>
      </c>
      <c r="W61">
        <v>1346.2540329513026</v>
      </c>
      <c r="X61">
        <v>1330.379274185229</v>
      </c>
      <c r="Y61">
        <v>1314.504515419145</v>
      </c>
      <c r="Z61">
        <v>1298.6297566530609</v>
      </c>
      <c r="AA61">
        <v>1282.7549978869768</v>
      </c>
      <c r="AB61">
        <v>1266.8802391208928</v>
      </c>
      <c r="AC61">
        <v>1251.0054803548087</v>
      </c>
      <c r="AD61">
        <v>1235.1307215887248</v>
      </c>
      <c r="AE61">
        <v>1219.2559628226406</v>
      </c>
    </row>
    <row r="62" spans="1:31">
      <c r="A62" t="s">
        <v>160</v>
      </c>
      <c r="B62" t="s">
        <v>140</v>
      </c>
      <c r="C62">
        <v>1803.2096453683753</v>
      </c>
      <c r="D62">
        <v>1957.5017019723796</v>
      </c>
      <c r="E62">
        <v>1858.6143775046339</v>
      </c>
      <c r="F62">
        <v>1761.1297173056528</v>
      </c>
      <c r="G62">
        <v>1747.103074618082</v>
      </c>
      <c r="H62">
        <v>1733.0764319305115</v>
      </c>
      <c r="I62">
        <v>1719.0497892429303</v>
      </c>
      <c r="J62">
        <v>1705.0231465553595</v>
      </c>
      <c r="K62">
        <v>1690.996503867789</v>
      </c>
      <c r="L62">
        <v>1679.2797002140207</v>
      </c>
      <c r="M62">
        <v>1667.5628965602525</v>
      </c>
      <c r="N62">
        <v>1655.846092906484</v>
      </c>
      <c r="O62">
        <v>1644.129289252716</v>
      </c>
      <c r="P62">
        <v>1632.4124855989478</v>
      </c>
      <c r="Q62">
        <v>1620.6956819451691</v>
      </c>
      <c r="R62">
        <v>1608.9788782914006</v>
      </c>
      <c r="S62">
        <v>1597.2620746376324</v>
      </c>
      <c r="T62">
        <v>1585.5452709838642</v>
      </c>
      <c r="U62">
        <v>1573.8284673300957</v>
      </c>
      <c r="V62">
        <v>1562.1116636763277</v>
      </c>
      <c r="W62">
        <v>1550.3948600225594</v>
      </c>
      <c r="X62">
        <v>1538.678056368791</v>
      </c>
      <c r="Y62">
        <v>1526.9612527150227</v>
      </c>
      <c r="Z62">
        <v>1515.2444490612547</v>
      </c>
      <c r="AA62">
        <v>1503.5276454074865</v>
      </c>
      <c r="AB62">
        <v>1491.8108417537073</v>
      </c>
      <c r="AC62">
        <v>1480.0940380999393</v>
      </c>
      <c r="AD62">
        <v>1468.3772344461711</v>
      </c>
      <c r="AE62">
        <v>1456.6604307924026</v>
      </c>
    </row>
    <row r="63" spans="1:31">
      <c r="A63" t="s">
        <v>161</v>
      </c>
      <c r="B63" t="s">
        <v>138</v>
      </c>
      <c r="C63">
        <v>1735.2745158554371</v>
      </c>
      <c r="D63">
        <v>1866.462985356269</v>
      </c>
      <c r="E63">
        <v>1756.1450772260914</v>
      </c>
      <c r="F63">
        <v>1648.7125673784928</v>
      </c>
      <c r="G63">
        <v>1619.8585845528416</v>
      </c>
      <c r="H63">
        <v>1591.00460172719</v>
      </c>
      <c r="I63">
        <v>1562.150618901549</v>
      </c>
      <c r="J63">
        <v>1533.2966360758974</v>
      </c>
      <c r="K63">
        <v>1504.4426532502457</v>
      </c>
      <c r="L63">
        <v>1485.9265180317248</v>
      </c>
      <c r="M63">
        <v>1467.410382813204</v>
      </c>
      <c r="N63">
        <v>1448.8942475946831</v>
      </c>
      <c r="O63">
        <v>1430.3781123761621</v>
      </c>
      <c r="P63">
        <v>1411.8619771576411</v>
      </c>
      <c r="Q63">
        <v>1393.3458419391202</v>
      </c>
      <c r="R63">
        <v>1374.829706720599</v>
      </c>
      <c r="S63">
        <v>1356.313571502078</v>
      </c>
      <c r="T63">
        <v>1337.7974362835571</v>
      </c>
      <c r="U63">
        <v>1319.2813010650361</v>
      </c>
      <c r="V63">
        <v>1300.7651658465152</v>
      </c>
      <c r="W63">
        <v>1282.2490306279942</v>
      </c>
      <c r="X63">
        <v>1263.7328954094733</v>
      </c>
      <c r="Y63">
        <v>1245.2167601909521</v>
      </c>
      <c r="Z63">
        <v>1226.7006249724311</v>
      </c>
      <c r="AA63">
        <v>1208.1844897539102</v>
      </c>
      <c r="AB63">
        <v>1189.6683545353892</v>
      </c>
      <c r="AC63">
        <v>1171.1522193168682</v>
      </c>
      <c r="AD63">
        <v>1152.6360840983482</v>
      </c>
      <c r="AE63">
        <v>1134.1199488798261</v>
      </c>
    </row>
    <row r="64" spans="1:31">
      <c r="A64" t="s">
        <v>161</v>
      </c>
      <c r="B64" t="s">
        <v>139</v>
      </c>
      <c r="C64">
        <v>1735.2745158554371</v>
      </c>
      <c r="D64">
        <v>1870.7681174303507</v>
      </c>
      <c r="E64">
        <v>1764.3639657311635</v>
      </c>
      <c r="F64">
        <v>1660.4538366714423</v>
      </c>
      <c r="G64">
        <v>1635.513610276781</v>
      </c>
      <c r="H64">
        <v>1610.5733838821091</v>
      </c>
      <c r="I64">
        <v>1585.6331574874478</v>
      </c>
      <c r="J64">
        <v>1560.6929310927865</v>
      </c>
      <c r="K64">
        <v>1535.7527046981143</v>
      </c>
      <c r="L64">
        <v>1519.9645301178127</v>
      </c>
      <c r="M64">
        <v>1504.1763555375112</v>
      </c>
      <c r="N64">
        <v>1488.3881809572097</v>
      </c>
      <c r="O64">
        <v>1472.6000063769081</v>
      </c>
      <c r="P64">
        <v>1456.8118317966066</v>
      </c>
      <c r="Q64">
        <v>1441.0236572163049</v>
      </c>
      <c r="R64">
        <v>1425.2354826359931</v>
      </c>
      <c r="S64">
        <v>1409.4473080556916</v>
      </c>
      <c r="T64">
        <v>1393.6591334753898</v>
      </c>
      <c r="U64">
        <v>1377.8709588950883</v>
      </c>
      <c r="V64">
        <v>1362.0827843147867</v>
      </c>
      <c r="W64">
        <v>1346.2946097344852</v>
      </c>
      <c r="X64">
        <v>1330.5064351541837</v>
      </c>
      <c r="Y64">
        <v>1314.7182605738822</v>
      </c>
      <c r="Z64">
        <v>1298.9300859935699</v>
      </c>
      <c r="AA64">
        <v>1283.1419114132684</v>
      </c>
      <c r="AB64">
        <v>1267.3537368329669</v>
      </c>
      <c r="AC64">
        <v>1251.5655622526651</v>
      </c>
      <c r="AD64">
        <v>1235.7773876723636</v>
      </c>
      <c r="AE64">
        <v>1219.9892130920621</v>
      </c>
    </row>
    <row r="65" spans="1:31">
      <c r="A65" t="s">
        <v>161</v>
      </c>
      <c r="B65" t="s">
        <v>140</v>
      </c>
      <c r="C65">
        <v>1735.2745158554371</v>
      </c>
      <c r="D65">
        <v>1889.7385315022855</v>
      </c>
      <c r="E65">
        <v>1800.5802107775951</v>
      </c>
      <c r="F65">
        <v>1712.1913295949221</v>
      </c>
      <c r="G65">
        <v>1704.4969341747469</v>
      </c>
      <c r="H65">
        <v>1696.8025387545717</v>
      </c>
      <c r="I65">
        <v>1689.1081433343968</v>
      </c>
      <c r="J65">
        <v>1681.4137479142216</v>
      </c>
      <c r="K65">
        <v>1673.7193524940569</v>
      </c>
      <c r="L65">
        <v>1661.6772042282112</v>
      </c>
      <c r="M65">
        <v>1649.6350559623761</v>
      </c>
      <c r="N65">
        <v>1637.5929076965306</v>
      </c>
      <c r="O65">
        <v>1625.5507594306953</v>
      </c>
      <c r="P65">
        <v>1613.5086111648604</v>
      </c>
      <c r="Q65">
        <v>1601.4664628990147</v>
      </c>
      <c r="R65">
        <v>1589.4243146331794</v>
      </c>
      <c r="S65">
        <v>1577.3821663673339</v>
      </c>
      <c r="T65">
        <v>1565.3400181014988</v>
      </c>
      <c r="U65">
        <v>1553.2978698356637</v>
      </c>
      <c r="V65">
        <v>1541.255721569818</v>
      </c>
      <c r="W65">
        <v>1529.2135733039831</v>
      </c>
      <c r="X65">
        <v>1517.1714250381372</v>
      </c>
      <c r="Y65">
        <v>1505.1292767723021</v>
      </c>
      <c r="Z65">
        <v>1493.0871285064673</v>
      </c>
      <c r="AA65">
        <v>1481.0449802406213</v>
      </c>
      <c r="AB65">
        <v>1469.0028319747864</v>
      </c>
      <c r="AC65">
        <v>1456.9606837089407</v>
      </c>
      <c r="AD65">
        <v>1444.9185354431056</v>
      </c>
      <c r="AE65">
        <v>1432.8763871772705</v>
      </c>
    </row>
    <row r="66" spans="1:31">
      <c r="A66" t="s">
        <v>162</v>
      </c>
      <c r="B66" t="s">
        <v>138</v>
      </c>
      <c r="C66">
        <v>2334.7858587763239</v>
      </c>
      <c r="D66">
        <v>2470.8283572652799</v>
      </c>
      <c r="E66">
        <v>2280.4466044400101</v>
      </c>
      <c r="F66">
        <v>2097.9590776521995</v>
      </c>
      <c r="G66">
        <v>2019.0168172774986</v>
      </c>
      <c r="H66">
        <v>1940.0745569027868</v>
      </c>
      <c r="I66">
        <v>1861.1322965280858</v>
      </c>
      <c r="J66">
        <v>1782.190036153374</v>
      </c>
      <c r="K66">
        <v>1703.2477757786726</v>
      </c>
      <c r="L66">
        <v>1681.3137705544075</v>
      </c>
      <c r="M66">
        <v>1659.3797653301424</v>
      </c>
      <c r="N66">
        <v>1637.4457601058878</v>
      </c>
      <c r="O66">
        <v>1615.5117548816227</v>
      </c>
      <c r="P66">
        <v>1593.5777496573576</v>
      </c>
      <c r="Q66">
        <v>1571.6437444331029</v>
      </c>
      <c r="R66">
        <v>1549.7097392088378</v>
      </c>
      <c r="S66">
        <v>1527.7757339845728</v>
      </c>
      <c r="T66">
        <v>1505.8417287603181</v>
      </c>
      <c r="U66">
        <v>1483.907723536053</v>
      </c>
      <c r="V66">
        <v>1461.9737183117879</v>
      </c>
      <c r="W66">
        <v>1440.0397130875331</v>
      </c>
      <c r="X66">
        <v>1418.105707863268</v>
      </c>
      <c r="Y66">
        <v>1396.1717026390029</v>
      </c>
      <c r="Z66">
        <v>1374.2376974147483</v>
      </c>
      <c r="AA66">
        <v>1352.3036921904832</v>
      </c>
      <c r="AB66">
        <v>1330.3696869662181</v>
      </c>
      <c r="AC66">
        <v>1308.4356817419634</v>
      </c>
      <c r="AD66">
        <v>1286.5016765176983</v>
      </c>
      <c r="AE66">
        <v>1264.5676712934332</v>
      </c>
    </row>
    <row r="67" spans="1:31">
      <c r="A67" t="s">
        <v>162</v>
      </c>
      <c r="B67" t="s">
        <v>139</v>
      </c>
      <c r="C67">
        <v>2334.7858587763239</v>
      </c>
      <c r="D67">
        <v>2490.2187260363703</v>
      </c>
      <c r="E67">
        <v>2317.4645811848236</v>
      </c>
      <c r="F67">
        <v>2150.8419015733803</v>
      </c>
      <c r="G67">
        <v>2089.5272491723917</v>
      </c>
      <c r="H67">
        <v>2028.2125967714142</v>
      </c>
      <c r="I67">
        <v>1966.8979443704256</v>
      </c>
      <c r="J67">
        <v>1905.5832919694476</v>
      </c>
      <c r="K67">
        <v>1844.2686395684593</v>
      </c>
      <c r="L67">
        <v>1825.2240695273199</v>
      </c>
      <c r="M67">
        <v>1806.17949948617</v>
      </c>
      <c r="N67">
        <v>1787.1349294450199</v>
      </c>
      <c r="O67">
        <v>1768.0903594038703</v>
      </c>
      <c r="P67">
        <v>1749.0457893627308</v>
      </c>
      <c r="Q67">
        <v>1730.0012193215809</v>
      </c>
      <c r="R67">
        <v>1710.9566492804311</v>
      </c>
      <c r="S67">
        <v>1691.912079239281</v>
      </c>
      <c r="T67">
        <v>1672.8675091981418</v>
      </c>
      <c r="U67">
        <v>1653.8229391569919</v>
      </c>
      <c r="V67">
        <v>1634.778369115842</v>
      </c>
      <c r="W67">
        <v>1615.7337990747026</v>
      </c>
      <c r="X67">
        <v>1596.6892290335527</v>
      </c>
      <c r="Y67">
        <v>1577.6446589924028</v>
      </c>
      <c r="Z67">
        <v>1558.6000889512527</v>
      </c>
      <c r="AA67">
        <v>1539.5555189101135</v>
      </c>
      <c r="AB67">
        <v>1520.5109488689636</v>
      </c>
      <c r="AC67">
        <v>1501.4663788278137</v>
      </c>
      <c r="AD67">
        <v>1482.4218087866743</v>
      </c>
      <c r="AE67">
        <v>1463.3772387455244</v>
      </c>
    </row>
    <row r="68" spans="1:31">
      <c r="A68" t="s">
        <v>162</v>
      </c>
      <c r="B68" t="s">
        <v>140</v>
      </c>
      <c r="C68">
        <v>2334.7858587763239</v>
      </c>
      <c r="D68">
        <v>2534.5084473008778</v>
      </c>
      <c r="E68">
        <v>2402.0176854170518</v>
      </c>
      <c r="F68">
        <v>2271.6320504765526</v>
      </c>
      <c r="G68">
        <v>2250.5807810433066</v>
      </c>
      <c r="H68">
        <v>2229.5295116100492</v>
      </c>
      <c r="I68">
        <v>2208.4782421767914</v>
      </c>
      <c r="J68">
        <v>2187.4269727435349</v>
      </c>
      <c r="K68">
        <v>2166.3757033102775</v>
      </c>
      <c r="L68">
        <v>2151.4336861415195</v>
      </c>
      <c r="M68">
        <v>2136.4916689727515</v>
      </c>
      <c r="N68">
        <v>2121.5496518039827</v>
      </c>
      <c r="O68">
        <v>2106.6076346352252</v>
      </c>
      <c r="P68">
        <v>2091.6656174664568</v>
      </c>
      <c r="Q68">
        <v>2076.7236002976883</v>
      </c>
      <c r="R68">
        <v>2061.7815831289304</v>
      </c>
      <c r="S68">
        <v>2046.8395659601617</v>
      </c>
      <c r="T68">
        <v>2031.8975487913933</v>
      </c>
      <c r="U68">
        <v>2016.9555316226356</v>
      </c>
      <c r="V68">
        <v>2002.0135144538669</v>
      </c>
      <c r="W68">
        <v>1987.0714972851092</v>
      </c>
      <c r="X68">
        <v>1972.1294801163408</v>
      </c>
      <c r="Y68">
        <v>1957.1874629475724</v>
      </c>
      <c r="Z68">
        <v>1942.2454457788144</v>
      </c>
      <c r="AA68">
        <v>1927.303428610046</v>
      </c>
      <c r="AB68">
        <v>1912.3614114412778</v>
      </c>
      <c r="AC68">
        <v>1897.4193942725199</v>
      </c>
      <c r="AD68">
        <v>1882.4773771037512</v>
      </c>
      <c r="AE68">
        <v>1867.535359934983</v>
      </c>
    </row>
    <row r="69" spans="1:31">
      <c r="C69">
        <f>AVERAGE(C39:C68)</f>
        <v>1753.377610367547</v>
      </c>
      <c r="F69">
        <f>AVERAGE(F39:F68)</f>
        <v>1663.3109056635401</v>
      </c>
      <c r="K69">
        <f>AVERAGE(K39:K68)</f>
        <v>1513.1997311568639</v>
      </c>
    </row>
    <row r="70" spans="1:31">
      <c r="F70" s="13">
        <f>F69/$C$69</f>
        <v>0.94863245420070863</v>
      </c>
      <c r="K70" s="13">
        <f>K69/$C$69</f>
        <v>0.86301987786855761</v>
      </c>
    </row>
    <row r="73" spans="1:31">
      <c r="C73">
        <v>2022</v>
      </c>
      <c r="D73">
        <v>2023</v>
      </c>
      <c r="E73">
        <v>2024</v>
      </c>
      <c r="F73">
        <v>2025</v>
      </c>
      <c r="G73">
        <v>2026</v>
      </c>
      <c r="H73">
        <v>2027</v>
      </c>
      <c r="I73">
        <v>2028</v>
      </c>
      <c r="J73">
        <v>2029</v>
      </c>
      <c r="K73">
        <v>2030</v>
      </c>
      <c r="L73">
        <v>2031</v>
      </c>
      <c r="M73">
        <v>2032</v>
      </c>
      <c r="N73">
        <v>2033</v>
      </c>
      <c r="O73">
        <v>2034</v>
      </c>
      <c r="P73">
        <v>2035</v>
      </c>
      <c r="Q73">
        <v>2036</v>
      </c>
      <c r="R73">
        <v>2037</v>
      </c>
      <c r="S73">
        <v>2038</v>
      </c>
      <c r="T73">
        <v>2039</v>
      </c>
      <c r="U73">
        <v>2040</v>
      </c>
      <c r="V73">
        <v>2041</v>
      </c>
      <c r="W73">
        <v>2042</v>
      </c>
      <c r="X73">
        <v>2043</v>
      </c>
      <c r="Y73">
        <v>2044</v>
      </c>
      <c r="Z73">
        <v>2045</v>
      </c>
      <c r="AA73">
        <v>2046</v>
      </c>
      <c r="AB73">
        <v>2047</v>
      </c>
      <c r="AC73">
        <v>2048</v>
      </c>
      <c r="AD73">
        <v>2049</v>
      </c>
      <c r="AE73">
        <v>2050</v>
      </c>
    </row>
    <row r="74" spans="1:31" hidden="1">
      <c r="A74" t="s">
        <v>163</v>
      </c>
      <c r="B74" t="s">
        <v>138</v>
      </c>
      <c r="C74">
        <v>5493.2472722188113</v>
      </c>
      <c r="D74">
        <v>5086.3063545707191</v>
      </c>
      <c r="E74">
        <v>4846.1824804249818</v>
      </c>
      <c r="F74">
        <v>4678.5633018482695</v>
      </c>
      <c r="G74">
        <v>4208.0103565204508</v>
      </c>
      <c r="H74">
        <v>3763.8043609100014</v>
      </c>
      <c r="I74">
        <v>3336.9353480386576</v>
      </c>
      <c r="J74">
        <v>3264.6893091563625</v>
      </c>
      <c r="K74">
        <v>3201.94383126809</v>
      </c>
      <c r="L74">
        <v>3117.8664386249166</v>
      </c>
      <c r="M74">
        <v>3046.8906224857997</v>
      </c>
      <c r="N74">
        <v>2985.6730262090978</v>
      </c>
      <c r="O74">
        <v>2931.9861866602009</v>
      </c>
      <c r="P74">
        <v>2884.2750593950282</v>
      </c>
      <c r="Q74">
        <v>2852.3719245703505</v>
      </c>
      <c r="R74">
        <v>2822.7352786641341</v>
      </c>
      <c r="S74">
        <v>2795.0836260366023</v>
      </c>
      <c r="T74">
        <v>2769.1836989342719</v>
      </c>
      <c r="U74">
        <v>2744.84036843788</v>
      </c>
      <c r="V74">
        <v>2721.888661915686</v>
      </c>
      <c r="W74">
        <v>2700.1879978508587</v>
      </c>
      <c r="X74">
        <v>2679.6173076184891</v>
      </c>
      <c r="Y74">
        <v>2660.0724855054045</v>
      </c>
      <c r="Z74">
        <v>2641.4625083055157</v>
      </c>
      <c r="AA74">
        <v>2623.7074396831481</v>
      </c>
      <c r="AB74">
        <v>2606.7375432234053</v>
      </c>
      <c r="AC74">
        <v>2590.4907324519772</v>
      </c>
      <c r="AD74">
        <v>2574.9117947542081</v>
      </c>
      <c r="AE74">
        <v>2559.9516152941696</v>
      </c>
    </row>
    <row r="75" spans="1:31">
      <c r="A75" t="s">
        <v>163</v>
      </c>
      <c r="B75" t="s">
        <v>139</v>
      </c>
      <c r="C75">
        <v>6252.4766015531568</v>
      </c>
      <c r="D75">
        <v>6049.298946976709</v>
      </c>
      <c r="E75">
        <v>5905.0969017421139</v>
      </c>
      <c r="F75">
        <v>5794.1397243895353</v>
      </c>
      <c r="G75">
        <v>5704.4130169275859</v>
      </c>
      <c r="H75">
        <v>5629.3642172049676</v>
      </c>
      <c r="I75">
        <v>5207.7542613138739</v>
      </c>
      <c r="J75">
        <v>4794.3036877029836</v>
      </c>
      <c r="K75">
        <v>4387.2588860791202</v>
      </c>
      <c r="L75">
        <v>3954.964956646158</v>
      </c>
      <c r="M75">
        <v>3534.0053565734711</v>
      </c>
      <c r="N75">
        <v>3478.8168004271774</v>
      </c>
      <c r="O75">
        <v>3430.2079692646912</v>
      </c>
      <c r="P75">
        <v>3386.8417865142433</v>
      </c>
      <c r="Q75">
        <v>3357.7542732995662</v>
      </c>
      <c r="R75">
        <v>3330.6676075882633</v>
      </c>
      <c r="S75">
        <v>3305.3374347564404</v>
      </c>
      <c r="T75">
        <v>3281.5608650755444</v>
      </c>
      <c r="U75">
        <v>3259.1678259534451</v>
      </c>
      <c r="V75">
        <v>3238.013855468666</v>
      </c>
      <c r="W75">
        <v>3217.9762219657382</v>
      </c>
      <c r="X75">
        <v>3198.9487132261083</v>
      </c>
      <c r="Y75">
        <v>3180.8394190940558</v>
      </c>
      <c r="Z75">
        <v>3163.5686249713131</v>
      </c>
      <c r="AA75">
        <v>3147.0659292307605</v>
      </c>
      <c r="AB75">
        <v>3131.2693562667905</v>
      </c>
      <c r="AC75">
        <v>3116.124247808269</v>
      </c>
      <c r="AD75">
        <v>3101.5817107566763</v>
      </c>
      <c r="AE75">
        <v>3087.5981737112902</v>
      </c>
    </row>
    <row r="76" spans="1:31" hidden="1">
      <c r="A76" t="s">
        <v>163</v>
      </c>
      <c r="B76" t="s">
        <v>140</v>
      </c>
      <c r="C76">
        <v>7592.292960737338</v>
      </c>
      <c r="D76">
        <v>7555.2278899172252</v>
      </c>
      <c r="E76">
        <v>7521.4576152463505</v>
      </c>
      <c r="F76">
        <v>7490.4634929268068</v>
      </c>
      <c r="G76">
        <v>7461.8389674205628</v>
      </c>
      <c r="H76">
        <v>7435.2598586367531</v>
      </c>
      <c r="I76">
        <v>7410.4634077465953</v>
      </c>
      <c r="J76">
        <v>7387.2340859892684</v>
      </c>
      <c r="K76">
        <v>6844.3527263319884</v>
      </c>
      <c r="L76">
        <v>6261.9670734951042</v>
      </c>
      <c r="M76">
        <v>5688.5559096511633</v>
      </c>
      <c r="N76">
        <v>5121.9004194244781</v>
      </c>
      <c r="O76">
        <v>4560.5070905017574</v>
      </c>
      <c r="P76">
        <v>4003.3242223556554</v>
      </c>
      <c r="Q76">
        <v>3979.0052829741712</v>
      </c>
      <c r="R76">
        <v>3956.3034745110795</v>
      </c>
      <c r="S76">
        <v>3935.0247767341575</v>
      </c>
      <c r="T76">
        <v>3915.0076539414931</v>
      </c>
      <c r="U76">
        <v>3896.1161811018264</v>
      </c>
      <c r="V76">
        <v>3878.2352765002752</v>
      </c>
      <c r="W76">
        <v>3861.2660452527571</v>
      </c>
      <c r="X76">
        <v>3845.1235619319123</v>
      </c>
      <c r="Y76">
        <v>3829.7340988494957</v>
      </c>
      <c r="Z76">
        <v>3815.0329086822971</v>
      </c>
      <c r="AA76">
        <v>3800.9636701286213</v>
      </c>
      <c r="AB76">
        <v>3787.4760487967933</v>
      </c>
      <c r="AC76">
        <v>3774.5260298112762</v>
      </c>
      <c r="AD76">
        <v>3762.0737004385837</v>
      </c>
      <c r="AE76">
        <v>3750.0838044308034</v>
      </c>
    </row>
    <row r="77" spans="1:31" hidden="1">
      <c r="A77" t="s">
        <v>164</v>
      </c>
      <c r="B77" t="s">
        <v>138</v>
      </c>
      <c r="C77">
        <v>5340.2579952325432</v>
      </c>
      <c r="D77">
        <v>4944.6506308638009</v>
      </c>
      <c r="E77">
        <v>4711.2142460822824</v>
      </c>
      <c r="F77">
        <v>4548.2634160302305</v>
      </c>
      <c r="G77">
        <v>4090.8155950050027</v>
      </c>
      <c r="H77">
        <v>3658.9808837445294</v>
      </c>
      <c r="I77">
        <v>3244.0004328853943</v>
      </c>
      <c r="J77">
        <v>3173.7663283768852</v>
      </c>
      <c r="K77">
        <v>3112.768473871763</v>
      </c>
      <c r="L77">
        <v>3031.0326282597443</v>
      </c>
      <c r="M77">
        <v>2962.0334902465024</v>
      </c>
      <c r="N77">
        <v>2902.5208329018601</v>
      </c>
      <c r="O77">
        <v>2850.3291686968159</v>
      </c>
      <c r="P77">
        <v>2803.9468028506017</v>
      </c>
      <c r="Q77">
        <v>2772.9322806894993</v>
      </c>
      <c r="R77">
        <v>2744.1210522855058</v>
      </c>
      <c r="S77">
        <v>2717.239382808134</v>
      </c>
      <c r="T77">
        <v>2692.0608783635557</v>
      </c>
      <c r="U77">
        <v>2668.3953991241947</v>
      </c>
      <c r="V77">
        <v>2646.0829615499952</v>
      </c>
      <c r="W77">
        <v>2624.9866427913621</v>
      </c>
      <c r="X77">
        <v>2604.9889220219197</v>
      </c>
      <c r="Y77">
        <v>2585.9883543773926</v>
      </c>
      <c r="Z77">
        <v>2567.8965775005918</v>
      </c>
      <c r="AA77">
        <v>2550.6360941673338</v>
      </c>
      <c r="AB77">
        <v>2534.1388309932831</v>
      </c>
      <c r="AC77">
        <v>2518.3444754033958</v>
      </c>
      <c r="AD77">
        <v>2503.1994778135781</v>
      </c>
      <c r="AE77">
        <v>2488.6558320749441</v>
      </c>
    </row>
    <row r="78" spans="1:31">
      <c r="A78" t="s">
        <v>164</v>
      </c>
      <c r="B78" t="s">
        <v>139</v>
      </c>
      <c r="C78">
        <v>6078.3425561845506</v>
      </c>
      <c r="D78">
        <v>5880.8234185293204</v>
      </c>
      <c r="E78">
        <v>5740.6375921017134</v>
      </c>
      <c r="F78">
        <v>5632.7705472705575</v>
      </c>
      <c r="G78">
        <v>5545.5427095309187</v>
      </c>
      <c r="H78">
        <v>5472.5840066184965</v>
      </c>
      <c r="I78">
        <v>5062.7161551814588</v>
      </c>
      <c r="J78">
        <v>4660.7804051811663</v>
      </c>
      <c r="K78">
        <v>4265.07192855426</v>
      </c>
      <c r="L78">
        <v>3844.8174534398181</v>
      </c>
      <c r="M78">
        <v>3435.581886222416</v>
      </c>
      <c r="N78">
        <v>3381.9304137901358</v>
      </c>
      <c r="O78">
        <v>3334.6752895050358</v>
      </c>
      <c r="P78">
        <v>3292.516799548639</v>
      </c>
      <c r="Q78">
        <v>3264.2394039550163</v>
      </c>
      <c r="R78">
        <v>3237.907088906592</v>
      </c>
      <c r="S78">
        <v>3213.2823736391265</v>
      </c>
      <c r="T78">
        <v>3190.1681335966837</v>
      </c>
      <c r="U78">
        <v>3168.3987309352965</v>
      </c>
      <c r="V78">
        <v>3147.8339167442459</v>
      </c>
      <c r="W78">
        <v>3128.3542854291877</v>
      </c>
      <c r="X78">
        <v>3109.8566182265799</v>
      </c>
      <c r="Y78">
        <v>3092.2517766983037</v>
      </c>
      <c r="Z78">
        <v>3075.4619310140629</v>
      </c>
      <c r="AA78">
        <v>3059.4187860521156</v>
      </c>
      <c r="AB78">
        <v>3044.0622509748246</v>
      </c>
      <c r="AC78">
        <v>3029.3389979355047</v>
      </c>
      <c r="AD78">
        <v>3015.2013533913823</v>
      </c>
      <c r="AE78">
        <v>3001.6072981035932</v>
      </c>
    </row>
    <row r="79" spans="1:31" hidden="1">
      <c r="A79" t="s">
        <v>164</v>
      </c>
      <c r="B79" t="s">
        <v>140</v>
      </c>
      <c r="C79">
        <v>7380.8445008330391</v>
      </c>
      <c r="D79">
        <v>7344.8116176483472</v>
      </c>
      <c r="E79">
        <v>7311.9819530632822</v>
      </c>
      <c r="F79">
        <v>7281.8510544740693</v>
      </c>
      <c r="G79">
        <v>7254.0236749504957</v>
      </c>
      <c r="H79">
        <v>7228.1848365041387</v>
      </c>
      <c r="I79">
        <v>7204.0789867719868</v>
      </c>
      <c r="J79">
        <v>7181.4965839032402</v>
      </c>
      <c r="K79">
        <v>6653.734722033827</v>
      </c>
      <c r="L79">
        <v>6087.5687171358613</v>
      </c>
      <c r="M79">
        <v>5530.1274140404403</v>
      </c>
      <c r="N79">
        <v>4979.2534186339635</v>
      </c>
      <c r="O79">
        <v>4433.4951269732992</v>
      </c>
      <c r="P79">
        <v>3891.829997000289</v>
      </c>
      <c r="Q79">
        <v>3868.1883545323149</v>
      </c>
      <c r="R79">
        <v>3846.118719420153</v>
      </c>
      <c r="S79">
        <v>3825.4327257354926</v>
      </c>
      <c r="T79">
        <v>3805.9730507871768</v>
      </c>
      <c r="U79">
        <v>3787.6077608172964</v>
      </c>
      <c r="V79">
        <v>3770.2247675659778</v>
      </c>
      <c r="W79">
        <v>3753.7281696041518</v>
      </c>
      <c r="X79">
        <v>3738.0352588785408</v>
      </c>
      <c r="Y79">
        <v>3723.0743033375734</v>
      </c>
      <c r="Z79">
        <v>3708.7827730321233</v>
      </c>
      <c r="AA79">
        <v>3695.1052336101261</v>
      </c>
      <c r="AB79">
        <v>3681.9932354478801</v>
      </c>
      <c r="AC79">
        <v>3669.403872356887</v>
      </c>
      <c r="AD79">
        <v>3657.298340290703</v>
      </c>
      <c r="AE79">
        <v>3645.6424916884557</v>
      </c>
    </row>
    <row r="80" spans="1:31" hidden="1">
      <c r="A80" t="s">
        <v>165</v>
      </c>
      <c r="B80" t="s">
        <v>138</v>
      </c>
      <c r="C80">
        <v>5571.8792375900994</v>
      </c>
      <c r="D80">
        <v>5159.1132782271916</v>
      </c>
      <c r="E80">
        <v>4915.5521416474157</v>
      </c>
      <c r="F80">
        <v>4745.5337643134008</v>
      </c>
      <c r="G80">
        <v>4268.2451017350695</v>
      </c>
      <c r="H80">
        <v>3817.6805642055465</v>
      </c>
      <c r="I80">
        <v>3384.7013553123738</v>
      </c>
      <c r="J80">
        <v>3311.4211331579845</v>
      </c>
      <c r="K80">
        <v>3247.7775078975819</v>
      </c>
      <c r="L80">
        <v>3162.4966354711119</v>
      </c>
      <c r="M80">
        <v>3090.5047076586752</v>
      </c>
      <c r="N80">
        <v>3028.4109160132598</v>
      </c>
      <c r="O80">
        <v>2973.9555346073571</v>
      </c>
      <c r="P80">
        <v>2925.5614561247639</v>
      </c>
      <c r="Q80">
        <v>2893.2017639764927</v>
      </c>
      <c r="R80">
        <v>2863.1408235395829</v>
      </c>
      <c r="S80">
        <v>2835.0932587696147</v>
      </c>
      <c r="T80">
        <v>2808.822697589389</v>
      </c>
      <c r="U80">
        <v>2784.130795887223</v>
      </c>
      <c r="V80">
        <v>2760.8505853947017</v>
      </c>
      <c r="W80">
        <v>2738.8392672209106</v>
      </c>
      <c r="X80">
        <v>2717.9742205790853</v>
      </c>
      <c r="Y80">
        <v>2698.1495658567851</v>
      </c>
      <c r="Z80">
        <v>2679.2730602921756</v>
      </c>
      <c r="AA80">
        <v>2661.2639914686533</v>
      </c>
      <c r="AB80">
        <v>2644.05118167817</v>
      </c>
      <c r="AC80">
        <v>2627.5716574967796</v>
      </c>
      <c r="AD80">
        <v>2611.7697628350115</v>
      </c>
      <c r="AE80">
        <v>2596.5954959073051</v>
      </c>
    </row>
    <row r="81" spans="1:31">
      <c r="A81" t="s">
        <v>165</v>
      </c>
      <c r="B81" t="s">
        <v>139</v>
      </c>
      <c r="C81">
        <v>6341.9764716464624</v>
      </c>
      <c r="D81">
        <v>6135.8903983546597</v>
      </c>
      <c r="E81">
        <v>5989.6243104553369</v>
      </c>
      <c r="F81">
        <v>5877.0787171787379</v>
      </c>
      <c r="G81">
        <v>5786.0677066481849</v>
      </c>
      <c r="H81">
        <v>5709.944589182579</v>
      </c>
      <c r="I81">
        <v>5282.2996062510529</v>
      </c>
      <c r="J81">
        <v>4862.9308612138802</v>
      </c>
      <c r="K81">
        <v>4450.059465713347</v>
      </c>
      <c r="L81">
        <v>4011.5775104282534</v>
      </c>
      <c r="M81">
        <v>3584.5921962862817</v>
      </c>
      <c r="N81">
        <v>3528.6135897543822</v>
      </c>
      <c r="O81">
        <v>3479.3090574735006</v>
      </c>
      <c r="P81">
        <v>3435.322120848647</v>
      </c>
      <c r="Q81">
        <v>3405.8181847812707</v>
      </c>
      <c r="R81">
        <v>3378.3438112116369</v>
      </c>
      <c r="S81">
        <v>3352.6509868486155</v>
      </c>
      <c r="T81">
        <v>3328.5341611147542</v>
      </c>
      <c r="U81">
        <v>3305.8204897003202</v>
      </c>
      <c r="V81">
        <v>3284.3638476532756</v>
      </c>
      <c r="W81">
        <v>3264.0392859440672</v>
      </c>
      <c r="X81">
        <v>3244.7393727983986</v>
      </c>
      <c r="Y81">
        <v>3226.3709785048022</v>
      </c>
      <c r="Z81">
        <v>3208.8529471718571</v>
      </c>
      <c r="AA81">
        <v>3192.1139902228106</v>
      </c>
      <c r="AB81">
        <v>3176.0913559711266</v>
      </c>
      <c r="AC81">
        <v>3160.7294991960375</v>
      </c>
      <c r="AD81">
        <v>3145.9787507180945</v>
      </c>
      <c r="AE81">
        <v>3131.7949847930554</v>
      </c>
    </row>
    <row r="82" spans="1:31" hidden="1">
      <c r="A82" t="s">
        <v>165</v>
      </c>
      <c r="B82" t="s">
        <v>140</v>
      </c>
      <c r="C82">
        <v>7700.9713427452944</v>
      </c>
      <c r="D82">
        <v>7663.3756543072313</v>
      </c>
      <c r="E82">
        <v>7629.1221029550688</v>
      </c>
      <c r="F82">
        <v>7597.6842840816098</v>
      </c>
      <c r="G82">
        <v>7568.649987844914</v>
      </c>
      <c r="H82">
        <v>7541.6904885372451</v>
      </c>
      <c r="I82">
        <v>7516.5391469251781</v>
      </c>
      <c r="J82">
        <v>7492.9772190554713</v>
      </c>
      <c r="K82">
        <v>6942.3248501885428</v>
      </c>
      <c r="L82">
        <v>6351.6027577509658</v>
      </c>
      <c r="M82">
        <v>5769.9836511344138</v>
      </c>
      <c r="N82">
        <v>5195.216895645116</v>
      </c>
      <c r="O82">
        <v>4625.7875813098844</v>
      </c>
      <c r="P82">
        <v>4060.6290403263183</v>
      </c>
      <c r="Q82">
        <v>4035.9619732138763</v>
      </c>
      <c r="R82">
        <v>4012.9352085789887</v>
      </c>
      <c r="S82">
        <v>3991.351954471831</v>
      </c>
      <c r="T82">
        <v>3971.0482360789993</v>
      </c>
      <c r="U82">
        <v>3951.8864653386718</v>
      </c>
      <c r="V82">
        <v>3933.7494540305879</v>
      </c>
      <c r="W82">
        <v>3916.5373094523288</v>
      </c>
      <c r="X82">
        <v>3900.1638866207873</v>
      </c>
      <c r="Y82">
        <v>3884.5540165545667</v>
      </c>
      <c r="Z82">
        <v>3869.6425084556408</v>
      </c>
      <c r="AA82">
        <v>3855.3717105978621</v>
      </c>
      <c r="AB82">
        <v>3841.6911777208538</v>
      </c>
      <c r="AC82">
        <v>3828.5556753933333</v>
      </c>
      <c r="AD82">
        <v>3815.9251800131083</v>
      </c>
      <c r="AE82">
        <v>3803.7637701200447</v>
      </c>
    </row>
    <row r="83" spans="1:31" hidden="1">
      <c r="A83" t="s">
        <v>166</v>
      </c>
      <c r="B83" t="s">
        <v>138</v>
      </c>
      <c r="C83">
        <v>5974.4514848207846</v>
      </c>
      <c r="D83">
        <v>5531.8628418661347</v>
      </c>
      <c r="E83">
        <v>5270.7042919612595</v>
      </c>
      <c r="F83">
        <v>5088.4018839474165</v>
      </c>
      <c r="G83">
        <v>4576.6288413749307</v>
      </c>
      <c r="H83">
        <v>4093.5107023336182</v>
      </c>
      <c r="I83">
        <v>3629.2484472779479</v>
      </c>
      <c r="J83">
        <v>3550.673579289285</v>
      </c>
      <c r="K83">
        <v>3482.4316745252281</v>
      </c>
      <c r="L83">
        <v>3390.9892738669187</v>
      </c>
      <c r="M83">
        <v>3313.795940800378</v>
      </c>
      <c r="N83">
        <v>3247.215625305068</v>
      </c>
      <c r="O83">
        <v>3188.8258461958217</v>
      </c>
      <c r="P83">
        <v>3136.935301391185</v>
      </c>
      <c r="Q83">
        <v>3102.2376100102897</v>
      </c>
      <c r="R83">
        <v>3070.0047516595391</v>
      </c>
      <c r="S83">
        <v>3039.9308395842477</v>
      </c>
      <c r="T83">
        <v>3011.7620953206688</v>
      </c>
      <c r="U83">
        <v>2985.2863161691039</v>
      </c>
      <c r="V83">
        <v>2960.3240056975728</v>
      </c>
      <c r="W83">
        <v>2936.7222759630845</v>
      </c>
      <c r="X83">
        <v>2914.3498584199529</v>
      </c>
      <c r="Y83">
        <v>2893.0928909090399</v>
      </c>
      <c r="Z83">
        <v>2872.8524785462646</v>
      </c>
      <c r="AA83">
        <v>2853.5422546111113</v>
      </c>
      <c r="AB83">
        <v>2835.085719697734</v>
      </c>
      <c r="AC83">
        <v>2817.4156873714314</v>
      </c>
      <c r="AD83">
        <v>2800.4720667945671</v>
      </c>
      <c r="AE83">
        <v>2784.2013083830475</v>
      </c>
    </row>
    <row r="84" spans="1:31">
      <c r="A84" t="s">
        <v>166</v>
      </c>
      <c r="B84" t="s">
        <v>139</v>
      </c>
      <c r="C84">
        <v>6800.188732386644</v>
      </c>
      <c r="D84">
        <v>6579.212881261923</v>
      </c>
      <c r="E84">
        <v>6422.379010222654</v>
      </c>
      <c r="F84">
        <v>6301.7018627105872</v>
      </c>
      <c r="G84">
        <v>6204.1152293382802</v>
      </c>
      <c r="H84">
        <v>6122.4921371983583</v>
      </c>
      <c r="I84">
        <v>5663.9495985885833</v>
      </c>
      <c r="J84">
        <v>5214.2811019258124</v>
      </c>
      <c r="K84">
        <v>4771.5794837616577</v>
      </c>
      <c r="L84">
        <v>4301.416796272365</v>
      </c>
      <c r="M84">
        <v>3843.5814891262144</v>
      </c>
      <c r="N84">
        <v>3783.5585031364772</v>
      </c>
      <c r="O84">
        <v>3730.6915376545971</v>
      </c>
      <c r="P84">
        <v>3683.5265496259526</v>
      </c>
      <c r="Q84">
        <v>3651.8909409843318</v>
      </c>
      <c r="R84">
        <v>3622.4314632673104</v>
      </c>
      <c r="S84">
        <v>3594.8823641910953</v>
      </c>
      <c r="T84">
        <v>3569.0231259031798</v>
      </c>
      <c r="U84">
        <v>3544.6683759302628</v>
      </c>
      <c r="V84">
        <v>3521.6615676621182</v>
      </c>
      <c r="W84">
        <v>3499.8685499667527</v>
      </c>
      <c r="X84">
        <v>3479.1741302605783</v>
      </c>
      <c r="Y84">
        <v>3459.4785267098814</v>
      </c>
      <c r="Z84">
        <v>3440.6948182506258</v>
      </c>
      <c r="AA84">
        <v>3422.7465054769655</v>
      </c>
      <c r="AB84">
        <v>3405.5661802167901</v>
      </c>
      <c r="AC84">
        <v>3389.0944168446895</v>
      </c>
      <c r="AD84">
        <v>3373.2778875139761</v>
      </c>
      <c r="AE84">
        <v>3358.0694730253986</v>
      </c>
    </row>
    <row r="85" spans="1:31" hidden="1">
      <c r="A85" t="s">
        <v>166</v>
      </c>
      <c r="B85" t="s">
        <v>140</v>
      </c>
      <c r="C85">
        <v>8257.3721430524874</v>
      </c>
      <c r="D85">
        <v>8217.0600604946158</v>
      </c>
      <c r="E85">
        <v>8180.3315870602319</v>
      </c>
      <c r="F85">
        <v>8146.6222901766268</v>
      </c>
      <c r="G85">
        <v>8115.4903580578539</v>
      </c>
      <c r="H85">
        <v>8086.5828956186788</v>
      </c>
      <c r="I85">
        <v>8059.6143050772716</v>
      </c>
      <c r="J85">
        <v>8034.3500991244036</v>
      </c>
      <c r="K85">
        <v>7443.912828387728</v>
      </c>
      <c r="L85">
        <v>6810.5106087408376</v>
      </c>
      <c r="M85">
        <v>6186.8691589365581</v>
      </c>
      <c r="N85">
        <v>5570.5749781547529</v>
      </c>
      <c r="O85">
        <v>4960.0040616173756</v>
      </c>
      <c r="P85">
        <v>4354.0123551665429</v>
      </c>
      <c r="Q85">
        <v>4327.563073635265</v>
      </c>
      <c r="R85">
        <v>4302.8726132262527</v>
      </c>
      <c r="S85">
        <v>4279.7298799268483</v>
      </c>
      <c r="T85">
        <v>4257.9593685784203</v>
      </c>
      <c r="U85">
        <v>4237.4129585922547</v>
      </c>
      <c r="V85">
        <v>4217.9657009388011</v>
      </c>
      <c r="W85">
        <v>4199.5099421063542</v>
      </c>
      <c r="X85">
        <v>4181.9534393330769</v>
      </c>
      <c r="Y85">
        <v>4165.2158128084802</v>
      </c>
      <c r="Z85">
        <v>4149.2268826428499</v>
      </c>
      <c r="AA85">
        <v>4133.9251167053981</v>
      </c>
      <c r="AB85">
        <v>4119.2560784623956</v>
      </c>
      <c r="AC85">
        <v>4105.1715400275507</v>
      </c>
      <c r="AD85">
        <v>4091.6284843436597</v>
      </c>
      <c r="AE85">
        <v>4078.5883291016871</v>
      </c>
    </row>
    <row r="86" spans="1:31" hidden="1">
      <c r="A86" t="s">
        <v>167</v>
      </c>
      <c r="B86" t="s">
        <v>138</v>
      </c>
      <c r="C86">
        <v>6284.7004795388721</v>
      </c>
      <c r="D86">
        <v>5819.1284216126496</v>
      </c>
      <c r="E86">
        <v>5544.4080792128862</v>
      </c>
      <c r="F86">
        <v>5352.6389251597784</v>
      </c>
      <c r="G86">
        <v>4814.2898781271961</v>
      </c>
      <c r="H86">
        <v>4306.083703503873</v>
      </c>
      <c r="I86">
        <v>3817.7126052610392</v>
      </c>
      <c r="J86">
        <v>3735.0574363544015</v>
      </c>
      <c r="K86">
        <v>3663.271835200344</v>
      </c>
      <c r="L86">
        <v>3567.080817075584</v>
      </c>
      <c r="M86">
        <v>3485.8790260113433</v>
      </c>
      <c r="N86">
        <v>3415.8411591091385</v>
      </c>
      <c r="O86">
        <v>3354.4193426794359</v>
      </c>
      <c r="P86">
        <v>3299.834134021</v>
      </c>
      <c r="Q86">
        <v>3263.3346044606383</v>
      </c>
      <c r="R86">
        <v>3229.4279612836872</v>
      </c>
      <c r="S86">
        <v>3197.7922417733625</v>
      </c>
      <c r="T86">
        <v>3168.1606958275365</v>
      </c>
      <c r="U86">
        <v>3140.3100338760974</v>
      </c>
      <c r="V86">
        <v>3114.0514465159163</v>
      </c>
      <c r="W86">
        <v>3089.2240632573084</v>
      </c>
      <c r="X86">
        <v>3065.6898525636329</v>
      </c>
      <c r="Y86">
        <v>3043.3289653657303</v>
      </c>
      <c r="Z86">
        <v>3022.037628556538</v>
      </c>
      <c r="AA86">
        <v>3001.7245971925595</v>
      </c>
      <c r="AB86">
        <v>2982.3096023320068</v>
      </c>
      <c r="AC86">
        <v>2963.7220206103516</v>
      </c>
      <c r="AD86">
        <v>2945.8985459975379</v>
      </c>
      <c r="AE86">
        <v>2928.782857191869</v>
      </c>
    </row>
    <row r="87" spans="1:31">
      <c r="A87" t="s">
        <v>167</v>
      </c>
      <c r="B87" t="s">
        <v>139</v>
      </c>
      <c r="C87">
        <v>7153.3176397188799</v>
      </c>
      <c r="D87">
        <v>6920.8665451109355</v>
      </c>
      <c r="E87">
        <v>6755.8883699352255</v>
      </c>
      <c r="F87">
        <v>6628.9447015285095</v>
      </c>
      <c r="G87">
        <v>6526.2903705592762</v>
      </c>
      <c r="H87">
        <v>6440.4286569918868</v>
      </c>
      <c r="I87">
        <v>5958.0742924533033</v>
      </c>
      <c r="J87">
        <v>5485.0547401960739</v>
      </c>
      <c r="K87">
        <v>5019.3640527564348</v>
      </c>
      <c r="L87">
        <v>4524.7861918504768</v>
      </c>
      <c r="M87">
        <v>4043.1758671852872</v>
      </c>
      <c r="N87">
        <v>3980.0359184477329</v>
      </c>
      <c r="O87">
        <v>3924.4237329829716</v>
      </c>
      <c r="P87">
        <v>3874.8094335427609</v>
      </c>
      <c r="Q87">
        <v>3841.5309724433914</v>
      </c>
      <c r="R87">
        <v>3810.5417283468291</v>
      </c>
      <c r="S87">
        <v>3781.561979512564</v>
      </c>
      <c r="T87">
        <v>3754.3598994802651</v>
      </c>
      <c r="U87">
        <v>3728.740470199376</v>
      </c>
      <c r="V87">
        <v>3704.5387190381534</v>
      </c>
      <c r="W87">
        <v>3681.614064479767</v>
      </c>
      <c r="X87">
        <v>3659.8451052931964</v>
      </c>
      <c r="Y87">
        <v>3639.1268488156352</v>
      </c>
      <c r="Z87">
        <v>3619.3676066287694</v>
      </c>
      <c r="AA87">
        <v>3600.4871097908117</v>
      </c>
      <c r="AB87">
        <v>3582.4147349372338</v>
      </c>
      <c r="AC87">
        <v>3565.0875086440901</v>
      </c>
      <c r="AD87">
        <v>3548.4497748219119</v>
      </c>
      <c r="AE87">
        <v>3532.4515316851357</v>
      </c>
    </row>
    <row r="88" spans="1:31" hidden="1">
      <c r="A88" t="s">
        <v>167</v>
      </c>
      <c r="B88" t="s">
        <v>140</v>
      </c>
      <c r="C88">
        <v>8686.171269193972</v>
      </c>
      <c r="D88">
        <v>8643.7659855021902</v>
      </c>
      <c r="E88">
        <v>8605.1301268820098</v>
      </c>
      <c r="F88">
        <v>8569.6704348976527</v>
      </c>
      <c r="G88">
        <v>8536.9217044665984</v>
      </c>
      <c r="H88">
        <v>8506.5131906422539</v>
      </c>
      <c r="I88">
        <v>8478.1442174990225</v>
      </c>
      <c r="J88">
        <v>8451.5679913015192</v>
      </c>
      <c r="K88">
        <v>7830.4697587012015</v>
      </c>
      <c r="L88">
        <v>7164.175455388824</v>
      </c>
      <c r="M88">
        <v>6508.1487027656185</v>
      </c>
      <c r="N88">
        <v>5859.8508292444931</v>
      </c>
      <c r="O88">
        <v>5217.5734589635576</v>
      </c>
      <c r="P88">
        <v>4580.1130012708163</v>
      </c>
      <c r="Q88">
        <v>4552.2902782328156</v>
      </c>
      <c r="R88">
        <v>4526.3176212605786</v>
      </c>
      <c r="S88">
        <v>4501.9731820771458</v>
      </c>
      <c r="T88">
        <v>4479.0720316840334</v>
      </c>
      <c r="U88">
        <v>4457.4587321580575</v>
      </c>
      <c r="V88">
        <v>4437.0015714787141</v>
      </c>
      <c r="W88">
        <v>4417.5874635677947</v>
      </c>
      <c r="X88">
        <v>4399.1192874404842</v>
      </c>
      <c r="Y88">
        <v>4381.5123394068296</v>
      </c>
      <c r="Z88">
        <v>4364.6932243846995</v>
      </c>
      <c r="AA88">
        <v>4348.5968624447714</v>
      </c>
      <c r="AB88">
        <v>4333.1660453357144</v>
      </c>
      <c r="AC88">
        <v>4318.3501060597464</v>
      </c>
      <c r="AD88">
        <v>4304.1036993168746</v>
      </c>
      <c r="AE88">
        <v>4290.3864688988015</v>
      </c>
    </row>
    <row r="89" spans="1:31" hidden="1">
      <c r="A89" t="s">
        <v>168</v>
      </c>
      <c r="B89" t="s">
        <v>138</v>
      </c>
      <c r="C89">
        <v>6062.9924514920986</v>
      </c>
      <c r="D89">
        <v>5613.8445942639064</v>
      </c>
      <c r="E89">
        <v>5348.8157287666736</v>
      </c>
      <c r="F89">
        <v>5163.8115613019672</v>
      </c>
      <c r="G89">
        <v>4644.4541015488785</v>
      </c>
      <c r="H89">
        <v>4154.1761724637699</v>
      </c>
      <c r="I89">
        <v>3683.0335164987009</v>
      </c>
      <c r="J89">
        <v>3603.2943053792997</v>
      </c>
      <c r="K89">
        <v>3534.0410562961997</v>
      </c>
      <c r="L89">
        <v>3441.2433965986447</v>
      </c>
      <c r="M89">
        <v>3362.9061202429252</v>
      </c>
      <c r="N89">
        <v>3295.3391841495923</v>
      </c>
      <c r="O89">
        <v>3236.0840748046367</v>
      </c>
      <c r="P89">
        <v>3183.4245446681775</v>
      </c>
      <c r="Q89">
        <v>3148.2125333688386</v>
      </c>
      <c r="R89">
        <v>3115.5020526407106</v>
      </c>
      <c r="S89">
        <v>3084.9823375061255</v>
      </c>
      <c r="T89">
        <v>3056.3961725715099</v>
      </c>
      <c r="U89">
        <v>3029.5280290760406</v>
      </c>
      <c r="V89">
        <v>3004.1957497388389</v>
      </c>
      <c r="W89">
        <v>2980.2443401115347</v>
      </c>
      <c r="X89">
        <v>2957.540203405656</v>
      </c>
      <c r="Y89">
        <v>2935.9681470376145</v>
      </c>
      <c r="Z89">
        <v>2915.4279456988811</v>
      </c>
      <c r="AA89">
        <v>2895.831569638377</v>
      </c>
      <c r="AB89">
        <v>2877.1015216319197</v>
      </c>
      <c r="AC89">
        <v>2859.1696174264694</v>
      </c>
      <c r="AD89">
        <v>2841.9747683660544</v>
      </c>
      <c r="AE89">
        <v>2825.4629813917627</v>
      </c>
    </row>
    <row r="90" spans="1:31">
      <c r="A90" t="s">
        <v>168</v>
      </c>
      <c r="B90" t="s">
        <v>139</v>
      </c>
      <c r="C90">
        <v>6900.9670540133502</v>
      </c>
      <c r="D90">
        <v>6676.7161413687263</v>
      </c>
      <c r="E90">
        <v>6517.5580188161466</v>
      </c>
      <c r="F90">
        <v>6395.0925591065152</v>
      </c>
      <c r="G90">
        <v>6296.0596434888757</v>
      </c>
      <c r="H90">
        <v>6213.2269737869319</v>
      </c>
      <c r="I90">
        <v>5747.8887379577118</v>
      </c>
      <c r="J90">
        <v>5291.5562560959979</v>
      </c>
      <c r="K90">
        <v>4842.293871496443</v>
      </c>
      <c r="L90">
        <v>4365.1634185589</v>
      </c>
      <c r="M90">
        <v>3900.5430575889009</v>
      </c>
      <c r="N90">
        <v>3839.6305719859556</v>
      </c>
      <c r="O90">
        <v>3785.9800973720121</v>
      </c>
      <c r="P90">
        <v>3738.1161930325529</v>
      </c>
      <c r="Q90">
        <v>3706.0116097724763</v>
      </c>
      <c r="R90">
        <v>3676.1155310986046</v>
      </c>
      <c r="S90">
        <v>3648.1582134537948</v>
      </c>
      <c r="T90">
        <v>3621.9157020557132</v>
      </c>
      <c r="U90">
        <v>3597.2000744508637</v>
      </c>
      <c r="V90">
        <v>3573.8522340488257</v>
      </c>
      <c r="W90">
        <v>3551.736255818339</v>
      </c>
      <c r="X90">
        <v>3530.7351732765505</v>
      </c>
      <c r="Y90">
        <v>3510.7477632965915</v>
      </c>
      <c r="Z90">
        <v>3491.6856635212744</v>
      </c>
      <c r="AA90">
        <v>3473.4712658577096</v>
      </c>
      <c r="AB90">
        <v>3456.0363860528601</v>
      </c>
      <c r="AC90">
        <v>3439.3203789255681</v>
      </c>
      <c r="AD90">
        <v>3423.2695840230349</v>
      </c>
      <c r="AE90">
        <v>3407.8356625902638</v>
      </c>
    </row>
    <row r="91" spans="1:31" hidden="1">
      <c r="A91" t="s">
        <v>168</v>
      </c>
      <c r="B91" t="s">
        <v>140</v>
      </c>
      <c r="C91">
        <v>8379.7455817376904</v>
      </c>
      <c r="D91">
        <v>8338.8362494706907</v>
      </c>
      <c r="E91">
        <v>8301.5634106990456</v>
      </c>
      <c r="F91">
        <v>8267.3545394346456</v>
      </c>
      <c r="G91">
        <v>8235.7611717692962</v>
      </c>
      <c r="H91">
        <v>8206.4253126573767</v>
      </c>
      <c r="I91">
        <v>8179.0571513062969</v>
      </c>
      <c r="J91">
        <v>8153.418541739592</v>
      </c>
      <c r="K91">
        <v>7554.2309585297189</v>
      </c>
      <c r="L91">
        <v>6911.4418183105345</v>
      </c>
      <c r="M91">
        <v>6278.5579098554372</v>
      </c>
      <c r="N91">
        <v>5653.1304760963812</v>
      </c>
      <c r="O91">
        <v>5033.5110102717044</v>
      </c>
      <c r="P91">
        <v>4418.5384953117928</v>
      </c>
      <c r="Q91">
        <v>4391.6971820427234</v>
      </c>
      <c r="R91">
        <v>4366.6408549100925</v>
      </c>
      <c r="S91">
        <v>4343.1552047088244</v>
      </c>
      <c r="T91">
        <v>4321.0619545626842</v>
      </c>
      <c r="U91">
        <v>4300.2112099836913</v>
      </c>
      <c r="V91">
        <v>4280.4755828308043</v>
      </c>
      <c r="W91">
        <v>4261.746310905276</v>
      </c>
      <c r="X91">
        <v>4243.9295992834132</v>
      </c>
      <c r="Y91">
        <v>4226.9438485989804</v>
      </c>
      <c r="Z91">
        <v>4210.7179920126318</v>
      </c>
      <c r="AA91">
        <v>4195.1894995752409</v>
      </c>
      <c r="AB91">
        <v>4180.3031586721509</v>
      </c>
      <c r="AC91">
        <v>4166.0098544674347</v>
      </c>
      <c r="AD91">
        <v>4152.2660155603708</v>
      </c>
      <c r="AE91">
        <v>4139.0326161671055</v>
      </c>
    </row>
    <row r="92" spans="1:31" hidden="1">
      <c r="A92" t="s">
        <v>169</v>
      </c>
      <c r="B92" t="s">
        <v>138</v>
      </c>
      <c r="C92">
        <v>6411.0986739212849</v>
      </c>
      <c r="D92">
        <v>5936.1630887193378</v>
      </c>
      <c r="E92">
        <v>5655.9174935807168</v>
      </c>
      <c r="F92">
        <v>5460.2914390484502</v>
      </c>
      <c r="G92">
        <v>4911.1151761082656</v>
      </c>
      <c r="H92">
        <v>4392.6880156515035</v>
      </c>
      <c r="I92">
        <v>3894.4947263039735</v>
      </c>
      <c r="J92">
        <v>3810.1771920476613</v>
      </c>
      <c r="K92">
        <v>3736.9477477597616</v>
      </c>
      <c r="L92">
        <v>3638.8220707479909</v>
      </c>
      <c r="M92">
        <v>3555.9871836719644</v>
      </c>
      <c r="N92">
        <v>3484.5408407525342</v>
      </c>
      <c r="O92">
        <v>3421.8836143527469</v>
      </c>
      <c r="P92">
        <v>3366.2004729173455</v>
      </c>
      <c r="Q92">
        <v>3328.9668816669609</v>
      </c>
      <c r="R92">
        <v>3294.3782850909261</v>
      </c>
      <c r="S92">
        <v>3262.1064009563233</v>
      </c>
      <c r="T92">
        <v>3231.8789357258161</v>
      </c>
      <c r="U92">
        <v>3203.4680542124238</v>
      </c>
      <c r="V92">
        <v>3176.6815100831927</v>
      </c>
      <c r="W92">
        <v>3151.3547741811976</v>
      </c>
      <c r="X92">
        <v>3127.3471541209015</v>
      </c>
      <c r="Y92">
        <v>3104.536694327765</v>
      </c>
      <c r="Z92">
        <v>3082.8170717145308</v>
      </c>
      <c r="AA92">
        <v>3062.0954891758456</v>
      </c>
      <c r="AB92">
        <v>3042.2901256080631</v>
      </c>
      <c r="AC92">
        <v>3023.3285837473891</v>
      </c>
      <c r="AD92">
        <v>3005.1465597454294</v>
      </c>
      <c r="AE92">
        <v>2987.6867344821508</v>
      </c>
    </row>
    <row r="93" spans="1:31">
      <c r="A93" t="s">
        <v>169</v>
      </c>
      <c r="B93" t="s">
        <v>139</v>
      </c>
      <c r="C93">
        <v>7297.1854158105343</v>
      </c>
      <c r="D93">
        <v>7060.0594314243835</v>
      </c>
      <c r="E93">
        <v>6891.7631776715689</v>
      </c>
      <c r="F93">
        <v>6762.2663138775206</v>
      </c>
      <c r="G93">
        <v>6657.5474967687433</v>
      </c>
      <c r="H93">
        <v>6569.9588922658768</v>
      </c>
      <c r="I93">
        <v>6077.9034052475045</v>
      </c>
      <c r="J93">
        <v>5595.3706529639821</v>
      </c>
      <c r="K93">
        <v>5120.3138882684243</v>
      </c>
      <c r="L93">
        <v>4615.7889980969239</v>
      </c>
      <c r="M93">
        <v>4124.4924073582988</v>
      </c>
      <c r="N93">
        <v>4060.0825684836782</v>
      </c>
      <c r="O93">
        <v>4003.3519395316871</v>
      </c>
      <c r="P93">
        <v>3952.7398217543355</v>
      </c>
      <c r="Q93">
        <v>3918.7920462881525</v>
      </c>
      <c r="R93">
        <v>3887.1794983369909</v>
      </c>
      <c r="S93">
        <v>3857.6170235938357</v>
      </c>
      <c r="T93">
        <v>3829.867806506672</v>
      </c>
      <c r="U93">
        <v>3803.7330594890018</v>
      </c>
      <c r="V93">
        <v>3779.0447055853679</v>
      </c>
      <c r="W93">
        <v>3755.6589480865182</v>
      </c>
      <c r="X93">
        <v>3733.4520575186475</v>
      </c>
      <c r="Y93">
        <v>3712.3171564509776</v>
      </c>
      <c r="Z93">
        <v>3692.1605608285217</v>
      </c>
      <c r="AA93">
        <v>3672.9004495476343</v>
      </c>
      <c r="AB93">
        <v>3654.4645362132246</v>
      </c>
      <c r="AC93">
        <v>3636.7887387143073</v>
      </c>
      <c r="AD93">
        <v>3619.8164031430742</v>
      </c>
      <c r="AE93">
        <v>3603.4963081582182</v>
      </c>
    </row>
    <row r="94" spans="1:31" hidden="1">
      <c r="A94" t="s">
        <v>169</v>
      </c>
      <c r="B94" t="s">
        <v>140</v>
      </c>
      <c r="C94">
        <v>8860.8680841047226</v>
      </c>
      <c r="D94">
        <v>8817.6098874720956</v>
      </c>
      <c r="E94">
        <v>8778.1970609733962</v>
      </c>
      <c r="F94">
        <v>8742.0241506153907</v>
      </c>
      <c r="G94">
        <v>8708.6168600818255</v>
      </c>
      <c r="H94">
        <v>8677.5966836168136</v>
      </c>
      <c r="I94">
        <v>8648.6571801221453</v>
      </c>
      <c r="J94">
        <v>8621.5464559020493</v>
      </c>
      <c r="K94">
        <v>7987.9565355390723</v>
      </c>
      <c r="L94">
        <v>7308.2617536963116</v>
      </c>
      <c r="M94">
        <v>6639.040849201102</v>
      </c>
      <c r="N94">
        <v>5977.7044834685648</v>
      </c>
      <c r="O94">
        <v>5322.5095787324235</v>
      </c>
      <c r="P94">
        <v>4672.228485831879</v>
      </c>
      <c r="Q94">
        <v>4643.8462084441517</v>
      </c>
      <c r="R94">
        <v>4617.3512490067742</v>
      </c>
      <c r="S94">
        <v>4592.5171027572123</v>
      </c>
      <c r="T94">
        <v>4569.1552928984556</v>
      </c>
      <c r="U94">
        <v>4547.1074989210065</v>
      </c>
      <c r="V94">
        <v>4526.2387936119449</v>
      </c>
      <c r="W94">
        <v>4506.4343169937947</v>
      </c>
      <c r="X94">
        <v>4487.5946198389556</v>
      </c>
      <c r="Y94">
        <v>4469.6335571643212</v>
      </c>
      <c r="Z94">
        <v>4452.4761817259005</v>
      </c>
      <c r="AA94">
        <v>4436.0559723012184</v>
      </c>
      <c r="AB94">
        <v>4420.3148336893109</v>
      </c>
      <c r="AC94">
        <v>4405.2009902053533</v>
      </c>
      <c r="AD94">
        <v>4390.6680987310192</v>
      </c>
      <c r="AE94">
        <v>4376.6750269770782</v>
      </c>
    </row>
    <row r="95" spans="1:31">
      <c r="C95">
        <f>AVERAGE(C75:C93)</f>
        <v>6866.6964522215312</v>
      </c>
      <c r="F95">
        <f>AVERAGE(F75:F93)</f>
        <v>6373.9253427291906</v>
      </c>
      <c r="K95">
        <f>AVERAGE(K75:K93)</f>
        <v>5100.1160903343998</v>
      </c>
    </row>
    <row r="96" spans="1:31">
      <c r="F96" s="13">
        <f>F95/$C$95</f>
        <v>0.92823752834845086</v>
      </c>
      <c r="K96" s="13">
        <f>K95/$C$95</f>
        <v>0.74273213121054704</v>
      </c>
    </row>
    <row r="98" spans="1:23">
      <c r="C98">
        <v>2030</v>
      </c>
      <c r="D98">
        <v>2031</v>
      </c>
      <c r="E98">
        <v>2032</v>
      </c>
      <c r="F98">
        <v>2033</v>
      </c>
      <c r="G98">
        <v>2034</v>
      </c>
      <c r="H98">
        <v>2035</v>
      </c>
      <c r="I98">
        <v>2036</v>
      </c>
      <c r="J98">
        <v>2037</v>
      </c>
      <c r="K98">
        <v>2038</v>
      </c>
      <c r="L98">
        <v>2039</v>
      </c>
      <c r="M98">
        <v>2040</v>
      </c>
      <c r="N98">
        <v>2041</v>
      </c>
      <c r="O98">
        <v>2042</v>
      </c>
      <c r="P98">
        <v>2043</v>
      </c>
      <c r="Q98">
        <v>2044</v>
      </c>
      <c r="R98">
        <v>2045</v>
      </c>
      <c r="S98">
        <v>2046</v>
      </c>
      <c r="T98">
        <v>2047</v>
      </c>
      <c r="U98">
        <v>2048</v>
      </c>
      <c r="V98">
        <v>2049</v>
      </c>
      <c r="W98">
        <v>2050</v>
      </c>
    </row>
    <row r="99" spans="1:23">
      <c r="A99" t="s">
        <v>170</v>
      </c>
      <c r="B99" t="s">
        <v>138</v>
      </c>
      <c r="C99">
        <v>5512.0167894839378</v>
      </c>
      <c r="D99">
        <v>4840.697694763131</v>
      </c>
      <c r="E99">
        <v>4462.9496155986353</v>
      </c>
      <c r="F99">
        <v>4206.1041908904008</v>
      </c>
      <c r="G99">
        <v>4014.2399114891523</v>
      </c>
      <c r="H99">
        <v>3862.5382636326108</v>
      </c>
      <c r="I99">
        <v>3531.5499473831769</v>
      </c>
      <c r="J99">
        <v>3314.0578126795249</v>
      </c>
      <c r="K99">
        <v>3154.6251792155267</v>
      </c>
      <c r="L99">
        <v>3030.0698444331078</v>
      </c>
      <c r="M99">
        <v>2928.6043585782249</v>
      </c>
      <c r="N99">
        <v>2843.4615176883931</v>
      </c>
      <c r="O99">
        <v>2770.4174458737934</v>
      </c>
      <c r="P99">
        <v>2706.668495344471</v>
      </c>
      <c r="Q99">
        <v>2650.2652616757664</v>
      </c>
      <c r="R99">
        <v>2599.7999340626779</v>
      </c>
      <c r="S99">
        <v>2554.2254684634349</v>
      </c>
      <c r="T99">
        <v>2512.7426123899863</v>
      </c>
      <c r="U99">
        <v>2474.7288380686628</v>
      </c>
      <c r="V99">
        <v>2439.6900036851698</v>
      </c>
      <c r="W99">
        <v>2407.2283123291018</v>
      </c>
    </row>
    <row r="100" spans="1:23">
      <c r="A100" t="s">
        <v>170</v>
      </c>
      <c r="B100" t="s">
        <v>139</v>
      </c>
      <c r="C100">
        <v>7989.7277739562005</v>
      </c>
      <c r="D100">
        <v>6864.2207307176022</v>
      </c>
      <c r="E100">
        <v>6037.6042943280172</v>
      </c>
      <c r="F100">
        <v>5758.7797033701881</v>
      </c>
      <c r="G100">
        <v>5548.2481276490171</v>
      </c>
      <c r="H100">
        <v>5380.3440165026987</v>
      </c>
      <c r="I100">
        <v>5009.2632485982704</v>
      </c>
      <c r="J100">
        <v>4761.604515582676</v>
      </c>
      <c r="K100">
        <v>4577.9692440078225</v>
      </c>
      <c r="L100">
        <v>4433.1979988462399</v>
      </c>
      <c r="M100">
        <v>4314.3731347740177</v>
      </c>
      <c r="N100">
        <v>4214.0199946276371</v>
      </c>
      <c r="O100">
        <v>4127.4415148880689</v>
      </c>
      <c r="P100">
        <v>4051.502772077426</v>
      </c>
      <c r="Q100">
        <v>3984.0121136525327</v>
      </c>
      <c r="R100">
        <v>3923.3802367397316</v>
      </c>
      <c r="S100">
        <v>3868.419404911715</v>
      </c>
      <c r="T100">
        <v>3818.2202730572349</v>
      </c>
      <c r="U100">
        <v>3772.0717293080243</v>
      </c>
      <c r="V100">
        <v>3729.4076780608098</v>
      </c>
      <c r="W100">
        <v>3689.7706750423667</v>
      </c>
    </row>
    <row r="101" spans="1:23">
      <c r="A101" t="s">
        <v>170</v>
      </c>
      <c r="B101" t="s">
        <v>140</v>
      </c>
      <c r="C101">
        <v>12503.108126132236</v>
      </c>
      <c r="D101">
        <v>11187.199494305933</v>
      </c>
      <c r="E101">
        <v>10160.048734983689</v>
      </c>
      <c r="F101">
        <v>9256.4063772707959</v>
      </c>
      <c r="G101">
        <v>8420.8778709686903</v>
      </c>
      <c r="H101">
        <v>7628.2875942191058</v>
      </c>
      <c r="I101">
        <v>7232.7581705493658</v>
      </c>
      <c r="J101">
        <v>6964.6265334984428</v>
      </c>
      <c r="K101">
        <v>6763.5120346370877</v>
      </c>
      <c r="L101">
        <v>6603.5082056094279</v>
      </c>
      <c r="M101">
        <v>6471.1836355166279</v>
      </c>
      <c r="N101">
        <v>6358.7040091189838</v>
      </c>
      <c r="O101">
        <v>6261.1139388168494</v>
      </c>
      <c r="P101">
        <v>6175.0864765367915</v>
      </c>
      <c r="Q101">
        <v>6098.2838447835929</v>
      </c>
      <c r="R101">
        <v>6029.0029893931651</v>
      </c>
      <c r="S101">
        <v>5965.9660376817446</v>
      </c>
      <c r="T101">
        <v>5908.1906929307679</v>
      </c>
      <c r="U101">
        <v>5854.906085040443</v>
      </c>
      <c r="V101">
        <v>5805.496781834162</v>
      </c>
      <c r="W101">
        <v>5759.463763274649</v>
      </c>
    </row>
    <row r="102" spans="1:23">
      <c r="A102" t="s">
        <v>171</v>
      </c>
      <c r="B102" t="s">
        <v>138</v>
      </c>
      <c r="C102">
        <v>5864.720071861032</v>
      </c>
      <c r="D102">
        <v>5150.4444542515257</v>
      </c>
      <c r="E102">
        <v>4748.5251128194432</v>
      </c>
      <c r="F102">
        <v>4475.2446222801718</v>
      </c>
      <c r="G102">
        <v>4271.1032969274547</v>
      </c>
      <c r="H102">
        <v>4109.6946505498063</v>
      </c>
      <c r="I102">
        <v>3757.5269748823489</v>
      </c>
      <c r="J102">
        <v>3526.1180460931946</v>
      </c>
      <c r="K102">
        <v>3356.4836070815704</v>
      </c>
      <c r="L102">
        <v>3223.9581428968927</v>
      </c>
      <c r="M102">
        <v>3116.0001857283514</v>
      </c>
      <c r="N102">
        <v>3025.4091458490307</v>
      </c>
      <c r="O102">
        <v>2947.6909603371537</v>
      </c>
      <c r="P102">
        <v>2879.8629284456028</v>
      </c>
      <c r="Q102">
        <v>2819.8504749827575</v>
      </c>
      <c r="R102">
        <v>2766.15609636198</v>
      </c>
      <c r="S102">
        <v>2717.6653403693886</v>
      </c>
      <c r="T102">
        <v>2673.5281766504431</v>
      </c>
      <c r="U102">
        <v>2633.0819429605799</v>
      </c>
      <c r="V102">
        <v>2595.8011216422369</v>
      </c>
      <c r="W102">
        <v>2561.2621942456512</v>
      </c>
    </row>
    <row r="103" spans="1:23">
      <c r="A103" t="s">
        <v>171</v>
      </c>
      <c r="B103" t="s">
        <v>139</v>
      </c>
      <c r="C103">
        <v>8500.9751880024214</v>
      </c>
      <c r="D103">
        <v>7303.4489432501705</v>
      </c>
      <c r="E103">
        <v>6423.9389328897159</v>
      </c>
      <c r="F103">
        <v>6127.2729065890044</v>
      </c>
      <c r="G103">
        <v>5903.2697854981043</v>
      </c>
      <c r="H103">
        <v>5724.6219425783902</v>
      </c>
      <c r="I103">
        <v>5329.7964243111501</v>
      </c>
      <c r="J103">
        <v>5066.290451333799</v>
      </c>
      <c r="K103">
        <v>4870.904649283375</v>
      </c>
      <c r="L103">
        <v>4716.869769548488</v>
      </c>
      <c r="M103">
        <v>4590.4416406159608</v>
      </c>
      <c r="N103">
        <v>4483.6669851265642</v>
      </c>
      <c r="O103">
        <v>4391.5485071104904</v>
      </c>
      <c r="P103">
        <v>4310.750610735382</v>
      </c>
      <c r="Q103">
        <v>4238.9413945473452</v>
      </c>
      <c r="R103">
        <v>4174.4296673336312</v>
      </c>
      <c r="S103">
        <v>4115.9520802107172</v>
      </c>
      <c r="T103">
        <v>4062.5408602602788</v>
      </c>
      <c r="U103">
        <v>4013.4393285766537</v>
      </c>
      <c r="V103">
        <v>3968.0453572277279</v>
      </c>
      <c r="W103">
        <v>3925.8720108649786</v>
      </c>
    </row>
    <row r="104" spans="1:23">
      <c r="A104" t="s">
        <v>171</v>
      </c>
      <c r="B104" t="s">
        <v>140</v>
      </c>
      <c r="C104">
        <v>13303.157760164167</v>
      </c>
      <c r="D104">
        <v>11903.046897533843</v>
      </c>
      <c r="E104">
        <v>10810.170620425106</v>
      </c>
      <c r="F104">
        <v>9848.7059096306875</v>
      </c>
      <c r="G104">
        <v>8959.7135207436859</v>
      </c>
      <c r="H104">
        <v>8116.4069096348694</v>
      </c>
      <c r="I104">
        <v>7695.5683781870885</v>
      </c>
      <c r="J104">
        <v>7410.2795874351541</v>
      </c>
      <c r="K104">
        <v>7196.2961146109983</v>
      </c>
      <c r="L104">
        <v>7026.0538933633516</v>
      </c>
      <c r="M104">
        <v>6885.2621694676927</v>
      </c>
      <c r="N104">
        <v>6765.5852794042567</v>
      </c>
      <c r="O104">
        <v>6661.7505293421864</v>
      </c>
      <c r="P104">
        <v>6570.2183250335338</v>
      </c>
      <c r="Q104">
        <v>6488.5013271012167</v>
      </c>
      <c r="R104">
        <v>6414.7871648388755</v>
      </c>
      <c r="S104">
        <v>6347.7165879339182</v>
      </c>
      <c r="T104">
        <v>6286.2443262438373</v>
      </c>
      <c r="U104">
        <v>6229.5501730955039</v>
      </c>
      <c r="V104">
        <v>6176.9793379223447</v>
      </c>
      <c r="W104">
        <v>6128.0006487628916</v>
      </c>
    </row>
    <row r="105" spans="1:23">
      <c r="A105" t="s">
        <v>172</v>
      </c>
      <c r="B105" t="s">
        <v>138</v>
      </c>
      <c r="C105">
        <v>6033.9595965485569</v>
      </c>
      <c r="D105">
        <v>5299.0719346800415</v>
      </c>
      <c r="E105">
        <v>4885.5542855031545</v>
      </c>
      <c r="F105">
        <v>4604.3877040393527</v>
      </c>
      <c r="G105">
        <v>4394.3553700928651</v>
      </c>
      <c r="H105">
        <v>4228.288907717445</v>
      </c>
      <c r="I105">
        <v>3865.9586740236232</v>
      </c>
      <c r="J105">
        <v>3627.8719014475109</v>
      </c>
      <c r="K105">
        <v>3453.3423874112859</v>
      </c>
      <c r="L105">
        <v>3316.9926181464625</v>
      </c>
      <c r="M105">
        <v>3205.9192503919612</v>
      </c>
      <c r="N105">
        <v>3112.7141482067409</v>
      </c>
      <c r="O105">
        <v>3032.7530888103815</v>
      </c>
      <c r="P105">
        <v>2962.967669947474</v>
      </c>
      <c r="Q105">
        <v>2901.2234473261701</v>
      </c>
      <c r="R105">
        <v>2845.979678565222</v>
      </c>
      <c r="S105">
        <v>2796.0896486578472</v>
      </c>
      <c r="T105">
        <v>2750.678714397191</v>
      </c>
      <c r="U105">
        <v>2709.0653658589858</v>
      </c>
      <c r="V105">
        <v>2670.7086746357977</v>
      </c>
      <c r="W105">
        <v>2635.1729267204091</v>
      </c>
    </row>
    <row r="106" spans="1:23">
      <c r="A106" t="s">
        <v>172</v>
      </c>
      <c r="B106" t="s">
        <v>139</v>
      </c>
      <c r="C106">
        <v>8746.2894914005537</v>
      </c>
      <c r="D106">
        <v>7514.206025915536</v>
      </c>
      <c r="E106">
        <v>6609.3158409376956</v>
      </c>
      <c r="F106">
        <v>6304.0888659104348</v>
      </c>
      <c r="G106">
        <v>6073.6216558941333</v>
      </c>
      <c r="H106">
        <v>5889.8185291012305</v>
      </c>
      <c r="I106">
        <v>5483.5992558482985</v>
      </c>
      <c r="J106">
        <v>5212.4893527984204</v>
      </c>
      <c r="K106">
        <v>5011.4653227996341</v>
      </c>
      <c r="L106">
        <v>4852.9854949788996</v>
      </c>
      <c r="M106">
        <v>4722.9088987309724</v>
      </c>
      <c r="N106">
        <v>4613.0530910851912</v>
      </c>
      <c r="O106">
        <v>4518.276314150271</v>
      </c>
      <c r="P106">
        <v>4435.1467380586746</v>
      </c>
      <c r="Q106">
        <v>4361.2653857905107</v>
      </c>
      <c r="R106">
        <v>4294.8921730345091</v>
      </c>
      <c r="S106">
        <v>4234.7270533660821</v>
      </c>
      <c r="T106">
        <v>4179.774425822171</v>
      </c>
      <c r="U106">
        <v>4129.2559920998065</v>
      </c>
      <c r="V106">
        <v>4082.5519961429209</v>
      </c>
      <c r="W106">
        <v>4039.1616440149724</v>
      </c>
    </row>
    <row r="107" spans="1:23">
      <c r="A107" t="s">
        <v>172</v>
      </c>
      <c r="B107" t="s">
        <v>140</v>
      </c>
      <c r="C107">
        <v>13687.049628567844</v>
      </c>
      <c r="D107">
        <v>12246.535438436153</v>
      </c>
      <c r="E107">
        <v>11122.122004095059</v>
      </c>
      <c r="F107">
        <v>10132.912067486825</v>
      </c>
      <c r="G107">
        <v>9218.2657691519507</v>
      </c>
      <c r="H107">
        <v>8350.6238100934406</v>
      </c>
      <c r="I107">
        <v>7917.6409425330312</v>
      </c>
      <c r="J107">
        <v>7624.1194852874632</v>
      </c>
      <c r="K107">
        <v>7403.9610691182688</v>
      </c>
      <c r="L107">
        <v>7228.8061447220653</v>
      </c>
      <c r="M107">
        <v>7083.9515262949808</v>
      </c>
      <c r="N107">
        <v>6960.8210760979982</v>
      </c>
      <c r="O107">
        <v>6853.9899884382003</v>
      </c>
      <c r="P107">
        <v>6759.816448122433</v>
      </c>
      <c r="Q107">
        <v>6675.7412728533409</v>
      </c>
      <c r="R107">
        <v>6599.8999836336261</v>
      </c>
      <c r="S107">
        <v>6530.8939717607282</v>
      </c>
      <c r="T107">
        <v>6467.6478108046213</v>
      </c>
      <c r="U107">
        <v>6409.3175681894891</v>
      </c>
      <c r="V107">
        <v>6355.2296056690629</v>
      </c>
      <c r="W107">
        <v>6304.8376731381068</v>
      </c>
    </row>
    <row r="108" spans="1:23">
      <c r="A108" t="s">
        <v>173</v>
      </c>
      <c r="B108" t="s">
        <v>138</v>
      </c>
      <c r="C108">
        <v>6220.1357570845867</v>
      </c>
      <c r="D108">
        <v>5462.5734495854904</v>
      </c>
      <c r="E108">
        <v>5036.2968082002953</v>
      </c>
      <c r="F108">
        <v>4746.4548615072854</v>
      </c>
      <c r="G108">
        <v>4529.9421409358883</v>
      </c>
      <c r="H108">
        <v>4358.7517705305509</v>
      </c>
      <c r="I108">
        <v>3985.2419801874098</v>
      </c>
      <c r="J108">
        <v>3739.8089364071589</v>
      </c>
      <c r="K108">
        <v>3559.8943076740925</v>
      </c>
      <c r="L108">
        <v>3419.3375145624777</v>
      </c>
      <c r="M108">
        <v>3304.8369734260127</v>
      </c>
      <c r="N108">
        <v>3208.7561587931546</v>
      </c>
      <c r="O108">
        <v>3126.3279381238644</v>
      </c>
      <c r="P108">
        <v>3054.389338158112</v>
      </c>
      <c r="Q108">
        <v>2990.7400585937999</v>
      </c>
      <c r="R108">
        <v>2933.7916835069036</v>
      </c>
      <c r="S108">
        <v>2882.3622416427306</v>
      </c>
      <c r="T108">
        <v>2835.5501486993212</v>
      </c>
      <c r="U108">
        <v>2792.6528296986248</v>
      </c>
      <c r="V108">
        <v>2753.1127259275881</v>
      </c>
      <c r="W108">
        <v>2716.4804865283863</v>
      </c>
    </row>
    <row r="109" spans="1:23">
      <c r="A109" t="s">
        <v>173</v>
      </c>
      <c r="B109" t="s">
        <v>139</v>
      </c>
      <c r="C109">
        <v>9016.1541171656809</v>
      </c>
      <c r="D109">
        <v>7746.0548817226645</v>
      </c>
      <c r="E109">
        <v>6813.2446309846018</v>
      </c>
      <c r="F109">
        <v>6498.5999138852994</v>
      </c>
      <c r="G109">
        <v>6261.0218069237199</v>
      </c>
      <c r="H109">
        <v>6071.5474133086263</v>
      </c>
      <c r="I109">
        <v>5652.7944330541732</v>
      </c>
      <c r="J109">
        <v>5373.3193754092317</v>
      </c>
      <c r="K109">
        <v>5166.0929066267827</v>
      </c>
      <c r="L109">
        <v>5002.723103741836</v>
      </c>
      <c r="M109">
        <v>4868.6330604045233</v>
      </c>
      <c r="N109">
        <v>4755.3876638674765</v>
      </c>
      <c r="O109">
        <v>4657.6866139925105</v>
      </c>
      <c r="P109">
        <v>4571.9922012996485</v>
      </c>
      <c r="Q109">
        <v>4495.831055868528</v>
      </c>
      <c r="R109">
        <v>4427.4098764098981</v>
      </c>
      <c r="S109">
        <v>4365.3883711595736</v>
      </c>
      <c r="T109">
        <v>4308.740228523453</v>
      </c>
      <c r="U109">
        <v>4256.6630916897711</v>
      </c>
      <c r="V109">
        <v>4208.5181351853507</v>
      </c>
      <c r="W109">
        <v>4163.7889325863698</v>
      </c>
    </row>
    <row r="110" spans="1:23">
      <c r="A110" t="s">
        <v>173</v>
      </c>
      <c r="B110" t="s">
        <v>140</v>
      </c>
      <c r="C110">
        <v>14109.360163800315</v>
      </c>
      <c r="D110">
        <v>12624.399264527756</v>
      </c>
      <c r="E110">
        <v>11465.292240947821</v>
      </c>
      <c r="F110">
        <v>10445.560482699622</v>
      </c>
      <c r="G110">
        <v>9502.6929992041169</v>
      </c>
      <c r="H110">
        <v>8608.2801285036585</v>
      </c>
      <c r="I110">
        <v>8161.9376929646878</v>
      </c>
      <c r="J110">
        <v>7859.3597038851249</v>
      </c>
      <c r="K110">
        <v>7632.4084730827899</v>
      </c>
      <c r="L110">
        <v>7451.8491428352281</v>
      </c>
      <c r="M110">
        <v>7302.525074338685</v>
      </c>
      <c r="N110">
        <v>7175.5953753886879</v>
      </c>
      <c r="O110">
        <v>7065.4681611552041</v>
      </c>
      <c r="P110">
        <v>6968.3888629729818</v>
      </c>
      <c r="Q110">
        <v>6881.7195817647334</v>
      </c>
      <c r="R110">
        <v>6803.5382976757191</v>
      </c>
      <c r="S110">
        <v>6732.4030523400688</v>
      </c>
      <c r="T110">
        <v>6667.2053804539228</v>
      </c>
      <c r="U110">
        <v>6607.0754061647049</v>
      </c>
      <c r="V110">
        <v>6551.3186479097631</v>
      </c>
      <c r="W110">
        <v>6499.371892672134</v>
      </c>
    </row>
    <row r="111" spans="1:23">
      <c r="A111" t="s">
        <v>174</v>
      </c>
      <c r="B111" t="s">
        <v>138</v>
      </c>
      <c r="C111">
        <v>6477.9109267456279</v>
      </c>
      <c r="D111">
        <v>5688.9537065615705</v>
      </c>
      <c r="E111">
        <v>5245.0112458608301</v>
      </c>
      <c r="F111">
        <v>4943.1576728940308</v>
      </c>
      <c r="G111">
        <v>4717.6722372289569</v>
      </c>
      <c r="H111">
        <v>4539.3872675778484</v>
      </c>
      <c r="I111">
        <v>4150.3985431080609</v>
      </c>
      <c r="J111">
        <v>3894.794293542524</v>
      </c>
      <c r="K111">
        <v>3707.4236335882342</v>
      </c>
      <c r="L111">
        <v>3561.0419096305077</v>
      </c>
      <c r="M111">
        <v>3441.7961879574204</v>
      </c>
      <c r="N111">
        <v>3341.7335238158525</v>
      </c>
      <c r="O111">
        <v>3255.8894383724191</v>
      </c>
      <c r="P111">
        <v>3180.9694680839957</v>
      </c>
      <c r="Q111">
        <v>3114.6824003111019</v>
      </c>
      <c r="R111">
        <v>3055.3739631194612</v>
      </c>
      <c r="S111">
        <v>3001.8131812871566</v>
      </c>
      <c r="T111">
        <v>2953.0611077589379</v>
      </c>
      <c r="U111">
        <v>2908.3861199562743</v>
      </c>
      <c r="V111">
        <v>2867.2073767382462</v>
      </c>
      <c r="W111">
        <v>2829.0571230421419</v>
      </c>
    </row>
    <row r="112" spans="1:23">
      <c r="A112" t="s">
        <v>174</v>
      </c>
      <c r="B112" t="s">
        <v>139</v>
      </c>
      <c r="C112">
        <v>9389.8019390454592</v>
      </c>
      <c r="D112">
        <v>8067.06723197478</v>
      </c>
      <c r="E112">
        <v>7095.5993923505293</v>
      </c>
      <c r="F112">
        <v>6767.91518522148</v>
      </c>
      <c r="G112">
        <v>6520.4912721212258</v>
      </c>
      <c r="H112">
        <v>6323.1647134050636</v>
      </c>
      <c r="I112">
        <v>5887.0577874997725</v>
      </c>
      <c r="J112">
        <v>5596.0007198095336</v>
      </c>
      <c r="K112">
        <v>5380.1863612054312</v>
      </c>
      <c r="L112">
        <v>5210.0461391655817</v>
      </c>
      <c r="M112">
        <v>5070.3992455087346</v>
      </c>
      <c r="N112">
        <v>4952.4606658573002</v>
      </c>
      <c r="O112">
        <v>4850.7106909076283</v>
      </c>
      <c r="P112">
        <v>4761.4649318841803</v>
      </c>
      <c r="Q112">
        <v>4682.1475761839811</v>
      </c>
      <c r="R112">
        <v>4610.8908187486077</v>
      </c>
      <c r="S112">
        <v>4546.2989334618105</v>
      </c>
      <c r="T112">
        <v>4487.303256884511</v>
      </c>
      <c r="U112">
        <v>4433.0679498562995</v>
      </c>
      <c r="V112">
        <v>4382.9276892837115</v>
      </c>
      <c r="W112">
        <v>4336.3448728204357</v>
      </c>
    </row>
    <row r="113" spans="1:23">
      <c r="A113" t="s">
        <v>174</v>
      </c>
      <c r="B113" t="s">
        <v>140</v>
      </c>
      <c r="C113">
        <v>14694.080933283514</v>
      </c>
      <c r="D113">
        <v>13147.58014241136</v>
      </c>
      <c r="E113">
        <v>11940.437368000568</v>
      </c>
      <c r="F113">
        <v>10878.445896669104</v>
      </c>
      <c r="G113">
        <v>9896.504068828599</v>
      </c>
      <c r="H113">
        <v>8965.0249077522822</v>
      </c>
      <c r="I113">
        <v>8500.185248485519</v>
      </c>
      <c r="J113">
        <v>8185.0677872318201</v>
      </c>
      <c r="K113">
        <v>7948.7110099149013</v>
      </c>
      <c r="L113">
        <v>7760.6690399571235</v>
      </c>
      <c r="M113">
        <v>7605.1566130023402</v>
      </c>
      <c r="N113">
        <v>7472.9668592537591</v>
      </c>
      <c r="O113">
        <v>7358.2756239461951</v>
      </c>
      <c r="P113">
        <v>7257.1731222286226</v>
      </c>
      <c r="Q113">
        <v>7166.9121384814871</v>
      </c>
      <c r="R113">
        <v>7085.4908273830752</v>
      </c>
      <c r="S113">
        <v>7011.4076940733994</v>
      </c>
      <c r="T113">
        <v>6943.5080409989832</v>
      </c>
      <c r="U113">
        <v>6880.8861817158131</v>
      </c>
      <c r="V113">
        <v>6822.8186979294624</v>
      </c>
      <c r="W113">
        <v>6768.7190941951021</v>
      </c>
    </row>
    <row r="114" spans="1:23">
      <c r="A114" t="s">
        <v>175</v>
      </c>
      <c r="B114" t="s">
        <v>138</v>
      </c>
      <c r="C114">
        <v>7216.930332610832</v>
      </c>
      <c r="D114">
        <v>6337.9665723556091</v>
      </c>
      <c r="E114">
        <v>5843.3778463166454</v>
      </c>
      <c r="F114">
        <v>5507.0878995045778</v>
      </c>
      <c r="G114">
        <v>5255.8783745019191</v>
      </c>
      <c r="H114">
        <v>5057.2540976039545</v>
      </c>
      <c r="I114">
        <v>4623.8882895394909</v>
      </c>
      <c r="J114">
        <v>4339.1240186267787</v>
      </c>
      <c r="K114">
        <v>4130.3775399107517</v>
      </c>
      <c r="L114">
        <v>3967.2961065252402</v>
      </c>
      <c r="M114">
        <v>3834.4466839871043</v>
      </c>
      <c r="N114">
        <v>3722.9684237251327</v>
      </c>
      <c r="O114">
        <v>3627.330973040077</v>
      </c>
      <c r="P114">
        <v>3543.8639126131193</v>
      </c>
      <c r="Q114">
        <v>3470.0147122691515</v>
      </c>
      <c r="R114">
        <v>3403.9401798020685</v>
      </c>
      <c r="S114">
        <v>3344.2690910792294</v>
      </c>
      <c r="T114">
        <v>3289.9552890084965</v>
      </c>
      <c r="U114">
        <v>3240.1834451397208</v>
      </c>
      <c r="V114">
        <v>3194.3069731904361</v>
      </c>
      <c r="W114">
        <v>3151.804346776431</v>
      </c>
    </row>
    <row r="115" spans="1:23">
      <c r="A115" t="s">
        <v>175</v>
      </c>
      <c r="B115" t="s">
        <v>139</v>
      </c>
      <c r="C115">
        <v>10461.018573509895</v>
      </c>
      <c r="D115">
        <v>8987.38246888906</v>
      </c>
      <c r="E115">
        <v>7905.0866139525415</v>
      </c>
      <c r="F115">
        <v>7540.0190319538306</v>
      </c>
      <c r="G115">
        <v>7264.3683902577404</v>
      </c>
      <c r="H115">
        <v>7044.5302737747679</v>
      </c>
      <c r="I115">
        <v>6558.6709060239227</v>
      </c>
      <c r="J115">
        <v>6234.4092157912637</v>
      </c>
      <c r="K115">
        <v>5993.9740223243398</v>
      </c>
      <c r="L115">
        <v>5804.4236836469199</v>
      </c>
      <c r="M115">
        <v>5648.8455115505894</v>
      </c>
      <c r="N115">
        <v>5517.4521277037484</v>
      </c>
      <c r="O115">
        <v>5404.0941994320128</v>
      </c>
      <c r="P115">
        <v>5304.6670347025001</v>
      </c>
      <c r="Q115">
        <v>5216.300907977592</v>
      </c>
      <c r="R115">
        <v>5136.915035418242</v>
      </c>
      <c r="S115">
        <v>5064.9543725803687</v>
      </c>
      <c r="T115">
        <v>4999.2281895816504</v>
      </c>
      <c r="U115">
        <v>4938.8056327822405</v>
      </c>
      <c r="V115">
        <v>4882.9451014202377</v>
      </c>
      <c r="W115">
        <v>4831.0480153620574</v>
      </c>
    </row>
    <row r="116" spans="1:23">
      <c r="A116" t="s">
        <v>175</v>
      </c>
      <c r="B116" t="s">
        <v>140</v>
      </c>
      <c r="C116">
        <v>16370.425496124932</v>
      </c>
      <c r="D116">
        <v>14647.495345102636</v>
      </c>
      <c r="E116">
        <v>13302.638007679221</v>
      </c>
      <c r="F116">
        <v>12119.491433852201</v>
      </c>
      <c r="G116">
        <v>11025.526758675054</v>
      </c>
      <c r="H116">
        <v>9987.781718592576</v>
      </c>
      <c r="I116">
        <v>9469.911673374052</v>
      </c>
      <c r="J116">
        <v>9118.8447022011642</v>
      </c>
      <c r="K116">
        <v>8855.5236582222969</v>
      </c>
      <c r="L116">
        <v>8646.029370096936</v>
      </c>
      <c r="M116">
        <v>8472.7756222390963</v>
      </c>
      <c r="N116">
        <v>8325.5051747490907</v>
      </c>
      <c r="O116">
        <v>8197.7296584553133</v>
      </c>
      <c r="P116">
        <v>8085.0931528413284</v>
      </c>
      <c r="Q116">
        <v>7984.5347947236105</v>
      </c>
      <c r="R116">
        <v>7893.8247927247612</v>
      </c>
      <c r="S116">
        <v>7811.2899163621014</v>
      </c>
      <c r="T116">
        <v>7735.6440886677601</v>
      </c>
      <c r="U116">
        <v>7665.8781826967797</v>
      </c>
      <c r="V116">
        <v>7601.1862938388595</v>
      </c>
      <c r="W116">
        <v>7540.9147402144699</v>
      </c>
    </row>
    <row r="117" spans="1:23">
      <c r="A117" t="s">
        <v>176</v>
      </c>
      <c r="B117" t="s">
        <v>138</v>
      </c>
      <c r="C117">
        <v>7842.3824900909085</v>
      </c>
      <c r="D117">
        <v>6887.2436149478444</v>
      </c>
      <c r="E117">
        <v>6349.7916066003527</v>
      </c>
      <c r="F117">
        <v>5984.3572709283917</v>
      </c>
      <c r="G117">
        <v>5711.3766802337832</v>
      </c>
      <c r="H117">
        <v>5495.5389283331097</v>
      </c>
      <c r="I117">
        <v>5024.6155706648042</v>
      </c>
      <c r="J117">
        <v>4715.1723696883091</v>
      </c>
      <c r="K117">
        <v>4488.3348901764102</v>
      </c>
      <c r="L117">
        <v>4311.1202469949403</v>
      </c>
      <c r="M117">
        <v>4166.7573312706572</v>
      </c>
      <c r="N117">
        <v>4045.6178612623817</v>
      </c>
      <c r="O117">
        <v>3941.6919771255193</v>
      </c>
      <c r="P117">
        <v>3850.9913989665206</v>
      </c>
      <c r="Q117">
        <v>3770.7419700707283</v>
      </c>
      <c r="R117">
        <v>3698.9410690355021</v>
      </c>
      <c r="S117">
        <v>3634.0986204773776</v>
      </c>
      <c r="T117">
        <v>3575.0776658355376</v>
      </c>
      <c r="U117">
        <v>3520.9925859014174</v>
      </c>
      <c r="V117">
        <v>3471.140140484742</v>
      </c>
      <c r="W117">
        <v>3424.9541231135358</v>
      </c>
    </row>
    <row r="118" spans="1:23">
      <c r="A118" t="s">
        <v>176</v>
      </c>
      <c r="B118" t="s">
        <v>139</v>
      </c>
      <c r="C118">
        <v>11367.618243036664</v>
      </c>
      <c r="D118">
        <v>9766.2699281521072</v>
      </c>
      <c r="E118">
        <v>8590.1773756251478</v>
      </c>
      <c r="F118">
        <v>8193.4716350046219</v>
      </c>
      <c r="G118">
        <v>7893.9317810242437</v>
      </c>
      <c r="H118">
        <v>7655.0414320806212</v>
      </c>
      <c r="I118">
        <v>7127.075239189503</v>
      </c>
      <c r="J118">
        <v>6774.7116585218537</v>
      </c>
      <c r="K118">
        <v>6513.4392464578395</v>
      </c>
      <c r="L118">
        <v>6307.4616027586726</v>
      </c>
      <c r="M118">
        <v>6138.400244078679</v>
      </c>
      <c r="N118">
        <v>5995.6197573683967</v>
      </c>
      <c r="O118">
        <v>5872.4377532239951</v>
      </c>
      <c r="P118">
        <v>5764.393651072347</v>
      </c>
      <c r="Q118">
        <v>5668.3693794785931</v>
      </c>
      <c r="R118">
        <v>5582.1035494846619</v>
      </c>
      <c r="S118">
        <v>5503.9065220396624</v>
      </c>
      <c r="T118">
        <v>5432.4842376290289</v>
      </c>
      <c r="U118">
        <v>5366.8250193276035</v>
      </c>
      <c r="V118">
        <v>5306.1234059999069</v>
      </c>
      <c r="W118">
        <v>5249.7287092214201</v>
      </c>
    </row>
    <row r="119" spans="1:23">
      <c r="A119" t="s">
        <v>176</v>
      </c>
      <c r="B119" t="s">
        <v>140</v>
      </c>
      <c r="C119">
        <v>17789.161303230201</v>
      </c>
      <c r="D119">
        <v>15916.914179308425</v>
      </c>
      <c r="E119">
        <v>14455.50545145961</v>
      </c>
      <c r="F119">
        <v>13169.821956621028</v>
      </c>
      <c r="G119">
        <v>11981.049239534395</v>
      </c>
      <c r="H119">
        <v>10853.368393613986</v>
      </c>
      <c r="I119">
        <v>10290.617366540531</v>
      </c>
      <c r="J119">
        <v>9909.1253621063806</v>
      </c>
      <c r="K119">
        <v>9622.9838801510086</v>
      </c>
      <c r="L119">
        <v>9395.3337330378581</v>
      </c>
      <c r="M119">
        <v>9207.065036580143</v>
      </c>
      <c r="N119">
        <v>9047.0314947397783</v>
      </c>
      <c r="O119">
        <v>8908.1823014091224</v>
      </c>
      <c r="P119">
        <v>8785.7841390028971</v>
      </c>
      <c r="Q119">
        <v>8676.5110572660051</v>
      </c>
      <c r="R119">
        <v>8577.939688063645</v>
      </c>
      <c r="S119">
        <v>8488.2518955168434</v>
      </c>
      <c r="T119">
        <v>8406.0504013474929</v>
      </c>
      <c r="U119">
        <v>8330.2381597282583</v>
      </c>
      <c r="V119">
        <v>8259.9396405026528</v>
      </c>
      <c r="W119">
        <v>8194.4448404894465</v>
      </c>
    </row>
  </sheetData>
  <autoFilter ref="A73:AE94" xr:uid="{A0C82F8C-7E97-4864-A378-98429CEF62A0}">
    <filterColumn colId="1">
      <filters>
        <filter val="Moderate"/>
      </filters>
    </filterColumn>
  </autoFilter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D4258-2D2A-48A5-ADED-18950B967DD4}">
  <dimension ref="A1:AF119"/>
  <sheetViews>
    <sheetView topLeftCell="A34" workbookViewId="0">
      <selection activeCell="C57" sqref="C57"/>
    </sheetView>
  </sheetViews>
  <sheetFormatPr defaultColWidth="8.81640625" defaultRowHeight="14.5"/>
  <cols>
    <col min="1" max="1" width="26.81640625" style="17" bestFit="1" customWidth="1"/>
    <col min="2" max="32" width="11.1796875" bestFit="1" customWidth="1"/>
  </cols>
  <sheetData>
    <row r="1" spans="1:32">
      <c r="B1" s="17"/>
      <c r="C1" s="17"/>
    </row>
    <row r="2" spans="1:32">
      <c r="A2" s="17" t="s">
        <v>39</v>
      </c>
      <c r="B2" s="20">
        <v>2020</v>
      </c>
      <c r="C2" s="20">
        <v>2021</v>
      </c>
      <c r="D2" s="20">
        <v>2022</v>
      </c>
      <c r="E2" s="20">
        <v>2023</v>
      </c>
      <c r="F2" s="20">
        <v>2024</v>
      </c>
      <c r="G2" s="20">
        <v>2025</v>
      </c>
      <c r="H2" s="20">
        <v>2026</v>
      </c>
      <c r="I2" s="20">
        <v>2027</v>
      </c>
      <c r="J2" s="20">
        <v>2028</v>
      </c>
      <c r="K2" s="20">
        <v>2029</v>
      </c>
      <c r="L2" s="20">
        <v>2030</v>
      </c>
      <c r="M2" s="20">
        <v>2031</v>
      </c>
      <c r="N2" s="20">
        <v>2032</v>
      </c>
      <c r="O2" s="20">
        <v>2033</v>
      </c>
      <c r="P2" s="20">
        <v>2034</v>
      </c>
      <c r="Q2" s="20">
        <v>2035</v>
      </c>
      <c r="R2" s="20">
        <v>2036</v>
      </c>
      <c r="S2" s="20">
        <v>2037</v>
      </c>
      <c r="T2" s="20">
        <v>2038</v>
      </c>
      <c r="U2" s="20">
        <v>2039</v>
      </c>
      <c r="V2" s="20">
        <v>2040</v>
      </c>
      <c r="W2" s="20">
        <v>2041</v>
      </c>
      <c r="X2" s="20">
        <v>2042</v>
      </c>
      <c r="Y2" s="20">
        <v>2043</v>
      </c>
      <c r="Z2" s="20">
        <v>2044</v>
      </c>
      <c r="AA2" s="20">
        <v>2045</v>
      </c>
      <c r="AB2" s="20">
        <v>2046</v>
      </c>
      <c r="AC2" s="20">
        <v>2047</v>
      </c>
      <c r="AD2" s="20">
        <v>2048</v>
      </c>
      <c r="AE2" s="20">
        <v>2049</v>
      </c>
      <c r="AF2" s="20">
        <v>2050</v>
      </c>
    </row>
    <row r="3" spans="1:32">
      <c r="A3" t="s">
        <v>16</v>
      </c>
      <c r="B3" s="21">
        <f>KRW!B3</f>
        <v>1438461</v>
      </c>
      <c r="C3" s="21">
        <f>B3+($L3-$B3)/($L$2-$B$2)</f>
        <v>1490860</v>
      </c>
      <c r="D3" s="21">
        <f t="shared" ref="D3:K6" si="0">C3+($L3-$B3)/($L$2-$B$2)</f>
        <v>1543259</v>
      </c>
      <c r="E3" s="21">
        <f t="shared" si="0"/>
        <v>1595658</v>
      </c>
      <c r="F3" s="21">
        <f t="shared" si="0"/>
        <v>1648057</v>
      </c>
      <c r="G3" s="21">
        <f t="shared" si="0"/>
        <v>1700456</v>
      </c>
      <c r="H3" s="21">
        <f t="shared" si="0"/>
        <v>1752855</v>
      </c>
      <c r="I3" s="21">
        <f t="shared" si="0"/>
        <v>1805254</v>
      </c>
      <c r="J3" s="21">
        <f t="shared" si="0"/>
        <v>1857653</v>
      </c>
      <c r="K3" s="21">
        <f t="shared" si="0"/>
        <v>1910052</v>
      </c>
      <c r="L3" s="21">
        <f>KRW!D3</f>
        <v>1962451</v>
      </c>
      <c r="M3" s="21" cm="1">
        <f t="array" ref="M3">TREND($B3:$L3,$B$2:$L$2,M$2)</f>
        <v>2014850</v>
      </c>
      <c r="N3" s="21" cm="1">
        <f t="array" ref="N3">TREND($B3:$L3,$B$2:$L$2,N$2)</f>
        <v>2067249</v>
      </c>
      <c r="O3" s="21" cm="1">
        <f t="array" ref="O3">TREND($B3:$L3,$B$2:$L$2,O$2)</f>
        <v>2119648</v>
      </c>
      <c r="P3" s="21" cm="1">
        <f t="array" ref="P3">TREND($B3:$L3,$B$2:$L$2,P$2)</f>
        <v>2172047</v>
      </c>
      <c r="Q3" s="21" cm="1">
        <f t="array" ref="Q3">TREND($B3:$L3,$B$2:$L$2,Q$2)</f>
        <v>2224446</v>
      </c>
      <c r="R3" s="21" cm="1">
        <f t="array" ref="R3">TREND($B3:$L3,$B$2:$L$2,R$2)</f>
        <v>2276845</v>
      </c>
      <c r="S3" s="21" cm="1">
        <f t="array" ref="S3">TREND($B3:$L3,$B$2:$L$2,S$2)</f>
        <v>2329244</v>
      </c>
      <c r="T3" s="21" cm="1">
        <f t="array" ref="T3">TREND($B3:$L3,$B$2:$L$2,T$2)</f>
        <v>2381643</v>
      </c>
      <c r="U3" s="21" cm="1">
        <f t="array" ref="U3">TREND($B3:$L3,$B$2:$L$2,U$2)</f>
        <v>2434042</v>
      </c>
      <c r="V3" s="21" cm="1">
        <f t="array" ref="V3">TREND($B3:$L3,$B$2:$L$2,V$2)</f>
        <v>2486441</v>
      </c>
      <c r="W3" s="21" cm="1">
        <f t="array" ref="W3">TREND($B3:$L3,$B$2:$L$2,W$2)</f>
        <v>2538840</v>
      </c>
      <c r="X3" s="21" cm="1">
        <f t="array" ref="X3">TREND($B3:$L3,$B$2:$L$2,X$2)</f>
        <v>2591239</v>
      </c>
      <c r="Y3" s="21" cm="1">
        <f t="array" ref="Y3">TREND($B3:$L3,$B$2:$L$2,Y$2)</f>
        <v>2643638</v>
      </c>
      <c r="Z3" s="21" cm="1">
        <f t="array" ref="Z3">TREND($B3:$L3,$B$2:$L$2,Z$2)</f>
        <v>2696037</v>
      </c>
      <c r="AA3" s="21" cm="1">
        <f t="array" ref="AA3">TREND($B3:$L3,$B$2:$L$2,AA$2)</f>
        <v>2748436</v>
      </c>
      <c r="AB3" s="21" cm="1">
        <f t="array" ref="AB3">TREND($B3:$L3,$B$2:$L$2,AB$2)</f>
        <v>2800835</v>
      </c>
      <c r="AC3" s="21" cm="1">
        <f t="array" ref="AC3">TREND($B3:$L3,$B$2:$L$2,AC$2)</f>
        <v>2853234</v>
      </c>
      <c r="AD3" s="21" cm="1">
        <f t="array" ref="AD3">TREND($B3:$L3,$B$2:$L$2,AD$2)</f>
        <v>2905633</v>
      </c>
      <c r="AE3" s="21" cm="1">
        <f t="array" ref="AE3">TREND($B3:$L3,$B$2:$L$2,AE$2)</f>
        <v>2958032</v>
      </c>
      <c r="AF3" s="21" cm="1">
        <f t="array" ref="AF3">TREND($B3:$L3,$B$2:$L$2,AF$2)</f>
        <v>3010431</v>
      </c>
    </row>
    <row r="4" spans="1:32">
      <c r="A4" t="s">
        <v>11</v>
      </c>
      <c r="B4" s="21">
        <f>KRW!B4</f>
        <v>939879</v>
      </c>
      <c r="C4" s="21">
        <f>B4+($L4-$B4)/($L$2-$B$2)</f>
        <v>948379</v>
      </c>
      <c r="D4" s="21">
        <f t="shared" si="0"/>
        <v>956879</v>
      </c>
      <c r="E4" s="21">
        <f t="shared" si="0"/>
        <v>965379</v>
      </c>
      <c r="F4" s="21">
        <f t="shared" si="0"/>
        <v>973879</v>
      </c>
      <c r="G4" s="21">
        <f t="shared" si="0"/>
        <v>982379</v>
      </c>
      <c r="H4" s="21">
        <f t="shared" si="0"/>
        <v>990879</v>
      </c>
      <c r="I4" s="21">
        <f t="shared" si="0"/>
        <v>999379</v>
      </c>
      <c r="J4" s="21">
        <f t="shared" si="0"/>
        <v>1007879</v>
      </c>
      <c r="K4" s="21">
        <f t="shared" si="0"/>
        <v>1016379</v>
      </c>
      <c r="L4" s="21">
        <f>KRW!D4</f>
        <v>1024879</v>
      </c>
      <c r="M4" s="21" cm="1">
        <f t="array" ref="M4">TREND($B4:$L4,$B$2:$L$2,M$2)</f>
        <v>1033379</v>
      </c>
      <c r="N4" s="21" cm="1">
        <f t="array" ref="N4">TREND($B4:$L4,$B$2:$L$2,N$2)</f>
        <v>1041879</v>
      </c>
      <c r="O4" s="21" cm="1">
        <f t="array" ref="O4">TREND($B4:$L4,$B$2:$L$2,O$2)</f>
        <v>1050379</v>
      </c>
      <c r="P4" s="21" cm="1">
        <f t="array" ref="P4">TREND($B4:$L4,$B$2:$L$2,P$2)</f>
        <v>1058879</v>
      </c>
      <c r="Q4" s="21" cm="1">
        <f t="array" ref="Q4">TREND($B4:$L4,$B$2:$L$2,Q$2)</f>
        <v>1067379</v>
      </c>
      <c r="R4" s="21" cm="1">
        <f t="array" ref="R4">TREND($B4:$L4,$B$2:$L$2,R$2)</f>
        <v>1075879</v>
      </c>
      <c r="S4" s="21" cm="1">
        <f t="array" ref="S4">TREND($B4:$L4,$B$2:$L$2,S$2)</f>
        <v>1084379</v>
      </c>
      <c r="T4" s="21" cm="1">
        <f t="array" ref="T4">TREND($B4:$L4,$B$2:$L$2,T$2)</f>
        <v>1092879</v>
      </c>
      <c r="U4" s="21" cm="1">
        <f t="array" ref="U4">TREND($B4:$L4,$B$2:$L$2,U$2)</f>
        <v>1101379</v>
      </c>
      <c r="V4" s="21" cm="1">
        <f t="array" ref="V4">TREND($B4:$L4,$B$2:$L$2,V$2)</f>
        <v>1109879</v>
      </c>
      <c r="W4" s="21" cm="1">
        <f t="array" ref="W4">TREND($B4:$L4,$B$2:$L$2,W$2)</f>
        <v>1118379</v>
      </c>
      <c r="X4" s="21" cm="1">
        <f t="array" ref="X4">TREND($B4:$L4,$B$2:$L$2,X$2)</f>
        <v>1126879</v>
      </c>
      <c r="Y4" s="21" cm="1">
        <f t="array" ref="Y4">TREND($B4:$L4,$B$2:$L$2,Y$2)</f>
        <v>1135379</v>
      </c>
      <c r="Z4" s="21" cm="1">
        <f t="array" ref="Z4">TREND($B4:$L4,$B$2:$L$2,Z$2)</f>
        <v>1143879</v>
      </c>
      <c r="AA4" s="21" cm="1">
        <f t="array" ref="AA4">TREND($B4:$L4,$B$2:$L$2,AA$2)</f>
        <v>1152379</v>
      </c>
      <c r="AB4" s="21" cm="1">
        <f t="array" ref="AB4">TREND($B4:$L4,$B$2:$L$2,AB$2)</f>
        <v>1160879</v>
      </c>
      <c r="AC4" s="21" cm="1">
        <f t="array" ref="AC4">TREND($B4:$L4,$B$2:$L$2,AC$2)</f>
        <v>1169379</v>
      </c>
      <c r="AD4" s="21" cm="1">
        <f t="array" ref="AD4">TREND($B4:$L4,$B$2:$L$2,AD$2)</f>
        <v>1177879</v>
      </c>
      <c r="AE4" s="21" cm="1">
        <f t="array" ref="AE4">TREND($B4:$L4,$B$2:$L$2,AE$2)</f>
        <v>1186379</v>
      </c>
      <c r="AF4" s="21" cm="1">
        <f t="array" ref="AF4">TREND($B4:$L4,$B$2:$L$2,AF$2)</f>
        <v>1194879</v>
      </c>
    </row>
    <row r="5" spans="1:32">
      <c r="A5" t="s">
        <v>5</v>
      </c>
      <c r="B5" s="21">
        <f>KRW!B5</f>
        <v>4533116.2857142854</v>
      </c>
      <c r="C5" s="21">
        <f>B5+($L5-$B5)/($L$2-$B$2)</f>
        <v>4644716.2857142854</v>
      </c>
      <c r="D5" s="21">
        <f t="shared" si="0"/>
        <v>4756316.2857142854</v>
      </c>
      <c r="E5" s="21">
        <f t="shared" si="0"/>
        <v>4867916.2857142854</v>
      </c>
      <c r="F5" s="21">
        <f t="shared" si="0"/>
        <v>4979516.2857142854</v>
      </c>
      <c r="G5" s="21">
        <f t="shared" si="0"/>
        <v>5091116.2857142854</v>
      </c>
      <c r="H5" s="21">
        <f t="shared" si="0"/>
        <v>5202716.2857142854</v>
      </c>
      <c r="I5" s="21">
        <f t="shared" si="0"/>
        <v>5314316.2857142854</v>
      </c>
      <c r="J5" s="21">
        <f t="shared" si="0"/>
        <v>5425916.2857142854</v>
      </c>
      <c r="K5" s="21">
        <f t="shared" si="0"/>
        <v>5537516.2857142854</v>
      </c>
      <c r="L5" s="21">
        <f>KRW!D5</f>
        <v>5649116.2857142854</v>
      </c>
      <c r="M5" s="21" cm="1">
        <f t="array" ref="M5">TREND($B5:$L5,$B$2:$L$2,M$2)</f>
        <v>5760716.2857142985</v>
      </c>
      <c r="N5" s="21" cm="1">
        <f t="array" ref="N5">TREND($B5:$L5,$B$2:$L$2,N$2)</f>
        <v>5872316.2857142985</v>
      </c>
      <c r="O5" s="21" cm="1">
        <f t="array" ref="O5">TREND($B5:$L5,$B$2:$L$2,O$2)</f>
        <v>5983916.2857142985</v>
      </c>
      <c r="P5" s="21" cm="1">
        <f t="array" ref="P5">TREND($B5:$L5,$B$2:$L$2,P$2)</f>
        <v>6095516.2857142985</v>
      </c>
      <c r="Q5" s="21" cm="1">
        <f t="array" ref="Q5">TREND($B5:$L5,$B$2:$L$2,Q$2)</f>
        <v>6207116.2857142985</v>
      </c>
      <c r="R5" s="21" cm="1">
        <f t="array" ref="R5">TREND($B5:$L5,$B$2:$L$2,R$2)</f>
        <v>6318716.2857142985</v>
      </c>
      <c r="S5" s="21" cm="1">
        <f t="array" ref="S5">TREND($B5:$L5,$B$2:$L$2,S$2)</f>
        <v>6430316.2857142985</v>
      </c>
      <c r="T5" s="21" cm="1">
        <f t="array" ref="T5">TREND($B5:$L5,$B$2:$L$2,T$2)</f>
        <v>6541916.2857142985</v>
      </c>
      <c r="U5" s="21" cm="1">
        <f t="array" ref="U5">TREND($B5:$L5,$B$2:$L$2,U$2)</f>
        <v>6653516.2857142985</v>
      </c>
      <c r="V5" s="21" cm="1">
        <f t="array" ref="V5">TREND($B5:$L5,$B$2:$L$2,V$2)</f>
        <v>6765116.2857142985</v>
      </c>
      <c r="W5" s="21" cm="1">
        <f t="array" ref="W5">TREND($B5:$L5,$B$2:$L$2,W$2)</f>
        <v>6876716.2857142985</v>
      </c>
      <c r="X5" s="21" cm="1">
        <f t="array" ref="X5">TREND($B5:$L5,$B$2:$L$2,X$2)</f>
        <v>6988316.2857142985</v>
      </c>
      <c r="Y5" s="21" cm="1">
        <f t="array" ref="Y5">TREND($B5:$L5,$B$2:$L$2,Y$2)</f>
        <v>7099916.2857142985</v>
      </c>
      <c r="Z5" s="21" cm="1">
        <f t="array" ref="Z5">TREND($B5:$L5,$B$2:$L$2,Z$2)</f>
        <v>7211516.2857142985</v>
      </c>
      <c r="AA5" s="21" cm="1">
        <f t="array" ref="AA5">TREND($B5:$L5,$B$2:$L$2,AA$2)</f>
        <v>7323116.2857142985</v>
      </c>
      <c r="AB5" s="21" cm="1">
        <f t="array" ref="AB5">TREND($B5:$L5,$B$2:$L$2,AB$2)</f>
        <v>7434716.2857142985</v>
      </c>
      <c r="AC5" s="21" cm="1">
        <f t="array" ref="AC5">TREND($B5:$L5,$B$2:$L$2,AC$2)</f>
        <v>7546316.2857142985</v>
      </c>
      <c r="AD5" s="21" cm="1">
        <f t="array" ref="AD5">TREND($B5:$L5,$B$2:$L$2,AD$2)</f>
        <v>7657916.2857142985</v>
      </c>
      <c r="AE5" s="21" cm="1">
        <f t="array" ref="AE5">TREND($B5:$L5,$B$2:$L$2,AE$2)</f>
        <v>7769516.2857142985</v>
      </c>
      <c r="AF5" s="21" cm="1">
        <f t="array" ref="AF5">TREND($B5:$L5,$B$2:$L$2,AF$2)</f>
        <v>7881116.2857142985</v>
      </c>
    </row>
    <row r="6" spans="1:32">
      <c r="A6" t="s">
        <v>6</v>
      </c>
      <c r="B6" s="21">
        <f>KRW!B6</f>
        <v>968700</v>
      </c>
      <c r="C6" s="21">
        <f>B6+($L6-$B6)/($L$2-$B$2)</f>
        <v>968700</v>
      </c>
      <c r="D6" s="21">
        <f t="shared" si="0"/>
        <v>968700</v>
      </c>
      <c r="E6" s="21">
        <f t="shared" si="0"/>
        <v>968700</v>
      </c>
      <c r="F6" s="21">
        <f t="shared" si="0"/>
        <v>968700</v>
      </c>
      <c r="G6" s="21">
        <f t="shared" si="0"/>
        <v>968700</v>
      </c>
      <c r="H6" s="21">
        <f t="shared" si="0"/>
        <v>968700</v>
      </c>
      <c r="I6" s="21">
        <f t="shared" si="0"/>
        <v>968700</v>
      </c>
      <c r="J6" s="21">
        <f t="shared" si="0"/>
        <v>968700</v>
      </c>
      <c r="K6" s="21">
        <f t="shared" si="0"/>
        <v>968700</v>
      </c>
      <c r="L6" s="21">
        <f>KRW!D6</f>
        <v>968700</v>
      </c>
      <c r="M6" s="21" cm="1">
        <f t="array" ref="M6">TREND($B6:$L6,$B$2:$L$2,M$2)</f>
        <v>968700</v>
      </c>
      <c r="N6" s="21" cm="1">
        <f t="array" ref="N6">TREND($B6:$L6,$B$2:$L$2,N$2)</f>
        <v>968700</v>
      </c>
      <c r="O6" s="21" cm="1">
        <f t="array" ref="O6">TREND($B6:$L6,$B$2:$L$2,O$2)</f>
        <v>968700</v>
      </c>
      <c r="P6" s="21" cm="1">
        <f t="array" ref="P6">TREND($B6:$L6,$B$2:$L$2,P$2)</f>
        <v>968700</v>
      </c>
      <c r="Q6" s="21" cm="1">
        <f t="array" ref="Q6">TREND($B6:$L6,$B$2:$L$2,Q$2)</f>
        <v>968700</v>
      </c>
      <c r="R6" s="21" cm="1">
        <f t="array" ref="R6">TREND($B6:$L6,$B$2:$L$2,R$2)</f>
        <v>968700</v>
      </c>
      <c r="S6" s="21" cm="1">
        <f t="array" ref="S6">TREND($B6:$L6,$B$2:$L$2,S$2)</f>
        <v>968700</v>
      </c>
      <c r="T6" s="21" cm="1">
        <f t="array" ref="T6">TREND($B6:$L6,$B$2:$L$2,T$2)</f>
        <v>968700</v>
      </c>
      <c r="U6" s="21" cm="1">
        <f t="array" ref="U6">TREND($B6:$L6,$B$2:$L$2,U$2)</f>
        <v>968700</v>
      </c>
      <c r="V6" s="21" cm="1">
        <f t="array" ref="V6">TREND($B6:$L6,$B$2:$L$2,V$2)</f>
        <v>968700</v>
      </c>
      <c r="W6" s="21" cm="1">
        <f t="array" ref="W6">TREND($B6:$L6,$B$2:$L$2,W$2)</f>
        <v>968700</v>
      </c>
      <c r="X6" s="21" cm="1">
        <f t="array" ref="X6">TREND($B6:$L6,$B$2:$L$2,X$2)</f>
        <v>968700</v>
      </c>
      <c r="Y6" s="21" cm="1">
        <f t="array" ref="Y6">TREND($B6:$L6,$B$2:$L$2,Y$2)</f>
        <v>968700</v>
      </c>
      <c r="Z6" s="21" cm="1">
        <f t="array" ref="Z6">TREND($B6:$L6,$B$2:$L$2,Z$2)</f>
        <v>968700</v>
      </c>
      <c r="AA6" s="21" cm="1">
        <f t="array" ref="AA6">TREND($B6:$L6,$B$2:$L$2,AA$2)</f>
        <v>968700</v>
      </c>
      <c r="AB6" s="21" cm="1">
        <f t="array" ref="AB6">TREND($B6:$L6,$B$2:$L$2,AB$2)</f>
        <v>968700</v>
      </c>
      <c r="AC6" s="21" cm="1">
        <f t="array" ref="AC6">TREND($B6:$L6,$B$2:$L$2,AC$2)</f>
        <v>968700</v>
      </c>
      <c r="AD6" s="21" cm="1">
        <f t="array" ref="AD6">TREND($B6:$L6,$B$2:$L$2,AD$2)</f>
        <v>968700</v>
      </c>
      <c r="AE6" s="21" cm="1">
        <f t="array" ref="AE6">TREND($B6:$L6,$B$2:$L$2,AE$2)</f>
        <v>968700</v>
      </c>
      <c r="AF6" s="21" cm="1">
        <f t="array" ref="AF6">TREND($B6:$L6,$B$2:$L$2,AF$2)</f>
        <v>968700</v>
      </c>
    </row>
    <row r="7" spans="1:32">
      <c r="A7" t="s">
        <v>18</v>
      </c>
      <c r="B7" s="21">
        <f>KRW!B7</f>
        <v>2736378</v>
      </c>
      <c r="C7" s="21">
        <f t="shared" ref="C7:F8" si="1">B7+($G7-$B7)/($G$2-$B$2)</f>
        <v>2709014.22</v>
      </c>
      <c r="D7" s="21">
        <f t="shared" si="1"/>
        <v>2681650.4400000004</v>
      </c>
      <c r="E7" s="21">
        <f t="shared" si="1"/>
        <v>2654286.6600000006</v>
      </c>
      <c r="F7" s="21">
        <f t="shared" si="1"/>
        <v>2626922.8800000008</v>
      </c>
      <c r="G7" s="21">
        <f>KRW!C7</f>
        <v>2599559.1</v>
      </c>
      <c r="H7" s="21">
        <f>G7+($L7-$G7)/($L$2-$G$2)</f>
        <v>2550304.2960000001</v>
      </c>
      <c r="I7" s="21">
        <f t="shared" ref="I7:K8" si="2">H7+($L7-$G7)/($L$2-$G$2)</f>
        <v>2501049.4920000001</v>
      </c>
      <c r="J7" s="21">
        <f t="shared" si="2"/>
        <v>2451794.6880000001</v>
      </c>
      <c r="K7" s="21">
        <f t="shared" si="2"/>
        <v>2402539.8840000001</v>
      </c>
      <c r="L7" s="21">
        <f>KRW!D7</f>
        <v>2353285.08</v>
      </c>
      <c r="M7" s="21" cm="1">
        <f t="array" ref="M7">TREND($B7:$L7,$B$2:$L$2,M$2)</f>
        <v>2339851.9516363591</v>
      </c>
      <c r="N7" s="21" cm="1">
        <f t="array" ref="N7">TREND($B7:$L7,$B$2:$L$2,N$2)</f>
        <v>2301542.6596363634</v>
      </c>
      <c r="O7" s="21" cm="1">
        <f t="array" ref="O7">TREND($B7:$L7,$B$2:$L$2,O$2)</f>
        <v>2263233.3676363528</v>
      </c>
      <c r="P7" s="21" cm="1">
        <f t="array" ref="P7">TREND($B7:$L7,$B$2:$L$2,P$2)</f>
        <v>2224924.0756363571</v>
      </c>
      <c r="Q7" s="21" cm="1">
        <f t="array" ref="Q7">TREND($B7:$L7,$B$2:$L$2,Q$2)</f>
        <v>2186614.7836363614</v>
      </c>
      <c r="R7" s="21" cm="1">
        <f t="array" ref="R7">TREND($B7:$L7,$B$2:$L$2,R$2)</f>
        <v>2148305.4916363508</v>
      </c>
      <c r="S7" s="21" cm="1">
        <f t="array" ref="S7">TREND($B7:$L7,$B$2:$L$2,S$2)</f>
        <v>2109996.199636355</v>
      </c>
      <c r="T7" s="21" cm="1">
        <f t="array" ref="T7">TREND($B7:$L7,$B$2:$L$2,T$2)</f>
        <v>2071686.9076363593</v>
      </c>
      <c r="U7" s="21" cm="1">
        <f t="array" ref="U7">TREND($B7:$L7,$B$2:$L$2,U$2)</f>
        <v>2033377.6156363636</v>
      </c>
      <c r="V7" s="21" cm="1">
        <f t="array" ref="V7">TREND($B7:$L7,$B$2:$L$2,V$2)</f>
        <v>1995068.323636353</v>
      </c>
      <c r="W7" s="21" cm="1">
        <f t="array" ref="W7">TREND($B7:$L7,$B$2:$L$2,W$2)</f>
        <v>1956759.0316363573</v>
      </c>
      <c r="X7" s="21" cm="1">
        <f t="array" ref="X7">TREND($B7:$L7,$B$2:$L$2,X$2)</f>
        <v>1918449.7396363616</v>
      </c>
      <c r="Y7" s="21" cm="1">
        <f t="array" ref="Y7">TREND($B7:$L7,$B$2:$L$2,Y$2)</f>
        <v>1880140.447636351</v>
      </c>
      <c r="Z7" s="21" cm="1">
        <f t="array" ref="Z7">TREND($B7:$L7,$B$2:$L$2,Z$2)</f>
        <v>1841831.1556363553</v>
      </c>
      <c r="AA7" s="21" cm="1">
        <f t="array" ref="AA7">TREND($B7:$L7,$B$2:$L$2,AA$2)</f>
        <v>1803521.8636363596</v>
      </c>
      <c r="AB7" s="21" cm="1">
        <f t="array" ref="AB7">TREND($B7:$L7,$B$2:$L$2,AB$2)</f>
        <v>1765212.5716363639</v>
      </c>
      <c r="AC7" s="21" cm="1">
        <f t="array" ref="AC7">TREND($B7:$L7,$B$2:$L$2,AC$2)</f>
        <v>1726903.2796363533</v>
      </c>
      <c r="AD7" s="21" cm="1">
        <f t="array" ref="AD7">TREND($B7:$L7,$B$2:$L$2,AD$2)</f>
        <v>1688593.9876363575</v>
      </c>
      <c r="AE7" s="21" cm="1">
        <f t="array" ref="AE7">TREND($B7:$L7,$B$2:$L$2,AE$2)</f>
        <v>1650284.6956363618</v>
      </c>
      <c r="AF7" s="21" cm="1">
        <f t="array" ref="AF7">TREND($B7:$L7,$B$2:$L$2,AF$2)</f>
        <v>1611975.4036363512</v>
      </c>
    </row>
    <row r="8" spans="1:32">
      <c r="A8" t="s">
        <v>7</v>
      </c>
      <c r="B8" s="21">
        <f>KRW!B8</f>
        <v>1370174</v>
      </c>
      <c r="C8" s="21">
        <f t="shared" si="1"/>
        <v>1370174</v>
      </c>
      <c r="D8" s="21">
        <f t="shared" si="1"/>
        <v>1370174</v>
      </c>
      <c r="E8" s="21">
        <f t="shared" si="1"/>
        <v>1370174</v>
      </c>
      <c r="F8" s="21">
        <f t="shared" si="1"/>
        <v>1370174</v>
      </c>
      <c r="G8" s="21">
        <f>KRW!C8</f>
        <v>1370174</v>
      </c>
      <c r="H8" s="21">
        <f>G8+($L8-$G8)/($L$2-$G$2)</f>
        <v>1320847.736</v>
      </c>
      <c r="I8" s="21">
        <f t="shared" si="2"/>
        <v>1271521.4720000001</v>
      </c>
      <c r="J8" s="21">
        <f t="shared" si="2"/>
        <v>1222195.2080000001</v>
      </c>
      <c r="K8" s="21">
        <f t="shared" si="2"/>
        <v>1172868.9440000001</v>
      </c>
      <c r="L8" s="21">
        <f>KRW!D8</f>
        <v>1123542.68</v>
      </c>
      <c r="M8" s="21" cm="1">
        <f t="array" ref="M8">TREND($B8:$L8,$B$2:$L$2,M$2)</f>
        <v>1154932.1207272783</v>
      </c>
      <c r="N8" s="21" cm="1">
        <f t="array" ref="N8">TREND($B8:$L8,$B$2:$L$2,N$2)</f>
        <v>1130268.988727279</v>
      </c>
      <c r="O8" s="21" cm="1">
        <f t="array" ref="O8">TREND($B8:$L8,$B$2:$L$2,O$2)</f>
        <v>1105605.8567272723</v>
      </c>
      <c r="P8" s="21" cm="1">
        <f t="array" ref="P8">TREND($B8:$L8,$B$2:$L$2,P$2)</f>
        <v>1080942.724727273</v>
      </c>
      <c r="Q8" s="21" cm="1">
        <f t="array" ref="Q8">TREND($B8:$L8,$B$2:$L$2,Q$2)</f>
        <v>1056279.5927272737</v>
      </c>
      <c r="R8" s="21" cm="1">
        <f t="array" ref="R8">TREND($B8:$L8,$B$2:$L$2,R$2)</f>
        <v>1031616.4607272744</v>
      </c>
      <c r="S8" s="21" cm="1">
        <f t="array" ref="S8">TREND($B8:$L8,$B$2:$L$2,S$2)</f>
        <v>1006953.3287272751</v>
      </c>
      <c r="T8" s="21" cm="1">
        <f t="array" ref="T8">TREND($B8:$L8,$B$2:$L$2,T$2)</f>
        <v>982290.19672727585</v>
      </c>
      <c r="U8" s="21" cm="1">
        <f t="array" ref="U8">TREND($B8:$L8,$B$2:$L$2,U$2)</f>
        <v>957627.06472727656</v>
      </c>
      <c r="V8" s="21" cm="1">
        <f t="array" ref="V8">TREND($B8:$L8,$B$2:$L$2,V$2)</f>
        <v>932963.93272727728</v>
      </c>
      <c r="W8" s="21" cm="1">
        <f t="array" ref="W8">TREND($B8:$L8,$B$2:$L$2,W$2)</f>
        <v>908300.80072727799</v>
      </c>
      <c r="X8" s="21" cm="1">
        <f t="array" ref="X8">TREND($B8:$L8,$B$2:$L$2,X$2)</f>
        <v>883637.66872727871</v>
      </c>
      <c r="Y8" s="21" cm="1">
        <f t="array" ref="Y8">TREND($B8:$L8,$B$2:$L$2,Y$2)</f>
        <v>858974.53672727197</v>
      </c>
      <c r="Z8" s="21" cm="1">
        <f t="array" ref="Z8">TREND($B8:$L8,$B$2:$L$2,Z$2)</f>
        <v>834311.40472727269</v>
      </c>
      <c r="AA8" s="21" cm="1">
        <f t="array" ref="AA8">TREND($B8:$L8,$B$2:$L$2,AA$2)</f>
        <v>809648.2727272734</v>
      </c>
      <c r="AB8" s="21" cm="1">
        <f t="array" ref="AB8">TREND($B8:$L8,$B$2:$L$2,AB$2)</f>
        <v>784985.14072727412</v>
      </c>
      <c r="AC8" s="21" cm="1">
        <f t="array" ref="AC8">TREND($B8:$L8,$B$2:$L$2,AC$2)</f>
        <v>760322.00872727484</v>
      </c>
      <c r="AD8" s="21" cm="1">
        <f t="array" ref="AD8">TREND($B8:$L8,$B$2:$L$2,AD$2)</f>
        <v>735658.87672727555</v>
      </c>
      <c r="AE8" s="21" cm="1">
        <f t="array" ref="AE8">TREND($B8:$L8,$B$2:$L$2,AE$2)</f>
        <v>710995.74472727627</v>
      </c>
      <c r="AF8" s="21" cm="1">
        <f t="array" ref="AF8">TREND($B8:$L8,$B$2:$L$2,AF$2)</f>
        <v>686332.61272727698</v>
      </c>
    </row>
    <row r="9" spans="1:32">
      <c r="A9" t="s">
        <v>8</v>
      </c>
      <c r="B9" s="21">
        <f>KRW!B9</f>
        <v>0</v>
      </c>
      <c r="C9" s="21">
        <f t="shared" ref="C9:K9" si="3">B9+($L9-$B9)/($L$2-$B$2)</f>
        <v>0</v>
      </c>
      <c r="D9" s="21">
        <f t="shared" si="3"/>
        <v>0</v>
      </c>
      <c r="E9" s="21">
        <f t="shared" si="3"/>
        <v>0</v>
      </c>
      <c r="F9" s="21">
        <f t="shared" si="3"/>
        <v>0</v>
      </c>
      <c r="G9" s="21">
        <f t="shared" si="3"/>
        <v>0</v>
      </c>
      <c r="H9" s="21">
        <f t="shared" si="3"/>
        <v>0</v>
      </c>
      <c r="I9" s="21">
        <f t="shared" si="3"/>
        <v>0</v>
      </c>
      <c r="J9" s="21">
        <f t="shared" si="3"/>
        <v>0</v>
      </c>
      <c r="K9" s="21">
        <f t="shared" si="3"/>
        <v>0</v>
      </c>
      <c r="L9" s="21">
        <f>KRW!D9</f>
        <v>0</v>
      </c>
      <c r="M9" s="21" cm="1">
        <f t="array" ref="M9">TREND($B9:$L9,$B$2:$L$2,M$2)</f>
        <v>0</v>
      </c>
      <c r="N9" s="21" cm="1">
        <f t="array" ref="N9">TREND($B9:$L9,$B$2:$L$2,N$2)</f>
        <v>0</v>
      </c>
      <c r="O9" s="21" cm="1">
        <f t="array" ref="O9">TREND($B9:$L9,$B$2:$L$2,O$2)</f>
        <v>0</v>
      </c>
      <c r="P9" s="21" cm="1">
        <f t="array" ref="P9">TREND($B9:$L9,$B$2:$L$2,P$2)</f>
        <v>0</v>
      </c>
      <c r="Q9" s="21" cm="1">
        <f t="array" ref="Q9">TREND($B9:$L9,$B$2:$L$2,Q$2)</f>
        <v>0</v>
      </c>
      <c r="R9" s="21" cm="1">
        <f t="array" ref="R9">TREND($B9:$L9,$B$2:$L$2,R$2)</f>
        <v>0</v>
      </c>
      <c r="S9" s="21" cm="1">
        <f t="array" ref="S9">TREND($B9:$L9,$B$2:$L$2,S$2)</f>
        <v>0</v>
      </c>
      <c r="T9" s="21" cm="1">
        <f t="array" ref="T9">TREND($B9:$L9,$B$2:$L$2,T$2)</f>
        <v>0</v>
      </c>
      <c r="U9" s="21" cm="1">
        <f t="array" ref="U9">TREND($B9:$L9,$B$2:$L$2,U$2)</f>
        <v>0</v>
      </c>
      <c r="V9" s="21" cm="1">
        <f t="array" ref="V9">TREND($B9:$L9,$B$2:$L$2,V$2)</f>
        <v>0</v>
      </c>
      <c r="W9" s="21" cm="1">
        <f t="array" ref="W9">TREND($B9:$L9,$B$2:$L$2,W$2)</f>
        <v>0</v>
      </c>
      <c r="X9" s="21" cm="1">
        <f t="array" ref="X9">TREND($B9:$L9,$B$2:$L$2,X$2)</f>
        <v>0</v>
      </c>
      <c r="Y9" s="21" cm="1">
        <f t="array" ref="Y9">TREND($B9:$L9,$B$2:$L$2,Y$2)</f>
        <v>0</v>
      </c>
      <c r="Z9" s="21" cm="1">
        <f t="array" ref="Z9">TREND($B9:$L9,$B$2:$L$2,Z$2)</f>
        <v>0</v>
      </c>
      <c r="AA9" s="21" cm="1">
        <f t="array" ref="AA9">TREND($B9:$L9,$B$2:$L$2,AA$2)</f>
        <v>0</v>
      </c>
      <c r="AB9" s="21" cm="1">
        <f t="array" ref="AB9">TREND($B9:$L9,$B$2:$L$2,AB$2)</f>
        <v>0</v>
      </c>
      <c r="AC9" s="21" cm="1">
        <f t="array" ref="AC9">TREND($B9:$L9,$B$2:$L$2,AC$2)</f>
        <v>0</v>
      </c>
      <c r="AD9" s="21" cm="1">
        <f t="array" ref="AD9">TREND($B9:$L9,$B$2:$L$2,AD$2)</f>
        <v>0</v>
      </c>
      <c r="AE9" s="21" cm="1">
        <f t="array" ref="AE9">TREND($B9:$L9,$B$2:$L$2,AE$2)</f>
        <v>0</v>
      </c>
      <c r="AF9" s="21" cm="1">
        <f t="array" ref="AF9">TREND($B9:$L9,$B$2:$L$2,AF$2)</f>
        <v>0</v>
      </c>
    </row>
    <row r="10" spans="1:32">
      <c r="A10" t="s">
        <v>9</v>
      </c>
      <c r="B10" s="21">
        <f>KRW!B10</f>
        <v>3823333.5</v>
      </c>
      <c r="C10" s="21">
        <f t="shared" ref="C10:K10" si="4">B10+($L10-$B10)/($L$2-$B$2)</f>
        <v>3823333.5</v>
      </c>
      <c r="D10" s="21">
        <f t="shared" si="4"/>
        <v>3823333.5</v>
      </c>
      <c r="E10" s="21">
        <f t="shared" si="4"/>
        <v>3823333.5</v>
      </c>
      <c r="F10" s="21">
        <f t="shared" si="4"/>
        <v>3823333.5</v>
      </c>
      <c r="G10" s="21">
        <f t="shared" si="4"/>
        <v>3823333.5</v>
      </c>
      <c r="H10" s="21">
        <f t="shared" si="4"/>
        <v>3823333.5</v>
      </c>
      <c r="I10" s="21">
        <f t="shared" si="4"/>
        <v>3823333.5</v>
      </c>
      <c r="J10" s="21">
        <f t="shared" si="4"/>
        <v>3823333.5</v>
      </c>
      <c r="K10" s="21">
        <f t="shared" si="4"/>
        <v>3823333.5</v>
      </c>
      <c r="L10" s="21">
        <f>KRW!D10</f>
        <v>3823333.5</v>
      </c>
      <c r="M10" s="21" cm="1">
        <f t="array" ref="M10">TREND($B10:$L10,$B$2:$L$2,M$2)</f>
        <v>3823333.5</v>
      </c>
      <c r="N10" s="21" cm="1">
        <f t="array" ref="N10">TREND($B10:$L10,$B$2:$L$2,N$2)</f>
        <v>3823333.5</v>
      </c>
      <c r="O10" s="21" cm="1">
        <f t="array" ref="O10">TREND($B10:$L10,$B$2:$L$2,O$2)</f>
        <v>3823333.5</v>
      </c>
      <c r="P10" s="21" cm="1">
        <f t="array" ref="P10">TREND($B10:$L10,$B$2:$L$2,P$2)</f>
        <v>3823333.5</v>
      </c>
      <c r="Q10" s="21" cm="1">
        <f t="array" ref="Q10">TREND($B10:$L10,$B$2:$L$2,Q$2)</f>
        <v>3823333.5</v>
      </c>
      <c r="R10" s="21" cm="1">
        <f t="array" ref="R10">TREND($B10:$L10,$B$2:$L$2,R$2)</f>
        <v>3823333.5</v>
      </c>
      <c r="S10" s="21" cm="1">
        <f t="array" ref="S10">TREND($B10:$L10,$B$2:$L$2,S$2)</f>
        <v>3823333.5</v>
      </c>
      <c r="T10" s="21" cm="1">
        <f t="array" ref="T10">TREND($B10:$L10,$B$2:$L$2,T$2)</f>
        <v>3823333.5</v>
      </c>
      <c r="U10" s="21" cm="1">
        <f t="array" ref="U10">TREND($B10:$L10,$B$2:$L$2,U$2)</f>
        <v>3823333.5</v>
      </c>
      <c r="V10" s="21" cm="1">
        <f t="array" ref="V10">TREND($B10:$L10,$B$2:$L$2,V$2)</f>
        <v>3823333.5</v>
      </c>
      <c r="W10" s="21" cm="1">
        <f t="array" ref="W10">TREND($B10:$L10,$B$2:$L$2,W$2)</f>
        <v>3823333.5</v>
      </c>
      <c r="X10" s="21" cm="1">
        <f t="array" ref="X10">TREND($B10:$L10,$B$2:$L$2,X$2)</f>
        <v>3823333.5</v>
      </c>
      <c r="Y10" s="21" cm="1">
        <f t="array" ref="Y10">TREND($B10:$L10,$B$2:$L$2,Y$2)</f>
        <v>3823333.5</v>
      </c>
      <c r="Z10" s="21" cm="1">
        <f t="array" ref="Z10">TREND($B10:$L10,$B$2:$L$2,Z$2)</f>
        <v>3823333.5</v>
      </c>
      <c r="AA10" s="21" cm="1">
        <f t="array" ref="AA10">TREND($B10:$L10,$B$2:$L$2,AA$2)</f>
        <v>3823333.5</v>
      </c>
      <c r="AB10" s="21" cm="1">
        <f t="array" ref="AB10">TREND($B10:$L10,$B$2:$L$2,AB$2)</f>
        <v>3823333.5</v>
      </c>
      <c r="AC10" s="21" cm="1">
        <f t="array" ref="AC10">TREND($B10:$L10,$B$2:$L$2,AC$2)</f>
        <v>3823333.5</v>
      </c>
      <c r="AD10" s="21" cm="1">
        <f t="array" ref="AD10">TREND($B10:$L10,$B$2:$L$2,AD$2)</f>
        <v>3823333.5</v>
      </c>
      <c r="AE10" s="21" cm="1">
        <f t="array" ref="AE10">TREND($B10:$L10,$B$2:$L$2,AE$2)</f>
        <v>3823333.5</v>
      </c>
      <c r="AF10" s="21" cm="1">
        <f t="array" ref="AF10">TREND($B10:$L10,$B$2:$L$2,AF$2)</f>
        <v>3823333.5</v>
      </c>
    </row>
    <row r="11" spans="1:32">
      <c r="A11" t="s">
        <v>12</v>
      </c>
      <c r="B11" s="21">
        <f>KRW!B11</f>
        <v>8825950.1686496958</v>
      </c>
      <c r="C11" s="21">
        <f t="shared" ref="C11:K11" si="5">B11+($L11-$B11)/($L$2-$B$2)</f>
        <v>8825950.1686496958</v>
      </c>
      <c r="D11" s="21">
        <f t="shared" si="5"/>
        <v>8825950.1686496958</v>
      </c>
      <c r="E11" s="21">
        <f t="shared" si="5"/>
        <v>8825950.1686496958</v>
      </c>
      <c r="F11" s="21">
        <f t="shared" si="5"/>
        <v>8825950.1686496958</v>
      </c>
      <c r="G11" s="21">
        <f t="shared" si="5"/>
        <v>8825950.1686496958</v>
      </c>
      <c r="H11" s="21">
        <f t="shared" si="5"/>
        <v>8825950.1686496958</v>
      </c>
      <c r="I11" s="21">
        <f t="shared" si="5"/>
        <v>8825950.1686496958</v>
      </c>
      <c r="J11" s="21">
        <f t="shared" si="5"/>
        <v>8825950.1686496958</v>
      </c>
      <c r="K11" s="21">
        <f t="shared" si="5"/>
        <v>8825950.1686496958</v>
      </c>
      <c r="L11" s="21">
        <f>KRW!D11</f>
        <v>8825950.1686496958</v>
      </c>
      <c r="M11" s="21" cm="1">
        <f t="array" ref="M11">TREND($B11:$L11,$B$2:$L$2,M$2)</f>
        <v>8825950.1686496977</v>
      </c>
      <c r="N11" s="21" cm="1">
        <f t="array" ref="N11">TREND($B11:$L11,$B$2:$L$2,N$2)</f>
        <v>8825950.1686496977</v>
      </c>
      <c r="O11" s="21" cm="1">
        <f t="array" ref="O11">TREND($B11:$L11,$B$2:$L$2,O$2)</f>
        <v>8825950.1686496977</v>
      </c>
      <c r="P11" s="21" cm="1">
        <f t="array" ref="P11">TREND($B11:$L11,$B$2:$L$2,P$2)</f>
        <v>8825950.1686496977</v>
      </c>
      <c r="Q11" s="21" cm="1">
        <f t="array" ref="Q11">TREND($B11:$L11,$B$2:$L$2,Q$2)</f>
        <v>8825950.1686496977</v>
      </c>
      <c r="R11" s="21" cm="1">
        <f t="array" ref="R11">TREND($B11:$L11,$B$2:$L$2,R$2)</f>
        <v>8825950.1686496977</v>
      </c>
      <c r="S11" s="21" cm="1">
        <f t="array" ref="S11">TREND($B11:$L11,$B$2:$L$2,S$2)</f>
        <v>8825950.1686496977</v>
      </c>
      <c r="T11" s="21" cm="1">
        <f t="array" ref="T11">TREND($B11:$L11,$B$2:$L$2,T$2)</f>
        <v>8825950.1686496977</v>
      </c>
      <c r="U11" s="21" cm="1">
        <f t="array" ref="U11">TREND($B11:$L11,$B$2:$L$2,U$2)</f>
        <v>8825950.1686496977</v>
      </c>
      <c r="V11" s="21" cm="1">
        <f t="array" ref="V11">TREND($B11:$L11,$B$2:$L$2,V$2)</f>
        <v>8825950.1686496977</v>
      </c>
      <c r="W11" s="21" cm="1">
        <f t="array" ref="W11">TREND($B11:$L11,$B$2:$L$2,W$2)</f>
        <v>8825950.1686496977</v>
      </c>
      <c r="X11" s="21" cm="1">
        <f t="array" ref="X11">TREND($B11:$L11,$B$2:$L$2,X$2)</f>
        <v>8825950.1686496977</v>
      </c>
      <c r="Y11" s="21" cm="1">
        <f t="array" ref="Y11">TREND($B11:$L11,$B$2:$L$2,Y$2)</f>
        <v>8825950.1686496977</v>
      </c>
      <c r="Z11" s="21" cm="1">
        <f t="array" ref="Z11">TREND($B11:$L11,$B$2:$L$2,Z$2)</f>
        <v>8825950.1686496977</v>
      </c>
      <c r="AA11" s="21" cm="1">
        <f t="array" ref="AA11">TREND($B11:$L11,$B$2:$L$2,AA$2)</f>
        <v>8825950.1686496977</v>
      </c>
      <c r="AB11" s="21" cm="1">
        <f t="array" ref="AB11">TREND($B11:$L11,$B$2:$L$2,AB$2)</f>
        <v>8825950.1686496977</v>
      </c>
      <c r="AC11" s="21" cm="1">
        <f t="array" ref="AC11">TREND($B11:$L11,$B$2:$L$2,AC$2)</f>
        <v>8825950.1686496977</v>
      </c>
      <c r="AD11" s="21" cm="1">
        <f t="array" ref="AD11">TREND($B11:$L11,$B$2:$L$2,AD$2)</f>
        <v>8825950.1686496977</v>
      </c>
      <c r="AE11" s="21" cm="1">
        <f t="array" ref="AE11">TREND($B11:$L11,$B$2:$L$2,AE$2)</f>
        <v>8825950.1686496977</v>
      </c>
      <c r="AF11" s="21" cm="1">
        <f t="array" ref="AF11">TREND($B11:$L11,$B$2:$L$2,AF$2)</f>
        <v>8825950.1686496977</v>
      </c>
    </row>
    <row r="12" spans="1:32">
      <c r="A12" t="s">
        <v>13</v>
      </c>
      <c r="B12" s="21">
        <f>KRW!B12</f>
        <v>1895634</v>
      </c>
      <c r="C12" s="21">
        <f t="shared" ref="C12:K12" si="6">B12+($L12-$B12)/($L$2-$B$2)</f>
        <v>1895634</v>
      </c>
      <c r="D12" s="21">
        <f t="shared" si="6"/>
        <v>1895634</v>
      </c>
      <c r="E12" s="21">
        <f t="shared" si="6"/>
        <v>1895634</v>
      </c>
      <c r="F12" s="21">
        <f t="shared" si="6"/>
        <v>1895634</v>
      </c>
      <c r="G12" s="21">
        <f t="shared" si="6"/>
        <v>1895634</v>
      </c>
      <c r="H12" s="21">
        <f t="shared" si="6"/>
        <v>1895634</v>
      </c>
      <c r="I12" s="21">
        <f t="shared" si="6"/>
        <v>1895634</v>
      </c>
      <c r="J12" s="21">
        <f t="shared" si="6"/>
        <v>1895634</v>
      </c>
      <c r="K12" s="21">
        <f t="shared" si="6"/>
        <v>1895634</v>
      </c>
      <c r="L12" s="21">
        <f>KRW!D12</f>
        <v>1895634</v>
      </c>
      <c r="M12" s="21" cm="1">
        <f t="array" ref="M12">TREND($B12:$L12,$B$2:$L$2,M$2)</f>
        <v>1895634</v>
      </c>
      <c r="N12" s="21" cm="1">
        <f t="array" ref="N12">TREND($B12:$L12,$B$2:$L$2,N$2)</f>
        <v>1895634</v>
      </c>
      <c r="O12" s="21" cm="1">
        <f t="array" ref="O12">TREND($B12:$L12,$B$2:$L$2,O$2)</f>
        <v>1895634</v>
      </c>
      <c r="P12" s="21" cm="1">
        <f t="array" ref="P12">TREND($B12:$L12,$B$2:$L$2,P$2)</f>
        <v>1895634</v>
      </c>
      <c r="Q12" s="21" cm="1">
        <f t="array" ref="Q12">TREND($B12:$L12,$B$2:$L$2,Q$2)</f>
        <v>1895634</v>
      </c>
      <c r="R12" s="21" cm="1">
        <f t="array" ref="R12">TREND($B12:$L12,$B$2:$L$2,R$2)</f>
        <v>1895634</v>
      </c>
      <c r="S12" s="21" cm="1">
        <f t="array" ref="S12">TREND($B12:$L12,$B$2:$L$2,S$2)</f>
        <v>1895634</v>
      </c>
      <c r="T12" s="21" cm="1">
        <f t="array" ref="T12">TREND($B12:$L12,$B$2:$L$2,T$2)</f>
        <v>1895634</v>
      </c>
      <c r="U12" s="21" cm="1">
        <f t="array" ref="U12">TREND($B12:$L12,$B$2:$L$2,U$2)</f>
        <v>1895634</v>
      </c>
      <c r="V12" s="21" cm="1">
        <f t="array" ref="V12">TREND($B12:$L12,$B$2:$L$2,V$2)</f>
        <v>1895634</v>
      </c>
      <c r="W12" s="21" cm="1">
        <f t="array" ref="W12">TREND($B12:$L12,$B$2:$L$2,W$2)</f>
        <v>1895634</v>
      </c>
      <c r="X12" s="21" cm="1">
        <f t="array" ref="X12">TREND($B12:$L12,$B$2:$L$2,X$2)</f>
        <v>1895634</v>
      </c>
      <c r="Y12" s="21" cm="1">
        <f t="array" ref="Y12">TREND($B12:$L12,$B$2:$L$2,Y$2)</f>
        <v>1895634</v>
      </c>
      <c r="Z12" s="21" cm="1">
        <f t="array" ref="Z12">TREND($B12:$L12,$B$2:$L$2,Z$2)</f>
        <v>1895634</v>
      </c>
      <c r="AA12" s="21" cm="1">
        <f t="array" ref="AA12">TREND($B12:$L12,$B$2:$L$2,AA$2)</f>
        <v>1895634</v>
      </c>
      <c r="AB12" s="21" cm="1">
        <f t="array" ref="AB12">TREND($B12:$L12,$B$2:$L$2,AB$2)</f>
        <v>1895634</v>
      </c>
      <c r="AC12" s="21" cm="1">
        <f t="array" ref="AC12">TREND($B12:$L12,$B$2:$L$2,AC$2)</f>
        <v>1895634</v>
      </c>
      <c r="AD12" s="21" cm="1">
        <f t="array" ref="AD12">TREND($B12:$L12,$B$2:$L$2,AD$2)</f>
        <v>1895634</v>
      </c>
      <c r="AE12" s="21" cm="1">
        <f t="array" ref="AE12">TREND($B12:$L12,$B$2:$L$2,AE$2)</f>
        <v>1895634</v>
      </c>
      <c r="AF12" s="21" cm="1">
        <f t="array" ref="AF12">TREND($B12:$L12,$B$2:$L$2,AF$2)</f>
        <v>1895634</v>
      </c>
    </row>
    <row r="13" spans="1:32">
      <c r="A13" t="s">
        <v>14</v>
      </c>
      <c r="B13" s="21">
        <f>KRW!B13</f>
        <v>657915.29999999993</v>
      </c>
      <c r="C13" s="21">
        <f t="shared" ref="C13:K13" si="7">B13+($L13-$B13)/($L$2-$B$2)</f>
        <v>663865.29999999993</v>
      </c>
      <c r="D13" s="21">
        <f t="shared" si="7"/>
        <v>669815.29999999993</v>
      </c>
      <c r="E13" s="21">
        <f t="shared" si="7"/>
        <v>675765.29999999993</v>
      </c>
      <c r="F13" s="21">
        <f t="shared" si="7"/>
        <v>681715.29999999993</v>
      </c>
      <c r="G13" s="21">
        <f t="shared" si="7"/>
        <v>687665.29999999993</v>
      </c>
      <c r="H13" s="21">
        <f t="shared" si="7"/>
        <v>693615.29999999993</v>
      </c>
      <c r="I13" s="21">
        <f t="shared" si="7"/>
        <v>699565.29999999993</v>
      </c>
      <c r="J13" s="21">
        <f t="shared" si="7"/>
        <v>705515.29999999993</v>
      </c>
      <c r="K13" s="21">
        <f t="shared" si="7"/>
        <v>711465.29999999993</v>
      </c>
      <c r="L13" s="21">
        <f>KRW!D13</f>
        <v>717415.29999999993</v>
      </c>
      <c r="M13" s="21" cm="1">
        <f t="array" ref="M13">TREND($B13:$L13,$B$2:$L$2,M$2)</f>
        <v>723365.30000000075</v>
      </c>
      <c r="N13" s="21" cm="1">
        <f t="array" ref="N13">TREND($B13:$L13,$B$2:$L$2,N$2)</f>
        <v>729315.30000000075</v>
      </c>
      <c r="O13" s="21" cm="1">
        <f t="array" ref="O13">TREND($B13:$L13,$B$2:$L$2,O$2)</f>
        <v>735265.30000000075</v>
      </c>
      <c r="P13" s="21" cm="1">
        <f t="array" ref="P13">TREND($B13:$L13,$B$2:$L$2,P$2)</f>
        <v>741215.30000000075</v>
      </c>
      <c r="Q13" s="21" cm="1">
        <f t="array" ref="Q13">TREND($B13:$L13,$B$2:$L$2,Q$2)</f>
        <v>747165.30000000075</v>
      </c>
      <c r="R13" s="21" cm="1">
        <f t="array" ref="R13">TREND($B13:$L13,$B$2:$L$2,R$2)</f>
        <v>753115.30000000075</v>
      </c>
      <c r="S13" s="21" cm="1">
        <f t="array" ref="S13">TREND($B13:$L13,$B$2:$L$2,S$2)</f>
        <v>759065.30000000075</v>
      </c>
      <c r="T13" s="21" cm="1">
        <f t="array" ref="T13">TREND($B13:$L13,$B$2:$L$2,T$2)</f>
        <v>765015.30000000075</v>
      </c>
      <c r="U13" s="21" cm="1">
        <f t="array" ref="U13">TREND($B13:$L13,$B$2:$L$2,U$2)</f>
        <v>770965.30000000075</v>
      </c>
      <c r="V13" s="21" cm="1">
        <f t="array" ref="V13">TREND($B13:$L13,$B$2:$L$2,V$2)</f>
        <v>776915.30000000075</v>
      </c>
      <c r="W13" s="21" cm="1">
        <f t="array" ref="W13">TREND($B13:$L13,$B$2:$L$2,W$2)</f>
        <v>782865.30000000075</v>
      </c>
      <c r="X13" s="21" cm="1">
        <f t="array" ref="X13">TREND($B13:$L13,$B$2:$L$2,X$2)</f>
        <v>788815.30000000075</v>
      </c>
      <c r="Y13" s="21" cm="1">
        <f t="array" ref="Y13">TREND($B13:$L13,$B$2:$L$2,Y$2)</f>
        <v>794765.30000000075</v>
      </c>
      <c r="Z13" s="21" cm="1">
        <f t="array" ref="Z13">TREND($B13:$L13,$B$2:$L$2,Z$2)</f>
        <v>800715.30000000075</v>
      </c>
      <c r="AA13" s="21" cm="1">
        <f t="array" ref="AA13">TREND($B13:$L13,$B$2:$L$2,AA$2)</f>
        <v>806665.30000000075</v>
      </c>
      <c r="AB13" s="21" cm="1">
        <f t="array" ref="AB13">TREND($B13:$L13,$B$2:$L$2,AB$2)</f>
        <v>812615.30000000075</v>
      </c>
      <c r="AC13" s="21" cm="1">
        <f t="array" ref="AC13">TREND($B13:$L13,$B$2:$L$2,AC$2)</f>
        <v>818565.30000000075</v>
      </c>
      <c r="AD13" s="21" cm="1">
        <f t="array" ref="AD13">TREND($B13:$L13,$B$2:$L$2,AD$2)</f>
        <v>824515.30000000075</v>
      </c>
      <c r="AE13" s="21" cm="1">
        <f t="array" ref="AE13">TREND($B13:$L13,$B$2:$L$2,AE$2)</f>
        <v>830465.30000000075</v>
      </c>
      <c r="AF13" s="21" cm="1">
        <f t="array" ref="AF13">TREND($B13:$L13,$B$2:$L$2,AF$2)</f>
        <v>836415.30000000075</v>
      </c>
    </row>
    <row r="14" spans="1:32">
      <c r="A14" t="s">
        <v>19</v>
      </c>
      <c r="B14" s="21">
        <f>KRW!B14</f>
        <v>1438461</v>
      </c>
      <c r="C14" s="21">
        <f t="shared" ref="C14:K14" si="8">B14+($L14-$B14)/($L$2-$B$2)</f>
        <v>1490860</v>
      </c>
      <c r="D14" s="21">
        <f t="shared" si="8"/>
        <v>1543259</v>
      </c>
      <c r="E14" s="21">
        <f t="shared" si="8"/>
        <v>1595658</v>
      </c>
      <c r="F14" s="21">
        <f t="shared" si="8"/>
        <v>1648057</v>
      </c>
      <c r="G14" s="21">
        <f t="shared" si="8"/>
        <v>1700456</v>
      </c>
      <c r="H14" s="21">
        <f t="shared" si="8"/>
        <v>1752855</v>
      </c>
      <c r="I14" s="21">
        <f t="shared" si="8"/>
        <v>1805254</v>
      </c>
      <c r="J14" s="21">
        <f t="shared" si="8"/>
        <v>1857653</v>
      </c>
      <c r="K14" s="21">
        <f t="shared" si="8"/>
        <v>1910052</v>
      </c>
      <c r="L14" s="21">
        <f>KRW!D14</f>
        <v>1962451</v>
      </c>
      <c r="M14" s="21" cm="1">
        <f t="array" ref="M14">TREND($B14:$L14,$B$2:$L$2,M$2)</f>
        <v>2014850</v>
      </c>
      <c r="N14" s="21" cm="1">
        <f t="array" ref="N14">TREND($B14:$L14,$B$2:$L$2,N$2)</f>
        <v>2067249</v>
      </c>
      <c r="O14" s="21" cm="1">
        <f t="array" ref="O14">TREND($B14:$L14,$B$2:$L$2,O$2)</f>
        <v>2119648</v>
      </c>
      <c r="P14" s="21" cm="1">
        <f t="array" ref="P14">TREND($B14:$L14,$B$2:$L$2,P$2)</f>
        <v>2172047</v>
      </c>
      <c r="Q14" s="21" cm="1">
        <f t="array" ref="Q14">TREND($B14:$L14,$B$2:$L$2,Q$2)</f>
        <v>2224446</v>
      </c>
      <c r="R14" s="21" cm="1">
        <f t="array" ref="R14">TREND($B14:$L14,$B$2:$L$2,R$2)</f>
        <v>2276845</v>
      </c>
      <c r="S14" s="21" cm="1">
        <f t="array" ref="S14">TREND($B14:$L14,$B$2:$L$2,S$2)</f>
        <v>2329244</v>
      </c>
      <c r="T14" s="21" cm="1">
        <f t="array" ref="T14">TREND($B14:$L14,$B$2:$L$2,T$2)</f>
        <v>2381643</v>
      </c>
      <c r="U14" s="21" cm="1">
        <f t="array" ref="U14">TREND($B14:$L14,$B$2:$L$2,U$2)</f>
        <v>2434042</v>
      </c>
      <c r="V14" s="21" cm="1">
        <f t="array" ref="V14">TREND($B14:$L14,$B$2:$L$2,V$2)</f>
        <v>2486441</v>
      </c>
      <c r="W14" s="21" cm="1">
        <f t="array" ref="W14">TREND($B14:$L14,$B$2:$L$2,W$2)</f>
        <v>2538840</v>
      </c>
      <c r="X14" s="21" cm="1">
        <f t="array" ref="X14">TREND($B14:$L14,$B$2:$L$2,X$2)</f>
        <v>2591239</v>
      </c>
      <c r="Y14" s="21" cm="1">
        <f t="array" ref="Y14">TREND($B14:$L14,$B$2:$L$2,Y$2)</f>
        <v>2643638</v>
      </c>
      <c r="Z14" s="21" cm="1">
        <f t="array" ref="Z14">TREND($B14:$L14,$B$2:$L$2,Z$2)</f>
        <v>2696037</v>
      </c>
      <c r="AA14" s="21" cm="1">
        <f t="array" ref="AA14">TREND($B14:$L14,$B$2:$L$2,AA$2)</f>
        <v>2748436</v>
      </c>
      <c r="AB14" s="21" cm="1">
        <f t="array" ref="AB14">TREND($B14:$L14,$B$2:$L$2,AB$2)</f>
        <v>2800835</v>
      </c>
      <c r="AC14" s="21" cm="1">
        <f t="array" ref="AC14">TREND($B14:$L14,$B$2:$L$2,AC$2)</f>
        <v>2853234</v>
      </c>
      <c r="AD14" s="21" cm="1">
        <f t="array" ref="AD14">TREND($B14:$L14,$B$2:$L$2,AD$2)</f>
        <v>2905633</v>
      </c>
      <c r="AE14" s="21" cm="1">
        <f t="array" ref="AE14">TREND($B14:$L14,$B$2:$L$2,AE$2)</f>
        <v>2958032</v>
      </c>
      <c r="AF14" s="21" cm="1">
        <f t="array" ref="AF14">TREND($B14:$L14,$B$2:$L$2,AF$2)</f>
        <v>3010431</v>
      </c>
    </row>
    <row r="15" spans="1:32">
      <c r="A15" t="s">
        <v>17</v>
      </c>
      <c r="B15" s="21">
        <f>KRW!B15</f>
        <v>6005300</v>
      </c>
      <c r="C15" s="21">
        <f t="shared" ref="C15:K15" si="9">B15+($L15-$B15)/($L$2-$B$2)</f>
        <v>5849162.2000000002</v>
      </c>
      <c r="D15" s="21">
        <f t="shared" si="9"/>
        <v>5693024.4000000004</v>
      </c>
      <c r="E15" s="21">
        <f t="shared" si="9"/>
        <v>5536886.6000000006</v>
      </c>
      <c r="F15" s="21">
        <f t="shared" si="9"/>
        <v>5380748.8000000007</v>
      </c>
      <c r="G15" s="21">
        <f t="shared" si="9"/>
        <v>5224611.0000000009</v>
      </c>
      <c r="H15" s="21">
        <f t="shared" si="9"/>
        <v>5068473.2000000011</v>
      </c>
      <c r="I15" s="21">
        <f t="shared" si="9"/>
        <v>4912335.4000000013</v>
      </c>
      <c r="J15" s="21">
        <f t="shared" si="9"/>
        <v>4756197.6000000015</v>
      </c>
      <c r="K15" s="21">
        <f t="shared" si="9"/>
        <v>4600059.8000000017</v>
      </c>
      <c r="L15" s="21">
        <f>KRW!D15</f>
        <v>4443922</v>
      </c>
      <c r="M15" s="21" cm="1">
        <f t="array" ref="M15">TREND($B15:$L15,$B$2:$L$2,M$2)</f>
        <v>4287784.2000000477</v>
      </c>
      <c r="N15" s="21" cm="1">
        <f t="array" ref="N15">TREND($B15:$L15,$B$2:$L$2,N$2)</f>
        <v>4131646.4000000358</v>
      </c>
      <c r="O15" s="21" cm="1">
        <f t="array" ref="O15">TREND($B15:$L15,$B$2:$L$2,O$2)</f>
        <v>3975508.6000000238</v>
      </c>
      <c r="P15" s="21" cm="1">
        <f t="array" ref="P15">TREND($B15:$L15,$B$2:$L$2,P$2)</f>
        <v>3819370.8000000119</v>
      </c>
      <c r="Q15" s="21" cm="1">
        <f t="array" ref="Q15">TREND($B15:$L15,$B$2:$L$2,Q$2)</f>
        <v>3663233</v>
      </c>
      <c r="R15" s="21" cm="1">
        <f t="array" ref="R15">TREND($B15:$L15,$B$2:$L$2,R$2)</f>
        <v>3507095.2000000477</v>
      </c>
      <c r="S15" s="21" cm="1">
        <f t="array" ref="S15">TREND($B15:$L15,$B$2:$L$2,S$2)</f>
        <v>3350957.4000000358</v>
      </c>
      <c r="T15" s="21" cm="1">
        <f t="array" ref="T15">TREND($B15:$L15,$B$2:$L$2,T$2)</f>
        <v>3194819.6000000238</v>
      </c>
      <c r="U15" s="21" cm="1">
        <f t="array" ref="U15">TREND($B15:$L15,$B$2:$L$2,U$2)</f>
        <v>3038681.8000000119</v>
      </c>
      <c r="V15" s="21" cm="1">
        <f t="array" ref="V15">TREND($B15:$L15,$B$2:$L$2,V$2)</f>
        <v>2882544</v>
      </c>
      <c r="W15" s="21" cm="1">
        <f t="array" ref="W15">TREND($B15:$L15,$B$2:$L$2,W$2)</f>
        <v>2726406.2000000477</v>
      </c>
      <c r="X15" s="21" cm="1">
        <f t="array" ref="X15">TREND($B15:$L15,$B$2:$L$2,X$2)</f>
        <v>2570268.4000000358</v>
      </c>
      <c r="Y15" s="21" cm="1">
        <f t="array" ref="Y15">TREND($B15:$L15,$B$2:$L$2,Y$2)</f>
        <v>2414130.6000000238</v>
      </c>
      <c r="Z15" s="21" cm="1">
        <f t="array" ref="Z15">TREND($B15:$L15,$B$2:$L$2,Z$2)</f>
        <v>2257992.8000000119</v>
      </c>
      <c r="AA15" s="21" cm="1">
        <f t="array" ref="AA15">TREND($B15:$L15,$B$2:$L$2,AA$2)</f>
        <v>2101855</v>
      </c>
      <c r="AB15" s="21" cm="1">
        <f t="array" ref="AB15">TREND($B15:$L15,$B$2:$L$2,AB$2)</f>
        <v>1945717.2000000477</v>
      </c>
      <c r="AC15" s="21" cm="1">
        <f t="array" ref="AC15">TREND($B15:$L15,$B$2:$L$2,AC$2)</f>
        <v>1789579.4000000358</v>
      </c>
      <c r="AD15" s="21" cm="1">
        <f t="array" ref="AD15">TREND($B15:$L15,$B$2:$L$2,AD$2)</f>
        <v>1633441.6000000238</v>
      </c>
      <c r="AE15" s="21" cm="1">
        <f t="array" ref="AE15">TREND($B15:$L15,$B$2:$L$2,AE$2)</f>
        <v>1477303.8000000119</v>
      </c>
      <c r="AF15" s="21" cm="1">
        <f t="array" ref="AF15">TREND($B15:$L15,$B$2:$L$2,AF$2)</f>
        <v>1321166</v>
      </c>
    </row>
    <row r="16" spans="1:32">
      <c r="A16" t="s">
        <v>20</v>
      </c>
      <c r="B16" s="21">
        <f>KRW!B16</f>
        <v>1895634</v>
      </c>
      <c r="C16" s="21">
        <f t="shared" ref="C16:K16" si="10">B16+($L16-$B16)/($L$2-$B$2)</f>
        <v>1895634</v>
      </c>
      <c r="D16" s="21">
        <f t="shared" si="10"/>
        <v>1895634</v>
      </c>
      <c r="E16" s="21">
        <f t="shared" si="10"/>
        <v>1895634</v>
      </c>
      <c r="F16" s="21">
        <f t="shared" si="10"/>
        <v>1895634</v>
      </c>
      <c r="G16" s="21">
        <f t="shared" si="10"/>
        <v>1895634</v>
      </c>
      <c r="H16" s="21">
        <f t="shared" si="10"/>
        <v>1895634</v>
      </c>
      <c r="I16" s="21">
        <f t="shared" si="10"/>
        <v>1895634</v>
      </c>
      <c r="J16" s="21">
        <f t="shared" si="10"/>
        <v>1895634</v>
      </c>
      <c r="K16" s="21">
        <f t="shared" si="10"/>
        <v>1895634</v>
      </c>
      <c r="L16" s="21">
        <f>KRW!D16</f>
        <v>1895634</v>
      </c>
      <c r="M16" s="21" cm="1">
        <f t="array" ref="M16">TREND($B16:$L16,$B$2:$L$2,M$2)</f>
        <v>1895634</v>
      </c>
      <c r="N16" s="21" cm="1">
        <f t="array" ref="N16">TREND($B16:$L16,$B$2:$L$2,N$2)</f>
        <v>1895634</v>
      </c>
      <c r="O16" s="21" cm="1">
        <f t="array" ref="O16">TREND($B16:$L16,$B$2:$L$2,O$2)</f>
        <v>1895634</v>
      </c>
      <c r="P16" s="21" cm="1">
        <f t="array" ref="P16">TREND($B16:$L16,$B$2:$L$2,P$2)</f>
        <v>1895634</v>
      </c>
      <c r="Q16" s="21" cm="1">
        <f t="array" ref="Q16">TREND($B16:$L16,$B$2:$L$2,Q$2)</f>
        <v>1895634</v>
      </c>
      <c r="R16" s="21" cm="1">
        <f t="array" ref="R16">TREND($B16:$L16,$B$2:$L$2,R$2)</f>
        <v>1895634</v>
      </c>
      <c r="S16" s="21" cm="1">
        <f t="array" ref="S16">TREND($B16:$L16,$B$2:$L$2,S$2)</f>
        <v>1895634</v>
      </c>
      <c r="T16" s="21" cm="1">
        <f t="array" ref="T16">TREND($B16:$L16,$B$2:$L$2,T$2)</f>
        <v>1895634</v>
      </c>
      <c r="U16" s="21" cm="1">
        <f t="array" ref="U16">TREND($B16:$L16,$B$2:$L$2,U$2)</f>
        <v>1895634</v>
      </c>
      <c r="V16" s="21" cm="1">
        <f t="array" ref="V16">TREND($B16:$L16,$B$2:$L$2,V$2)</f>
        <v>1895634</v>
      </c>
      <c r="W16" s="21" cm="1">
        <f t="array" ref="W16">TREND($B16:$L16,$B$2:$L$2,W$2)</f>
        <v>1895634</v>
      </c>
      <c r="X16" s="21" cm="1">
        <f t="array" ref="X16">TREND($B16:$L16,$B$2:$L$2,X$2)</f>
        <v>1895634</v>
      </c>
      <c r="Y16" s="21" cm="1">
        <f t="array" ref="Y16">TREND($B16:$L16,$B$2:$L$2,Y$2)</f>
        <v>1895634</v>
      </c>
      <c r="Z16" s="21" cm="1">
        <f t="array" ref="Z16">TREND($B16:$L16,$B$2:$L$2,Z$2)</f>
        <v>1895634</v>
      </c>
      <c r="AA16" s="21" cm="1">
        <f t="array" ref="AA16">TREND($B16:$L16,$B$2:$L$2,AA$2)</f>
        <v>1895634</v>
      </c>
      <c r="AB16" s="21" cm="1">
        <f t="array" ref="AB16">TREND($B16:$L16,$B$2:$L$2,AB$2)</f>
        <v>1895634</v>
      </c>
      <c r="AC16" s="21" cm="1">
        <f t="array" ref="AC16">TREND($B16:$L16,$B$2:$L$2,AC$2)</f>
        <v>1895634</v>
      </c>
      <c r="AD16" s="21" cm="1">
        <f t="array" ref="AD16">TREND($B16:$L16,$B$2:$L$2,AD$2)</f>
        <v>1895634</v>
      </c>
      <c r="AE16" s="21" cm="1">
        <f t="array" ref="AE16">TREND($B16:$L16,$B$2:$L$2,AE$2)</f>
        <v>1895634</v>
      </c>
      <c r="AF16" s="21" cm="1">
        <f t="array" ref="AF16">TREND($B16:$L16,$B$2:$L$2,AF$2)</f>
        <v>1895634</v>
      </c>
    </row>
    <row r="17" spans="1:32">
      <c r="A17" t="s">
        <v>21</v>
      </c>
      <c r="B17" s="21">
        <f>KRW!B17</f>
        <v>1895634</v>
      </c>
      <c r="C17" s="21">
        <f t="shared" ref="C17:K17" si="11">B17+($L17-$B17)/($L$2-$B$2)</f>
        <v>1895634</v>
      </c>
      <c r="D17" s="21">
        <f t="shared" si="11"/>
        <v>1895634</v>
      </c>
      <c r="E17" s="21">
        <f t="shared" si="11"/>
        <v>1895634</v>
      </c>
      <c r="F17" s="21">
        <f t="shared" si="11"/>
        <v>1895634</v>
      </c>
      <c r="G17" s="21">
        <f t="shared" si="11"/>
        <v>1895634</v>
      </c>
      <c r="H17" s="21">
        <f t="shared" si="11"/>
        <v>1895634</v>
      </c>
      <c r="I17" s="21">
        <f t="shared" si="11"/>
        <v>1895634</v>
      </c>
      <c r="J17" s="21">
        <f t="shared" si="11"/>
        <v>1895634</v>
      </c>
      <c r="K17" s="21">
        <f t="shared" si="11"/>
        <v>1895634</v>
      </c>
      <c r="L17" s="21">
        <f>KRW!D17</f>
        <v>1895634</v>
      </c>
      <c r="M17" s="21" cm="1">
        <f t="array" ref="M17">TREND($B17:$L17,$B$2:$L$2,M$2)</f>
        <v>1895634</v>
      </c>
      <c r="N17" s="21" cm="1">
        <f t="array" ref="N17">TREND($B17:$L17,$B$2:$L$2,N$2)</f>
        <v>1895634</v>
      </c>
      <c r="O17" s="21" cm="1">
        <f t="array" ref="O17">TREND($B17:$L17,$B$2:$L$2,O$2)</f>
        <v>1895634</v>
      </c>
      <c r="P17" s="21" cm="1">
        <f t="array" ref="P17">TREND($B17:$L17,$B$2:$L$2,P$2)</f>
        <v>1895634</v>
      </c>
      <c r="Q17" s="21" cm="1">
        <f t="array" ref="Q17">TREND($B17:$L17,$B$2:$L$2,Q$2)</f>
        <v>1895634</v>
      </c>
      <c r="R17" s="21" cm="1">
        <f t="array" ref="R17">TREND($B17:$L17,$B$2:$L$2,R$2)</f>
        <v>1895634</v>
      </c>
      <c r="S17" s="21" cm="1">
        <f t="array" ref="S17">TREND($B17:$L17,$B$2:$L$2,S$2)</f>
        <v>1895634</v>
      </c>
      <c r="T17" s="21" cm="1">
        <f t="array" ref="T17">TREND($B17:$L17,$B$2:$L$2,T$2)</f>
        <v>1895634</v>
      </c>
      <c r="U17" s="21" cm="1">
        <f t="array" ref="U17">TREND($B17:$L17,$B$2:$L$2,U$2)</f>
        <v>1895634</v>
      </c>
      <c r="V17" s="21" cm="1">
        <f t="array" ref="V17">TREND($B17:$L17,$B$2:$L$2,V$2)</f>
        <v>1895634</v>
      </c>
      <c r="W17" s="21" cm="1">
        <f t="array" ref="W17">TREND($B17:$L17,$B$2:$L$2,W$2)</f>
        <v>1895634</v>
      </c>
      <c r="X17" s="21" cm="1">
        <f t="array" ref="X17">TREND($B17:$L17,$B$2:$L$2,X$2)</f>
        <v>1895634</v>
      </c>
      <c r="Y17" s="21" cm="1">
        <f t="array" ref="Y17">TREND($B17:$L17,$B$2:$L$2,Y$2)</f>
        <v>1895634</v>
      </c>
      <c r="Z17" s="21" cm="1">
        <f t="array" ref="Z17">TREND($B17:$L17,$B$2:$L$2,Z$2)</f>
        <v>1895634</v>
      </c>
      <c r="AA17" s="21" cm="1">
        <f t="array" ref="AA17">TREND($B17:$L17,$B$2:$L$2,AA$2)</f>
        <v>1895634</v>
      </c>
      <c r="AB17" s="21" cm="1">
        <f t="array" ref="AB17">TREND($B17:$L17,$B$2:$L$2,AB$2)</f>
        <v>1895634</v>
      </c>
      <c r="AC17" s="21" cm="1">
        <f t="array" ref="AC17">TREND($B17:$L17,$B$2:$L$2,AC$2)</f>
        <v>1895634</v>
      </c>
      <c r="AD17" s="21" cm="1">
        <f t="array" ref="AD17">TREND($B17:$L17,$B$2:$L$2,AD$2)</f>
        <v>1895634</v>
      </c>
      <c r="AE17" s="21" cm="1">
        <f t="array" ref="AE17">TREND($B17:$L17,$B$2:$L$2,AE$2)</f>
        <v>1895634</v>
      </c>
      <c r="AF17" s="21" cm="1">
        <f t="array" ref="AF17">TREND($B17:$L17,$B$2:$L$2,AF$2)</f>
        <v>1895634</v>
      </c>
    </row>
    <row r="18" spans="1:32">
      <c r="A18" t="s">
        <v>22</v>
      </c>
      <c r="B18" s="21">
        <f>KRW!B18</f>
        <v>4800000</v>
      </c>
      <c r="C18" s="21">
        <f t="shared" ref="C18:K18" si="12">B18+($L18-$B18)/($L$2-$B$2)</f>
        <v>4800000</v>
      </c>
      <c r="D18" s="21">
        <f t="shared" si="12"/>
        <v>4800000</v>
      </c>
      <c r="E18" s="21">
        <f t="shared" si="12"/>
        <v>4800000</v>
      </c>
      <c r="F18" s="21">
        <f t="shared" si="12"/>
        <v>4800000</v>
      </c>
      <c r="G18" s="21">
        <f t="shared" si="12"/>
        <v>4800000</v>
      </c>
      <c r="H18" s="21">
        <f t="shared" si="12"/>
        <v>4800000</v>
      </c>
      <c r="I18" s="21">
        <f t="shared" si="12"/>
        <v>4800000</v>
      </c>
      <c r="J18" s="21">
        <f t="shared" si="12"/>
        <v>4800000</v>
      </c>
      <c r="K18" s="21">
        <f t="shared" si="12"/>
        <v>4800000</v>
      </c>
      <c r="L18" s="21">
        <f>KRW!D18</f>
        <v>4800000</v>
      </c>
      <c r="M18" s="21" cm="1">
        <f t="array" ref="M18">TREND($B18:$L18,$B$2:$L$2,M$2)</f>
        <v>4800000</v>
      </c>
      <c r="N18" s="21" cm="1">
        <f t="array" ref="N18">TREND($B18:$L18,$B$2:$L$2,N$2)</f>
        <v>4800000</v>
      </c>
      <c r="O18" s="21" cm="1">
        <f t="array" ref="O18">TREND($B18:$L18,$B$2:$L$2,O$2)</f>
        <v>4800000</v>
      </c>
      <c r="P18" s="21" cm="1">
        <f t="array" ref="P18">TREND($B18:$L18,$B$2:$L$2,P$2)</f>
        <v>4800000</v>
      </c>
      <c r="Q18" s="21" cm="1">
        <f t="array" ref="Q18">TREND($B18:$L18,$B$2:$L$2,Q$2)</f>
        <v>4800000</v>
      </c>
      <c r="R18" s="21" cm="1">
        <f t="array" ref="R18">TREND($B18:$L18,$B$2:$L$2,R$2)</f>
        <v>4800000</v>
      </c>
      <c r="S18" s="21" cm="1">
        <f t="array" ref="S18">TREND($B18:$L18,$B$2:$L$2,S$2)</f>
        <v>4800000</v>
      </c>
      <c r="T18" s="21" cm="1">
        <f t="array" ref="T18">TREND($B18:$L18,$B$2:$L$2,T$2)</f>
        <v>4800000</v>
      </c>
      <c r="U18" s="21" cm="1">
        <f t="array" ref="U18">TREND($B18:$L18,$B$2:$L$2,U$2)</f>
        <v>4800000</v>
      </c>
      <c r="V18" s="21" cm="1">
        <f t="array" ref="V18">TREND($B18:$L18,$B$2:$L$2,V$2)</f>
        <v>4800000</v>
      </c>
      <c r="W18" s="21" cm="1">
        <f t="array" ref="W18">TREND($B18:$L18,$B$2:$L$2,W$2)</f>
        <v>4800000</v>
      </c>
      <c r="X18" s="21" cm="1">
        <f t="array" ref="X18">TREND($B18:$L18,$B$2:$L$2,X$2)</f>
        <v>4800000</v>
      </c>
      <c r="Y18" s="21" cm="1">
        <f t="array" ref="Y18">TREND($B18:$L18,$B$2:$L$2,Y$2)</f>
        <v>4800000</v>
      </c>
      <c r="Z18" s="21" cm="1">
        <f t="array" ref="Z18">TREND($B18:$L18,$B$2:$L$2,Z$2)</f>
        <v>4800000</v>
      </c>
      <c r="AA18" s="21" cm="1">
        <f t="array" ref="AA18">TREND($B18:$L18,$B$2:$L$2,AA$2)</f>
        <v>4800000</v>
      </c>
      <c r="AB18" s="21" cm="1">
        <f t="array" ref="AB18">TREND($B18:$L18,$B$2:$L$2,AB$2)</f>
        <v>4800000</v>
      </c>
      <c r="AC18" s="21" cm="1">
        <f t="array" ref="AC18">TREND($B18:$L18,$B$2:$L$2,AC$2)</f>
        <v>4800000</v>
      </c>
      <c r="AD18" s="21" cm="1">
        <f t="array" ref="AD18">TREND($B18:$L18,$B$2:$L$2,AD$2)</f>
        <v>4800000</v>
      </c>
      <c r="AE18" s="21" cm="1">
        <f t="array" ref="AE18">TREND($B18:$L18,$B$2:$L$2,AE$2)</f>
        <v>4800000</v>
      </c>
      <c r="AF18" s="21" cm="1">
        <f t="array" ref="AF18">TREND($B18:$L18,$B$2:$L$2,AF$2)</f>
        <v>4800000</v>
      </c>
    </row>
    <row r="19" spans="1:32">
      <c r="A19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</row>
    <row r="20" spans="1:32">
      <c r="A20" s="17" t="s">
        <v>40</v>
      </c>
      <c r="B20" s="20">
        <v>2020</v>
      </c>
      <c r="C20" s="20">
        <v>2021</v>
      </c>
      <c r="D20" s="20">
        <v>2022</v>
      </c>
      <c r="E20" s="20">
        <v>2023</v>
      </c>
      <c r="F20" s="20">
        <v>2024</v>
      </c>
      <c r="G20" s="20">
        <v>2025</v>
      </c>
      <c r="H20" s="20">
        <v>2026</v>
      </c>
      <c r="I20" s="20">
        <v>2027</v>
      </c>
      <c r="J20" s="20">
        <v>2028</v>
      </c>
      <c r="K20" s="20">
        <v>2029</v>
      </c>
      <c r="L20" s="20">
        <v>2030</v>
      </c>
      <c r="M20" s="20">
        <v>2031</v>
      </c>
      <c r="N20" s="20">
        <v>2032</v>
      </c>
      <c r="O20" s="20">
        <v>2033</v>
      </c>
      <c r="P20" s="20">
        <v>2034</v>
      </c>
      <c r="Q20" s="20">
        <v>2035</v>
      </c>
      <c r="R20" s="20">
        <v>2036</v>
      </c>
      <c r="S20" s="20">
        <v>2037</v>
      </c>
      <c r="T20" s="20">
        <v>2038</v>
      </c>
      <c r="U20" s="20">
        <v>2039</v>
      </c>
      <c r="V20" s="20">
        <v>2040</v>
      </c>
      <c r="W20" s="20">
        <v>2041</v>
      </c>
      <c r="X20" s="20">
        <v>2042</v>
      </c>
      <c r="Y20" s="20">
        <v>2043</v>
      </c>
      <c r="Z20" s="20">
        <v>2044</v>
      </c>
      <c r="AA20" s="20">
        <v>2045</v>
      </c>
      <c r="AB20" s="20">
        <v>2046</v>
      </c>
      <c r="AC20" s="20">
        <v>2047</v>
      </c>
      <c r="AD20" s="20">
        <v>2048</v>
      </c>
      <c r="AE20" s="20">
        <v>2049</v>
      </c>
      <c r="AF20" s="20">
        <v>2050</v>
      </c>
    </row>
    <row r="21" spans="1:32">
      <c r="A21" t="s">
        <v>16</v>
      </c>
      <c r="B21" s="21">
        <f>KRW!B21</f>
        <v>66670.320000000007</v>
      </c>
      <c r="C21" s="21">
        <f t="shared" ref="C21:K21" si="13">B21+($L21-$B21)/($L$2-$B$2)</f>
        <v>66670.320000000007</v>
      </c>
      <c r="D21" s="21">
        <f t="shared" si="13"/>
        <v>66670.320000000007</v>
      </c>
      <c r="E21" s="21">
        <f t="shared" si="13"/>
        <v>66670.320000000007</v>
      </c>
      <c r="F21" s="21">
        <f t="shared" si="13"/>
        <v>66670.320000000007</v>
      </c>
      <c r="G21" s="21">
        <f t="shared" si="13"/>
        <v>66670.320000000007</v>
      </c>
      <c r="H21" s="21">
        <f t="shared" si="13"/>
        <v>66670.320000000007</v>
      </c>
      <c r="I21" s="21">
        <f t="shared" si="13"/>
        <v>66670.320000000007</v>
      </c>
      <c r="J21" s="21">
        <f t="shared" si="13"/>
        <v>66670.320000000007</v>
      </c>
      <c r="K21" s="21">
        <f t="shared" si="13"/>
        <v>66670.320000000007</v>
      </c>
      <c r="L21" s="21">
        <f>KRW!D21</f>
        <v>66670.320000000007</v>
      </c>
      <c r="M21" s="21" cm="1">
        <f t="array" ref="M21">TREND($B21:$L21,$B$2:$L$2,M$2)</f>
        <v>66670.320000000022</v>
      </c>
      <c r="N21" s="21" cm="1">
        <f t="array" ref="N21">TREND($B21:$L21,$B$2:$L$2,N$2)</f>
        <v>66670.320000000022</v>
      </c>
      <c r="O21" s="21" cm="1">
        <f t="array" ref="O21">TREND($B21:$L21,$B$2:$L$2,O$2)</f>
        <v>66670.320000000022</v>
      </c>
      <c r="P21" s="21" cm="1">
        <f t="array" ref="P21">TREND($B21:$L21,$B$2:$L$2,P$2)</f>
        <v>66670.320000000022</v>
      </c>
      <c r="Q21" s="21" cm="1">
        <f t="array" ref="Q21">TREND($B21:$L21,$B$2:$L$2,Q$2)</f>
        <v>66670.320000000022</v>
      </c>
      <c r="R21" s="21" cm="1">
        <f t="array" ref="R21">TREND($B21:$L21,$B$2:$L$2,R$2)</f>
        <v>66670.320000000022</v>
      </c>
      <c r="S21" s="21" cm="1">
        <f t="array" ref="S21">TREND($B21:$L21,$B$2:$L$2,S$2)</f>
        <v>66670.320000000022</v>
      </c>
      <c r="T21" s="21" cm="1">
        <f t="array" ref="T21">TREND($B21:$L21,$B$2:$L$2,T$2)</f>
        <v>66670.320000000022</v>
      </c>
      <c r="U21" s="21" cm="1">
        <f t="array" ref="U21">TREND($B21:$L21,$B$2:$L$2,U$2)</f>
        <v>66670.320000000022</v>
      </c>
      <c r="V21" s="21" cm="1">
        <f t="array" ref="V21">TREND($B21:$L21,$B$2:$L$2,V$2)</f>
        <v>66670.320000000022</v>
      </c>
      <c r="W21" s="21" cm="1">
        <f t="array" ref="W21">TREND($B21:$L21,$B$2:$L$2,W$2)</f>
        <v>66670.320000000022</v>
      </c>
      <c r="X21" s="21" cm="1">
        <f t="array" ref="X21">TREND($B21:$L21,$B$2:$L$2,X$2)</f>
        <v>66670.320000000022</v>
      </c>
      <c r="Y21" s="21" cm="1">
        <f t="array" ref="Y21">TREND($B21:$L21,$B$2:$L$2,Y$2)</f>
        <v>66670.320000000022</v>
      </c>
      <c r="Z21" s="21" cm="1">
        <f t="array" ref="Z21">TREND($B21:$L21,$B$2:$L$2,Z$2)</f>
        <v>66670.320000000022</v>
      </c>
      <c r="AA21" s="21" cm="1">
        <f t="array" ref="AA21">TREND($B21:$L21,$B$2:$L$2,AA$2)</f>
        <v>66670.320000000022</v>
      </c>
      <c r="AB21" s="21" cm="1">
        <f t="array" ref="AB21">TREND($B21:$L21,$B$2:$L$2,AB$2)</f>
        <v>66670.320000000022</v>
      </c>
      <c r="AC21" s="21" cm="1">
        <f t="array" ref="AC21">TREND($B21:$L21,$B$2:$L$2,AC$2)</f>
        <v>66670.320000000022</v>
      </c>
      <c r="AD21" s="21" cm="1">
        <f t="array" ref="AD21">TREND($B21:$L21,$B$2:$L$2,AD$2)</f>
        <v>66670.320000000022</v>
      </c>
      <c r="AE21" s="21" cm="1">
        <f t="array" ref="AE21">TREND($B21:$L21,$B$2:$L$2,AE$2)</f>
        <v>66670.320000000022</v>
      </c>
      <c r="AF21" s="21" cm="1">
        <f t="array" ref="AF21">TREND($B21:$L21,$B$2:$L$2,AF$2)</f>
        <v>66670.320000000022</v>
      </c>
    </row>
    <row r="22" spans="1:32">
      <c r="A22" t="s">
        <v>11</v>
      </c>
      <c r="B22" s="21">
        <f>KRW!B22</f>
        <v>43835.64</v>
      </c>
      <c r="C22" s="21">
        <f t="shared" ref="C22:K22" si="14">B22+($L22-$B22)/($L$2-$B$2)</f>
        <v>43835.64</v>
      </c>
      <c r="D22" s="21">
        <f t="shared" si="14"/>
        <v>43835.64</v>
      </c>
      <c r="E22" s="21">
        <f t="shared" si="14"/>
        <v>43835.64</v>
      </c>
      <c r="F22" s="21">
        <f t="shared" si="14"/>
        <v>43835.64</v>
      </c>
      <c r="G22" s="21">
        <f t="shared" si="14"/>
        <v>43835.64</v>
      </c>
      <c r="H22" s="21">
        <f t="shared" si="14"/>
        <v>43835.64</v>
      </c>
      <c r="I22" s="21">
        <f t="shared" si="14"/>
        <v>43835.64</v>
      </c>
      <c r="J22" s="21">
        <f t="shared" si="14"/>
        <v>43835.64</v>
      </c>
      <c r="K22" s="21">
        <f t="shared" si="14"/>
        <v>43835.64</v>
      </c>
      <c r="L22" s="21">
        <f>KRW!D22</f>
        <v>43835.64</v>
      </c>
      <c r="M22" s="21" cm="1">
        <f t="array" ref="M22">TREND($B22:$L22,$B$2:$L$2,M$2)</f>
        <v>43835.640000000007</v>
      </c>
      <c r="N22" s="21" cm="1">
        <f t="array" ref="N22">TREND($B22:$L22,$B$2:$L$2,N$2)</f>
        <v>43835.640000000007</v>
      </c>
      <c r="O22" s="21" cm="1">
        <f t="array" ref="O22">TREND($B22:$L22,$B$2:$L$2,O$2)</f>
        <v>43835.640000000007</v>
      </c>
      <c r="P22" s="21" cm="1">
        <f t="array" ref="P22">TREND($B22:$L22,$B$2:$L$2,P$2)</f>
        <v>43835.640000000007</v>
      </c>
      <c r="Q22" s="21" cm="1">
        <f t="array" ref="Q22">TREND($B22:$L22,$B$2:$L$2,Q$2)</f>
        <v>43835.640000000007</v>
      </c>
      <c r="R22" s="21" cm="1">
        <f t="array" ref="R22">TREND($B22:$L22,$B$2:$L$2,R$2)</f>
        <v>43835.640000000007</v>
      </c>
      <c r="S22" s="21" cm="1">
        <f t="array" ref="S22">TREND($B22:$L22,$B$2:$L$2,S$2)</f>
        <v>43835.640000000007</v>
      </c>
      <c r="T22" s="21" cm="1">
        <f t="array" ref="T22">TREND($B22:$L22,$B$2:$L$2,T$2)</f>
        <v>43835.640000000007</v>
      </c>
      <c r="U22" s="21" cm="1">
        <f t="array" ref="U22">TREND($B22:$L22,$B$2:$L$2,U$2)</f>
        <v>43835.640000000007</v>
      </c>
      <c r="V22" s="21" cm="1">
        <f t="array" ref="V22">TREND($B22:$L22,$B$2:$L$2,V$2)</f>
        <v>43835.640000000007</v>
      </c>
      <c r="W22" s="21" cm="1">
        <f t="array" ref="W22">TREND($B22:$L22,$B$2:$L$2,W$2)</f>
        <v>43835.640000000007</v>
      </c>
      <c r="X22" s="21" cm="1">
        <f t="array" ref="X22">TREND($B22:$L22,$B$2:$L$2,X$2)</f>
        <v>43835.640000000007</v>
      </c>
      <c r="Y22" s="21" cm="1">
        <f t="array" ref="Y22">TREND($B22:$L22,$B$2:$L$2,Y$2)</f>
        <v>43835.640000000007</v>
      </c>
      <c r="Z22" s="21" cm="1">
        <f t="array" ref="Z22">TREND($B22:$L22,$B$2:$L$2,Z$2)</f>
        <v>43835.640000000007</v>
      </c>
      <c r="AA22" s="21" cm="1">
        <f t="array" ref="AA22">TREND($B22:$L22,$B$2:$L$2,AA$2)</f>
        <v>43835.640000000007</v>
      </c>
      <c r="AB22" s="21" cm="1">
        <f t="array" ref="AB22">TREND($B22:$L22,$B$2:$L$2,AB$2)</f>
        <v>43835.640000000007</v>
      </c>
      <c r="AC22" s="21" cm="1">
        <f t="array" ref="AC22">TREND($B22:$L22,$B$2:$L$2,AC$2)</f>
        <v>43835.640000000007</v>
      </c>
      <c r="AD22" s="21" cm="1">
        <f t="array" ref="AD22">TREND($B22:$L22,$B$2:$L$2,AD$2)</f>
        <v>43835.640000000007</v>
      </c>
      <c r="AE22" s="21" cm="1">
        <f t="array" ref="AE22">TREND($B22:$L22,$B$2:$L$2,AE$2)</f>
        <v>43835.640000000007</v>
      </c>
      <c r="AF22" s="21" cm="1">
        <f t="array" ref="AF22">TREND($B22:$L22,$B$2:$L$2,AF$2)</f>
        <v>43835.640000000007</v>
      </c>
    </row>
    <row r="23" spans="1:32">
      <c r="A23" t="s">
        <v>5</v>
      </c>
      <c r="B23" s="21">
        <f>KRW!B23</f>
        <v>166937.76</v>
      </c>
      <c r="C23" s="21">
        <f t="shared" ref="C23:K23" si="15">B23+($L23-$B23)/($L$2-$B$2)</f>
        <v>166937.76</v>
      </c>
      <c r="D23" s="21">
        <f t="shared" si="15"/>
        <v>166937.76</v>
      </c>
      <c r="E23" s="21">
        <f t="shared" si="15"/>
        <v>166937.76</v>
      </c>
      <c r="F23" s="21">
        <f t="shared" si="15"/>
        <v>166937.76</v>
      </c>
      <c r="G23" s="21">
        <f t="shared" si="15"/>
        <v>166937.76</v>
      </c>
      <c r="H23" s="21">
        <f t="shared" si="15"/>
        <v>166937.76</v>
      </c>
      <c r="I23" s="21">
        <f t="shared" si="15"/>
        <v>166937.76</v>
      </c>
      <c r="J23" s="21">
        <f t="shared" si="15"/>
        <v>166937.76</v>
      </c>
      <c r="K23" s="21">
        <f t="shared" si="15"/>
        <v>166937.76</v>
      </c>
      <c r="L23" s="21">
        <f>KRW!D23</f>
        <v>166937.76</v>
      </c>
      <c r="M23" s="21" cm="1">
        <f t="array" ref="M23">TREND($B23:$L23,$B$2:$L$2,M$2)</f>
        <v>166937.76</v>
      </c>
      <c r="N23" s="21" cm="1">
        <f t="array" ref="N23">TREND($B23:$L23,$B$2:$L$2,N$2)</f>
        <v>166937.76</v>
      </c>
      <c r="O23" s="21" cm="1">
        <f t="array" ref="O23">TREND($B23:$L23,$B$2:$L$2,O$2)</f>
        <v>166937.76</v>
      </c>
      <c r="P23" s="21" cm="1">
        <f t="array" ref="P23">TREND($B23:$L23,$B$2:$L$2,P$2)</f>
        <v>166937.76</v>
      </c>
      <c r="Q23" s="21" cm="1">
        <f t="array" ref="Q23">TREND($B23:$L23,$B$2:$L$2,Q$2)</f>
        <v>166937.76</v>
      </c>
      <c r="R23" s="21" cm="1">
        <f t="array" ref="R23">TREND($B23:$L23,$B$2:$L$2,R$2)</f>
        <v>166937.76</v>
      </c>
      <c r="S23" s="21" cm="1">
        <f t="array" ref="S23">TREND($B23:$L23,$B$2:$L$2,S$2)</f>
        <v>166937.76</v>
      </c>
      <c r="T23" s="21" cm="1">
        <f t="array" ref="T23">TREND($B23:$L23,$B$2:$L$2,T$2)</f>
        <v>166937.76</v>
      </c>
      <c r="U23" s="21" cm="1">
        <f t="array" ref="U23">TREND($B23:$L23,$B$2:$L$2,U$2)</f>
        <v>166937.76</v>
      </c>
      <c r="V23" s="21" cm="1">
        <f t="array" ref="V23">TREND($B23:$L23,$B$2:$L$2,V$2)</f>
        <v>166937.76</v>
      </c>
      <c r="W23" s="21" cm="1">
        <f t="array" ref="W23">TREND($B23:$L23,$B$2:$L$2,W$2)</f>
        <v>166937.76</v>
      </c>
      <c r="X23" s="21" cm="1">
        <f t="array" ref="X23">TREND($B23:$L23,$B$2:$L$2,X$2)</f>
        <v>166937.76</v>
      </c>
      <c r="Y23" s="21" cm="1">
        <f t="array" ref="Y23">TREND($B23:$L23,$B$2:$L$2,Y$2)</f>
        <v>166937.76</v>
      </c>
      <c r="Z23" s="21" cm="1">
        <f t="array" ref="Z23">TREND($B23:$L23,$B$2:$L$2,Z$2)</f>
        <v>166937.76</v>
      </c>
      <c r="AA23" s="21" cm="1">
        <f t="array" ref="AA23">TREND($B23:$L23,$B$2:$L$2,AA$2)</f>
        <v>166937.76</v>
      </c>
      <c r="AB23" s="21" cm="1">
        <f t="array" ref="AB23">TREND($B23:$L23,$B$2:$L$2,AB$2)</f>
        <v>166937.76</v>
      </c>
      <c r="AC23" s="21" cm="1">
        <f t="array" ref="AC23">TREND($B23:$L23,$B$2:$L$2,AC$2)</f>
        <v>166937.76</v>
      </c>
      <c r="AD23" s="21" cm="1">
        <f t="array" ref="AD23">TREND($B23:$L23,$B$2:$L$2,AD$2)</f>
        <v>166937.76</v>
      </c>
      <c r="AE23" s="21" cm="1">
        <f t="array" ref="AE23">TREND($B23:$L23,$B$2:$L$2,AE$2)</f>
        <v>166937.76</v>
      </c>
      <c r="AF23" s="21" cm="1">
        <f t="array" ref="AF23">TREND($B23:$L23,$B$2:$L$2,AF$2)</f>
        <v>166937.76</v>
      </c>
    </row>
    <row r="24" spans="1:32">
      <c r="A24" t="s">
        <v>6</v>
      </c>
      <c r="B24" s="21">
        <f>KRW!B24</f>
        <v>24217.5</v>
      </c>
      <c r="C24" s="21">
        <f t="shared" ref="C24:K24" si="16">B24+($L24-$B24)/($L$2-$B$2)</f>
        <v>24217.5</v>
      </c>
      <c r="D24" s="21">
        <f t="shared" si="16"/>
        <v>24217.5</v>
      </c>
      <c r="E24" s="21">
        <f t="shared" si="16"/>
        <v>24217.5</v>
      </c>
      <c r="F24" s="21">
        <f t="shared" si="16"/>
        <v>24217.5</v>
      </c>
      <c r="G24" s="21">
        <f t="shared" si="16"/>
        <v>24217.5</v>
      </c>
      <c r="H24" s="21">
        <f t="shared" si="16"/>
        <v>24217.5</v>
      </c>
      <c r="I24" s="21">
        <f t="shared" si="16"/>
        <v>24217.5</v>
      </c>
      <c r="J24" s="21">
        <f t="shared" si="16"/>
        <v>24217.5</v>
      </c>
      <c r="K24" s="21">
        <f t="shared" si="16"/>
        <v>24217.5</v>
      </c>
      <c r="L24" s="21">
        <f>KRW!D24</f>
        <v>24217.5</v>
      </c>
      <c r="M24" s="21" cm="1">
        <f t="array" ref="M24">TREND($B24:$L24,$B$2:$L$2,M$2)</f>
        <v>24217.5</v>
      </c>
      <c r="N24" s="21" cm="1">
        <f t="array" ref="N24">TREND($B24:$L24,$B$2:$L$2,N$2)</f>
        <v>24217.5</v>
      </c>
      <c r="O24" s="21" cm="1">
        <f t="array" ref="O24">TREND($B24:$L24,$B$2:$L$2,O$2)</f>
        <v>24217.5</v>
      </c>
      <c r="P24" s="21" cm="1">
        <f t="array" ref="P24">TREND($B24:$L24,$B$2:$L$2,P$2)</f>
        <v>24217.5</v>
      </c>
      <c r="Q24" s="21" cm="1">
        <f t="array" ref="Q24">TREND($B24:$L24,$B$2:$L$2,Q$2)</f>
        <v>24217.5</v>
      </c>
      <c r="R24" s="21" cm="1">
        <f t="array" ref="R24">TREND($B24:$L24,$B$2:$L$2,R$2)</f>
        <v>24217.5</v>
      </c>
      <c r="S24" s="21" cm="1">
        <f t="array" ref="S24">TREND($B24:$L24,$B$2:$L$2,S$2)</f>
        <v>24217.5</v>
      </c>
      <c r="T24" s="21" cm="1">
        <f t="array" ref="T24">TREND($B24:$L24,$B$2:$L$2,T$2)</f>
        <v>24217.5</v>
      </c>
      <c r="U24" s="21" cm="1">
        <f t="array" ref="U24">TREND($B24:$L24,$B$2:$L$2,U$2)</f>
        <v>24217.5</v>
      </c>
      <c r="V24" s="21" cm="1">
        <f t="array" ref="V24">TREND($B24:$L24,$B$2:$L$2,V$2)</f>
        <v>24217.5</v>
      </c>
      <c r="W24" s="21" cm="1">
        <f t="array" ref="W24">TREND($B24:$L24,$B$2:$L$2,W$2)</f>
        <v>24217.5</v>
      </c>
      <c r="X24" s="21" cm="1">
        <f t="array" ref="X24">TREND($B24:$L24,$B$2:$L$2,X$2)</f>
        <v>24217.5</v>
      </c>
      <c r="Y24" s="21" cm="1">
        <f t="array" ref="Y24">TREND($B24:$L24,$B$2:$L$2,Y$2)</f>
        <v>24217.5</v>
      </c>
      <c r="Z24" s="21" cm="1">
        <f t="array" ref="Z24">TREND($B24:$L24,$B$2:$L$2,Z$2)</f>
        <v>24217.5</v>
      </c>
      <c r="AA24" s="21" cm="1">
        <f t="array" ref="AA24">TREND($B24:$L24,$B$2:$L$2,AA$2)</f>
        <v>24217.5</v>
      </c>
      <c r="AB24" s="21" cm="1">
        <f t="array" ref="AB24">TREND($B24:$L24,$B$2:$L$2,AB$2)</f>
        <v>24217.5</v>
      </c>
      <c r="AC24" s="21" cm="1">
        <f t="array" ref="AC24">TREND($B24:$L24,$B$2:$L$2,AC$2)</f>
        <v>24217.5</v>
      </c>
      <c r="AD24" s="21" cm="1">
        <f t="array" ref="AD24">TREND($B24:$L24,$B$2:$L$2,AD$2)</f>
        <v>24217.5</v>
      </c>
      <c r="AE24" s="21" cm="1">
        <f t="array" ref="AE24">TREND($B24:$L24,$B$2:$L$2,AE$2)</f>
        <v>24217.5</v>
      </c>
      <c r="AF24" s="21" cm="1">
        <f t="array" ref="AF24">TREND($B24:$L24,$B$2:$L$2,AF$2)</f>
        <v>24217.5</v>
      </c>
    </row>
    <row r="25" spans="1:32">
      <c r="A25" t="s">
        <v>18</v>
      </c>
      <c r="B25" s="21">
        <f>KRW!B25</f>
        <v>51027</v>
      </c>
      <c r="C25" s="21">
        <f t="shared" ref="C25:F26" si="17">B25+($G25-$B25)/($G$2-$B$2)</f>
        <v>51027</v>
      </c>
      <c r="D25" s="21">
        <f t="shared" si="17"/>
        <v>51027</v>
      </c>
      <c r="E25" s="21">
        <f t="shared" si="17"/>
        <v>51027</v>
      </c>
      <c r="F25" s="21">
        <f t="shared" si="17"/>
        <v>51027</v>
      </c>
      <c r="G25" s="21">
        <f>KRW!C25</f>
        <v>51027</v>
      </c>
      <c r="H25" s="21">
        <f>G25+($L25-$G25)/($L$2-$G$2)</f>
        <v>51027</v>
      </c>
      <c r="I25" s="21">
        <f t="shared" ref="I25:K25" si="18">H25+($L25-$G25)/($L$2-$G$2)</f>
        <v>51027</v>
      </c>
      <c r="J25" s="21">
        <f t="shared" si="18"/>
        <v>51027</v>
      </c>
      <c r="K25" s="21">
        <f t="shared" si="18"/>
        <v>51027</v>
      </c>
      <c r="L25" s="21">
        <f>KRW!D25</f>
        <v>51027</v>
      </c>
      <c r="M25" s="21" cm="1">
        <f t="array" ref="M25">TREND($B25:$L25,$B$2:$L$2,M$2)</f>
        <v>51027</v>
      </c>
      <c r="N25" s="21" cm="1">
        <f t="array" ref="N25">TREND($B25:$L25,$B$2:$L$2,N$2)</f>
        <v>51027</v>
      </c>
      <c r="O25" s="21" cm="1">
        <f t="array" ref="O25">TREND($B25:$L25,$B$2:$L$2,O$2)</f>
        <v>51027</v>
      </c>
      <c r="P25" s="21" cm="1">
        <f t="array" ref="P25">TREND($B25:$L25,$B$2:$L$2,P$2)</f>
        <v>51027</v>
      </c>
      <c r="Q25" s="21" cm="1">
        <f t="array" ref="Q25">TREND($B25:$L25,$B$2:$L$2,Q$2)</f>
        <v>51027</v>
      </c>
      <c r="R25" s="21" cm="1">
        <f t="array" ref="R25">TREND($B25:$L25,$B$2:$L$2,R$2)</f>
        <v>51027</v>
      </c>
      <c r="S25" s="21" cm="1">
        <f t="array" ref="S25">TREND($B25:$L25,$B$2:$L$2,S$2)</f>
        <v>51027</v>
      </c>
      <c r="T25" s="21" cm="1">
        <f t="array" ref="T25">TREND($B25:$L25,$B$2:$L$2,T$2)</f>
        <v>51027</v>
      </c>
      <c r="U25" s="21" cm="1">
        <f t="array" ref="U25">TREND($B25:$L25,$B$2:$L$2,U$2)</f>
        <v>51027</v>
      </c>
      <c r="V25" s="21" cm="1">
        <f t="array" ref="V25">TREND($B25:$L25,$B$2:$L$2,V$2)</f>
        <v>51027</v>
      </c>
      <c r="W25" s="21" cm="1">
        <f t="array" ref="W25">TREND($B25:$L25,$B$2:$L$2,W$2)</f>
        <v>51027</v>
      </c>
      <c r="X25" s="21" cm="1">
        <f t="array" ref="X25">TREND($B25:$L25,$B$2:$L$2,X$2)</f>
        <v>51027</v>
      </c>
      <c r="Y25" s="21" cm="1">
        <f t="array" ref="Y25">TREND($B25:$L25,$B$2:$L$2,Y$2)</f>
        <v>51027</v>
      </c>
      <c r="Z25" s="21" cm="1">
        <f t="array" ref="Z25">TREND($B25:$L25,$B$2:$L$2,Z$2)</f>
        <v>51027</v>
      </c>
      <c r="AA25" s="21" cm="1">
        <f t="array" ref="AA25">TREND($B25:$L25,$B$2:$L$2,AA$2)</f>
        <v>51027</v>
      </c>
      <c r="AB25" s="21" cm="1">
        <f t="array" ref="AB25">TREND($B25:$L25,$B$2:$L$2,AB$2)</f>
        <v>51027</v>
      </c>
      <c r="AC25" s="21" cm="1">
        <f t="array" ref="AC25">TREND($B25:$L25,$B$2:$L$2,AC$2)</f>
        <v>51027</v>
      </c>
      <c r="AD25" s="21" cm="1">
        <f t="array" ref="AD25">TREND($B25:$L25,$B$2:$L$2,AD$2)</f>
        <v>51027</v>
      </c>
      <c r="AE25" s="21" cm="1">
        <f t="array" ref="AE25">TREND($B25:$L25,$B$2:$L$2,AE$2)</f>
        <v>51027</v>
      </c>
      <c r="AF25" s="21" cm="1">
        <f t="array" ref="AF25">TREND($B25:$L25,$B$2:$L$2,AF$2)</f>
        <v>51027</v>
      </c>
    </row>
    <row r="26" spans="1:32">
      <c r="A26" t="s">
        <v>7</v>
      </c>
      <c r="B26" s="21">
        <f>KRW!B26</f>
        <v>24871</v>
      </c>
      <c r="C26" s="21">
        <f t="shared" si="17"/>
        <v>24871</v>
      </c>
      <c r="D26" s="21">
        <f t="shared" si="17"/>
        <v>24871</v>
      </c>
      <c r="E26" s="21">
        <f t="shared" si="17"/>
        <v>24871</v>
      </c>
      <c r="F26" s="21">
        <f t="shared" si="17"/>
        <v>24871</v>
      </c>
      <c r="G26" s="21">
        <f>KRW!C26</f>
        <v>24871</v>
      </c>
      <c r="H26" s="21">
        <f>G26+($L26-$G26)/($L$2-$G$2)</f>
        <v>24871</v>
      </c>
      <c r="I26" s="21">
        <f t="shared" ref="I26:K26" si="19">H26+($L26-$G26)/($L$2-$G$2)</f>
        <v>24871</v>
      </c>
      <c r="J26" s="21">
        <f t="shared" si="19"/>
        <v>24871</v>
      </c>
      <c r="K26" s="21">
        <f t="shared" si="19"/>
        <v>24871</v>
      </c>
      <c r="L26" s="21">
        <f>KRW!D26</f>
        <v>24871</v>
      </c>
      <c r="M26" s="21" cm="1">
        <f t="array" ref="M26">TREND($B26:$L26,$B$2:$L$2,M$2)</f>
        <v>24871</v>
      </c>
      <c r="N26" s="21" cm="1">
        <f t="array" ref="N26">TREND($B26:$L26,$B$2:$L$2,N$2)</f>
        <v>24871</v>
      </c>
      <c r="O26" s="21" cm="1">
        <f t="array" ref="O26">TREND($B26:$L26,$B$2:$L$2,O$2)</f>
        <v>24871</v>
      </c>
      <c r="P26" s="21" cm="1">
        <f t="array" ref="P26">TREND($B26:$L26,$B$2:$L$2,P$2)</f>
        <v>24871</v>
      </c>
      <c r="Q26" s="21" cm="1">
        <f t="array" ref="Q26">TREND($B26:$L26,$B$2:$L$2,Q$2)</f>
        <v>24871</v>
      </c>
      <c r="R26" s="21" cm="1">
        <f t="array" ref="R26">TREND($B26:$L26,$B$2:$L$2,R$2)</f>
        <v>24871</v>
      </c>
      <c r="S26" s="21" cm="1">
        <f t="array" ref="S26">TREND($B26:$L26,$B$2:$L$2,S$2)</f>
        <v>24871</v>
      </c>
      <c r="T26" s="21" cm="1">
        <f t="array" ref="T26">TREND($B26:$L26,$B$2:$L$2,T$2)</f>
        <v>24871</v>
      </c>
      <c r="U26" s="21" cm="1">
        <f t="array" ref="U26">TREND($B26:$L26,$B$2:$L$2,U$2)</f>
        <v>24871</v>
      </c>
      <c r="V26" s="21" cm="1">
        <f t="array" ref="V26">TREND($B26:$L26,$B$2:$L$2,V$2)</f>
        <v>24871</v>
      </c>
      <c r="W26" s="21" cm="1">
        <f t="array" ref="W26">TREND($B26:$L26,$B$2:$L$2,W$2)</f>
        <v>24871</v>
      </c>
      <c r="X26" s="21" cm="1">
        <f t="array" ref="X26">TREND($B26:$L26,$B$2:$L$2,X$2)</f>
        <v>24871</v>
      </c>
      <c r="Y26" s="21" cm="1">
        <f t="array" ref="Y26">TREND($B26:$L26,$B$2:$L$2,Y$2)</f>
        <v>24871</v>
      </c>
      <c r="Z26" s="21" cm="1">
        <f t="array" ref="Z26">TREND($B26:$L26,$B$2:$L$2,Z$2)</f>
        <v>24871</v>
      </c>
      <c r="AA26" s="21" cm="1">
        <f t="array" ref="AA26">TREND($B26:$L26,$B$2:$L$2,AA$2)</f>
        <v>24871</v>
      </c>
      <c r="AB26" s="21" cm="1">
        <f t="array" ref="AB26">TREND($B26:$L26,$B$2:$L$2,AB$2)</f>
        <v>24871</v>
      </c>
      <c r="AC26" s="21" cm="1">
        <f t="array" ref="AC26">TREND($B26:$L26,$B$2:$L$2,AC$2)</f>
        <v>24871</v>
      </c>
      <c r="AD26" s="21" cm="1">
        <f t="array" ref="AD26">TREND($B26:$L26,$B$2:$L$2,AD$2)</f>
        <v>24871</v>
      </c>
      <c r="AE26" s="21" cm="1">
        <f t="array" ref="AE26">TREND($B26:$L26,$B$2:$L$2,AE$2)</f>
        <v>24871</v>
      </c>
      <c r="AF26" s="21" cm="1">
        <f t="array" ref="AF26">TREND($B26:$L26,$B$2:$L$2,AF$2)</f>
        <v>24871</v>
      </c>
    </row>
    <row r="27" spans="1:32">
      <c r="A27" t="s">
        <v>8</v>
      </c>
      <c r="B27" s="21">
        <f>KRW!B27</f>
        <v>0</v>
      </c>
      <c r="C27" s="21">
        <f t="shared" ref="C27:K27" si="20">B27+($L27-$B27)/($L$2-$B$2)</f>
        <v>0</v>
      </c>
      <c r="D27" s="21">
        <f t="shared" si="20"/>
        <v>0</v>
      </c>
      <c r="E27" s="21">
        <f t="shared" si="20"/>
        <v>0</v>
      </c>
      <c r="F27" s="21">
        <f t="shared" si="20"/>
        <v>0</v>
      </c>
      <c r="G27" s="21">
        <f t="shared" si="20"/>
        <v>0</v>
      </c>
      <c r="H27" s="21">
        <f t="shared" si="20"/>
        <v>0</v>
      </c>
      <c r="I27" s="21">
        <f t="shared" si="20"/>
        <v>0</v>
      </c>
      <c r="J27" s="21">
        <f t="shared" si="20"/>
        <v>0</v>
      </c>
      <c r="K27" s="21">
        <f t="shared" si="20"/>
        <v>0</v>
      </c>
      <c r="L27" s="21">
        <f>KRW!D27</f>
        <v>0</v>
      </c>
      <c r="M27" s="21" cm="1">
        <f t="array" ref="M27">TREND($B27:$L27,$B$2:$L$2,M$2)</f>
        <v>0</v>
      </c>
      <c r="N27" s="21" cm="1">
        <f t="array" ref="N27">TREND($B27:$L27,$B$2:$L$2,N$2)</f>
        <v>0</v>
      </c>
      <c r="O27" s="21" cm="1">
        <f t="array" ref="O27">TREND($B27:$L27,$B$2:$L$2,O$2)</f>
        <v>0</v>
      </c>
      <c r="P27" s="21" cm="1">
        <f t="array" ref="P27">TREND($B27:$L27,$B$2:$L$2,P$2)</f>
        <v>0</v>
      </c>
      <c r="Q27" s="21" cm="1">
        <f t="array" ref="Q27">TREND($B27:$L27,$B$2:$L$2,Q$2)</f>
        <v>0</v>
      </c>
      <c r="R27" s="21" cm="1">
        <f t="array" ref="R27">TREND($B27:$L27,$B$2:$L$2,R$2)</f>
        <v>0</v>
      </c>
      <c r="S27" s="21" cm="1">
        <f t="array" ref="S27">TREND($B27:$L27,$B$2:$L$2,S$2)</f>
        <v>0</v>
      </c>
      <c r="T27" s="21" cm="1">
        <f t="array" ref="T27">TREND($B27:$L27,$B$2:$L$2,T$2)</f>
        <v>0</v>
      </c>
      <c r="U27" s="21" cm="1">
        <f t="array" ref="U27">TREND($B27:$L27,$B$2:$L$2,U$2)</f>
        <v>0</v>
      </c>
      <c r="V27" s="21" cm="1">
        <f t="array" ref="V27">TREND($B27:$L27,$B$2:$L$2,V$2)</f>
        <v>0</v>
      </c>
      <c r="W27" s="21" cm="1">
        <f t="array" ref="W27">TREND($B27:$L27,$B$2:$L$2,W$2)</f>
        <v>0</v>
      </c>
      <c r="X27" s="21" cm="1">
        <f t="array" ref="X27">TREND($B27:$L27,$B$2:$L$2,X$2)</f>
        <v>0</v>
      </c>
      <c r="Y27" s="21" cm="1">
        <f t="array" ref="Y27">TREND($B27:$L27,$B$2:$L$2,Y$2)</f>
        <v>0</v>
      </c>
      <c r="Z27" s="21" cm="1">
        <f t="array" ref="Z27">TREND($B27:$L27,$B$2:$L$2,Z$2)</f>
        <v>0</v>
      </c>
      <c r="AA27" s="21" cm="1">
        <f t="array" ref="AA27">TREND($B27:$L27,$B$2:$L$2,AA$2)</f>
        <v>0</v>
      </c>
      <c r="AB27" s="21" cm="1">
        <f t="array" ref="AB27">TREND($B27:$L27,$B$2:$L$2,AB$2)</f>
        <v>0</v>
      </c>
      <c r="AC27" s="21" cm="1">
        <f t="array" ref="AC27">TREND($B27:$L27,$B$2:$L$2,AC$2)</f>
        <v>0</v>
      </c>
      <c r="AD27" s="21" cm="1">
        <f t="array" ref="AD27">TREND($B27:$L27,$B$2:$L$2,AD$2)</f>
        <v>0</v>
      </c>
      <c r="AE27" s="21" cm="1">
        <f t="array" ref="AE27">TREND($B27:$L27,$B$2:$L$2,AE$2)</f>
        <v>0</v>
      </c>
      <c r="AF27" s="21" cm="1">
        <f t="array" ref="AF27">TREND($B27:$L27,$B$2:$L$2,AF$2)</f>
        <v>0</v>
      </c>
    </row>
    <row r="28" spans="1:32">
      <c r="A28" t="s">
        <v>9</v>
      </c>
      <c r="B28" s="21">
        <f>KRW!B28</f>
        <v>95583.337500000009</v>
      </c>
      <c r="C28" s="21">
        <f t="shared" ref="C28:K28" si="21">B28+($L28-$B28)/($L$2-$B$2)</f>
        <v>95583.337500000009</v>
      </c>
      <c r="D28" s="21">
        <f t="shared" si="21"/>
        <v>95583.337500000009</v>
      </c>
      <c r="E28" s="21">
        <f t="shared" si="21"/>
        <v>95583.337500000009</v>
      </c>
      <c r="F28" s="21">
        <f t="shared" si="21"/>
        <v>95583.337500000009</v>
      </c>
      <c r="G28" s="21">
        <f t="shared" si="21"/>
        <v>95583.337500000009</v>
      </c>
      <c r="H28" s="21">
        <f t="shared" si="21"/>
        <v>95583.337500000009</v>
      </c>
      <c r="I28" s="21">
        <f t="shared" si="21"/>
        <v>95583.337500000009</v>
      </c>
      <c r="J28" s="21">
        <f t="shared" si="21"/>
        <v>95583.337500000009</v>
      </c>
      <c r="K28" s="21">
        <f t="shared" si="21"/>
        <v>95583.337500000009</v>
      </c>
      <c r="L28" s="21">
        <f>KRW!D28</f>
        <v>95583.337500000009</v>
      </c>
      <c r="M28" s="21" cm="1">
        <f t="array" ref="M28">TREND($B28:$L28,$B$2:$L$2,M$2)</f>
        <v>95583.337500000009</v>
      </c>
      <c r="N28" s="21" cm="1">
        <f t="array" ref="N28">TREND($B28:$L28,$B$2:$L$2,N$2)</f>
        <v>95583.337500000009</v>
      </c>
      <c r="O28" s="21" cm="1">
        <f t="array" ref="O28">TREND($B28:$L28,$B$2:$L$2,O$2)</f>
        <v>95583.337500000009</v>
      </c>
      <c r="P28" s="21" cm="1">
        <f t="array" ref="P28">TREND($B28:$L28,$B$2:$L$2,P$2)</f>
        <v>95583.337500000009</v>
      </c>
      <c r="Q28" s="21" cm="1">
        <f t="array" ref="Q28">TREND($B28:$L28,$B$2:$L$2,Q$2)</f>
        <v>95583.337500000009</v>
      </c>
      <c r="R28" s="21" cm="1">
        <f t="array" ref="R28">TREND($B28:$L28,$B$2:$L$2,R$2)</f>
        <v>95583.337500000009</v>
      </c>
      <c r="S28" s="21" cm="1">
        <f t="array" ref="S28">TREND($B28:$L28,$B$2:$L$2,S$2)</f>
        <v>95583.337500000009</v>
      </c>
      <c r="T28" s="21" cm="1">
        <f t="array" ref="T28">TREND($B28:$L28,$B$2:$L$2,T$2)</f>
        <v>95583.337500000009</v>
      </c>
      <c r="U28" s="21" cm="1">
        <f t="array" ref="U28">TREND($B28:$L28,$B$2:$L$2,U$2)</f>
        <v>95583.337500000009</v>
      </c>
      <c r="V28" s="21" cm="1">
        <f t="array" ref="V28">TREND($B28:$L28,$B$2:$L$2,V$2)</f>
        <v>95583.337500000009</v>
      </c>
      <c r="W28" s="21" cm="1">
        <f t="array" ref="W28">TREND($B28:$L28,$B$2:$L$2,W$2)</f>
        <v>95583.337500000009</v>
      </c>
      <c r="X28" s="21" cm="1">
        <f t="array" ref="X28">TREND($B28:$L28,$B$2:$L$2,X$2)</f>
        <v>95583.337500000009</v>
      </c>
      <c r="Y28" s="21" cm="1">
        <f t="array" ref="Y28">TREND($B28:$L28,$B$2:$L$2,Y$2)</f>
        <v>95583.337500000009</v>
      </c>
      <c r="Z28" s="21" cm="1">
        <f t="array" ref="Z28">TREND($B28:$L28,$B$2:$L$2,Z$2)</f>
        <v>95583.337500000009</v>
      </c>
      <c r="AA28" s="21" cm="1">
        <f t="array" ref="AA28">TREND($B28:$L28,$B$2:$L$2,AA$2)</f>
        <v>95583.337500000009</v>
      </c>
      <c r="AB28" s="21" cm="1">
        <f t="array" ref="AB28">TREND($B28:$L28,$B$2:$L$2,AB$2)</f>
        <v>95583.337500000009</v>
      </c>
      <c r="AC28" s="21" cm="1">
        <f t="array" ref="AC28">TREND($B28:$L28,$B$2:$L$2,AC$2)</f>
        <v>95583.337500000009</v>
      </c>
      <c r="AD28" s="21" cm="1">
        <f t="array" ref="AD28">TREND($B28:$L28,$B$2:$L$2,AD$2)</f>
        <v>95583.337500000009</v>
      </c>
      <c r="AE28" s="21" cm="1">
        <f t="array" ref="AE28">TREND($B28:$L28,$B$2:$L$2,AE$2)</f>
        <v>95583.337500000009</v>
      </c>
      <c r="AF28" s="21" cm="1">
        <f t="array" ref="AF28">TREND($B28:$L28,$B$2:$L$2,AF$2)</f>
        <v>95583.337500000009</v>
      </c>
    </row>
    <row r="29" spans="1:32">
      <c r="A29" t="s">
        <v>12</v>
      </c>
      <c r="B29" s="21">
        <f>KRW!B29</f>
        <v>220648.75421624241</v>
      </c>
      <c r="C29" s="21">
        <f t="shared" ref="C29:K29" si="22">B29+($L29-$B29)/($L$2-$B$2)</f>
        <v>220648.75421624241</v>
      </c>
      <c r="D29" s="21">
        <f t="shared" si="22"/>
        <v>220648.75421624241</v>
      </c>
      <c r="E29" s="21">
        <f t="shared" si="22"/>
        <v>220648.75421624241</v>
      </c>
      <c r="F29" s="21">
        <f t="shared" si="22"/>
        <v>220648.75421624241</v>
      </c>
      <c r="G29" s="21">
        <f t="shared" si="22"/>
        <v>220648.75421624241</v>
      </c>
      <c r="H29" s="21">
        <f t="shared" si="22"/>
        <v>220648.75421624241</v>
      </c>
      <c r="I29" s="21">
        <f t="shared" si="22"/>
        <v>220648.75421624241</v>
      </c>
      <c r="J29" s="21">
        <f t="shared" si="22"/>
        <v>220648.75421624241</v>
      </c>
      <c r="K29" s="21">
        <f t="shared" si="22"/>
        <v>220648.75421624241</v>
      </c>
      <c r="L29" s="21">
        <f>KRW!D29</f>
        <v>220648.75421624241</v>
      </c>
      <c r="M29" s="21" cm="1">
        <f t="array" ref="M29">TREND($B29:$L29,$B$2:$L$2,M$2)</f>
        <v>220648.75421624241</v>
      </c>
      <c r="N29" s="21" cm="1">
        <f t="array" ref="N29">TREND($B29:$L29,$B$2:$L$2,N$2)</f>
        <v>220648.75421624241</v>
      </c>
      <c r="O29" s="21" cm="1">
        <f t="array" ref="O29">TREND($B29:$L29,$B$2:$L$2,O$2)</f>
        <v>220648.75421624241</v>
      </c>
      <c r="P29" s="21" cm="1">
        <f t="array" ref="P29">TREND($B29:$L29,$B$2:$L$2,P$2)</f>
        <v>220648.75421624241</v>
      </c>
      <c r="Q29" s="21" cm="1">
        <f t="array" ref="Q29">TREND($B29:$L29,$B$2:$L$2,Q$2)</f>
        <v>220648.75421624241</v>
      </c>
      <c r="R29" s="21" cm="1">
        <f t="array" ref="R29">TREND($B29:$L29,$B$2:$L$2,R$2)</f>
        <v>220648.75421624241</v>
      </c>
      <c r="S29" s="21" cm="1">
        <f t="array" ref="S29">TREND($B29:$L29,$B$2:$L$2,S$2)</f>
        <v>220648.75421624241</v>
      </c>
      <c r="T29" s="21" cm="1">
        <f t="array" ref="T29">TREND($B29:$L29,$B$2:$L$2,T$2)</f>
        <v>220648.75421624241</v>
      </c>
      <c r="U29" s="21" cm="1">
        <f t="array" ref="U29">TREND($B29:$L29,$B$2:$L$2,U$2)</f>
        <v>220648.75421624241</v>
      </c>
      <c r="V29" s="21" cm="1">
        <f t="array" ref="V29">TREND($B29:$L29,$B$2:$L$2,V$2)</f>
        <v>220648.75421624241</v>
      </c>
      <c r="W29" s="21" cm="1">
        <f t="array" ref="W29">TREND($B29:$L29,$B$2:$L$2,W$2)</f>
        <v>220648.75421624241</v>
      </c>
      <c r="X29" s="21" cm="1">
        <f t="array" ref="X29">TREND($B29:$L29,$B$2:$L$2,X$2)</f>
        <v>220648.75421624241</v>
      </c>
      <c r="Y29" s="21" cm="1">
        <f t="array" ref="Y29">TREND($B29:$L29,$B$2:$L$2,Y$2)</f>
        <v>220648.75421624241</v>
      </c>
      <c r="Z29" s="21" cm="1">
        <f t="array" ref="Z29">TREND($B29:$L29,$B$2:$L$2,Z$2)</f>
        <v>220648.75421624241</v>
      </c>
      <c r="AA29" s="21" cm="1">
        <f t="array" ref="AA29">TREND($B29:$L29,$B$2:$L$2,AA$2)</f>
        <v>220648.75421624241</v>
      </c>
      <c r="AB29" s="21" cm="1">
        <f t="array" ref="AB29">TREND($B29:$L29,$B$2:$L$2,AB$2)</f>
        <v>220648.75421624241</v>
      </c>
      <c r="AC29" s="21" cm="1">
        <f t="array" ref="AC29">TREND($B29:$L29,$B$2:$L$2,AC$2)</f>
        <v>220648.75421624241</v>
      </c>
      <c r="AD29" s="21" cm="1">
        <f t="array" ref="AD29">TREND($B29:$L29,$B$2:$L$2,AD$2)</f>
        <v>220648.75421624241</v>
      </c>
      <c r="AE29" s="21" cm="1">
        <f t="array" ref="AE29">TREND($B29:$L29,$B$2:$L$2,AE$2)</f>
        <v>220648.75421624241</v>
      </c>
      <c r="AF29" s="21" cm="1">
        <f t="array" ref="AF29">TREND($B29:$L29,$B$2:$L$2,AF$2)</f>
        <v>220648.75421624241</v>
      </c>
    </row>
    <row r="30" spans="1:32">
      <c r="A30" t="s">
        <v>13</v>
      </c>
      <c r="B30" s="21">
        <f>KRW!B30</f>
        <v>47390.850000000006</v>
      </c>
      <c r="C30" s="21">
        <f t="shared" ref="C30:K30" si="23">B30+($L30-$B30)/($L$2-$B$2)</f>
        <v>47390.850000000006</v>
      </c>
      <c r="D30" s="21">
        <f t="shared" si="23"/>
        <v>47390.850000000006</v>
      </c>
      <c r="E30" s="21">
        <f t="shared" si="23"/>
        <v>47390.850000000006</v>
      </c>
      <c r="F30" s="21">
        <f t="shared" si="23"/>
        <v>47390.850000000006</v>
      </c>
      <c r="G30" s="21">
        <f t="shared" si="23"/>
        <v>47390.850000000006</v>
      </c>
      <c r="H30" s="21">
        <f t="shared" si="23"/>
        <v>47390.850000000006</v>
      </c>
      <c r="I30" s="21">
        <f t="shared" si="23"/>
        <v>47390.850000000006</v>
      </c>
      <c r="J30" s="21">
        <f t="shared" si="23"/>
        <v>47390.850000000006</v>
      </c>
      <c r="K30" s="21">
        <f t="shared" si="23"/>
        <v>47390.850000000006</v>
      </c>
      <c r="L30" s="21">
        <f>KRW!D30</f>
        <v>47390.850000000006</v>
      </c>
      <c r="M30" s="21" cm="1">
        <f t="array" ref="M30">TREND($B30:$L30,$B$2:$L$2,M$2)</f>
        <v>47390.85</v>
      </c>
      <c r="N30" s="21" cm="1">
        <f t="array" ref="N30">TREND($B30:$L30,$B$2:$L$2,N$2)</f>
        <v>47390.85</v>
      </c>
      <c r="O30" s="21" cm="1">
        <f t="array" ref="O30">TREND($B30:$L30,$B$2:$L$2,O$2)</f>
        <v>47390.85</v>
      </c>
      <c r="P30" s="21" cm="1">
        <f t="array" ref="P30">TREND($B30:$L30,$B$2:$L$2,P$2)</f>
        <v>47390.85</v>
      </c>
      <c r="Q30" s="21" cm="1">
        <f t="array" ref="Q30">TREND($B30:$L30,$B$2:$L$2,Q$2)</f>
        <v>47390.85</v>
      </c>
      <c r="R30" s="21" cm="1">
        <f t="array" ref="R30">TREND($B30:$L30,$B$2:$L$2,R$2)</f>
        <v>47390.85</v>
      </c>
      <c r="S30" s="21" cm="1">
        <f t="array" ref="S30">TREND($B30:$L30,$B$2:$L$2,S$2)</f>
        <v>47390.85</v>
      </c>
      <c r="T30" s="21" cm="1">
        <f t="array" ref="T30">TREND($B30:$L30,$B$2:$L$2,T$2)</f>
        <v>47390.85</v>
      </c>
      <c r="U30" s="21" cm="1">
        <f t="array" ref="U30">TREND($B30:$L30,$B$2:$L$2,U$2)</f>
        <v>47390.85</v>
      </c>
      <c r="V30" s="21" cm="1">
        <f t="array" ref="V30">TREND($B30:$L30,$B$2:$L$2,V$2)</f>
        <v>47390.85</v>
      </c>
      <c r="W30" s="21" cm="1">
        <f t="array" ref="W30">TREND($B30:$L30,$B$2:$L$2,W$2)</f>
        <v>47390.85</v>
      </c>
      <c r="X30" s="21" cm="1">
        <f t="array" ref="X30">TREND($B30:$L30,$B$2:$L$2,X$2)</f>
        <v>47390.85</v>
      </c>
      <c r="Y30" s="21" cm="1">
        <f t="array" ref="Y30">TREND($B30:$L30,$B$2:$L$2,Y$2)</f>
        <v>47390.85</v>
      </c>
      <c r="Z30" s="21" cm="1">
        <f t="array" ref="Z30">TREND($B30:$L30,$B$2:$L$2,Z$2)</f>
        <v>47390.85</v>
      </c>
      <c r="AA30" s="21" cm="1">
        <f t="array" ref="AA30">TREND($B30:$L30,$B$2:$L$2,AA$2)</f>
        <v>47390.85</v>
      </c>
      <c r="AB30" s="21" cm="1">
        <f t="array" ref="AB30">TREND($B30:$L30,$B$2:$L$2,AB$2)</f>
        <v>47390.85</v>
      </c>
      <c r="AC30" s="21" cm="1">
        <f t="array" ref="AC30">TREND($B30:$L30,$B$2:$L$2,AC$2)</f>
        <v>47390.85</v>
      </c>
      <c r="AD30" s="21" cm="1">
        <f t="array" ref="AD30">TREND($B30:$L30,$B$2:$L$2,AD$2)</f>
        <v>47390.85</v>
      </c>
      <c r="AE30" s="21" cm="1">
        <f t="array" ref="AE30">TREND($B30:$L30,$B$2:$L$2,AE$2)</f>
        <v>47390.85</v>
      </c>
      <c r="AF30" s="21" cm="1">
        <f t="array" ref="AF30">TREND($B30:$L30,$B$2:$L$2,AF$2)</f>
        <v>47390.85</v>
      </c>
    </row>
    <row r="31" spans="1:32">
      <c r="A31" t="s">
        <v>14</v>
      </c>
      <c r="B31" s="21">
        <f>KRW!B31</f>
        <v>16447.8825</v>
      </c>
      <c r="C31" s="21">
        <f t="shared" ref="C31:K31" si="24">B31+($L31-$B31)/($L$2-$B$2)</f>
        <v>16447.8825</v>
      </c>
      <c r="D31" s="21">
        <f t="shared" si="24"/>
        <v>16447.8825</v>
      </c>
      <c r="E31" s="21">
        <f t="shared" si="24"/>
        <v>16447.8825</v>
      </c>
      <c r="F31" s="21">
        <f t="shared" si="24"/>
        <v>16447.8825</v>
      </c>
      <c r="G31" s="21">
        <f t="shared" si="24"/>
        <v>16447.8825</v>
      </c>
      <c r="H31" s="21">
        <f t="shared" si="24"/>
        <v>16447.8825</v>
      </c>
      <c r="I31" s="21">
        <f t="shared" si="24"/>
        <v>16447.8825</v>
      </c>
      <c r="J31" s="21">
        <f t="shared" si="24"/>
        <v>16447.8825</v>
      </c>
      <c r="K31" s="21">
        <f t="shared" si="24"/>
        <v>16447.8825</v>
      </c>
      <c r="L31" s="21">
        <f>KRW!D31</f>
        <v>16447.8825</v>
      </c>
      <c r="M31" s="21" cm="1">
        <f t="array" ref="M31">TREND($B31:$L31,$B$2:$L$2,M$2)</f>
        <v>16447.882500000003</v>
      </c>
      <c r="N31" s="21" cm="1">
        <f t="array" ref="N31">TREND($B31:$L31,$B$2:$L$2,N$2)</f>
        <v>16447.882500000003</v>
      </c>
      <c r="O31" s="21" cm="1">
        <f t="array" ref="O31">TREND($B31:$L31,$B$2:$L$2,O$2)</f>
        <v>16447.882500000003</v>
      </c>
      <c r="P31" s="21" cm="1">
        <f t="array" ref="P31">TREND($B31:$L31,$B$2:$L$2,P$2)</f>
        <v>16447.882500000003</v>
      </c>
      <c r="Q31" s="21" cm="1">
        <f t="array" ref="Q31">TREND($B31:$L31,$B$2:$L$2,Q$2)</f>
        <v>16447.882500000003</v>
      </c>
      <c r="R31" s="21" cm="1">
        <f t="array" ref="R31">TREND($B31:$L31,$B$2:$L$2,R$2)</f>
        <v>16447.882500000003</v>
      </c>
      <c r="S31" s="21" cm="1">
        <f t="array" ref="S31">TREND($B31:$L31,$B$2:$L$2,S$2)</f>
        <v>16447.882500000003</v>
      </c>
      <c r="T31" s="21" cm="1">
        <f t="array" ref="T31">TREND($B31:$L31,$B$2:$L$2,T$2)</f>
        <v>16447.882500000003</v>
      </c>
      <c r="U31" s="21" cm="1">
        <f t="array" ref="U31">TREND($B31:$L31,$B$2:$L$2,U$2)</f>
        <v>16447.882500000003</v>
      </c>
      <c r="V31" s="21" cm="1">
        <f t="array" ref="V31">TREND($B31:$L31,$B$2:$L$2,V$2)</f>
        <v>16447.882500000003</v>
      </c>
      <c r="W31" s="21" cm="1">
        <f t="array" ref="W31">TREND($B31:$L31,$B$2:$L$2,W$2)</f>
        <v>16447.882500000003</v>
      </c>
      <c r="X31" s="21" cm="1">
        <f t="array" ref="X31">TREND($B31:$L31,$B$2:$L$2,X$2)</f>
        <v>16447.882500000003</v>
      </c>
      <c r="Y31" s="21" cm="1">
        <f t="array" ref="Y31">TREND($B31:$L31,$B$2:$L$2,Y$2)</f>
        <v>16447.882500000003</v>
      </c>
      <c r="Z31" s="21" cm="1">
        <f t="array" ref="Z31">TREND($B31:$L31,$B$2:$L$2,Z$2)</f>
        <v>16447.882500000003</v>
      </c>
      <c r="AA31" s="21" cm="1">
        <f t="array" ref="AA31">TREND($B31:$L31,$B$2:$L$2,AA$2)</f>
        <v>16447.882500000003</v>
      </c>
      <c r="AB31" s="21" cm="1">
        <f t="array" ref="AB31">TREND($B31:$L31,$B$2:$L$2,AB$2)</f>
        <v>16447.882500000003</v>
      </c>
      <c r="AC31" s="21" cm="1">
        <f t="array" ref="AC31">TREND($B31:$L31,$B$2:$L$2,AC$2)</f>
        <v>16447.882500000003</v>
      </c>
      <c r="AD31" s="21" cm="1">
        <f t="array" ref="AD31">TREND($B31:$L31,$B$2:$L$2,AD$2)</f>
        <v>16447.882500000003</v>
      </c>
      <c r="AE31" s="21" cm="1">
        <f t="array" ref="AE31">TREND($B31:$L31,$B$2:$L$2,AE$2)</f>
        <v>16447.882500000003</v>
      </c>
      <c r="AF31" s="21" cm="1">
        <f t="array" ref="AF31">TREND($B31:$L31,$B$2:$L$2,AF$2)</f>
        <v>16447.882500000003</v>
      </c>
    </row>
    <row r="32" spans="1:32">
      <c r="A32" t="s">
        <v>19</v>
      </c>
      <c r="B32" s="21">
        <f>KRW!B32</f>
        <v>66670.320000000007</v>
      </c>
      <c r="C32" s="21">
        <f t="shared" ref="C32:K32" si="25">B32+($L32-$B32)/($L$2-$B$2)</f>
        <v>66670.320000000007</v>
      </c>
      <c r="D32" s="21">
        <f t="shared" si="25"/>
        <v>66670.320000000007</v>
      </c>
      <c r="E32" s="21">
        <f t="shared" si="25"/>
        <v>66670.320000000007</v>
      </c>
      <c r="F32" s="21">
        <f t="shared" si="25"/>
        <v>66670.320000000007</v>
      </c>
      <c r="G32" s="21">
        <f t="shared" si="25"/>
        <v>66670.320000000007</v>
      </c>
      <c r="H32" s="21">
        <f t="shared" si="25"/>
        <v>66670.320000000007</v>
      </c>
      <c r="I32" s="21">
        <f t="shared" si="25"/>
        <v>66670.320000000007</v>
      </c>
      <c r="J32" s="21">
        <f t="shared" si="25"/>
        <v>66670.320000000007</v>
      </c>
      <c r="K32" s="21">
        <f t="shared" si="25"/>
        <v>66670.320000000007</v>
      </c>
      <c r="L32" s="21">
        <f>KRW!D32</f>
        <v>66670.320000000007</v>
      </c>
      <c r="M32" s="21" cm="1">
        <f t="array" ref="M32">TREND($B32:$L32,$B$2:$L$2,M$2)</f>
        <v>66670.320000000022</v>
      </c>
      <c r="N32" s="21" cm="1">
        <f t="array" ref="N32">TREND($B32:$L32,$B$2:$L$2,N$2)</f>
        <v>66670.320000000022</v>
      </c>
      <c r="O32" s="21" cm="1">
        <f t="array" ref="O32">TREND($B32:$L32,$B$2:$L$2,O$2)</f>
        <v>66670.320000000022</v>
      </c>
      <c r="P32" s="21" cm="1">
        <f t="array" ref="P32">TREND($B32:$L32,$B$2:$L$2,P$2)</f>
        <v>66670.320000000022</v>
      </c>
      <c r="Q32" s="21" cm="1">
        <f t="array" ref="Q32">TREND($B32:$L32,$B$2:$L$2,Q$2)</f>
        <v>66670.320000000022</v>
      </c>
      <c r="R32" s="21" cm="1">
        <f t="array" ref="R32">TREND($B32:$L32,$B$2:$L$2,R$2)</f>
        <v>66670.320000000022</v>
      </c>
      <c r="S32" s="21" cm="1">
        <f t="array" ref="S32">TREND($B32:$L32,$B$2:$L$2,S$2)</f>
        <v>66670.320000000022</v>
      </c>
      <c r="T32" s="21" cm="1">
        <f t="array" ref="T32">TREND($B32:$L32,$B$2:$L$2,T$2)</f>
        <v>66670.320000000022</v>
      </c>
      <c r="U32" s="21" cm="1">
        <f t="array" ref="U32">TREND($B32:$L32,$B$2:$L$2,U$2)</f>
        <v>66670.320000000022</v>
      </c>
      <c r="V32" s="21" cm="1">
        <f t="array" ref="V32">TREND($B32:$L32,$B$2:$L$2,V$2)</f>
        <v>66670.320000000022</v>
      </c>
      <c r="W32" s="21" cm="1">
        <f t="array" ref="W32">TREND($B32:$L32,$B$2:$L$2,W$2)</f>
        <v>66670.320000000022</v>
      </c>
      <c r="X32" s="21" cm="1">
        <f t="array" ref="X32">TREND($B32:$L32,$B$2:$L$2,X$2)</f>
        <v>66670.320000000022</v>
      </c>
      <c r="Y32" s="21" cm="1">
        <f t="array" ref="Y32">TREND($B32:$L32,$B$2:$L$2,Y$2)</f>
        <v>66670.320000000022</v>
      </c>
      <c r="Z32" s="21" cm="1">
        <f t="array" ref="Z32">TREND($B32:$L32,$B$2:$L$2,Z$2)</f>
        <v>66670.320000000022</v>
      </c>
      <c r="AA32" s="21" cm="1">
        <f t="array" ref="AA32">TREND($B32:$L32,$B$2:$L$2,AA$2)</f>
        <v>66670.320000000022</v>
      </c>
      <c r="AB32" s="21" cm="1">
        <f t="array" ref="AB32">TREND($B32:$L32,$B$2:$L$2,AB$2)</f>
        <v>66670.320000000022</v>
      </c>
      <c r="AC32" s="21" cm="1">
        <f t="array" ref="AC32">TREND($B32:$L32,$B$2:$L$2,AC$2)</f>
        <v>66670.320000000022</v>
      </c>
      <c r="AD32" s="21" cm="1">
        <f t="array" ref="AD32">TREND($B32:$L32,$B$2:$L$2,AD$2)</f>
        <v>66670.320000000022</v>
      </c>
      <c r="AE32" s="21" cm="1">
        <f t="array" ref="AE32">TREND($B32:$L32,$B$2:$L$2,AE$2)</f>
        <v>66670.320000000022</v>
      </c>
      <c r="AF32" s="21" cm="1">
        <f t="array" ref="AF32">TREND($B32:$L32,$B$2:$L$2,AF$2)</f>
        <v>66670.320000000022</v>
      </c>
    </row>
    <row r="33" spans="1:32">
      <c r="A33" t="s">
        <v>17</v>
      </c>
      <c r="B33" s="21">
        <f>KRW!B33</f>
        <v>122000</v>
      </c>
      <c r="C33" s="21">
        <f t="shared" ref="C33:K33" si="26">B33+($L33-$B33)/($L$2-$B$2)</f>
        <v>122000</v>
      </c>
      <c r="D33" s="21">
        <f t="shared" si="26"/>
        <v>122000</v>
      </c>
      <c r="E33" s="21">
        <f t="shared" si="26"/>
        <v>122000</v>
      </c>
      <c r="F33" s="21">
        <f t="shared" si="26"/>
        <v>122000</v>
      </c>
      <c r="G33" s="21">
        <f t="shared" si="26"/>
        <v>122000</v>
      </c>
      <c r="H33" s="21">
        <f t="shared" si="26"/>
        <v>122000</v>
      </c>
      <c r="I33" s="21">
        <f t="shared" si="26"/>
        <v>122000</v>
      </c>
      <c r="J33" s="21">
        <f t="shared" si="26"/>
        <v>122000</v>
      </c>
      <c r="K33" s="21">
        <f t="shared" si="26"/>
        <v>122000</v>
      </c>
      <c r="L33" s="21">
        <f>KRW!D33</f>
        <v>122000</v>
      </c>
      <c r="M33" s="21" cm="1">
        <f t="array" ref="M33">TREND($B33:$L33,$B$2:$L$2,M$2)</f>
        <v>122000</v>
      </c>
      <c r="N33" s="21" cm="1">
        <f t="array" ref="N33">TREND($B33:$L33,$B$2:$L$2,N$2)</f>
        <v>122000</v>
      </c>
      <c r="O33" s="21" cm="1">
        <f t="array" ref="O33">TREND($B33:$L33,$B$2:$L$2,O$2)</f>
        <v>122000</v>
      </c>
      <c r="P33" s="21" cm="1">
        <f t="array" ref="P33">TREND($B33:$L33,$B$2:$L$2,P$2)</f>
        <v>122000</v>
      </c>
      <c r="Q33" s="21" cm="1">
        <f t="array" ref="Q33">TREND($B33:$L33,$B$2:$L$2,Q$2)</f>
        <v>122000</v>
      </c>
      <c r="R33" s="21" cm="1">
        <f t="array" ref="R33">TREND($B33:$L33,$B$2:$L$2,R$2)</f>
        <v>122000</v>
      </c>
      <c r="S33" s="21" cm="1">
        <f t="array" ref="S33">TREND($B33:$L33,$B$2:$L$2,S$2)</f>
        <v>122000</v>
      </c>
      <c r="T33" s="21" cm="1">
        <f t="array" ref="T33">TREND($B33:$L33,$B$2:$L$2,T$2)</f>
        <v>122000</v>
      </c>
      <c r="U33" s="21" cm="1">
        <f t="array" ref="U33">TREND($B33:$L33,$B$2:$L$2,U$2)</f>
        <v>122000</v>
      </c>
      <c r="V33" s="21" cm="1">
        <f t="array" ref="V33">TREND($B33:$L33,$B$2:$L$2,V$2)</f>
        <v>122000</v>
      </c>
      <c r="W33" s="21" cm="1">
        <f t="array" ref="W33">TREND($B33:$L33,$B$2:$L$2,W$2)</f>
        <v>122000</v>
      </c>
      <c r="X33" s="21" cm="1">
        <f t="array" ref="X33">TREND($B33:$L33,$B$2:$L$2,X$2)</f>
        <v>122000</v>
      </c>
      <c r="Y33" s="21" cm="1">
        <f t="array" ref="Y33">TREND($B33:$L33,$B$2:$L$2,Y$2)</f>
        <v>122000</v>
      </c>
      <c r="Z33" s="21" cm="1">
        <f t="array" ref="Z33">TREND($B33:$L33,$B$2:$L$2,Z$2)</f>
        <v>122000</v>
      </c>
      <c r="AA33" s="21" cm="1">
        <f t="array" ref="AA33">TREND($B33:$L33,$B$2:$L$2,AA$2)</f>
        <v>122000</v>
      </c>
      <c r="AB33" s="21" cm="1">
        <f t="array" ref="AB33">TREND($B33:$L33,$B$2:$L$2,AB$2)</f>
        <v>122000</v>
      </c>
      <c r="AC33" s="21" cm="1">
        <f t="array" ref="AC33">TREND($B33:$L33,$B$2:$L$2,AC$2)</f>
        <v>122000</v>
      </c>
      <c r="AD33" s="21" cm="1">
        <f t="array" ref="AD33">TREND($B33:$L33,$B$2:$L$2,AD$2)</f>
        <v>122000</v>
      </c>
      <c r="AE33" s="21" cm="1">
        <f t="array" ref="AE33">TREND($B33:$L33,$B$2:$L$2,AE$2)</f>
        <v>122000</v>
      </c>
      <c r="AF33" s="21" cm="1">
        <f t="array" ref="AF33">TREND($B33:$L33,$B$2:$L$2,AF$2)</f>
        <v>122000</v>
      </c>
    </row>
    <row r="34" spans="1:32">
      <c r="A34" t="s">
        <v>20</v>
      </c>
      <c r="B34" s="21">
        <f>KRW!B34</f>
        <v>47390.850000000006</v>
      </c>
      <c r="C34" s="21">
        <f t="shared" ref="C34:K34" si="27">B34+($L34-$B34)/($L$2-$B$2)</f>
        <v>47390.850000000006</v>
      </c>
      <c r="D34" s="21">
        <f t="shared" si="27"/>
        <v>47390.850000000006</v>
      </c>
      <c r="E34" s="21">
        <f t="shared" si="27"/>
        <v>47390.850000000006</v>
      </c>
      <c r="F34" s="21">
        <f t="shared" si="27"/>
        <v>47390.850000000006</v>
      </c>
      <c r="G34" s="21">
        <f t="shared" si="27"/>
        <v>47390.850000000006</v>
      </c>
      <c r="H34" s="21">
        <f t="shared" si="27"/>
        <v>47390.850000000006</v>
      </c>
      <c r="I34" s="21">
        <f t="shared" si="27"/>
        <v>47390.850000000006</v>
      </c>
      <c r="J34" s="21">
        <f t="shared" si="27"/>
        <v>47390.850000000006</v>
      </c>
      <c r="K34" s="21">
        <f t="shared" si="27"/>
        <v>47390.850000000006</v>
      </c>
      <c r="L34" s="21">
        <f>KRW!D34</f>
        <v>47390.850000000006</v>
      </c>
      <c r="M34" s="21" cm="1">
        <f t="array" ref="M34">TREND($B34:$L34,$B$2:$L$2,M$2)</f>
        <v>47390.85</v>
      </c>
      <c r="N34" s="21" cm="1">
        <f t="array" ref="N34">TREND($B34:$L34,$B$2:$L$2,N$2)</f>
        <v>47390.85</v>
      </c>
      <c r="O34" s="21" cm="1">
        <f t="array" ref="O34">TREND($B34:$L34,$B$2:$L$2,O$2)</f>
        <v>47390.85</v>
      </c>
      <c r="P34" s="21" cm="1">
        <f t="array" ref="P34">TREND($B34:$L34,$B$2:$L$2,P$2)</f>
        <v>47390.85</v>
      </c>
      <c r="Q34" s="21" cm="1">
        <f t="array" ref="Q34">TREND($B34:$L34,$B$2:$L$2,Q$2)</f>
        <v>47390.85</v>
      </c>
      <c r="R34" s="21" cm="1">
        <f t="array" ref="R34">TREND($B34:$L34,$B$2:$L$2,R$2)</f>
        <v>47390.85</v>
      </c>
      <c r="S34" s="21" cm="1">
        <f t="array" ref="S34">TREND($B34:$L34,$B$2:$L$2,S$2)</f>
        <v>47390.85</v>
      </c>
      <c r="T34" s="21" cm="1">
        <f t="array" ref="T34">TREND($B34:$L34,$B$2:$L$2,T$2)</f>
        <v>47390.85</v>
      </c>
      <c r="U34" s="21" cm="1">
        <f t="array" ref="U34">TREND($B34:$L34,$B$2:$L$2,U$2)</f>
        <v>47390.85</v>
      </c>
      <c r="V34" s="21" cm="1">
        <f t="array" ref="V34">TREND($B34:$L34,$B$2:$L$2,V$2)</f>
        <v>47390.85</v>
      </c>
      <c r="W34" s="21" cm="1">
        <f t="array" ref="W34">TREND($B34:$L34,$B$2:$L$2,W$2)</f>
        <v>47390.85</v>
      </c>
      <c r="X34" s="21" cm="1">
        <f t="array" ref="X34">TREND($B34:$L34,$B$2:$L$2,X$2)</f>
        <v>47390.85</v>
      </c>
      <c r="Y34" s="21" cm="1">
        <f t="array" ref="Y34">TREND($B34:$L34,$B$2:$L$2,Y$2)</f>
        <v>47390.85</v>
      </c>
      <c r="Z34" s="21" cm="1">
        <f t="array" ref="Z34">TREND($B34:$L34,$B$2:$L$2,Z$2)</f>
        <v>47390.85</v>
      </c>
      <c r="AA34" s="21" cm="1">
        <f t="array" ref="AA34">TREND($B34:$L34,$B$2:$L$2,AA$2)</f>
        <v>47390.85</v>
      </c>
      <c r="AB34" s="21" cm="1">
        <f t="array" ref="AB34">TREND($B34:$L34,$B$2:$L$2,AB$2)</f>
        <v>47390.85</v>
      </c>
      <c r="AC34" s="21" cm="1">
        <f t="array" ref="AC34">TREND($B34:$L34,$B$2:$L$2,AC$2)</f>
        <v>47390.85</v>
      </c>
      <c r="AD34" s="21" cm="1">
        <f t="array" ref="AD34">TREND($B34:$L34,$B$2:$L$2,AD$2)</f>
        <v>47390.85</v>
      </c>
      <c r="AE34" s="21" cm="1">
        <f t="array" ref="AE34">TREND($B34:$L34,$B$2:$L$2,AE$2)</f>
        <v>47390.85</v>
      </c>
      <c r="AF34" s="21" cm="1">
        <f t="array" ref="AF34">TREND($B34:$L34,$B$2:$L$2,AF$2)</f>
        <v>47390.85</v>
      </c>
    </row>
    <row r="35" spans="1:32">
      <c r="A35" t="s">
        <v>21</v>
      </c>
      <c r="B35" s="21">
        <f>KRW!B35</f>
        <v>47390.850000000006</v>
      </c>
      <c r="C35" s="21">
        <f t="shared" ref="C35:K35" si="28">B35+($L35-$B35)/($L$2-$B$2)</f>
        <v>47390.850000000006</v>
      </c>
      <c r="D35" s="21">
        <f t="shared" si="28"/>
        <v>47390.850000000006</v>
      </c>
      <c r="E35" s="21">
        <f t="shared" si="28"/>
        <v>47390.850000000006</v>
      </c>
      <c r="F35" s="21">
        <f t="shared" si="28"/>
        <v>47390.850000000006</v>
      </c>
      <c r="G35" s="21">
        <f t="shared" si="28"/>
        <v>47390.850000000006</v>
      </c>
      <c r="H35" s="21">
        <f t="shared" si="28"/>
        <v>47390.850000000006</v>
      </c>
      <c r="I35" s="21">
        <f t="shared" si="28"/>
        <v>47390.850000000006</v>
      </c>
      <c r="J35" s="21">
        <f t="shared" si="28"/>
        <v>47390.850000000006</v>
      </c>
      <c r="K35" s="21">
        <f t="shared" si="28"/>
        <v>47390.850000000006</v>
      </c>
      <c r="L35" s="21">
        <f>KRW!D35</f>
        <v>47390.850000000006</v>
      </c>
      <c r="M35" s="21" cm="1">
        <f t="array" ref="M35">TREND($B35:$L35,$B$2:$L$2,M$2)</f>
        <v>47390.85</v>
      </c>
      <c r="N35" s="21" cm="1">
        <f t="array" ref="N35">TREND($B35:$L35,$B$2:$L$2,N$2)</f>
        <v>47390.85</v>
      </c>
      <c r="O35" s="21" cm="1">
        <f t="array" ref="O35">TREND($B35:$L35,$B$2:$L$2,O$2)</f>
        <v>47390.85</v>
      </c>
      <c r="P35" s="21" cm="1">
        <f t="array" ref="P35">TREND($B35:$L35,$B$2:$L$2,P$2)</f>
        <v>47390.85</v>
      </c>
      <c r="Q35" s="21" cm="1">
        <f t="array" ref="Q35">TREND($B35:$L35,$B$2:$L$2,Q$2)</f>
        <v>47390.85</v>
      </c>
      <c r="R35" s="21" cm="1">
        <f t="array" ref="R35">TREND($B35:$L35,$B$2:$L$2,R$2)</f>
        <v>47390.85</v>
      </c>
      <c r="S35" s="21" cm="1">
        <f t="array" ref="S35">TREND($B35:$L35,$B$2:$L$2,S$2)</f>
        <v>47390.85</v>
      </c>
      <c r="T35" s="21" cm="1">
        <f t="array" ref="T35">TREND($B35:$L35,$B$2:$L$2,T$2)</f>
        <v>47390.85</v>
      </c>
      <c r="U35" s="21" cm="1">
        <f t="array" ref="U35">TREND($B35:$L35,$B$2:$L$2,U$2)</f>
        <v>47390.85</v>
      </c>
      <c r="V35" s="21" cm="1">
        <f t="array" ref="V35">TREND($B35:$L35,$B$2:$L$2,V$2)</f>
        <v>47390.85</v>
      </c>
      <c r="W35" s="21" cm="1">
        <f t="array" ref="W35">TREND($B35:$L35,$B$2:$L$2,W$2)</f>
        <v>47390.85</v>
      </c>
      <c r="X35" s="21" cm="1">
        <f t="array" ref="X35">TREND($B35:$L35,$B$2:$L$2,X$2)</f>
        <v>47390.85</v>
      </c>
      <c r="Y35" s="21" cm="1">
        <f t="array" ref="Y35">TREND($B35:$L35,$B$2:$L$2,Y$2)</f>
        <v>47390.85</v>
      </c>
      <c r="Z35" s="21" cm="1">
        <f t="array" ref="Z35">TREND($B35:$L35,$B$2:$L$2,Z$2)</f>
        <v>47390.85</v>
      </c>
      <c r="AA35" s="21" cm="1">
        <f t="array" ref="AA35">TREND($B35:$L35,$B$2:$L$2,AA$2)</f>
        <v>47390.85</v>
      </c>
      <c r="AB35" s="21" cm="1">
        <f t="array" ref="AB35">TREND($B35:$L35,$B$2:$L$2,AB$2)</f>
        <v>47390.85</v>
      </c>
      <c r="AC35" s="21" cm="1">
        <f t="array" ref="AC35">TREND($B35:$L35,$B$2:$L$2,AC$2)</f>
        <v>47390.85</v>
      </c>
      <c r="AD35" s="21" cm="1">
        <f t="array" ref="AD35">TREND($B35:$L35,$B$2:$L$2,AD$2)</f>
        <v>47390.85</v>
      </c>
      <c r="AE35" s="21" cm="1">
        <f t="array" ref="AE35">TREND($B35:$L35,$B$2:$L$2,AE$2)</f>
        <v>47390.85</v>
      </c>
      <c r="AF35" s="21" cm="1">
        <f t="array" ref="AF35">TREND($B35:$L35,$B$2:$L$2,AF$2)</f>
        <v>47390.85</v>
      </c>
    </row>
    <row r="36" spans="1:32">
      <c r="A36" t="s">
        <v>22</v>
      </c>
      <c r="B36" s="21">
        <f>KRW!B36</f>
        <v>120000</v>
      </c>
      <c r="C36" s="21">
        <f t="shared" ref="C36:K36" si="29">B36+($L36-$B36)/($L$2-$B$2)</f>
        <v>120000</v>
      </c>
      <c r="D36" s="21">
        <f t="shared" si="29"/>
        <v>120000</v>
      </c>
      <c r="E36" s="21">
        <f t="shared" si="29"/>
        <v>120000</v>
      </c>
      <c r="F36" s="21">
        <f t="shared" si="29"/>
        <v>120000</v>
      </c>
      <c r="G36" s="21">
        <f t="shared" si="29"/>
        <v>120000</v>
      </c>
      <c r="H36" s="21">
        <f t="shared" si="29"/>
        <v>120000</v>
      </c>
      <c r="I36" s="21">
        <f t="shared" si="29"/>
        <v>120000</v>
      </c>
      <c r="J36" s="21">
        <f t="shared" si="29"/>
        <v>120000</v>
      </c>
      <c r="K36" s="21">
        <f t="shared" si="29"/>
        <v>120000</v>
      </c>
      <c r="L36" s="21">
        <f>KRW!D36</f>
        <v>120000</v>
      </c>
      <c r="M36" s="21" cm="1">
        <f t="array" ref="M36">TREND($B36:$L36,$B$2:$L$2,M$2)</f>
        <v>120000</v>
      </c>
      <c r="N36" s="21" cm="1">
        <f t="array" ref="N36">TREND($B36:$L36,$B$2:$L$2,N$2)</f>
        <v>120000</v>
      </c>
      <c r="O36" s="21" cm="1">
        <f t="array" ref="O36">TREND($B36:$L36,$B$2:$L$2,O$2)</f>
        <v>120000</v>
      </c>
      <c r="P36" s="21" cm="1">
        <f t="array" ref="P36">TREND($B36:$L36,$B$2:$L$2,P$2)</f>
        <v>120000</v>
      </c>
      <c r="Q36" s="21" cm="1">
        <f t="array" ref="Q36">TREND($B36:$L36,$B$2:$L$2,Q$2)</f>
        <v>120000</v>
      </c>
      <c r="R36" s="21" cm="1">
        <f t="array" ref="R36">TREND($B36:$L36,$B$2:$L$2,R$2)</f>
        <v>120000</v>
      </c>
      <c r="S36" s="21" cm="1">
        <f t="array" ref="S36">TREND($B36:$L36,$B$2:$L$2,S$2)</f>
        <v>120000</v>
      </c>
      <c r="T36" s="21" cm="1">
        <f t="array" ref="T36">TREND($B36:$L36,$B$2:$L$2,T$2)</f>
        <v>120000</v>
      </c>
      <c r="U36" s="21" cm="1">
        <f t="array" ref="U36">TREND($B36:$L36,$B$2:$L$2,U$2)</f>
        <v>120000</v>
      </c>
      <c r="V36" s="21" cm="1">
        <f t="array" ref="V36">TREND($B36:$L36,$B$2:$L$2,V$2)</f>
        <v>120000</v>
      </c>
      <c r="W36" s="21" cm="1">
        <f t="array" ref="W36">TREND($B36:$L36,$B$2:$L$2,W$2)</f>
        <v>120000</v>
      </c>
      <c r="X36" s="21" cm="1">
        <f t="array" ref="X36">TREND($B36:$L36,$B$2:$L$2,X$2)</f>
        <v>120000</v>
      </c>
      <c r="Y36" s="21" cm="1">
        <f t="array" ref="Y36">TREND($B36:$L36,$B$2:$L$2,Y$2)</f>
        <v>120000</v>
      </c>
      <c r="Z36" s="21" cm="1">
        <f t="array" ref="Z36">TREND($B36:$L36,$B$2:$L$2,Z$2)</f>
        <v>120000</v>
      </c>
      <c r="AA36" s="21" cm="1">
        <f t="array" ref="AA36">TREND($B36:$L36,$B$2:$L$2,AA$2)</f>
        <v>120000</v>
      </c>
      <c r="AB36" s="21" cm="1">
        <f t="array" ref="AB36">TREND($B36:$L36,$B$2:$L$2,AB$2)</f>
        <v>120000</v>
      </c>
      <c r="AC36" s="21" cm="1">
        <f t="array" ref="AC36">TREND($B36:$L36,$B$2:$L$2,AC$2)</f>
        <v>120000</v>
      </c>
      <c r="AD36" s="21" cm="1">
        <f t="array" ref="AD36">TREND($B36:$L36,$B$2:$L$2,AD$2)</f>
        <v>120000</v>
      </c>
      <c r="AE36" s="21" cm="1">
        <f t="array" ref="AE36">TREND($B36:$L36,$B$2:$L$2,AE$2)</f>
        <v>120000</v>
      </c>
      <c r="AF36" s="21" cm="1">
        <f t="array" ref="AF36">TREND($B36:$L36,$B$2:$L$2,AF$2)</f>
        <v>120000</v>
      </c>
    </row>
    <row r="37" spans="1:32">
      <c r="A37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32">
      <c r="A38" s="17" t="s">
        <v>41</v>
      </c>
      <c r="B38" s="20">
        <v>2020</v>
      </c>
      <c r="C38" s="20">
        <v>2021</v>
      </c>
      <c r="D38" s="20">
        <v>2022</v>
      </c>
      <c r="E38" s="20">
        <v>2023</v>
      </c>
      <c r="F38" s="20">
        <v>2024</v>
      </c>
      <c r="G38" s="20">
        <v>2025</v>
      </c>
      <c r="H38" s="20">
        <v>2026</v>
      </c>
      <c r="I38" s="20">
        <v>2027</v>
      </c>
      <c r="J38" s="20">
        <v>2028</v>
      </c>
      <c r="K38" s="20">
        <v>2029</v>
      </c>
      <c r="L38" s="20">
        <v>2030</v>
      </c>
      <c r="M38" s="20">
        <v>2031</v>
      </c>
      <c r="N38" s="20">
        <v>2032</v>
      </c>
      <c r="O38" s="20">
        <v>2033</v>
      </c>
      <c r="P38" s="20">
        <v>2034</v>
      </c>
      <c r="Q38" s="20">
        <v>2035</v>
      </c>
      <c r="R38" s="20">
        <v>2036</v>
      </c>
      <c r="S38" s="20">
        <v>2037</v>
      </c>
      <c r="T38" s="20">
        <v>2038</v>
      </c>
      <c r="U38" s="20">
        <v>2039</v>
      </c>
      <c r="V38" s="20">
        <v>2040</v>
      </c>
      <c r="W38" s="20">
        <v>2041</v>
      </c>
      <c r="X38" s="20">
        <v>2042</v>
      </c>
      <c r="Y38" s="20">
        <v>2043</v>
      </c>
      <c r="Z38" s="20">
        <v>2044</v>
      </c>
      <c r="AA38" s="20">
        <v>2045</v>
      </c>
      <c r="AB38" s="20">
        <v>2046</v>
      </c>
      <c r="AC38" s="20">
        <v>2047</v>
      </c>
      <c r="AD38" s="20">
        <v>2048</v>
      </c>
      <c r="AE38" s="20">
        <v>2049</v>
      </c>
      <c r="AF38" s="20">
        <v>2050</v>
      </c>
    </row>
    <row r="39" spans="1:32">
      <c r="A39" t="s">
        <v>16</v>
      </c>
      <c r="B39" s="21">
        <f>KRW!B39</f>
        <v>1180</v>
      </c>
      <c r="C39" s="21">
        <f t="shared" ref="C39:K39" si="30">B39+($L39-$B39)/($L$2-$B$2)</f>
        <v>1180</v>
      </c>
      <c r="D39" s="21">
        <f t="shared" si="30"/>
        <v>1180</v>
      </c>
      <c r="E39" s="21">
        <f t="shared" si="30"/>
        <v>1180</v>
      </c>
      <c r="F39" s="21">
        <f t="shared" si="30"/>
        <v>1180</v>
      </c>
      <c r="G39" s="21">
        <f t="shared" si="30"/>
        <v>1180</v>
      </c>
      <c r="H39" s="21">
        <f t="shared" si="30"/>
        <v>1180</v>
      </c>
      <c r="I39" s="21">
        <f t="shared" si="30"/>
        <v>1180</v>
      </c>
      <c r="J39" s="21">
        <f t="shared" si="30"/>
        <v>1180</v>
      </c>
      <c r="K39" s="21">
        <f t="shared" si="30"/>
        <v>1180</v>
      </c>
      <c r="L39" s="21">
        <f>KRW!D39</f>
        <v>1180</v>
      </c>
      <c r="M39" s="21" cm="1">
        <f t="array" ref="M39">TREND($B39:$L39,$B$2:$L$2,M$2)</f>
        <v>1180</v>
      </c>
      <c r="N39" s="21" cm="1">
        <f t="array" ref="N39">TREND($B39:$L39,$B$2:$L$2,N$2)</f>
        <v>1180</v>
      </c>
      <c r="O39" s="21" cm="1">
        <f t="array" ref="O39">TREND($B39:$L39,$B$2:$L$2,O$2)</f>
        <v>1180</v>
      </c>
      <c r="P39" s="21" cm="1">
        <f t="array" ref="P39">TREND($B39:$L39,$B$2:$L$2,P$2)</f>
        <v>1180</v>
      </c>
      <c r="Q39" s="21" cm="1">
        <f t="array" ref="Q39">TREND($B39:$L39,$B$2:$L$2,Q$2)</f>
        <v>1180</v>
      </c>
      <c r="R39" s="21" cm="1">
        <f t="array" ref="R39">TREND($B39:$L39,$B$2:$L$2,R$2)</f>
        <v>1180</v>
      </c>
      <c r="S39" s="21" cm="1">
        <f t="array" ref="S39">TREND($B39:$L39,$B$2:$L$2,S$2)</f>
        <v>1180</v>
      </c>
      <c r="T39" s="21" cm="1">
        <f t="array" ref="T39">TREND($B39:$L39,$B$2:$L$2,T$2)</f>
        <v>1180</v>
      </c>
      <c r="U39" s="21" cm="1">
        <f t="array" ref="U39">TREND($B39:$L39,$B$2:$L$2,U$2)</f>
        <v>1180</v>
      </c>
      <c r="V39" s="21" cm="1">
        <f t="array" ref="V39">TREND($B39:$L39,$B$2:$L$2,V$2)</f>
        <v>1180</v>
      </c>
      <c r="W39" s="21" cm="1">
        <f t="array" ref="W39">TREND($B39:$L39,$B$2:$L$2,W$2)</f>
        <v>1180</v>
      </c>
      <c r="X39" s="21" cm="1">
        <f t="array" ref="X39">TREND($B39:$L39,$B$2:$L$2,X$2)</f>
        <v>1180</v>
      </c>
      <c r="Y39" s="21" cm="1">
        <f t="array" ref="Y39">TREND($B39:$L39,$B$2:$L$2,Y$2)</f>
        <v>1180</v>
      </c>
      <c r="Z39" s="21" cm="1">
        <f t="array" ref="Z39">TREND($B39:$L39,$B$2:$L$2,Z$2)</f>
        <v>1180</v>
      </c>
      <c r="AA39" s="21" cm="1">
        <f t="array" ref="AA39">TREND($B39:$L39,$B$2:$L$2,AA$2)</f>
        <v>1180</v>
      </c>
      <c r="AB39" s="21" cm="1">
        <f t="array" ref="AB39">TREND($B39:$L39,$B$2:$L$2,AB$2)</f>
        <v>1180</v>
      </c>
      <c r="AC39" s="21" cm="1">
        <f t="array" ref="AC39">TREND($B39:$L39,$B$2:$L$2,AC$2)</f>
        <v>1180</v>
      </c>
      <c r="AD39" s="21" cm="1">
        <f t="array" ref="AD39">TREND($B39:$L39,$B$2:$L$2,AD$2)</f>
        <v>1180</v>
      </c>
      <c r="AE39" s="21" cm="1">
        <f t="array" ref="AE39">TREND($B39:$L39,$B$2:$L$2,AE$2)</f>
        <v>1180</v>
      </c>
      <c r="AF39" s="21" cm="1">
        <f t="array" ref="AF39">TREND($B39:$L39,$B$2:$L$2,AF$2)</f>
        <v>1180</v>
      </c>
    </row>
    <row r="40" spans="1:32">
      <c r="A40" t="s">
        <v>11</v>
      </c>
      <c r="B40" s="21">
        <f>KRW!B40</f>
        <v>640</v>
      </c>
      <c r="C40" s="21">
        <f t="shared" ref="C40:K40" si="31">B40+($L40-$B40)/($L$2-$B$2)</f>
        <v>640</v>
      </c>
      <c r="D40" s="21">
        <f t="shared" si="31"/>
        <v>640</v>
      </c>
      <c r="E40" s="21">
        <f t="shared" si="31"/>
        <v>640</v>
      </c>
      <c r="F40" s="21">
        <f t="shared" si="31"/>
        <v>640</v>
      </c>
      <c r="G40" s="21">
        <f t="shared" si="31"/>
        <v>640</v>
      </c>
      <c r="H40" s="21">
        <f t="shared" si="31"/>
        <v>640</v>
      </c>
      <c r="I40" s="21">
        <f t="shared" si="31"/>
        <v>640</v>
      </c>
      <c r="J40" s="21">
        <f t="shared" si="31"/>
        <v>640</v>
      </c>
      <c r="K40" s="21">
        <f t="shared" si="31"/>
        <v>640</v>
      </c>
      <c r="L40" s="21">
        <f>KRW!D40</f>
        <v>640</v>
      </c>
      <c r="M40" s="21" cm="1">
        <f t="array" ref="M40">TREND($B40:$L40,$B$2:$L$2,M$2)</f>
        <v>640</v>
      </c>
      <c r="N40" s="21" cm="1">
        <f t="array" ref="N40">TREND($B40:$L40,$B$2:$L$2,N$2)</f>
        <v>640</v>
      </c>
      <c r="O40" s="21" cm="1">
        <f t="array" ref="O40">TREND($B40:$L40,$B$2:$L$2,O$2)</f>
        <v>640</v>
      </c>
      <c r="P40" s="21" cm="1">
        <f t="array" ref="P40">TREND($B40:$L40,$B$2:$L$2,P$2)</f>
        <v>640</v>
      </c>
      <c r="Q40" s="21" cm="1">
        <f t="array" ref="Q40">TREND($B40:$L40,$B$2:$L$2,Q$2)</f>
        <v>640</v>
      </c>
      <c r="R40" s="21" cm="1">
        <f t="array" ref="R40">TREND($B40:$L40,$B$2:$L$2,R$2)</f>
        <v>640</v>
      </c>
      <c r="S40" s="21" cm="1">
        <f t="array" ref="S40">TREND($B40:$L40,$B$2:$L$2,S$2)</f>
        <v>640</v>
      </c>
      <c r="T40" s="21" cm="1">
        <f t="array" ref="T40">TREND($B40:$L40,$B$2:$L$2,T$2)</f>
        <v>640</v>
      </c>
      <c r="U40" s="21" cm="1">
        <f t="array" ref="U40">TREND($B40:$L40,$B$2:$L$2,U$2)</f>
        <v>640</v>
      </c>
      <c r="V40" s="21" cm="1">
        <f t="array" ref="V40">TREND($B40:$L40,$B$2:$L$2,V$2)</f>
        <v>640</v>
      </c>
      <c r="W40" s="21" cm="1">
        <f t="array" ref="W40">TREND($B40:$L40,$B$2:$L$2,W$2)</f>
        <v>640</v>
      </c>
      <c r="X40" s="21" cm="1">
        <f t="array" ref="X40">TREND($B40:$L40,$B$2:$L$2,X$2)</f>
        <v>640</v>
      </c>
      <c r="Y40" s="21" cm="1">
        <f t="array" ref="Y40">TREND($B40:$L40,$B$2:$L$2,Y$2)</f>
        <v>640</v>
      </c>
      <c r="Z40" s="21" cm="1">
        <f t="array" ref="Z40">TREND($B40:$L40,$B$2:$L$2,Z$2)</f>
        <v>640</v>
      </c>
      <c r="AA40" s="21" cm="1">
        <f t="array" ref="AA40">TREND($B40:$L40,$B$2:$L$2,AA$2)</f>
        <v>640</v>
      </c>
      <c r="AB40" s="21" cm="1">
        <f t="array" ref="AB40">TREND($B40:$L40,$B$2:$L$2,AB$2)</f>
        <v>640</v>
      </c>
      <c r="AC40" s="21" cm="1">
        <f t="array" ref="AC40">TREND($B40:$L40,$B$2:$L$2,AC$2)</f>
        <v>640</v>
      </c>
      <c r="AD40" s="21" cm="1">
        <f t="array" ref="AD40">TREND($B40:$L40,$B$2:$L$2,AD$2)</f>
        <v>640</v>
      </c>
      <c r="AE40" s="21" cm="1">
        <f t="array" ref="AE40">TREND($B40:$L40,$B$2:$L$2,AE$2)</f>
        <v>640</v>
      </c>
      <c r="AF40" s="21" cm="1">
        <f t="array" ref="AF40">TREND($B40:$L40,$B$2:$L$2,AF$2)</f>
        <v>640</v>
      </c>
    </row>
    <row r="41" spans="1:32">
      <c r="A41" t="s">
        <v>5</v>
      </c>
      <c r="B41" s="21">
        <f>KRW!B41</f>
        <v>1990</v>
      </c>
      <c r="C41" s="21">
        <f t="shared" ref="C41:K41" si="32">B41+($L41-$B41)/($L$2-$B$2)</f>
        <v>1990</v>
      </c>
      <c r="D41" s="21">
        <f t="shared" si="32"/>
        <v>1990</v>
      </c>
      <c r="E41" s="21">
        <f t="shared" si="32"/>
        <v>1990</v>
      </c>
      <c r="F41" s="21">
        <f t="shared" si="32"/>
        <v>1990</v>
      </c>
      <c r="G41" s="21">
        <f t="shared" si="32"/>
        <v>1990</v>
      </c>
      <c r="H41" s="21">
        <f t="shared" si="32"/>
        <v>1990</v>
      </c>
      <c r="I41" s="21">
        <f t="shared" si="32"/>
        <v>1990</v>
      </c>
      <c r="J41" s="21">
        <f t="shared" si="32"/>
        <v>1990</v>
      </c>
      <c r="K41" s="21">
        <f t="shared" si="32"/>
        <v>1990</v>
      </c>
      <c r="L41" s="21">
        <f>KRW!D41</f>
        <v>1990</v>
      </c>
      <c r="M41" s="21" cm="1">
        <f t="array" ref="M41">TREND($B41:$L41,$B$2:$L$2,M$2)</f>
        <v>1990</v>
      </c>
      <c r="N41" s="21" cm="1">
        <f t="array" ref="N41">TREND($B41:$L41,$B$2:$L$2,N$2)</f>
        <v>1990</v>
      </c>
      <c r="O41" s="21" cm="1">
        <f t="array" ref="O41">TREND($B41:$L41,$B$2:$L$2,O$2)</f>
        <v>1990</v>
      </c>
      <c r="P41" s="21" cm="1">
        <f t="array" ref="P41">TREND($B41:$L41,$B$2:$L$2,P$2)</f>
        <v>1990</v>
      </c>
      <c r="Q41" s="21" cm="1">
        <f t="array" ref="Q41">TREND($B41:$L41,$B$2:$L$2,Q$2)</f>
        <v>1990</v>
      </c>
      <c r="R41" s="21" cm="1">
        <f t="array" ref="R41">TREND($B41:$L41,$B$2:$L$2,R$2)</f>
        <v>1990</v>
      </c>
      <c r="S41" s="21" cm="1">
        <f t="array" ref="S41">TREND($B41:$L41,$B$2:$L$2,S$2)</f>
        <v>1990</v>
      </c>
      <c r="T41" s="21" cm="1">
        <f t="array" ref="T41">TREND($B41:$L41,$B$2:$L$2,T$2)</f>
        <v>1990</v>
      </c>
      <c r="U41" s="21" cm="1">
        <f t="array" ref="U41">TREND($B41:$L41,$B$2:$L$2,U$2)</f>
        <v>1990</v>
      </c>
      <c r="V41" s="21" cm="1">
        <f t="array" ref="V41">TREND($B41:$L41,$B$2:$L$2,V$2)</f>
        <v>1990</v>
      </c>
      <c r="W41" s="21" cm="1">
        <f t="array" ref="W41">TREND($B41:$L41,$B$2:$L$2,W$2)</f>
        <v>1990</v>
      </c>
      <c r="X41" s="21" cm="1">
        <f t="array" ref="X41">TREND($B41:$L41,$B$2:$L$2,X$2)</f>
        <v>1990</v>
      </c>
      <c r="Y41" s="21" cm="1">
        <f t="array" ref="Y41">TREND($B41:$L41,$B$2:$L$2,Y$2)</f>
        <v>1990</v>
      </c>
      <c r="Z41" s="21" cm="1">
        <f t="array" ref="Z41">TREND($B41:$L41,$B$2:$L$2,Z$2)</f>
        <v>1990</v>
      </c>
      <c r="AA41" s="21" cm="1">
        <f t="array" ref="AA41">TREND($B41:$L41,$B$2:$L$2,AA$2)</f>
        <v>1990</v>
      </c>
      <c r="AB41" s="21" cm="1">
        <f t="array" ref="AB41">TREND($B41:$L41,$B$2:$L$2,AB$2)</f>
        <v>1990</v>
      </c>
      <c r="AC41" s="21" cm="1">
        <f t="array" ref="AC41">TREND($B41:$L41,$B$2:$L$2,AC$2)</f>
        <v>1990</v>
      </c>
      <c r="AD41" s="21" cm="1">
        <f t="array" ref="AD41">TREND($B41:$L41,$B$2:$L$2,AD$2)</f>
        <v>1990</v>
      </c>
      <c r="AE41" s="21" cm="1">
        <f t="array" ref="AE41">TREND($B41:$L41,$B$2:$L$2,AE$2)</f>
        <v>1990</v>
      </c>
      <c r="AF41" s="21" cm="1">
        <f t="array" ref="AF41">TREND($B41:$L41,$B$2:$L$2,AF$2)</f>
        <v>1990</v>
      </c>
    </row>
    <row r="42" spans="1:32">
      <c r="A42" t="s">
        <v>6</v>
      </c>
      <c r="B42" s="21">
        <f>KRW!B42</f>
        <v>200</v>
      </c>
      <c r="C42" s="21">
        <f t="shared" ref="C42:K42" si="33">B42+($L42-$B42)/($L$2-$B$2)</f>
        <v>200</v>
      </c>
      <c r="D42" s="21">
        <f t="shared" si="33"/>
        <v>200</v>
      </c>
      <c r="E42" s="21">
        <f t="shared" si="33"/>
        <v>200</v>
      </c>
      <c r="F42" s="21">
        <f t="shared" si="33"/>
        <v>200</v>
      </c>
      <c r="G42" s="21">
        <f t="shared" si="33"/>
        <v>200</v>
      </c>
      <c r="H42" s="21">
        <f t="shared" si="33"/>
        <v>200</v>
      </c>
      <c r="I42" s="21">
        <f t="shared" si="33"/>
        <v>200</v>
      </c>
      <c r="J42" s="21">
        <f t="shared" si="33"/>
        <v>200</v>
      </c>
      <c r="K42" s="21">
        <f t="shared" si="33"/>
        <v>200</v>
      </c>
      <c r="L42" s="21">
        <f>KRW!D42</f>
        <v>200</v>
      </c>
      <c r="M42" s="21" cm="1">
        <f t="array" ref="M42">TREND($B42:$L42,$B$2:$L$2,M$2)</f>
        <v>200</v>
      </c>
      <c r="N42" s="21" cm="1">
        <f t="array" ref="N42">TREND($B42:$L42,$B$2:$L$2,N$2)</f>
        <v>200</v>
      </c>
      <c r="O42" s="21" cm="1">
        <f t="array" ref="O42">TREND($B42:$L42,$B$2:$L$2,O$2)</f>
        <v>200</v>
      </c>
      <c r="P42" s="21" cm="1">
        <f t="array" ref="P42">TREND($B42:$L42,$B$2:$L$2,P$2)</f>
        <v>200</v>
      </c>
      <c r="Q42" s="21" cm="1">
        <f t="array" ref="Q42">TREND($B42:$L42,$B$2:$L$2,Q$2)</f>
        <v>200</v>
      </c>
      <c r="R42" s="21" cm="1">
        <f t="array" ref="R42">TREND($B42:$L42,$B$2:$L$2,R$2)</f>
        <v>200</v>
      </c>
      <c r="S42" s="21" cm="1">
        <f t="array" ref="S42">TREND($B42:$L42,$B$2:$L$2,S$2)</f>
        <v>200</v>
      </c>
      <c r="T42" s="21" cm="1">
        <f t="array" ref="T42">TREND($B42:$L42,$B$2:$L$2,T$2)</f>
        <v>200</v>
      </c>
      <c r="U42" s="21" cm="1">
        <f t="array" ref="U42">TREND($B42:$L42,$B$2:$L$2,U$2)</f>
        <v>200</v>
      </c>
      <c r="V42" s="21" cm="1">
        <f t="array" ref="V42">TREND($B42:$L42,$B$2:$L$2,V$2)</f>
        <v>200</v>
      </c>
      <c r="W42" s="21" cm="1">
        <f t="array" ref="W42">TREND($B42:$L42,$B$2:$L$2,W$2)</f>
        <v>200</v>
      </c>
      <c r="X42" s="21" cm="1">
        <f t="array" ref="X42">TREND($B42:$L42,$B$2:$L$2,X$2)</f>
        <v>200</v>
      </c>
      <c r="Y42" s="21" cm="1">
        <f t="array" ref="Y42">TREND($B42:$L42,$B$2:$L$2,Y$2)</f>
        <v>200</v>
      </c>
      <c r="Z42" s="21" cm="1">
        <f t="array" ref="Z42">TREND($B42:$L42,$B$2:$L$2,Z$2)</f>
        <v>200</v>
      </c>
      <c r="AA42" s="21" cm="1">
        <f t="array" ref="AA42">TREND($B42:$L42,$B$2:$L$2,AA$2)</f>
        <v>200</v>
      </c>
      <c r="AB42" s="21" cm="1">
        <f t="array" ref="AB42">TREND($B42:$L42,$B$2:$L$2,AB$2)</f>
        <v>200</v>
      </c>
      <c r="AC42" s="21" cm="1">
        <f t="array" ref="AC42">TREND($B42:$L42,$B$2:$L$2,AC$2)</f>
        <v>200</v>
      </c>
      <c r="AD42" s="21" cm="1">
        <f t="array" ref="AD42">TREND($B42:$L42,$B$2:$L$2,AD$2)</f>
        <v>200</v>
      </c>
      <c r="AE42" s="21" cm="1">
        <f t="array" ref="AE42">TREND($B42:$L42,$B$2:$L$2,AE$2)</f>
        <v>200</v>
      </c>
      <c r="AF42" s="21" cm="1">
        <f t="array" ref="AF42">TREND($B42:$L42,$B$2:$L$2,AF$2)</f>
        <v>200</v>
      </c>
    </row>
    <row r="43" spans="1:32">
      <c r="A43" t="s">
        <v>18</v>
      </c>
      <c r="B43" s="21">
        <f>KRW!B43</f>
        <v>100</v>
      </c>
      <c r="C43" s="21">
        <f t="shared" ref="C43:K43" si="34">B43+($L43-$B43)/($L$2-$B$2)</f>
        <v>100</v>
      </c>
      <c r="D43" s="21">
        <f t="shared" si="34"/>
        <v>100</v>
      </c>
      <c r="E43" s="21">
        <f t="shared" si="34"/>
        <v>100</v>
      </c>
      <c r="F43" s="21">
        <f t="shared" si="34"/>
        <v>100</v>
      </c>
      <c r="G43" s="21">
        <f t="shared" si="34"/>
        <v>100</v>
      </c>
      <c r="H43" s="21">
        <f t="shared" si="34"/>
        <v>100</v>
      </c>
      <c r="I43" s="21">
        <f t="shared" si="34"/>
        <v>100</v>
      </c>
      <c r="J43" s="21">
        <f t="shared" si="34"/>
        <v>100</v>
      </c>
      <c r="K43" s="21">
        <f t="shared" si="34"/>
        <v>100</v>
      </c>
      <c r="L43" s="21">
        <f>KRW!D43</f>
        <v>100</v>
      </c>
      <c r="M43" s="21" cm="1">
        <f t="array" ref="M43">TREND($B43:$L43,$B$2:$L$2,M$2)</f>
        <v>100</v>
      </c>
      <c r="N43" s="21" cm="1">
        <f t="array" ref="N43">TREND($B43:$L43,$B$2:$L$2,N$2)</f>
        <v>100</v>
      </c>
      <c r="O43" s="21" cm="1">
        <f t="array" ref="O43">TREND($B43:$L43,$B$2:$L$2,O$2)</f>
        <v>100</v>
      </c>
      <c r="P43" s="21" cm="1">
        <f t="array" ref="P43">TREND($B43:$L43,$B$2:$L$2,P$2)</f>
        <v>100</v>
      </c>
      <c r="Q43" s="21" cm="1">
        <f t="array" ref="Q43">TREND($B43:$L43,$B$2:$L$2,Q$2)</f>
        <v>100</v>
      </c>
      <c r="R43" s="21" cm="1">
        <f t="array" ref="R43">TREND($B43:$L43,$B$2:$L$2,R$2)</f>
        <v>100</v>
      </c>
      <c r="S43" s="21" cm="1">
        <f t="array" ref="S43">TREND($B43:$L43,$B$2:$L$2,S$2)</f>
        <v>100</v>
      </c>
      <c r="T43" s="21" cm="1">
        <f t="array" ref="T43">TREND($B43:$L43,$B$2:$L$2,T$2)</f>
        <v>100</v>
      </c>
      <c r="U43" s="21" cm="1">
        <f t="array" ref="U43">TREND($B43:$L43,$B$2:$L$2,U$2)</f>
        <v>100</v>
      </c>
      <c r="V43" s="21" cm="1">
        <f t="array" ref="V43">TREND($B43:$L43,$B$2:$L$2,V$2)</f>
        <v>100</v>
      </c>
      <c r="W43" s="21" cm="1">
        <f t="array" ref="W43">TREND($B43:$L43,$B$2:$L$2,W$2)</f>
        <v>100</v>
      </c>
      <c r="X43" s="21" cm="1">
        <f t="array" ref="X43">TREND($B43:$L43,$B$2:$L$2,X$2)</f>
        <v>100</v>
      </c>
      <c r="Y43" s="21" cm="1">
        <f t="array" ref="Y43">TREND($B43:$L43,$B$2:$L$2,Y$2)</f>
        <v>100</v>
      </c>
      <c r="Z43" s="21" cm="1">
        <f t="array" ref="Z43">TREND($B43:$L43,$B$2:$L$2,Z$2)</f>
        <v>100</v>
      </c>
      <c r="AA43" s="21" cm="1">
        <f t="array" ref="AA43">TREND($B43:$L43,$B$2:$L$2,AA$2)</f>
        <v>100</v>
      </c>
      <c r="AB43" s="21" cm="1">
        <f t="array" ref="AB43">TREND($B43:$L43,$B$2:$L$2,AB$2)</f>
        <v>100</v>
      </c>
      <c r="AC43" s="21" cm="1">
        <f t="array" ref="AC43">TREND($B43:$L43,$B$2:$L$2,AC$2)</f>
        <v>100</v>
      </c>
      <c r="AD43" s="21" cm="1">
        <f t="array" ref="AD43">TREND($B43:$L43,$B$2:$L$2,AD$2)</f>
        <v>100</v>
      </c>
      <c r="AE43" s="21" cm="1">
        <f t="array" ref="AE43">TREND($B43:$L43,$B$2:$L$2,AE$2)</f>
        <v>100</v>
      </c>
      <c r="AF43" s="21" cm="1">
        <f t="array" ref="AF43">TREND($B43:$L43,$B$2:$L$2,AF$2)</f>
        <v>100</v>
      </c>
    </row>
    <row r="44" spans="1:32">
      <c r="A44" t="s">
        <v>7</v>
      </c>
      <c r="B44" s="21">
        <f>KRW!B44</f>
        <v>100</v>
      </c>
      <c r="C44" s="21">
        <f t="shared" ref="C44:K44" si="35">B44+($L44-$B44)/($L$2-$B$2)</f>
        <v>100</v>
      </c>
      <c r="D44" s="21">
        <f t="shared" si="35"/>
        <v>100</v>
      </c>
      <c r="E44" s="21">
        <f t="shared" si="35"/>
        <v>100</v>
      </c>
      <c r="F44" s="21">
        <f t="shared" si="35"/>
        <v>100</v>
      </c>
      <c r="G44" s="21">
        <f t="shared" si="35"/>
        <v>100</v>
      </c>
      <c r="H44" s="21">
        <f t="shared" si="35"/>
        <v>100</v>
      </c>
      <c r="I44" s="21">
        <f t="shared" si="35"/>
        <v>100</v>
      </c>
      <c r="J44" s="21">
        <f t="shared" si="35"/>
        <v>100</v>
      </c>
      <c r="K44" s="21">
        <f t="shared" si="35"/>
        <v>100</v>
      </c>
      <c r="L44" s="21">
        <f>KRW!D44</f>
        <v>100</v>
      </c>
      <c r="M44" s="21" cm="1">
        <f t="array" ref="M44">TREND($B44:$L44,$B$2:$L$2,M$2)</f>
        <v>100</v>
      </c>
      <c r="N44" s="21" cm="1">
        <f t="array" ref="N44">TREND($B44:$L44,$B$2:$L$2,N$2)</f>
        <v>100</v>
      </c>
      <c r="O44" s="21" cm="1">
        <f t="array" ref="O44">TREND($B44:$L44,$B$2:$L$2,O$2)</f>
        <v>100</v>
      </c>
      <c r="P44" s="21" cm="1">
        <f t="array" ref="P44">TREND($B44:$L44,$B$2:$L$2,P$2)</f>
        <v>100</v>
      </c>
      <c r="Q44" s="21" cm="1">
        <f t="array" ref="Q44">TREND($B44:$L44,$B$2:$L$2,Q$2)</f>
        <v>100</v>
      </c>
      <c r="R44" s="21" cm="1">
        <f t="array" ref="R44">TREND($B44:$L44,$B$2:$L$2,R$2)</f>
        <v>100</v>
      </c>
      <c r="S44" s="21" cm="1">
        <f t="array" ref="S44">TREND($B44:$L44,$B$2:$L$2,S$2)</f>
        <v>100</v>
      </c>
      <c r="T44" s="21" cm="1">
        <f t="array" ref="T44">TREND($B44:$L44,$B$2:$L$2,T$2)</f>
        <v>100</v>
      </c>
      <c r="U44" s="21" cm="1">
        <f t="array" ref="U44">TREND($B44:$L44,$B$2:$L$2,U$2)</f>
        <v>100</v>
      </c>
      <c r="V44" s="21" cm="1">
        <f t="array" ref="V44">TREND($B44:$L44,$B$2:$L$2,V$2)</f>
        <v>100</v>
      </c>
      <c r="W44" s="21" cm="1">
        <f t="array" ref="W44">TREND($B44:$L44,$B$2:$L$2,W$2)</f>
        <v>100</v>
      </c>
      <c r="X44" s="21" cm="1">
        <f t="array" ref="X44">TREND($B44:$L44,$B$2:$L$2,X$2)</f>
        <v>100</v>
      </c>
      <c r="Y44" s="21" cm="1">
        <f t="array" ref="Y44">TREND($B44:$L44,$B$2:$L$2,Y$2)</f>
        <v>100</v>
      </c>
      <c r="Z44" s="21" cm="1">
        <f t="array" ref="Z44">TREND($B44:$L44,$B$2:$L$2,Z$2)</f>
        <v>100</v>
      </c>
      <c r="AA44" s="21" cm="1">
        <f t="array" ref="AA44">TREND($B44:$L44,$B$2:$L$2,AA$2)</f>
        <v>100</v>
      </c>
      <c r="AB44" s="21" cm="1">
        <f t="array" ref="AB44">TREND($B44:$L44,$B$2:$L$2,AB$2)</f>
        <v>100</v>
      </c>
      <c r="AC44" s="21" cm="1">
        <f t="array" ref="AC44">TREND($B44:$L44,$B$2:$L$2,AC$2)</f>
        <v>100</v>
      </c>
      <c r="AD44" s="21" cm="1">
        <f t="array" ref="AD44">TREND($B44:$L44,$B$2:$L$2,AD$2)</f>
        <v>100</v>
      </c>
      <c r="AE44" s="21" cm="1">
        <f t="array" ref="AE44">TREND($B44:$L44,$B$2:$L$2,AE$2)</f>
        <v>100</v>
      </c>
      <c r="AF44" s="21" cm="1">
        <f t="array" ref="AF44">TREND($B44:$L44,$B$2:$L$2,AF$2)</f>
        <v>100</v>
      </c>
    </row>
    <row r="45" spans="1:32">
      <c r="A45" t="s">
        <v>8</v>
      </c>
      <c r="B45" s="21">
        <f>KRW!B45</f>
        <v>0</v>
      </c>
      <c r="C45" s="21">
        <f t="shared" ref="C45:K45" si="36">B45+($L45-$B45)/($L$2-$B$2)</f>
        <v>0</v>
      </c>
      <c r="D45" s="21">
        <f t="shared" si="36"/>
        <v>0</v>
      </c>
      <c r="E45" s="21">
        <f t="shared" si="36"/>
        <v>0</v>
      </c>
      <c r="F45" s="21">
        <f t="shared" si="36"/>
        <v>0</v>
      </c>
      <c r="G45" s="21">
        <f t="shared" si="36"/>
        <v>0</v>
      </c>
      <c r="H45" s="21">
        <f t="shared" si="36"/>
        <v>0</v>
      </c>
      <c r="I45" s="21">
        <f t="shared" si="36"/>
        <v>0</v>
      </c>
      <c r="J45" s="21">
        <f t="shared" si="36"/>
        <v>0</v>
      </c>
      <c r="K45" s="21">
        <f t="shared" si="36"/>
        <v>0</v>
      </c>
      <c r="L45" s="21">
        <f>KRW!D45</f>
        <v>0</v>
      </c>
      <c r="M45" s="21" cm="1">
        <f t="array" ref="M45">TREND($B45:$L45,$B$2:$L$2,M$2)</f>
        <v>0</v>
      </c>
      <c r="N45" s="21" cm="1">
        <f t="array" ref="N45">TREND($B45:$L45,$B$2:$L$2,N$2)</f>
        <v>0</v>
      </c>
      <c r="O45" s="21" cm="1">
        <f t="array" ref="O45">TREND($B45:$L45,$B$2:$L$2,O$2)</f>
        <v>0</v>
      </c>
      <c r="P45" s="21" cm="1">
        <f t="array" ref="P45">TREND($B45:$L45,$B$2:$L$2,P$2)</f>
        <v>0</v>
      </c>
      <c r="Q45" s="21" cm="1">
        <f t="array" ref="Q45">TREND($B45:$L45,$B$2:$L$2,Q$2)</f>
        <v>0</v>
      </c>
      <c r="R45" s="21" cm="1">
        <f t="array" ref="R45">TREND($B45:$L45,$B$2:$L$2,R$2)</f>
        <v>0</v>
      </c>
      <c r="S45" s="21" cm="1">
        <f t="array" ref="S45">TREND($B45:$L45,$B$2:$L$2,S$2)</f>
        <v>0</v>
      </c>
      <c r="T45" s="21" cm="1">
        <f t="array" ref="T45">TREND($B45:$L45,$B$2:$L$2,T$2)</f>
        <v>0</v>
      </c>
      <c r="U45" s="21" cm="1">
        <f t="array" ref="U45">TREND($B45:$L45,$B$2:$L$2,U$2)</f>
        <v>0</v>
      </c>
      <c r="V45" s="21" cm="1">
        <f t="array" ref="V45">TREND($B45:$L45,$B$2:$L$2,V$2)</f>
        <v>0</v>
      </c>
      <c r="W45" s="21" cm="1">
        <f t="array" ref="W45">TREND($B45:$L45,$B$2:$L$2,W$2)</f>
        <v>0</v>
      </c>
      <c r="X45" s="21" cm="1">
        <f t="array" ref="X45">TREND($B45:$L45,$B$2:$L$2,X$2)</f>
        <v>0</v>
      </c>
      <c r="Y45" s="21" cm="1">
        <f t="array" ref="Y45">TREND($B45:$L45,$B$2:$L$2,Y$2)</f>
        <v>0</v>
      </c>
      <c r="Z45" s="21" cm="1">
        <f t="array" ref="Z45">TREND($B45:$L45,$B$2:$L$2,Z$2)</f>
        <v>0</v>
      </c>
      <c r="AA45" s="21" cm="1">
        <f t="array" ref="AA45">TREND($B45:$L45,$B$2:$L$2,AA$2)</f>
        <v>0</v>
      </c>
      <c r="AB45" s="21" cm="1">
        <f t="array" ref="AB45">TREND($B45:$L45,$B$2:$L$2,AB$2)</f>
        <v>0</v>
      </c>
      <c r="AC45" s="21" cm="1">
        <f t="array" ref="AC45">TREND($B45:$L45,$B$2:$L$2,AC$2)</f>
        <v>0</v>
      </c>
      <c r="AD45" s="21" cm="1">
        <f t="array" ref="AD45">TREND($B45:$L45,$B$2:$L$2,AD$2)</f>
        <v>0</v>
      </c>
      <c r="AE45" s="21" cm="1">
        <f t="array" ref="AE45">TREND($B45:$L45,$B$2:$L$2,AE$2)</f>
        <v>0</v>
      </c>
      <c r="AF45" s="21" cm="1">
        <f t="array" ref="AF45">TREND($B45:$L45,$B$2:$L$2,AF$2)</f>
        <v>0</v>
      </c>
    </row>
    <row r="46" spans="1:32">
      <c r="A46" t="s">
        <v>9</v>
      </c>
      <c r="B46" s="21">
        <f>KRW!B46</f>
        <v>100</v>
      </c>
      <c r="C46" s="21">
        <f t="shared" ref="C46:K46" si="37">B46+($L46-$B46)/($L$2-$B$2)</f>
        <v>100</v>
      </c>
      <c r="D46" s="21">
        <f t="shared" si="37"/>
        <v>100</v>
      </c>
      <c r="E46" s="21">
        <f t="shared" si="37"/>
        <v>100</v>
      </c>
      <c r="F46" s="21">
        <f t="shared" si="37"/>
        <v>100</v>
      </c>
      <c r="G46" s="21">
        <f t="shared" si="37"/>
        <v>100</v>
      </c>
      <c r="H46" s="21">
        <f t="shared" si="37"/>
        <v>100</v>
      </c>
      <c r="I46" s="21">
        <f t="shared" si="37"/>
        <v>100</v>
      </c>
      <c r="J46" s="21">
        <f t="shared" si="37"/>
        <v>100</v>
      </c>
      <c r="K46" s="21">
        <f t="shared" si="37"/>
        <v>100</v>
      </c>
      <c r="L46" s="21">
        <f>KRW!D46</f>
        <v>100</v>
      </c>
      <c r="M46" s="21" cm="1">
        <f t="array" ref="M46">TREND($B46:$L46,$B$2:$L$2,M$2)</f>
        <v>100</v>
      </c>
      <c r="N46" s="21" cm="1">
        <f t="array" ref="N46">TREND($B46:$L46,$B$2:$L$2,N$2)</f>
        <v>100</v>
      </c>
      <c r="O46" s="21" cm="1">
        <f t="array" ref="O46">TREND($B46:$L46,$B$2:$L$2,O$2)</f>
        <v>100</v>
      </c>
      <c r="P46" s="21" cm="1">
        <f t="array" ref="P46">TREND($B46:$L46,$B$2:$L$2,P$2)</f>
        <v>100</v>
      </c>
      <c r="Q46" s="21" cm="1">
        <f t="array" ref="Q46">TREND($B46:$L46,$B$2:$L$2,Q$2)</f>
        <v>100</v>
      </c>
      <c r="R46" s="21" cm="1">
        <f t="array" ref="R46">TREND($B46:$L46,$B$2:$L$2,R$2)</f>
        <v>100</v>
      </c>
      <c r="S46" s="21" cm="1">
        <f t="array" ref="S46">TREND($B46:$L46,$B$2:$L$2,S$2)</f>
        <v>100</v>
      </c>
      <c r="T46" s="21" cm="1">
        <f t="array" ref="T46">TREND($B46:$L46,$B$2:$L$2,T$2)</f>
        <v>100</v>
      </c>
      <c r="U46" s="21" cm="1">
        <f t="array" ref="U46">TREND($B46:$L46,$B$2:$L$2,U$2)</f>
        <v>100</v>
      </c>
      <c r="V46" s="21" cm="1">
        <f t="array" ref="V46">TREND($B46:$L46,$B$2:$L$2,V$2)</f>
        <v>100</v>
      </c>
      <c r="W46" s="21" cm="1">
        <f t="array" ref="W46">TREND($B46:$L46,$B$2:$L$2,W$2)</f>
        <v>100</v>
      </c>
      <c r="X46" s="21" cm="1">
        <f t="array" ref="X46">TREND($B46:$L46,$B$2:$L$2,X$2)</f>
        <v>100</v>
      </c>
      <c r="Y46" s="21" cm="1">
        <f t="array" ref="Y46">TREND($B46:$L46,$B$2:$L$2,Y$2)</f>
        <v>100</v>
      </c>
      <c r="Z46" s="21" cm="1">
        <f t="array" ref="Z46">TREND($B46:$L46,$B$2:$L$2,Z$2)</f>
        <v>100</v>
      </c>
      <c r="AA46" s="21" cm="1">
        <f t="array" ref="AA46">TREND($B46:$L46,$B$2:$L$2,AA$2)</f>
        <v>100</v>
      </c>
      <c r="AB46" s="21" cm="1">
        <f t="array" ref="AB46">TREND($B46:$L46,$B$2:$L$2,AB$2)</f>
        <v>100</v>
      </c>
      <c r="AC46" s="21" cm="1">
        <f t="array" ref="AC46">TREND($B46:$L46,$B$2:$L$2,AC$2)</f>
        <v>100</v>
      </c>
      <c r="AD46" s="21" cm="1">
        <f t="array" ref="AD46">TREND($B46:$L46,$B$2:$L$2,AD$2)</f>
        <v>100</v>
      </c>
      <c r="AE46" s="21" cm="1">
        <f t="array" ref="AE46">TREND($B46:$L46,$B$2:$L$2,AE$2)</f>
        <v>100</v>
      </c>
      <c r="AF46" s="21" cm="1">
        <f t="array" ref="AF46">TREND($B46:$L46,$B$2:$L$2,AF$2)</f>
        <v>100</v>
      </c>
    </row>
    <row r="47" spans="1:32">
      <c r="A47" t="s">
        <v>12</v>
      </c>
      <c r="B47" s="21">
        <f>KRW!B47</f>
        <v>100</v>
      </c>
      <c r="C47" s="21">
        <f t="shared" ref="C47:K47" si="38">B47+($L47-$B47)/($L$2-$B$2)</f>
        <v>100</v>
      </c>
      <c r="D47" s="21">
        <f t="shared" si="38"/>
        <v>100</v>
      </c>
      <c r="E47" s="21">
        <f t="shared" si="38"/>
        <v>100</v>
      </c>
      <c r="F47" s="21">
        <f t="shared" si="38"/>
        <v>100</v>
      </c>
      <c r="G47" s="21">
        <f t="shared" si="38"/>
        <v>100</v>
      </c>
      <c r="H47" s="21">
        <f t="shared" si="38"/>
        <v>100</v>
      </c>
      <c r="I47" s="21">
        <f t="shared" si="38"/>
        <v>100</v>
      </c>
      <c r="J47" s="21">
        <f t="shared" si="38"/>
        <v>100</v>
      </c>
      <c r="K47" s="21">
        <f t="shared" si="38"/>
        <v>100</v>
      </c>
      <c r="L47" s="21">
        <f>KRW!D47</f>
        <v>100</v>
      </c>
      <c r="M47" s="21" cm="1">
        <f t="array" ref="M47">TREND($B47:$L47,$B$2:$L$2,M$2)</f>
        <v>100</v>
      </c>
      <c r="N47" s="21" cm="1">
        <f t="array" ref="N47">TREND($B47:$L47,$B$2:$L$2,N$2)</f>
        <v>100</v>
      </c>
      <c r="O47" s="21" cm="1">
        <f t="array" ref="O47">TREND($B47:$L47,$B$2:$L$2,O$2)</f>
        <v>100</v>
      </c>
      <c r="P47" s="21" cm="1">
        <f t="array" ref="P47">TREND($B47:$L47,$B$2:$L$2,P$2)</f>
        <v>100</v>
      </c>
      <c r="Q47" s="21" cm="1">
        <f t="array" ref="Q47">TREND($B47:$L47,$B$2:$L$2,Q$2)</f>
        <v>100</v>
      </c>
      <c r="R47" s="21" cm="1">
        <f t="array" ref="R47">TREND($B47:$L47,$B$2:$L$2,R$2)</f>
        <v>100</v>
      </c>
      <c r="S47" s="21" cm="1">
        <f t="array" ref="S47">TREND($B47:$L47,$B$2:$L$2,S$2)</f>
        <v>100</v>
      </c>
      <c r="T47" s="21" cm="1">
        <f t="array" ref="T47">TREND($B47:$L47,$B$2:$L$2,T$2)</f>
        <v>100</v>
      </c>
      <c r="U47" s="21" cm="1">
        <f t="array" ref="U47">TREND($B47:$L47,$B$2:$L$2,U$2)</f>
        <v>100</v>
      </c>
      <c r="V47" s="21" cm="1">
        <f t="array" ref="V47">TREND($B47:$L47,$B$2:$L$2,V$2)</f>
        <v>100</v>
      </c>
      <c r="W47" s="21" cm="1">
        <f t="array" ref="W47">TREND($B47:$L47,$B$2:$L$2,W$2)</f>
        <v>100</v>
      </c>
      <c r="X47" s="21" cm="1">
        <f t="array" ref="X47">TREND($B47:$L47,$B$2:$L$2,X$2)</f>
        <v>100</v>
      </c>
      <c r="Y47" s="21" cm="1">
        <f t="array" ref="Y47">TREND($B47:$L47,$B$2:$L$2,Y$2)</f>
        <v>100</v>
      </c>
      <c r="Z47" s="21" cm="1">
        <f t="array" ref="Z47">TREND($B47:$L47,$B$2:$L$2,Z$2)</f>
        <v>100</v>
      </c>
      <c r="AA47" s="21" cm="1">
        <f t="array" ref="AA47">TREND($B47:$L47,$B$2:$L$2,AA$2)</f>
        <v>100</v>
      </c>
      <c r="AB47" s="21" cm="1">
        <f t="array" ref="AB47">TREND($B47:$L47,$B$2:$L$2,AB$2)</f>
        <v>100</v>
      </c>
      <c r="AC47" s="21" cm="1">
        <f t="array" ref="AC47">TREND($B47:$L47,$B$2:$L$2,AC$2)</f>
        <v>100</v>
      </c>
      <c r="AD47" s="21" cm="1">
        <f t="array" ref="AD47">TREND($B47:$L47,$B$2:$L$2,AD$2)</f>
        <v>100</v>
      </c>
      <c r="AE47" s="21" cm="1">
        <f t="array" ref="AE47">TREND($B47:$L47,$B$2:$L$2,AE$2)</f>
        <v>100</v>
      </c>
      <c r="AF47" s="21" cm="1">
        <f t="array" ref="AF47">TREND($B47:$L47,$B$2:$L$2,AF$2)</f>
        <v>100</v>
      </c>
    </row>
    <row r="48" spans="1:32">
      <c r="A48" t="s">
        <v>13</v>
      </c>
      <c r="B48" s="21">
        <f>KRW!B48</f>
        <v>150</v>
      </c>
      <c r="C48" s="21">
        <f t="shared" ref="C48:K48" si="39">B48+($L48-$B48)/($L$2-$B$2)</f>
        <v>150</v>
      </c>
      <c r="D48" s="21">
        <f t="shared" si="39"/>
        <v>150</v>
      </c>
      <c r="E48" s="21">
        <f t="shared" si="39"/>
        <v>150</v>
      </c>
      <c r="F48" s="21">
        <f t="shared" si="39"/>
        <v>150</v>
      </c>
      <c r="G48" s="21">
        <f t="shared" si="39"/>
        <v>150</v>
      </c>
      <c r="H48" s="21">
        <f t="shared" si="39"/>
        <v>150</v>
      </c>
      <c r="I48" s="21">
        <f t="shared" si="39"/>
        <v>150</v>
      </c>
      <c r="J48" s="21">
        <f t="shared" si="39"/>
        <v>150</v>
      </c>
      <c r="K48" s="21">
        <f t="shared" si="39"/>
        <v>150</v>
      </c>
      <c r="L48" s="21">
        <f>KRW!D48</f>
        <v>150</v>
      </c>
      <c r="M48" s="21" cm="1">
        <f t="array" ref="M48">TREND($B48:$L48,$B$2:$L$2,M$2)</f>
        <v>150</v>
      </c>
      <c r="N48" s="21" cm="1">
        <f t="array" ref="N48">TREND($B48:$L48,$B$2:$L$2,N$2)</f>
        <v>150</v>
      </c>
      <c r="O48" s="21" cm="1">
        <f t="array" ref="O48">TREND($B48:$L48,$B$2:$L$2,O$2)</f>
        <v>150</v>
      </c>
      <c r="P48" s="21" cm="1">
        <f t="array" ref="P48">TREND($B48:$L48,$B$2:$L$2,P$2)</f>
        <v>150</v>
      </c>
      <c r="Q48" s="21" cm="1">
        <f t="array" ref="Q48">TREND($B48:$L48,$B$2:$L$2,Q$2)</f>
        <v>150</v>
      </c>
      <c r="R48" s="21" cm="1">
        <f t="array" ref="R48">TREND($B48:$L48,$B$2:$L$2,R$2)</f>
        <v>150</v>
      </c>
      <c r="S48" s="21" cm="1">
        <f t="array" ref="S48">TREND($B48:$L48,$B$2:$L$2,S$2)</f>
        <v>150</v>
      </c>
      <c r="T48" s="21" cm="1">
        <f t="array" ref="T48">TREND($B48:$L48,$B$2:$L$2,T$2)</f>
        <v>150</v>
      </c>
      <c r="U48" s="21" cm="1">
        <f t="array" ref="U48">TREND($B48:$L48,$B$2:$L$2,U$2)</f>
        <v>150</v>
      </c>
      <c r="V48" s="21" cm="1">
        <f t="array" ref="V48">TREND($B48:$L48,$B$2:$L$2,V$2)</f>
        <v>150</v>
      </c>
      <c r="W48" s="21" cm="1">
        <f t="array" ref="W48">TREND($B48:$L48,$B$2:$L$2,W$2)</f>
        <v>150</v>
      </c>
      <c r="X48" s="21" cm="1">
        <f t="array" ref="X48">TREND($B48:$L48,$B$2:$L$2,X$2)</f>
        <v>150</v>
      </c>
      <c r="Y48" s="21" cm="1">
        <f t="array" ref="Y48">TREND($B48:$L48,$B$2:$L$2,Y$2)</f>
        <v>150</v>
      </c>
      <c r="Z48" s="21" cm="1">
        <f t="array" ref="Z48">TREND($B48:$L48,$B$2:$L$2,Z$2)</f>
        <v>150</v>
      </c>
      <c r="AA48" s="21" cm="1">
        <f t="array" ref="AA48">TREND($B48:$L48,$B$2:$L$2,AA$2)</f>
        <v>150</v>
      </c>
      <c r="AB48" s="21" cm="1">
        <f t="array" ref="AB48">TREND($B48:$L48,$B$2:$L$2,AB$2)</f>
        <v>150</v>
      </c>
      <c r="AC48" s="21" cm="1">
        <f t="array" ref="AC48">TREND($B48:$L48,$B$2:$L$2,AC$2)</f>
        <v>150</v>
      </c>
      <c r="AD48" s="21" cm="1">
        <f t="array" ref="AD48">TREND($B48:$L48,$B$2:$L$2,AD$2)</f>
        <v>150</v>
      </c>
      <c r="AE48" s="21" cm="1">
        <f t="array" ref="AE48">TREND($B48:$L48,$B$2:$L$2,AE$2)</f>
        <v>150</v>
      </c>
      <c r="AF48" s="21" cm="1">
        <f t="array" ref="AF48">TREND($B48:$L48,$B$2:$L$2,AF$2)</f>
        <v>150</v>
      </c>
    </row>
    <row r="49" spans="1:32">
      <c r="A49" t="s">
        <v>14</v>
      </c>
      <c r="B49" s="21">
        <f>KRW!B49</f>
        <v>640</v>
      </c>
      <c r="C49" s="21">
        <f t="shared" ref="C49:K49" si="40">B49+($L49-$B49)/($L$2-$B$2)</f>
        <v>640</v>
      </c>
      <c r="D49" s="21">
        <f t="shared" si="40"/>
        <v>640</v>
      </c>
      <c r="E49" s="21">
        <f t="shared" si="40"/>
        <v>640</v>
      </c>
      <c r="F49" s="21">
        <f t="shared" si="40"/>
        <v>640</v>
      </c>
      <c r="G49" s="21">
        <f t="shared" si="40"/>
        <v>640</v>
      </c>
      <c r="H49" s="21">
        <f t="shared" si="40"/>
        <v>640</v>
      </c>
      <c r="I49" s="21">
        <f t="shared" si="40"/>
        <v>640</v>
      </c>
      <c r="J49" s="21">
        <f t="shared" si="40"/>
        <v>640</v>
      </c>
      <c r="K49" s="21">
        <f t="shared" si="40"/>
        <v>640</v>
      </c>
      <c r="L49" s="21">
        <f>KRW!D49</f>
        <v>640</v>
      </c>
      <c r="M49" s="21" cm="1">
        <f t="array" ref="M49">TREND($B49:$L49,$B$2:$L$2,M$2)</f>
        <v>640</v>
      </c>
      <c r="N49" s="21" cm="1">
        <f t="array" ref="N49">TREND($B49:$L49,$B$2:$L$2,N$2)</f>
        <v>640</v>
      </c>
      <c r="O49" s="21" cm="1">
        <f t="array" ref="O49">TREND($B49:$L49,$B$2:$L$2,O$2)</f>
        <v>640</v>
      </c>
      <c r="P49" s="21" cm="1">
        <f t="array" ref="P49">TREND($B49:$L49,$B$2:$L$2,P$2)</f>
        <v>640</v>
      </c>
      <c r="Q49" s="21" cm="1">
        <f t="array" ref="Q49">TREND($B49:$L49,$B$2:$L$2,Q$2)</f>
        <v>640</v>
      </c>
      <c r="R49" s="21" cm="1">
        <f t="array" ref="R49">TREND($B49:$L49,$B$2:$L$2,R$2)</f>
        <v>640</v>
      </c>
      <c r="S49" s="21" cm="1">
        <f t="array" ref="S49">TREND($B49:$L49,$B$2:$L$2,S$2)</f>
        <v>640</v>
      </c>
      <c r="T49" s="21" cm="1">
        <f t="array" ref="T49">TREND($B49:$L49,$B$2:$L$2,T$2)</f>
        <v>640</v>
      </c>
      <c r="U49" s="21" cm="1">
        <f t="array" ref="U49">TREND($B49:$L49,$B$2:$L$2,U$2)</f>
        <v>640</v>
      </c>
      <c r="V49" s="21" cm="1">
        <f t="array" ref="V49">TREND($B49:$L49,$B$2:$L$2,V$2)</f>
        <v>640</v>
      </c>
      <c r="W49" s="21" cm="1">
        <f t="array" ref="W49">TREND($B49:$L49,$B$2:$L$2,W$2)</f>
        <v>640</v>
      </c>
      <c r="X49" s="21" cm="1">
        <f t="array" ref="X49">TREND($B49:$L49,$B$2:$L$2,X$2)</f>
        <v>640</v>
      </c>
      <c r="Y49" s="21" cm="1">
        <f t="array" ref="Y49">TREND($B49:$L49,$B$2:$L$2,Y$2)</f>
        <v>640</v>
      </c>
      <c r="Z49" s="21" cm="1">
        <f t="array" ref="Z49">TREND($B49:$L49,$B$2:$L$2,Z$2)</f>
        <v>640</v>
      </c>
      <c r="AA49" s="21" cm="1">
        <f t="array" ref="AA49">TREND($B49:$L49,$B$2:$L$2,AA$2)</f>
        <v>640</v>
      </c>
      <c r="AB49" s="21" cm="1">
        <f t="array" ref="AB49">TREND($B49:$L49,$B$2:$L$2,AB$2)</f>
        <v>640</v>
      </c>
      <c r="AC49" s="21" cm="1">
        <f t="array" ref="AC49">TREND($B49:$L49,$B$2:$L$2,AC$2)</f>
        <v>640</v>
      </c>
      <c r="AD49" s="21" cm="1">
        <f t="array" ref="AD49">TREND($B49:$L49,$B$2:$L$2,AD$2)</f>
        <v>640</v>
      </c>
      <c r="AE49" s="21" cm="1">
        <f t="array" ref="AE49">TREND($B49:$L49,$B$2:$L$2,AE$2)</f>
        <v>640</v>
      </c>
      <c r="AF49" s="21" cm="1">
        <f t="array" ref="AF49">TREND($B49:$L49,$B$2:$L$2,AF$2)</f>
        <v>640</v>
      </c>
    </row>
    <row r="50" spans="1:32">
      <c r="A50" t="s">
        <v>19</v>
      </c>
      <c r="B50" s="21">
        <f>KRW!B50</f>
        <v>1180</v>
      </c>
      <c r="C50" s="21">
        <f t="shared" ref="C50:K50" si="41">B50+($L50-$B50)/($L$2-$B$2)</f>
        <v>1180</v>
      </c>
      <c r="D50" s="21">
        <f t="shared" si="41"/>
        <v>1180</v>
      </c>
      <c r="E50" s="21">
        <f t="shared" si="41"/>
        <v>1180</v>
      </c>
      <c r="F50" s="21">
        <f t="shared" si="41"/>
        <v>1180</v>
      </c>
      <c r="G50" s="21">
        <f t="shared" si="41"/>
        <v>1180</v>
      </c>
      <c r="H50" s="21">
        <f t="shared" si="41"/>
        <v>1180</v>
      </c>
      <c r="I50" s="21">
        <f t="shared" si="41"/>
        <v>1180</v>
      </c>
      <c r="J50" s="21">
        <f t="shared" si="41"/>
        <v>1180</v>
      </c>
      <c r="K50" s="21">
        <f t="shared" si="41"/>
        <v>1180</v>
      </c>
      <c r="L50" s="21">
        <f>KRW!D50</f>
        <v>1180</v>
      </c>
      <c r="M50" s="21" cm="1">
        <f t="array" ref="M50">TREND($B50:$L50,$B$2:$L$2,M$2)</f>
        <v>1180</v>
      </c>
      <c r="N50" s="21" cm="1">
        <f t="array" ref="N50">TREND($B50:$L50,$B$2:$L$2,N$2)</f>
        <v>1180</v>
      </c>
      <c r="O50" s="21" cm="1">
        <f t="array" ref="O50">TREND($B50:$L50,$B$2:$L$2,O$2)</f>
        <v>1180</v>
      </c>
      <c r="P50" s="21" cm="1">
        <f t="array" ref="P50">TREND($B50:$L50,$B$2:$L$2,P$2)</f>
        <v>1180</v>
      </c>
      <c r="Q50" s="21" cm="1">
        <f t="array" ref="Q50">TREND($B50:$L50,$B$2:$L$2,Q$2)</f>
        <v>1180</v>
      </c>
      <c r="R50" s="21" cm="1">
        <f t="array" ref="R50">TREND($B50:$L50,$B$2:$L$2,R$2)</f>
        <v>1180</v>
      </c>
      <c r="S50" s="21" cm="1">
        <f t="array" ref="S50">TREND($B50:$L50,$B$2:$L$2,S$2)</f>
        <v>1180</v>
      </c>
      <c r="T50" s="21" cm="1">
        <f t="array" ref="T50">TREND($B50:$L50,$B$2:$L$2,T$2)</f>
        <v>1180</v>
      </c>
      <c r="U50" s="21" cm="1">
        <f t="array" ref="U50">TREND($B50:$L50,$B$2:$L$2,U$2)</f>
        <v>1180</v>
      </c>
      <c r="V50" s="21" cm="1">
        <f t="array" ref="V50">TREND($B50:$L50,$B$2:$L$2,V$2)</f>
        <v>1180</v>
      </c>
      <c r="W50" s="21" cm="1">
        <f t="array" ref="W50">TREND($B50:$L50,$B$2:$L$2,W$2)</f>
        <v>1180</v>
      </c>
      <c r="X50" s="21" cm="1">
        <f t="array" ref="X50">TREND($B50:$L50,$B$2:$L$2,X$2)</f>
        <v>1180</v>
      </c>
      <c r="Y50" s="21" cm="1">
        <f t="array" ref="Y50">TREND($B50:$L50,$B$2:$L$2,Y$2)</f>
        <v>1180</v>
      </c>
      <c r="Z50" s="21" cm="1">
        <f t="array" ref="Z50">TREND($B50:$L50,$B$2:$L$2,Z$2)</f>
        <v>1180</v>
      </c>
      <c r="AA50" s="21" cm="1">
        <f t="array" ref="AA50">TREND($B50:$L50,$B$2:$L$2,AA$2)</f>
        <v>1180</v>
      </c>
      <c r="AB50" s="21" cm="1">
        <f t="array" ref="AB50">TREND($B50:$L50,$B$2:$L$2,AB$2)</f>
        <v>1180</v>
      </c>
      <c r="AC50" s="21" cm="1">
        <f t="array" ref="AC50">TREND($B50:$L50,$B$2:$L$2,AC$2)</f>
        <v>1180</v>
      </c>
      <c r="AD50" s="21" cm="1">
        <f t="array" ref="AD50">TREND($B50:$L50,$B$2:$L$2,AD$2)</f>
        <v>1180</v>
      </c>
      <c r="AE50" s="21" cm="1">
        <f t="array" ref="AE50">TREND($B50:$L50,$B$2:$L$2,AE$2)</f>
        <v>1180</v>
      </c>
      <c r="AF50" s="21" cm="1">
        <f t="array" ref="AF50">TREND($B50:$L50,$B$2:$L$2,AF$2)</f>
        <v>1180</v>
      </c>
    </row>
    <row r="51" spans="1:32">
      <c r="A51" t="s">
        <v>17</v>
      </c>
      <c r="B51" s="21">
        <f>KRW!B51</f>
        <v>0</v>
      </c>
      <c r="C51" s="21">
        <f t="shared" ref="C51:K51" si="42">B51+($L51-$B51)/($L$2-$B$2)</f>
        <v>0</v>
      </c>
      <c r="D51" s="21">
        <f t="shared" si="42"/>
        <v>0</v>
      </c>
      <c r="E51" s="21">
        <f t="shared" si="42"/>
        <v>0</v>
      </c>
      <c r="F51" s="21">
        <f t="shared" si="42"/>
        <v>0</v>
      </c>
      <c r="G51" s="21">
        <f t="shared" si="42"/>
        <v>0</v>
      </c>
      <c r="H51" s="21">
        <f t="shared" si="42"/>
        <v>0</v>
      </c>
      <c r="I51" s="21">
        <f t="shared" si="42"/>
        <v>0</v>
      </c>
      <c r="J51" s="21">
        <f t="shared" si="42"/>
        <v>0</v>
      </c>
      <c r="K51" s="21">
        <f t="shared" si="42"/>
        <v>0</v>
      </c>
      <c r="L51" s="21">
        <f>KRW!D51</f>
        <v>0</v>
      </c>
      <c r="M51" s="21" cm="1">
        <f t="array" ref="M51">TREND($B51:$L51,$B$2:$L$2,M$2)</f>
        <v>0</v>
      </c>
      <c r="N51" s="21" cm="1">
        <f t="array" ref="N51">TREND($B51:$L51,$B$2:$L$2,N$2)</f>
        <v>0</v>
      </c>
      <c r="O51" s="21" cm="1">
        <f t="array" ref="O51">TREND($B51:$L51,$B$2:$L$2,O$2)</f>
        <v>0</v>
      </c>
      <c r="P51" s="21" cm="1">
        <f t="array" ref="P51">TREND($B51:$L51,$B$2:$L$2,P$2)</f>
        <v>0</v>
      </c>
      <c r="Q51" s="21" cm="1">
        <f t="array" ref="Q51">TREND($B51:$L51,$B$2:$L$2,Q$2)</f>
        <v>0</v>
      </c>
      <c r="R51" s="21" cm="1">
        <f t="array" ref="R51">TREND($B51:$L51,$B$2:$L$2,R$2)</f>
        <v>0</v>
      </c>
      <c r="S51" s="21" cm="1">
        <f t="array" ref="S51">TREND($B51:$L51,$B$2:$L$2,S$2)</f>
        <v>0</v>
      </c>
      <c r="T51" s="21" cm="1">
        <f t="array" ref="T51">TREND($B51:$L51,$B$2:$L$2,T$2)</f>
        <v>0</v>
      </c>
      <c r="U51" s="21" cm="1">
        <f t="array" ref="U51">TREND($B51:$L51,$B$2:$L$2,U$2)</f>
        <v>0</v>
      </c>
      <c r="V51" s="21" cm="1">
        <f t="array" ref="V51">TREND($B51:$L51,$B$2:$L$2,V$2)</f>
        <v>0</v>
      </c>
      <c r="W51" s="21" cm="1">
        <f t="array" ref="W51">TREND($B51:$L51,$B$2:$L$2,W$2)</f>
        <v>0</v>
      </c>
      <c r="X51" s="21" cm="1">
        <f t="array" ref="X51">TREND($B51:$L51,$B$2:$L$2,X$2)</f>
        <v>0</v>
      </c>
      <c r="Y51" s="21" cm="1">
        <f t="array" ref="Y51">TREND($B51:$L51,$B$2:$L$2,Y$2)</f>
        <v>0</v>
      </c>
      <c r="Z51" s="21" cm="1">
        <f t="array" ref="Z51">TREND($B51:$L51,$B$2:$L$2,Z$2)</f>
        <v>0</v>
      </c>
      <c r="AA51" s="21" cm="1">
        <f t="array" ref="AA51">TREND($B51:$L51,$B$2:$L$2,AA$2)</f>
        <v>0</v>
      </c>
      <c r="AB51" s="21" cm="1">
        <f t="array" ref="AB51">TREND($B51:$L51,$B$2:$L$2,AB$2)</f>
        <v>0</v>
      </c>
      <c r="AC51" s="21" cm="1">
        <f t="array" ref="AC51">TREND($B51:$L51,$B$2:$L$2,AC$2)</f>
        <v>0</v>
      </c>
      <c r="AD51" s="21" cm="1">
        <f t="array" ref="AD51">TREND($B51:$L51,$B$2:$L$2,AD$2)</f>
        <v>0</v>
      </c>
      <c r="AE51" s="21" cm="1">
        <f t="array" ref="AE51">TREND($B51:$L51,$B$2:$L$2,AE$2)</f>
        <v>0</v>
      </c>
      <c r="AF51" s="21" cm="1">
        <f t="array" ref="AF51">TREND($B51:$L51,$B$2:$L$2,AF$2)</f>
        <v>0</v>
      </c>
    </row>
    <row r="52" spans="1:32">
      <c r="A52" t="s">
        <v>20</v>
      </c>
      <c r="B52" s="21">
        <f>KRW!B52</f>
        <v>150</v>
      </c>
      <c r="C52" s="21">
        <f t="shared" ref="C52:K52" si="43">B52+($L52-$B52)/($L$2-$B$2)</f>
        <v>150</v>
      </c>
      <c r="D52" s="21">
        <f t="shared" si="43"/>
        <v>150</v>
      </c>
      <c r="E52" s="21">
        <f t="shared" si="43"/>
        <v>150</v>
      </c>
      <c r="F52" s="21">
        <f t="shared" si="43"/>
        <v>150</v>
      </c>
      <c r="G52" s="21">
        <f t="shared" si="43"/>
        <v>150</v>
      </c>
      <c r="H52" s="21">
        <f t="shared" si="43"/>
        <v>150</v>
      </c>
      <c r="I52" s="21">
        <f t="shared" si="43"/>
        <v>150</v>
      </c>
      <c r="J52" s="21">
        <f t="shared" si="43"/>
        <v>150</v>
      </c>
      <c r="K52" s="21">
        <f t="shared" si="43"/>
        <v>150</v>
      </c>
      <c r="L52" s="21">
        <f>KRW!D52</f>
        <v>150</v>
      </c>
      <c r="M52" s="21" cm="1">
        <f t="array" ref="M52">TREND($B52:$L52,$B$2:$L$2,M$2)</f>
        <v>150</v>
      </c>
      <c r="N52" s="21" cm="1">
        <f t="array" ref="N52">TREND($B52:$L52,$B$2:$L$2,N$2)</f>
        <v>150</v>
      </c>
      <c r="O52" s="21" cm="1">
        <f t="array" ref="O52">TREND($B52:$L52,$B$2:$L$2,O$2)</f>
        <v>150</v>
      </c>
      <c r="P52" s="21" cm="1">
        <f t="array" ref="P52">TREND($B52:$L52,$B$2:$L$2,P$2)</f>
        <v>150</v>
      </c>
      <c r="Q52" s="21" cm="1">
        <f t="array" ref="Q52">TREND($B52:$L52,$B$2:$L$2,Q$2)</f>
        <v>150</v>
      </c>
      <c r="R52" s="21" cm="1">
        <f t="array" ref="R52">TREND($B52:$L52,$B$2:$L$2,R$2)</f>
        <v>150</v>
      </c>
      <c r="S52" s="21" cm="1">
        <f t="array" ref="S52">TREND($B52:$L52,$B$2:$L$2,S$2)</f>
        <v>150</v>
      </c>
      <c r="T52" s="21" cm="1">
        <f t="array" ref="T52">TREND($B52:$L52,$B$2:$L$2,T$2)</f>
        <v>150</v>
      </c>
      <c r="U52" s="21" cm="1">
        <f t="array" ref="U52">TREND($B52:$L52,$B$2:$L$2,U$2)</f>
        <v>150</v>
      </c>
      <c r="V52" s="21" cm="1">
        <f t="array" ref="V52">TREND($B52:$L52,$B$2:$L$2,V$2)</f>
        <v>150</v>
      </c>
      <c r="W52" s="21" cm="1">
        <f t="array" ref="W52">TREND($B52:$L52,$B$2:$L$2,W$2)</f>
        <v>150</v>
      </c>
      <c r="X52" s="21" cm="1">
        <f t="array" ref="X52">TREND($B52:$L52,$B$2:$L$2,X$2)</f>
        <v>150</v>
      </c>
      <c r="Y52" s="21" cm="1">
        <f t="array" ref="Y52">TREND($B52:$L52,$B$2:$L$2,Y$2)</f>
        <v>150</v>
      </c>
      <c r="Z52" s="21" cm="1">
        <f t="array" ref="Z52">TREND($B52:$L52,$B$2:$L$2,Z$2)</f>
        <v>150</v>
      </c>
      <c r="AA52" s="21" cm="1">
        <f t="array" ref="AA52">TREND($B52:$L52,$B$2:$L$2,AA$2)</f>
        <v>150</v>
      </c>
      <c r="AB52" s="21" cm="1">
        <f t="array" ref="AB52">TREND($B52:$L52,$B$2:$L$2,AB$2)</f>
        <v>150</v>
      </c>
      <c r="AC52" s="21" cm="1">
        <f t="array" ref="AC52">TREND($B52:$L52,$B$2:$L$2,AC$2)</f>
        <v>150</v>
      </c>
      <c r="AD52" s="21" cm="1">
        <f t="array" ref="AD52">TREND($B52:$L52,$B$2:$L$2,AD$2)</f>
        <v>150</v>
      </c>
      <c r="AE52" s="21" cm="1">
        <f t="array" ref="AE52">TREND($B52:$L52,$B$2:$L$2,AE$2)</f>
        <v>150</v>
      </c>
      <c r="AF52" s="21" cm="1">
        <f t="array" ref="AF52">TREND($B52:$L52,$B$2:$L$2,AF$2)</f>
        <v>150</v>
      </c>
    </row>
    <row r="53" spans="1:32">
      <c r="A53" t="s">
        <v>21</v>
      </c>
      <c r="B53" s="21">
        <f>KRW!B53</f>
        <v>150</v>
      </c>
      <c r="C53" s="21">
        <f t="shared" ref="C53:K53" si="44">B53+($L53-$B53)/($L$2-$B$2)</f>
        <v>150</v>
      </c>
      <c r="D53" s="21">
        <f t="shared" si="44"/>
        <v>150</v>
      </c>
      <c r="E53" s="21">
        <f t="shared" si="44"/>
        <v>150</v>
      </c>
      <c r="F53" s="21">
        <f t="shared" si="44"/>
        <v>150</v>
      </c>
      <c r="G53" s="21">
        <f t="shared" si="44"/>
        <v>150</v>
      </c>
      <c r="H53" s="21">
        <f t="shared" si="44"/>
        <v>150</v>
      </c>
      <c r="I53" s="21">
        <f t="shared" si="44"/>
        <v>150</v>
      </c>
      <c r="J53" s="21">
        <f t="shared" si="44"/>
        <v>150</v>
      </c>
      <c r="K53" s="21">
        <f t="shared" si="44"/>
        <v>150</v>
      </c>
      <c r="L53" s="21">
        <f>KRW!D53</f>
        <v>150</v>
      </c>
      <c r="M53" s="21" cm="1">
        <f t="array" ref="M53">TREND($B53:$L53,$B$2:$L$2,M$2)</f>
        <v>150</v>
      </c>
      <c r="N53" s="21" cm="1">
        <f t="array" ref="N53">TREND($B53:$L53,$B$2:$L$2,N$2)</f>
        <v>150</v>
      </c>
      <c r="O53" s="21" cm="1">
        <f t="array" ref="O53">TREND($B53:$L53,$B$2:$L$2,O$2)</f>
        <v>150</v>
      </c>
      <c r="P53" s="21" cm="1">
        <f t="array" ref="P53">TREND($B53:$L53,$B$2:$L$2,P$2)</f>
        <v>150</v>
      </c>
      <c r="Q53" s="21" cm="1">
        <f t="array" ref="Q53">TREND($B53:$L53,$B$2:$L$2,Q$2)</f>
        <v>150</v>
      </c>
      <c r="R53" s="21" cm="1">
        <f t="array" ref="R53">TREND($B53:$L53,$B$2:$L$2,R$2)</f>
        <v>150</v>
      </c>
      <c r="S53" s="21" cm="1">
        <f t="array" ref="S53">TREND($B53:$L53,$B$2:$L$2,S$2)</f>
        <v>150</v>
      </c>
      <c r="T53" s="21" cm="1">
        <f t="array" ref="T53">TREND($B53:$L53,$B$2:$L$2,T$2)</f>
        <v>150</v>
      </c>
      <c r="U53" s="21" cm="1">
        <f t="array" ref="U53">TREND($B53:$L53,$B$2:$L$2,U$2)</f>
        <v>150</v>
      </c>
      <c r="V53" s="21" cm="1">
        <f t="array" ref="V53">TREND($B53:$L53,$B$2:$L$2,V$2)</f>
        <v>150</v>
      </c>
      <c r="W53" s="21" cm="1">
        <f t="array" ref="W53">TREND($B53:$L53,$B$2:$L$2,W$2)</f>
        <v>150</v>
      </c>
      <c r="X53" s="21" cm="1">
        <f t="array" ref="X53">TREND($B53:$L53,$B$2:$L$2,X$2)</f>
        <v>150</v>
      </c>
      <c r="Y53" s="21" cm="1">
        <f t="array" ref="Y53">TREND($B53:$L53,$B$2:$L$2,Y$2)</f>
        <v>150</v>
      </c>
      <c r="Z53" s="21" cm="1">
        <f t="array" ref="Z53">TREND($B53:$L53,$B$2:$L$2,Z$2)</f>
        <v>150</v>
      </c>
      <c r="AA53" s="21" cm="1">
        <f t="array" ref="AA53">TREND($B53:$L53,$B$2:$L$2,AA$2)</f>
        <v>150</v>
      </c>
      <c r="AB53" s="21" cm="1">
        <f t="array" ref="AB53">TREND($B53:$L53,$B$2:$L$2,AB$2)</f>
        <v>150</v>
      </c>
      <c r="AC53" s="21" cm="1">
        <f t="array" ref="AC53">TREND($B53:$L53,$B$2:$L$2,AC$2)</f>
        <v>150</v>
      </c>
      <c r="AD53" s="21" cm="1">
        <f t="array" ref="AD53">TREND($B53:$L53,$B$2:$L$2,AD$2)</f>
        <v>150</v>
      </c>
      <c r="AE53" s="21" cm="1">
        <f t="array" ref="AE53">TREND($B53:$L53,$B$2:$L$2,AE$2)</f>
        <v>150</v>
      </c>
      <c r="AF53" s="21" cm="1">
        <f t="array" ref="AF53">TREND($B53:$L53,$B$2:$L$2,AF$2)</f>
        <v>150</v>
      </c>
    </row>
    <row r="54" spans="1:32">
      <c r="A54" t="s">
        <v>22</v>
      </c>
      <c r="B54" s="21">
        <f>KRW!B54</f>
        <v>100</v>
      </c>
      <c r="C54" s="21">
        <f t="shared" ref="C54:K54" si="45">B54+($L54-$B54)/($L$2-$B$2)</f>
        <v>100</v>
      </c>
      <c r="D54" s="21">
        <f t="shared" si="45"/>
        <v>100</v>
      </c>
      <c r="E54" s="21">
        <f t="shared" si="45"/>
        <v>100</v>
      </c>
      <c r="F54" s="21">
        <f t="shared" si="45"/>
        <v>100</v>
      </c>
      <c r="G54" s="21">
        <f t="shared" si="45"/>
        <v>100</v>
      </c>
      <c r="H54" s="21">
        <f t="shared" si="45"/>
        <v>100</v>
      </c>
      <c r="I54" s="21">
        <f t="shared" si="45"/>
        <v>100</v>
      </c>
      <c r="J54" s="21">
        <f t="shared" si="45"/>
        <v>100</v>
      </c>
      <c r="K54" s="21">
        <f t="shared" si="45"/>
        <v>100</v>
      </c>
      <c r="L54" s="21">
        <f>KRW!D54</f>
        <v>100</v>
      </c>
      <c r="M54" s="21" cm="1">
        <f t="array" ref="M54">TREND($B54:$L54,$B$2:$L$2,M$2)</f>
        <v>100</v>
      </c>
      <c r="N54" s="21" cm="1">
        <f t="array" ref="N54">TREND($B54:$L54,$B$2:$L$2,N$2)</f>
        <v>100</v>
      </c>
      <c r="O54" s="21" cm="1">
        <f t="array" ref="O54">TREND($B54:$L54,$B$2:$L$2,O$2)</f>
        <v>100</v>
      </c>
      <c r="P54" s="21" cm="1">
        <f t="array" ref="P54">TREND($B54:$L54,$B$2:$L$2,P$2)</f>
        <v>100</v>
      </c>
      <c r="Q54" s="21" cm="1">
        <f t="array" ref="Q54">TREND($B54:$L54,$B$2:$L$2,Q$2)</f>
        <v>100</v>
      </c>
      <c r="R54" s="21" cm="1">
        <f t="array" ref="R54">TREND($B54:$L54,$B$2:$L$2,R$2)</f>
        <v>100</v>
      </c>
      <c r="S54" s="21" cm="1">
        <f t="array" ref="S54">TREND($B54:$L54,$B$2:$L$2,S$2)</f>
        <v>100</v>
      </c>
      <c r="T54" s="21" cm="1">
        <f t="array" ref="T54">TREND($B54:$L54,$B$2:$L$2,T$2)</f>
        <v>100</v>
      </c>
      <c r="U54" s="21" cm="1">
        <f t="array" ref="U54">TREND($B54:$L54,$B$2:$L$2,U$2)</f>
        <v>100</v>
      </c>
      <c r="V54" s="21" cm="1">
        <f t="array" ref="V54">TREND($B54:$L54,$B$2:$L$2,V$2)</f>
        <v>100</v>
      </c>
      <c r="W54" s="21" cm="1">
        <f t="array" ref="W54">TREND($B54:$L54,$B$2:$L$2,W$2)</f>
        <v>100</v>
      </c>
      <c r="X54" s="21" cm="1">
        <f t="array" ref="X54">TREND($B54:$L54,$B$2:$L$2,X$2)</f>
        <v>100</v>
      </c>
      <c r="Y54" s="21" cm="1">
        <f t="array" ref="Y54">TREND($B54:$L54,$B$2:$L$2,Y$2)</f>
        <v>100</v>
      </c>
      <c r="Z54" s="21" cm="1">
        <f t="array" ref="Z54">TREND($B54:$L54,$B$2:$L$2,Z$2)</f>
        <v>100</v>
      </c>
      <c r="AA54" s="21" cm="1">
        <f t="array" ref="AA54">TREND($B54:$L54,$B$2:$L$2,AA$2)</f>
        <v>100</v>
      </c>
      <c r="AB54" s="21" cm="1">
        <f t="array" ref="AB54">TREND($B54:$L54,$B$2:$L$2,AB$2)</f>
        <v>100</v>
      </c>
      <c r="AC54" s="21" cm="1">
        <f t="array" ref="AC54">TREND($B54:$L54,$B$2:$L$2,AC$2)</f>
        <v>100</v>
      </c>
      <c r="AD54" s="21" cm="1">
        <f t="array" ref="AD54">TREND($B54:$L54,$B$2:$L$2,AD$2)</f>
        <v>100</v>
      </c>
      <c r="AE54" s="21" cm="1">
        <f t="array" ref="AE54">TREND($B54:$L54,$B$2:$L$2,AE$2)</f>
        <v>100</v>
      </c>
      <c r="AF54" s="21" cm="1">
        <f t="array" ref="AF54">TREND($B54:$L54,$B$2:$L$2,AF$2)</f>
        <v>100</v>
      </c>
    </row>
    <row r="56" spans="1:32">
      <c r="A56" s="17" t="s">
        <v>66</v>
      </c>
      <c r="B56" s="20">
        <v>2020</v>
      </c>
      <c r="C56" s="20">
        <v>2021</v>
      </c>
      <c r="D56" s="20">
        <v>2022</v>
      </c>
      <c r="E56" s="20">
        <v>2023</v>
      </c>
      <c r="F56" s="20">
        <v>2024</v>
      </c>
      <c r="G56" s="20">
        <v>2025</v>
      </c>
      <c r="H56" s="20">
        <v>2026</v>
      </c>
      <c r="I56" s="20">
        <v>2027</v>
      </c>
      <c r="J56" s="20">
        <v>2028</v>
      </c>
      <c r="K56" s="20">
        <v>2029</v>
      </c>
      <c r="L56" s="20">
        <v>2030</v>
      </c>
      <c r="M56" s="20">
        <v>2031</v>
      </c>
      <c r="N56" s="20">
        <v>2032</v>
      </c>
      <c r="O56" s="20">
        <v>2033</v>
      </c>
      <c r="P56" s="20">
        <v>2034</v>
      </c>
      <c r="Q56" s="20">
        <v>2035</v>
      </c>
      <c r="R56" s="20">
        <v>2036</v>
      </c>
      <c r="S56" s="20">
        <v>2037</v>
      </c>
      <c r="T56" s="20">
        <v>2038</v>
      </c>
      <c r="U56" s="20">
        <v>2039</v>
      </c>
      <c r="V56" s="20">
        <v>2040</v>
      </c>
      <c r="W56" s="20">
        <v>2041</v>
      </c>
      <c r="X56" s="20">
        <v>2042</v>
      </c>
      <c r="Y56" s="20">
        <v>2043</v>
      </c>
      <c r="Z56" s="20">
        <v>2044</v>
      </c>
      <c r="AA56" s="20">
        <v>2045</v>
      </c>
      <c r="AB56" s="20">
        <v>2046</v>
      </c>
      <c r="AC56" s="20">
        <v>2047</v>
      </c>
      <c r="AD56" s="20">
        <v>2048</v>
      </c>
      <c r="AE56" s="20">
        <v>2049</v>
      </c>
      <c r="AF56" s="20">
        <v>2050</v>
      </c>
    </row>
    <row r="57" spans="1:32">
      <c r="A57" t="s">
        <v>16</v>
      </c>
      <c r="B57" s="21">
        <f>B3/About!$A$39*1000</f>
        <v>1337746.9464918093</v>
      </c>
      <c r="C57" s="21">
        <f>C3/About!$A$39*1000</f>
        <v>1386477.2229812131</v>
      </c>
      <c r="D57" s="21">
        <f>D3/About!$A$39*1000</f>
        <v>1435207.4994706169</v>
      </c>
      <c r="E57" s="21">
        <f>E3/About!$A$39*1000</f>
        <v>1483937.775960021</v>
      </c>
      <c r="F57" s="21">
        <f>F3/About!$A$39*1000</f>
        <v>1532668.0524494245</v>
      </c>
      <c r="G57" s="21">
        <f>G3/About!$A$39*1000</f>
        <v>1581398.3289388283</v>
      </c>
      <c r="H57" s="21">
        <f>H3/About!$A$39*1000</f>
        <v>1630128.6054282323</v>
      </c>
      <c r="I57" s="21">
        <f>I3/About!$A$39*1000</f>
        <v>1678858.8819176361</v>
      </c>
      <c r="J57" s="21">
        <f>J3/About!$A$39*1000</f>
        <v>1727589.1584070399</v>
      </c>
      <c r="K57" s="21">
        <f>K3/About!$A$39*1000</f>
        <v>1776319.4348964437</v>
      </c>
      <c r="L57" s="21">
        <f>L3/About!$A$39*1000</f>
        <v>1825049.7113858475</v>
      </c>
      <c r="M57" s="21">
        <f>M3/About!$A$39*1000</f>
        <v>1873779.9878752513</v>
      </c>
      <c r="N57" s="21">
        <f>N3/About!$A$39*1000</f>
        <v>1922510.2643646554</v>
      </c>
      <c r="O57" s="21">
        <f>O3/About!$A$39*1000</f>
        <v>1971240.5408540589</v>
      </c>
      <c r="P57" s="21">
        <f>P3/About!$A$39*1000</f>
        <v>2019970.8173434627</v>
      </c>
      <c r="Q57" s="21">
        <f>Q3/About!$A$39*1000</f>
        <v>2068701.0938328668</v>
      </c>
      <c r="R57" s="21">
        <f>R3/About!$A$39*1000</f>
        <v>2117431.3703222708</v>
      </c>
      <c r="S57" s="21">
        <f>S3/About!$A$39*1000</f>
        <v>2166161.6468116743</v>
      </c>
      <c r="T57" s="21">
        <f>T3/About!$A$39*1000</f>
        <v>2214891.9233010784</v>
      </c>
      <c r="U57" s="21">
        <f>U3/About!$A$39*1000</f>
        <v>2263622.1997904824</v>
      </c>
      <c r="V57" s="21">
        <f>V3/About!$A$39*1000</f>
        <v>2312352.4762798855</v>
      </c>
      <c r="W57" s="21">
        <f>W3/About!$A$39*1000</f>
        <v>2361082.7527692895</v>
      </c>
      <c r="X57" s="21">
        <f>X3/About!$A$39*1000</f>
        <v>2409813.0292586936</v>
      </c>
      <c r="Y57" s="21">
        <f>Y3/About!$A$39*1000</f>
        <v>2458543.3057480971</v>
      </c>
      <c r="Z57" s="21">
        <f>Z3/About!$A$39*1000</f>
        <v>2507273.5822375012</v>
      </c>
      <c r="AA57" s="21">
        <f>AA3/About!$A$39*1000</f>
        <v>2556003.8587269052</v>
      </c>
      <c r="AB57" s="21">
        <f>AB3/About!$A$39*1000</f>
        <v>2604734.1352163088</v>
      </c>
      <c r="AC57" s="21">
        <f>AC3/About!$A$39*1000</f>
        <v>2653464.4117057128</v>
      </c>
      <c r="AD57" s="21">
        <f>AD3/About!$A$39*1000</f>
        <v>2702194.6881951164</v>
      </c>
      <c r="AE57" s="21">
        <f>AE3/About!$A$39*1000</f>
        <v>2750924.9646845199</v>
      </c>
      <c r="AF57" s="21">
        <f>AF3/About!$A$39*1000</f>
        <v>2799655.2411739239</v>
      </c>
    </row>
    <row r="58" spans="1:32">
      <c r="A58" t="s">
        <v>11</v>
      </c>
      <c r="B58" s="21">
        <f>B4/About!$A$39*1000</f>
        <v>874073.23682864895</v>
      </c>
      <c r="C58" s="21">
        <f>C4/About!$A$39*1000</f>
        <v>881978.10810787068</v>
      </c>
      <c r="D58" s="21">
        <f>D4/About!$A$39*1000</f>
        <v>889882.97938709217</v>
      </c>
      <c r="E58" s="21">
        <f>E4/About!$A$39*1000</f>
        <v>897787.85066631378</v>
      </c>
      <c r="F58" s="21">
        <f>F4/About!$A$39*1000</f>
        <v>905692.72194553539</v>
      </c>
      <c r="G58" s="21">
        <f>G4/About!$A$39*1000</f>
        <v>913597.593224757</v>
      </c>
      <c r="H58" s="21">
        <f>H4/About!$A$39*1000</f>
        <v>921502.46450397861</v>
      </c>
      <c r="I58" s="21">
        <f>I4/About!$A$39*1000</f>
        <v>929407.33578320022</v>
      </c>
      <c r="J58" s="21">
        <f>J4/About!$A$39*1000</f>
        <v>937312.20706242172</v>
      </c>
      <c r="K58" s="21">
        <f>K4/About!$A$39*1000</f>
        <v>945217.07834164344</v>
      </c>
      <c r="L58" s="21">
        <f>L4/About!$A$39*1000</f>
        <v>953121.94962086494</v>
      </c>
      <c r="M58" s="21">
        <f>M4/About!$A$39*1000</f>
        <v>961026.82090008655</v>
      </c>
      <c r="N58" s="21">
        <f>N4/About!$A$39*1000</f>
        <v>968931.69217930816</v>
      </c>
      <c r="O58" s="21">
        <f>O4/About!$A$39*1000</f>
        <v>976836.56345852977</v>
      </c>
      <c r="P58" s="21">
        <f>P4/About!$A$39*1000</f>
        <v>984741.43473775138</v>
      </c>
      <c r="Q58" s="21">
        <f>Q4/About!$A$39*1000</f>
        <v>992646.30601697299</v>
      </c>
      <c r="R58" s="21">
        <f>R4/About!$A$39*1000</f>
        <v>1000551.1772961945</v>
      </c>
      <c r="S58" s="21">
        <f>S4/About!$A$39*1000</f>
        <v>1008456.0485754162</v>
      </c>
      <c r="T58" s="21">
        <f>T4/About!$A$39*1000</f>
        <v>1016360.9198546377</v>
      </c>
      <c r="U58" s="21">
        <f>U4/About!$A$39*1000</f>
        <v>1024265.7911338592</v>
      </c>
      <c r="V58" s="21">
        <f>V4/About!$A$39*1000</f>
        <v>1032170.6624130809</v>
      </c>
      <c r="W58" s="21">
        <f>W4/About!$A$39*1000</f>
        <v>1040075.5336923025</v>
      </c>
      <c r="X58" s="21">
        <f>X4/About!$A$39*1000</f>
        <v>1047980.4049715241</v>
      </c>
      <c r="Y58" s="21">
        <f>Y4/About!$A$39*1000</f>
        <v>1055885.2762507459</v>
      </c>
      <c r="Z58" s="21">
        <f>Z4/About!$A$39*1000</f>
        <v>1063790.1475299674</v>
      </c>
      <c r="AA58" s="21">
        <f>AA4/About!$A$39*1000</f>
        <v>1071695.0188091889</v>
      </c>
      <c r="AB58" s="21">
        <f>AB4/About!$A$39*1000</f>
        <v>1079599.8900884106</v>
      </c>
      <c r="AC58" s="21">
        <f>AC4/About!$A$39*1000</f>
        <v>1087504.7613676323</v>
      </c>
      <c r="AD58" s="21">
        <f>AD4/About!$A$39*1000</f>
        <v>1095409.6326468536</v>
      </c>
      <c r="AE58" s="21">
        <f>AE4/About!$A$39*1000</f>
        <v>1103314.5039260753</v>
      </c>
      <c r="AF58" s="21">
        <f>AF4/About!$A$39*1000</f>
        <v>1111219.375205297</v>
      </c>
    </row>
    <row r="59" spans="1:32">
      <c r="A59" t="s">
        <v>5</v>
      </c>
      <c r="B59" s="21">
        <f>B5/About!$A$39*1000</f>
        <v>4215729.4979193583</v>
      </c>
      <c r="C59" s="21">
        <f>C5/About!$A$39*1000</f>
        <v>4319515.8078912552</v>
      </c>
      <c r="D59" s="21">
        <f>D5/About!$A$39*1000</f>
        <v>4423302.1178631531</v>
      </c>
      <c r="E59" s="21">
        <f>E5/About!$A$39*1000</f>
        <v>4527088.427835051</v>
      </c>
      <c r="F59" s="21">
        <f>F5/About!$A$39*1000</f>
        <v>4630874.7378069479</v>
      </c>
      <c r="G59" s="21">
        <f>G5/About!$A$39*1000</f>
        <v>4734661.0477788467</v>
      </c>
      <c r="H59" s="21">
        <f>H5/About!$A$39*1000</f>
        <v>4838447.3577507446</v>
      </c>
      <c r="I59" s="21">
        <f>I5/About!$A$39*1000</f>
        <v>4942233.6677226424</v>
      </c>
      <c r="J59" s="21">
        <f>J5/About!$A$39*1000</f>
        <v>5046019.9776945394</v>
      </c>
      <c r="K59" s="21">
        <f>K5/About!$A$39*1000</f>
        <v>5149806.2876664372</v>
      </c>
      <c r="L59" s="21">
        <f>L5/About!$A$39*1000</f>
        <v>5253592.5976383351</v>
      </c>
      <c r="M59" s="21">
        <f>M5/About!$A$39*1000</f>
        <v>5357378.907610245</v>
      </c>
      <c r="N59" s="21">
        <f>N5/About!$A$39*1000</f>
        <v>5461165.2175821429</v>
      </c>
      <c r="O59" s="21">
        <f>O5/About!$A$39*1000</f>
        <v>5564951.5275540398</v>
      </c>
      <c r="P59" s="21">
        <f>P5/About!$A$39*1000</f>
        <v>5668737.8375259377</v>
      </c>
      <c r="Q59" s="21">
        <f>Q5/About!$A$39*1000</f>
        <v>5772524.1474978356</v>
      </c>
      <c r="R59" s="21">
        <f>R5/About!$A$39*1000</f>
        <v>5876310.4574697325</v>
      </c>
      <c r="S59" s="21">
        <f>S5/About!$A$39*1000</f>
        <v>5980096.7674416304</v>
      </c>
      <c r="T59" s="21">
        <f>T5/About!$A$39*1000</f>
        <v>6083883.0774135282</v>
      </c>
      <c r="U59" s="21">
        <f>U5/About!$A$39*1000</f>
        <v>6187669.3873854261</v>
      </c>
      <c r="V59" s="21">
        <f>V5/About!$A$39*1000</f>
        <v>6291455.697357324</v>
      </c>
      <c r="W59" s="21">
        <f>W5/About!$A$39*1000</f>
        <v>6395242.0073292218</v>
      </c>
      <c r="X59" s="21">
        <f>X5/About!$A$39*1000</f>
        <v>6499028.3173011197</v>
      </c>
      <c r="Y59" s="21">
        <f>Y5/About!$A$39*1000</f>
        <v>6602814.6272730175</v>
      </c>
      <c r="Z59" s="21">
        <f>Z5/About!$A$39*1000</f>
        <v>6706600.9372449145</v>
      </c>
      <c r="AA59" s="21">
        <f>AA5/About!$A$39*1000</f>
        <v>6810387.2472168123</v>
      </c>
      <c r="AB59" s="21">
        <f>AB5/About!$A$39*1000</f>
        <v>6914173.5571887102</v>
      </c>
      <c r="AC59" s="21">
        <f>AC5/About!$A$39*1000</f>
        <v>7017959.8671606071</v>
      </c>
      <c r="AD59" s="21">
        <f>AD5/About!$A$39*1000</f>
        <v>7121746.177132505</v>
      </c>
      <c r="AE59" s="21">
        <f>AE5/About!$A$39*1000</f>
        <v>7225532.4871044029</v>
      </c>
      <c r="AF59" s="21">
        <f>AF5/About!$A$39*1000</f>
        <v>7329318.7970763007</v>
      </c>
    </row>
    <row r="60" spans="1:32">
      <c r="A60" t="s">
        <v>6</v>
      </c>
      <c r="B60" s="21">
        <f>B6/About!$A$39*1000</f>
        <v>900876.33037434856</v>
      </c>
      <c r="C60" s="21">
        <f>C6/About!$A$39*1000</f>
        <v>900876.33037434856</v>
      </c>
      <c r="D60" s="21">
        <f>D6/About!$A$39*1000</f>
        <v>900876.33037434856</v>
      </c>
      <c r="E60" s="21">
        <f>E6/About!$A$39*1000</f>
        <v>900876.33037434856</v>
      </c>
      <c r="F60" s="21">
        <f>F6/About!$A$39*1000</f>
        <v>900876.33037434856</v>
      </c>
      <c r="G60" s="21">
        <f>G6/About!$A$39*1000</f>
        <v>900876.33037434856</v>
      </c>
      <c r="H60" s="21">
        <f>H6/About!$A$39*1000</f>
        <v>900876.33037434856</v>
      </c>
      <c r="I60" s="21">
        <f>I6/About!$A$39*1000</f>
        <v>900876.33037434856</v>
      </c>
      <c r="J60" s="21">
        <f>J6/About!$A$39*1000</f>
        <v>900876.33037434856</v>
      </c>
      <c r="K60" s="21">
        <f>K6/About!$A$39*1000</f>
        <v>900876.33037434856</v>
      </c>
      <c r="L60" s="21">
        <f>L6/About!$A$39*1000</f>
        <v>900876.33037434856</v>
      </c>
      <c r="M60" s="21">
        <f>M6/About!$A$39*1000</f>
        <v>900876.33037434856</v>
      </c>
      <c r="N60" s="21">
        <f>N6/About!$A$39*1000</f>
        <v>900876.33037434856</v>
      </c>
      <c r="O60" s="21">
        <f>O6/About!$A$39*1000</f>
        <v>900876.33037434856</v>
      </c>
      <c r="P60" s="21">
        <f>P6/About!$A$39*1000</f>
        <v>900876.33037434856</v>
      </c>
      <c r="Q60" s="21">
        <f>Q6/About!$A$39*1000</f>
        <v>900876.33037434856</v>
      </c>
      <c r="R60" s="21">
        <f>R6/About!$A$39*1000</f>
        <v>900876.33037434856</v>
      </c>
      <c r="S60" s="21">
        <f>S6/About!$A$39*1000</f>
        <v>900876.33037434856</v>
      </c>
      <c r="T60" s="21">
        <f>T6/About!$A$39*1000</f>
        <v>900876.33037434856</v>
      </c>
      <c r="U60" s="21">
        <f>U6/About!$A$39*1000</f>
        <v>900876.33037434856</v>
      </c>
      <c r="V60" s="21">
        <f>V6/About!$A$39*1000</f>
        <v>900876.33037434856</v>
      </c>
      <c r="W60" s="21">
        <f>W6/About!$A$39*1000</f>
        <v>900876.33037434856</v>
      </c>
      <c r="X60" s="21">
        <f>X6/About!$A$39*1000</f>
        <v>900876.33037434856</v>
      </c>
      <c r="Y60" s="21">
        <f>Y6/About!$A$39*1000</f>
        <v>900876.33037434856</v>
      </c>
      <c r="Z60" s="21">
        <f>Z6/About!$A$39*1000</f>
        <v>900876.33037434856</v>
      </c>
      <c r="AA60" s="21">
        <f>AA6/About!$A$39*1000</f>
        <v>900876.33037434856</v>
      </c>
      <c r="AB60" s="21">
        <f>AB6/About!$A$39*1000</f>
        <v>900876.33037434856</v>
      </c>
      <c r="AC60" s="21">
        <f>AC6/About!$A$39*1000</f>
        <v>900876.33037434856</v>
      </c>
      <c r="AD60" s="21">
        <f>AD6/About!$A$39*1000</f>
        <v>900876.33037434856</v>
      </c>
      <c r="AE60" s="21">
        <f>AE6/About!$A$39*1000</f>
        <v>900876.33037434856</v>
      </c>
      <c r="AF60" s="21">
        <f>AF6/About!$A$39*1000</f>
        <v>900876.33037434856</v>
      </c>
    </row>
    <row r="61" spans="1:32">
      <c r="A61" t="s">
        <v>18</v>
      </c>
      <c r="B61" s="21">
        <f>B7/About!$A$39*1000</f>
        <v>2544790.1013286868</v>
      </c>
      <c r="C61" s="21">
        <f>C7/About!$A$39*1000</f>
        <v>2519342.2003154</v>
      </c>
      <c r="D61" s="21">
        <f>D7/About!$A$39*1000</f>
        <v>2493894.2993021132</v>
      </c>
      <c r="E61" s="21">
        <f>E7/About!$A$39*1000</f>
        <v>2468446.3982888269</v>
      </c>
      <c r="F61" s="21">
        <f>F7/About!$A$39*1000</f>
        <v>2442998.4972755401</v>
      </c>
      <c r="G61" s="21">
        <f>G7/About!$A$39*1000</f>
        <v>2417550.5962622524</v>
      </c>
      <c r="H61" s="21">
        <f>H7/About!$A$39*1000</f>
        <v>2371744.3744383361</v>
      </c>
      <c r="I61" s="21">
        <f>I7/About!$A$39*1000</f>
        <v>2325938.1526144198</v>
      </c>
      <c r="J61" s="21">
        <f>J7/About!$A$39*1000</f>
        <v>2280131.9307905035</v>
      </c>
      <c r="K61" s="21">
        <f>K7/About!$A$39*1000</f>
        <v>2234325.7089665872</v>
      </c>
      <c r="L61" s="21">
        <f>L7/About!$A$39*1000</f>
        <v>2188519.4871426704</v>
      </c>
      <c r="M61" s="21">
        <f>M7/About!$A$39*1000</f>
        <v>2176026.8811906893</v>
      </c>
      <c r="N61" s="21">
        <f>N7/About!$A$39*1000</f>
        <v>2140399.8197720917</v>
      </c>
      <c r="O61" s="21">
        <f>O7/About!$A$39*1000</f>
        <v>2104772.7583534801</v>
      </c>
      <c r="P61" s="21">
        <f>P7/About!$A$39*1000</f>
        <v>2069145.6969348823</v>
      </c>
      <c r="Q61" s="21">
        <f>Q7/About!$A$39*1000</f>
        <v>2033518.6355162847</v>
      </c>
      <c r="R61" s="21">
        <f>R7/About!$A$39*1000</f>
        <v>1997891.5740976734</v>
      </c>
      <c r="S61" s="21">
        <f>S7/About!$A$39*1000</f>
        <v>1962264.5126790758</v>
      </c>
      <c r="T61" s="21">
        <f>T7/About!$A$39*1000</f>
        <v>1926637.4512604782</v>
      </c>
      <c r="U61" s="21">
        <f>U7/About!$A$39*1000</f>
        <v>1891010.3898418806</v>
      </c>
      <c r="V61" s="21">
        <f>V7/About!$A$39*1000</f>
        <v>1855383.3284232691</v>
      </c>
      <c r="W61" s="21">
        <f>W7/About!$A$39*1000</f>
        <v>1819756.2670046713</v>
      </c>
      <c r="X61" s="21">
        <f>X7/About!$A$39*1000</f>
        <v>1784129.2055860737</v>
      </c>
      <c r="Y61" s="21">
        <f>Y7/About!$A$39*1000</f>
        <v>1748502.1441674624</v>
      </c>
      <c r="Z61" s="21">
        <f>Z7/About!$A$39*1000</f>
        <v>1712875.0827488648</v>
      </c>
      <c r="AA61" s="21">
        <f>AA7/About!$A$39*1000</f>
        <v>1677248.0213302672</v>
      </c>
      <c r="AB61" s="21">
        <f>AB7/About!$A$39*1000</f>
        <v>1641620.9599116694</v>
      </c>
      <c r="AC61" s="21">
        <f>AC7/About!$A$39*1000</f>
        <v>1605993.898493058</v>
      </c>
      <c r="AD61" s="21">
        <f>AD7/About!$A$39*1000</f>
        <v>1570366.8370744605</v>
      </c>
      <c r="AE61" s="21">
        <f>AE7/About!$A$39*1000</f>
        <v>1534739.7756558629</v>
      </c>
      <c r="AF61" s="21">
        <f>AF7/About!$A$39*1000</f>
        <v>1499112.7142372513</v>
      </c>
    </row>
    <row r="62" spans="1:32">
      <c r="A62" t="s">
        <v>7</v>
      </c>
      <c r="B62" s="21">
        <f>B8/About!$A$39*1000</f>
        <v>1274241.0706042559</v>
      </c>
      <c r="C62" s="21">
        <f>C8/About!$A$39*1000</f>
        <v>1274241.0706042559</v>
      </c>
      <c r="D62" s="21">
        <f>D8/About!$A$39*1000</f>
        <v>1274241.0706042559</v>
      </c>
      <c r="E62" s="21">
        <f>E8/About!$A$39*1000</f>
        <v>1274241.0706042559</v>
      </c>
      <c r="F62" s="21">
        <f>F8/About!$A$39*1000</f>
        <v>1274241.0706042559</v>
      </c>
      <c r="G62" s="21">
        <f>G8/About!$A$39*1000</f>
        <v>1274241.0706042559</v>
      </c>
      <c r="H62" s="21">
        <f>H8/About!$A$39*1000</f>
        <v>1228368.3920625027</v>
      </c>
      <c r="I62" s="21">
        <f>I8/About!$A$39*1000</f>
        <v>1182495.7135207495</v>
      </c>
      <c r="J62" s="21">
        <f>J8/About!$A$39*1000</f>
        <v>1136623.0349789963</v>
      </c>
      <c r="K62" s="21">
        <f>K8/About!$A$39*1000</f>
        <v>1090750.3564372431</v>
      </c>
      <c r="L62" s="21">
        <f>L8/About!$A$39*1000</f>
        <v>1044877.6778954896</v>
      </c>
      <c r="M62" s="21">
        <f>M8/About!$A$39*1000</f>
        <v>1074069.3824220651</v>
      </c>
      <c r="N62" s="21">
        <f>N8/About!$A$39*1000</f>
        <v>1051133.0431511891</v>
      </c>
      <c r="O62" s="21">
        <f>O8/About!$A$39*1000</f>
        <v>1028196.7038803063</v>
      </c>
      <c r="P62" s="21">
        <f>P8/About!$A$39*1000</f>
        <v>1005260.3646094303</v>
      </c>
      <c r="Q62" s="21">
        <f>Q8/About!$A$39*1000</f>
        <v>982324.02533855441</v>
      </c>
      <c r="R62" s="21">
        <f>R8/About!$A$39*1000</f>
        <v>959387.6860676785</v>
      </c>
      <c r="S62" s="21">
        <f>S8/About!$A$39*1000</f>
        <v>936451.34679680259</v>
      </c>
      <c r="T62" s="21">
        <f>T8/About!$A$39*1000</f>
        <v>913515.00752592669</v>
      </c>
      <c r="U62" s="21">
        <f>U8/About!$A$39*1000</f>
        <v>890578.66825505078</v>
      </c>
      <c r="V62" s="21">
        <f>V8/About!$A$39*1000</f>
        <v>867642.32898417464</v>
      </c>
      <c r="W62" s="21">
        <f>W8/About!$A$39*1000</f>
        <v>844705.98971329874</v>
      </c>
      <c r="X62" s="21">
        <f>X8/About!$A$39*1000</f>
        <v>821769.65044242283</v>
      </c>
      <c r="Y62" s="21">
        <f>Y8/About!$A$39*1000</f>
        <v>798833.31117154006</v>
      </c>
      <c r="Z62" s="21">
        <f>Z8/About!$A$39*1000</f>
        <v>775896.97190066404</v>
      </c>
      <c r="AA62" s="21">
        <f>AA8/About!$A$39*1000</f>
        <v>752960.63262978813</v>
      </c>
      <c r="AB62" s="21">
        <f>AB8/About!$A$39*1000</f>
        <v>730024.29335891211</v>
      </c>
      <c r="AC62" s="21">
        <f>AC8/About!$A$39*1000</f>
        <v>707087.9540880362</v>
      </c>
      <c r="AD62" s="21">
        <f>AD8/About!$A$39*1000</f>
        <v>684151.6148171603</v>
      </c>
      <c r="AE62" s="21">
        <f>AE8/About!$A$39*1000</f>
        <v>661215.27554628439</v>
      </c>
      <c r="AF62" s="21">
        <f>AF8/About!$A$39*1000</f>
        <v>638278.93627540849</v>
      </c>
    </row>
    <row r="63" spans="1:32">
      <c r="A63" t="s">
        <v>8</v>
      </c>
      <c r="B63" s="21">
        <f>B9/About!$A$39*1000</f>
        <v>0</v>
      </c>
      <c r="C63" s="21">
        <f>C9/About!$A$39*1000</f>
        <v>0</v>
      </c>
      <c r="D63" s="21">
        <f>D9/About!$A$39*1000</f>
        <v>0</v>
      </c>
      <c r="E63" s="21">
        <f>E9/About!$A$39*1000</f>
        <v>0</v>
      </c>
      <c r="F63" s="21">
        <f>F9/About!$A$39*1000</f>
        <v>0</v>
      </c>
      <c r="G63" s="21">
        <f>G9/About!$A$39*1000</f>
        <v>0</v>
      </c>
      <c r="H63" s="21">
        <f>H9/About!$A$39*1000</f>
        <v>0</v>
      </c>
      <c r="I63" s="21">
        <f>I9/About!$A$39*1000</f>
        <v>0</v>
      </c>
      <c r="J63" s="21">
        <f>J9/About!$A$39*1000</f>
        <v>0</v>
      </c>
      <c r="K63" s="21">
        <f>K9/About!$A$39*1000</f>
        <v>0</v>
      </c>
      <c r="L63" s="21">
        <f>L9/About!$A$39*1000</f>
        <v>0</v>
      </c>
      <c r="M63" s="21">
        <f>M9/About!$A$39*1000</f>
        <v>0</v>
      </c>
      <c r="N63" s="21">
        <f>N9/About!$A$39*1000</f>
        <v>0</v>
      </c>
      <c r="O63" s="21">
        <f>O9/About!$A$39*1000</f>
        <v>0</v>
      </c>
      <c r="P63" s="21">
        <f>P9/About!$A$39*1000</f>
        <v>0</v>
      </c>
      <c r="Q63" s="21">
        <f>Q9/About!$A$39*1000</f>
        <v>0</v>
      </c>
      <c r="R63" s="21">
        <f>R9/About!$A$39*1000</f>
        <v>0</v>
      </c>
      <c r="S63" s="21">
        <f>S9/About!$A$39*1000</f>
        <v>0</v>
      </c>
      <c r="T63" s="21">
        <f>T9/About!$A$39*1000</f>
        <v>0</v>
      </c>
      <c r="U63" s="21">
        <f>U9/About!$A$39*1000</f>
        <v>0</v>
      </c>
      <c r="V63" s="21">
        <f>V9/About!$A$39*1000</f>
        <v>0</v>
      </c>
      <c r="W63" s="21">
        <f>W9/About!$A$39*1000</f>
        <v>0</v>
      </c>
      <c r="X63" s="21">
        <f>X9/About!$A$39*1000</f>
        <v>0</v>
      </c>
      <c r="Y63" s="21">
        <f>Y9/About!$A$39*1000</f>
        <v>0</v>
      </c>
      <c r="Z63" s="21">
        <f>Z9/About!$A$39*1000</f>
        <v>0</v>
      </c>
      <c r="AA63" s="21">
        <f>AA9/About!$A$39*1000</f>
        <v>0</v>
      </c>
      <c r="AB63" s="21">
        <f>AB9/About!$A$39*1000</f>
        <v>0</v>
      </c>
      <c r="AC63" s="21">
        <f>AC9/About!$A$39*1000</f>
        <v>0</v>
      </c>
      <c r="AD63" s="21">
        <f>AD9/About!$A$39*1000</f>
        <v>0</v>
      </c>
      <c r="AE63" s="21">
        <f>AE9/About!$A$39*1000</f>
        <v>0</v>
      </c>
      <c r="AF63" s="21">
        <f>AF9/About!$A$39*1000</f>
        <v>0</v>
      </c>
    </row>
    <row r="64" spans="1:32">
      <c r="A64" t="s">
        <v>9</v>
      </c>
      <c r="B64" s="21">
        <f>B10/About!$A$39*1000</f>
        <v>3555642.2558865636</v>
      </c>
      <c r="C64" s="21">
        <f>C10/About!$A$39*1000</f>
        <v>3555642.2558865636</v>
      </c>
      <c r="D64" s="21">
        <f>D10/About!$A$39*1000</f>
        <v>3555642.2558865636</v>
      </c>
      <c r="E64" s="21">
        <f>E10/About!$A$39*1000</f>
        <v>3555642.2558865636</v>
      </c>
      <c r="F64" s="21">
        <f>F10/About!$A$39*1000</f>
        <v>3555642.2558865636</v>
      </c>
      <c r="G64" s="21">
        <f>G10/About!$A$39*1000</f>
        <v>3555642.2558865636</v>
      </c>
      <c r="H64" s="21">
        <f>H10/About!$A$39*1000</f>
        <v>3555642.2558865636</v>
      </c>
      <c r="I64" s="21">
        <f>I10/About!$A$39*1000</f>
        <v>3555642.2558865636</v>
      </c>
      <c r="J64" s="21">
        <f>J10/About!$A$39*1000</f>
        <v>3555642.2558865636</v>
      </c>
      <c r="K64" s="21">
        <f>K10/About!$A$39*1000</f>
        <v>3555642.2558865636</v>
      </c>
      <c r="L64" s="21">
        <f>L10/About!$A$39*1000</f>
        <v>3555642.2558865636</v>
      </c>
      <c r="M64" s="21">
        <f>M10/About!$A$39*1000</f>
        <v>3555642.2558865636</v>
      </c>
      <c r="N64" s="21">
        <f>N10/About!$A$39*1000</f>
        <v>3555642.2558865636</v>
      </c>
      <c r="O64" s="21">
        <f>O10/About!$A$39*1000</f>
        <v>3555642.2558865636</v>
      </c>
      <c r="P64" s="21">
        <f>P10/About!$A$39*1000</f>
        <v>3555642.2558865636</v>
      </c>
      <c r="Q64" s="21">
        <f>Q10/About!$A$39*1000</f>
        <v>3555642.2558865636</v>
      </c>
      <c r="R64" s="21">
        <f>R10/About!$A$39*1000</f>
        <v>3555642.2558865636</v>
      </c>
      <c r="S64" s="21">
        <f>S10/About!$A$39*1000</f>
        <v>3555642.2558865636</v>
      </c>
      <c r="T64" s="21">
        <f>T10/About!$A$39*1000</f>
        <v>3555642.2558865636</v>
      </c>
      <c r="U64" s="21">
        <f>U10/About!$A$39*1000</f>
        <v>3555642.2558865636</v>
      </c>
      <c r="V64" s="21">
        <f>V10/About!$A$39*1000</f>
        <v>3555642.2558865636</v>
      </c>
      <c r="W64" s="21">
        <f>W10/About!$A$39*1000</f>
        <v>3555642.2558865636</v>
      </c>
      <c r="X64" s="21">
        <f>X10/About!$A$39*1000</f>
        <v>3555642.2558865636</v>
      </c>
      <c r="Y64" s="21">
        <f>Y10/About!$A$39*1000</f>
        <v>3555642.2558865636</v>
      </c>
      <c r="Z64" s="21">
        <f>Z10/About!$A$39*1000</f>
        <v>3555642.2558865636</v>
      </c>
      <c r="AA64" s="21">
        <f>AA10/About!$A$39*1000</f>
        <v>3555642.2558865636</v>
      </c>
      <c r="AB64" s="21">
        <f>AB10/About!$A$39*1000</f>
        <v>3555642.2558865636</v>
      </c>
      <c r="AC64" s="21">
        <f>AC10/About!$A$39*1000</f>
        <v>3555642.2558865636</v>
      </c>
      <c r="AD64" s="21">
        <f>AD10/About!$A$39*1000</f>
        <v>3555642.2558865636</v>
      </c>
      <c r="AE64" s="21">
        <f>AE10/About!$A$39*1000</f>
        <v>3555642.2558865636</v>
      </c>
      <c r="AF64" s="21">
        <f>AF10/About!$A$39*1000</f>
        <v>3555642.2558865636</v>
      </c>
    </row>
    <row r="65" spans="1:32">
      <c r="A65" t="s">
        <v>12</v>
      </c>
      <c r="B65" s="21">
        <f>B11/About!$A$39*1000</f>
        <v>8208000</v>
      </c>
      <c r="C65" s="21">
        <f>C11/About!$A$39*1000</f>
        <v>8208000</v>
      </c>
      <c r="D65" s="21">
        <f>D11/About!$A$39*1000</f>
        <v>8208000</v>
      </c>
      <c r="E65" s="21">
        <f>E11/About!$A$39*1000</f>
        <v>8208000</v>
      </c>
      <c r="F65" s="21">
        <f>F11/About!$A$39*1000</f>
        <v>8208000</v>
      </c>
      <c r="G65" s="21">
        <f>G11/About!$A$39*1000</f>
        <v>8208000</v>
      </c>
      <c r="H65" s="21">
        <f>H11/About!$A$39*1000</f>
        <v>8208000</v>
      </c>
      <c r="I65" s="21">
        <f>I11/About!$A$39*1000</f>
        <v>8208000</v>
      </c>
      <c r="J65" s="21">
        <f>J11/About!$A$39*1000</f>
        <v>8208000</v>
      </c>
      <c r="K65" s="21">
        <f>K11/About!$A$39*1000</f>
        <v>8208000</v>
      </c>
      <c r="L65" s="21">
        <f>L11/About!$A$39*1000</f>
        <v>8208000</v>
      </c>
      <c r="M65" s="21">
        <f>M11/About!$A$39*1000</f>
        <v>8208000.0000000019</v>
      </c>
      <c r="N65" s="21">
        <f>N11/About!$A$39*1000</f>
        <v>8208000.0000000019</v>
      </c>
      <c r="O65" s="21">
        <f>O11/About!$A$39*1000</f>
        <v>8208000.0000000019</v>
      </c>
      <c r="P65" s="21">
        <f>P11/About!$A$39*1000</f>
        <v>8208000.0000000019</v>
      </c>
      <c r="Q65" s="21">
        <f>Q11/About!$A$39*1000</f>
        <v>8208000.0000000019</v>
      </c>
      <c r="R65" s="21">
        <f>R11/About!$A$39*1000</f>
        <v>8208000.0000000019</v>
      </c>
      <c r="S65" s="21">
        <f>S11/About!$A$39*1000</f>
        <v>8208000.0000000019</v>
      </c>
      <c r="T65" s="21">
        <f>T11/About!$A$39*1000</f>
        <v>8208000.0000000019</v>
      </c>
      <c r="U65" s="21">
        <f>U11/About!$A$39*1000</f>
        <v>8208000.0000000019</v>
      </c>
      <c r="V65" s="21">
        <f>V11/About!$A$39*1000</f>
        <v>8208000.0000000019</v>
      </c>
      <c r="W65" s="21">
        <f>W11/About!$A$39*1000</f>
        <v>8208000.0000000019</v>
      </c>
      <c r="X65" s="21">
        <f>X11/About!$A$39*1000</f>
        <v>8208000.0000000019</v>
      </c>
      <c r="Y65" s="21">
        <f>Y11/About!$A$39*1000</f>
        <v>8208000.0000000019</v>
      </c>
      <c r="Z65" s="21">
        <f>Z11/About!$A$39*1000</f>
        <v>8208000.0000000019</v>
      </c>
      <c r="AA65" s="21">
        <f>AA11/About!$A$39*1000</f>
        <v>8208000.0000000019</v>
      </c>
      <c r="AB65" s="21">
        <f>AB11/About!$A$39*1000</f>
        <v>8208000.0000000019</v>
      </c>
      <c r="AC65" s="21">
        <f>AC11/About!$A$39*1000</f>
        <v>8208000.0000000019</v>
      </c>
      <c r="AD65" s="21">
        <f>AD11/About!$A$39*1000</f>
        <v>8208000.0000000019</v>
      </c>
      <c r="AE65" s="21">
        <f>AE11/About!$A$39*1000</f>
        <v>8208000.0000000019</v>
      </c>
      <c r="AF65" s="21">
        <f>AF11/About!$A$39*1000</f>
        <v>8208000.0000000019</v>
      </c>
    </row>
    <row r="66" spans="1:32">
      <c r="A66" t="s">
        <v>13</v>
      </c>
      <c r="B66" s="21">
        <f>B12/About!$A$39*1000</f>
        <v>1762910.9132371712</v>
      </c>
      <c r="C66" s="21">
        <f>C12/About!$A$39*1000</f>
        <v>1762910.9132371712</v>
      </c>
      <c r="D66" s="21">
        <f>D12/About!$A$39*1000</f>
        <v>1762910.9132371712</v>
      </c>
      <c r="E66" s="21">
        <f>E12/About!$A$39*1000</f>
        <v>1762910.9132371712</v>
      </c>
      <c r="F66" s="21">
        <f>F12/About!$A$39*1000</f>
        <v>1762910.9132371712</v>
      </c>
      <c r="G66" s="21">
        <f>G12/About!$A$39*1000</f>
        <v>1762910.9132371712</v>
      </c>
      <c r="H66" s="21">
        <f>H12/About!$A$39*1000</f>
        <v>1762910.9132371712</v>
      </c>
      <c r="I66" s="21">
        <f>I12/About!$A$39*1000</f>
        <v>1762910.9132371712</v>
      </c>
      <c r="J66" s="21">
        <f>J12/About!$A$39*1000</f>
        <v>1762910.9132371712</v>
      </c>
      <c r="K66" s="21">
        <f>K12/About!$A$39*1000</f>
        <v>1762910.9132371712</v>
      </c>
      <c r="L66" s="21">
        <f>L12/About!$A$39*1000</f>
        <v>1762910.9132371712</v>
      </c>
      <c r="M66" s="21">
        <f>M12/About!$A$39*1000</f>
        <v>1762910.9132371712</v>
      </c>
      <c r="N66" s="21">
        <f>N12/About!$A$39*1000</f>
        <v>1762910.9132371712</v>
      </c>
      <c r="O66" s="21">
        <f>O12/About!$A$39*1000</f>
        <v>1762910.9132371712</v>
      </c>
      <c r="P66" s="21">
        <f>P12/About!$A$39*1000</f>
        <v>1762910.9132371712</v>
      </c>
      <c r="Q66" s="21">
        <f>Q12/About!$A$39*1000</f>
        <v>1762910.9132371712</v>
      </c>
      <c r="R66" s="21">
        <f>R12/About!$A$39*1000</f>
        <v>1762910.9132371712</v>
      </c>
      <c r="S66" s="21">
        <f>S12/About!$A$39*1000</f>
        <v>1762910.9132371712</v>
      </c>
      <c r="T66" s="21">
        <f>T12/About!$A$39*1000</f>
        <v>1762910.9132371712</v>
      </c>
      <c r="U66" s="21">
        <f>U12/About!$A$39*1000</f>
        <v>1762910.9132371712</v>
      </c>
      <c r="V66" s="21">
        <f>V12/About!$A$39*1000</f>
        <v>1762910.9132371712</v>
      </c>
      <c r="W66" s="21">
        <f>W12/About!$A$39*1000</f>
        <v>1762910.9132371712</v>
      </c>
      <c r="X66" s="21">
        <f>X12/About!$A$39*1000</f>
        <v>1762910.9132371712</v>
      </c>
      <c r="Y66" s="21">
        <f>Y12/About!$A$39*1000</f>
        <v>1762910.9132371712</v>
      </c>
      <c r="Z66" s="21">
        <f>Z12/About!$A$39*1000</f>
        <v>1762910.9132371712</v>
      </c>
      <c r="AA66" s="21">
        <f>AA12/About!$A$39*1000</f>
        <v>1762910.9132371712</v>
      </c>
      <c r="AB66" s="21">
        <f>AB12/About!$A$39*1000</f>
        <v>1762910.9132371712</v>
      </c>
      <c r="AC66" s="21">
        <f>AC12/About!$A$39*1000</f>
        <v>1762910.9132371712</v>
      </c>
      <c r="AD66" s="21">
        <f>AD12/About!$A$39*1000</f>
        <v>1762910.9132371712</v>
      </c>
      <c r="AE66" s="21">
        <f>AE12/About!$A$39*1000</f>
        <v>1762910.9132371712</v>
      </c>
      <c r="AF66" s="21">
        <f>AF12/About!$A$39*1000</f>
        <v>1762910.9132371712</v>
      </c>
    </row>
    <row r="67" spans="1:32">
      <c r="A67" t="s">
        <v>14</v>
      </c>
      <c r="B67" s="21">
        <f>B13/About!$A$39*1000</f>
        <v>611851.26578005415</v>
      </c>
      <c r="C67" s="21">
        <f>C13/About!$A$39*1000</f>
        <v>617384.67567550938</v>
      </c>
      <c r="D67" s="21">
        <f>D13/About!$A$39*1000</f>
        <v>622918.08557096438</v>
      </c>
      <c r="E67" s="21">
        <f>E13/About!$A$39*1000</f>
        <v>628451.49546641961</v>
      </c>
      <c r="F67" s="21">
        <f>F13/About!$A$39*1000</f>
        <v>633984.90536187461</v>
      </c>
      <c r="G67" s="21">
        <f>G13/About!$A$39*1000</f>
        <v>639518.31525732984</v>
      </c>
      <c r="H67" s="21">
        <f>H13/About!$A$39*1000</f>
        <v>645051.72515278496</v>
      </c>
      <c r="I67" s="21">
        <f>I13/About!$A$39*1000</f>
        <v>650585.13504824007</v>
      </c>
      <c r="J67" s="21">
        <f>J13/About!$A$39*1000</f>
        <v>656118.54494369519</v>
      </c>
      <c r="K67" s="21">
        <f>K13/About!$A$39*1000</f>
        <v>661651.9548391503</v>
      </c>
      <c r="L67" s="21">
        <f>L13/About!$A$39*1000</f>
        <v>667185.36473460542</v>
      </c>
      <c r="M67" s="21">
        <f>M13/About!$A$39*1000</f>
        <v>672718.77463006123</v>
      </c>
      <c r="N67" s="21">
        <f>N13/About!$A$39*1000</f>
        <v>678252.18452551647</v>
      </c>
      <c r="O67" s="21">
        <f>O13/About!$A$39*1000</f>
        <v>683785.59442097147</v>
      </c>
      <c r="P67" s="21">
        <f>P13/About!$A$39*1000</f>
        <v>689319.0043164267</v>
      </c>
      <c r="Q67" s="21">
        <f>Q13/About!$A$39*1000</f>
        <v>694852.4142118817</v>
      </c>
      <c r="R67" s="21">
        <f>R13/About!$A$39*1000</f>
        <v>700385.82410733693</v>
      </c>
      <c r="S67" s="21">
        <f>S13/About!$A$39*1000</f>
        <v>705919.23400279204</v>
      </c>
      <c r="T67" s="21">
        <f>T13/About!$A$39*1000</f>
        <v>711452.64389824716</v>
      </c>
      <c r="U67" s="21">
        <f>U13/About!$A$39*1000</f>
        <v>716986.05379370227</v>
      </c>
      <c r="V67" s="21">
        <f>V13/About!$A$39*1000</f>
        <v>722519.46368915727</v>
      </c>
      <c r="W67" s="21">
        <f>W13/About!$A$39*1000</f>
        <v>728052.87358461251</v>
      </c>
      <c r="X67" s="21">
        <f>X13/About!$A$39*1000</f>
        <v>733586.2834800675</v>
      </c>
      <c r="Y67" s="21">
        <f>Y13/About!$A$39*1000</f>
        <v>739119.69337552274</v>
      </c>
      <c r="Z67" s="21">
        <f>Z13/About!$A$39*1000</f>
        <v>744653.10327097785</v>
      </c>
      <c r="AA67" s="21">
        <f>AA13/About!$A$39*1000</f>
        <v>750186.51316643297</v>
      </c>
      <c r="AB67" s="21">
        <f>AB13/About!$A$39*1000</f>
        <v>755719.92306188808</v>
      </c>
      <c r="AC67" s="21">
        <f>AC13/About!$A$39*1000</f>
        <v>761253.3329573432</v>
      </c>
      <c r="AD67" s="21">
        <f>AD13/About!$A$39*1000</f>
        <v>766786.74285279831</v>
      </c>
      <c r="AE67" s="21">
        <f>AE13/About!$A$39*1000</f>
        <v>772320.15274825343</v>
      </c>
      <c r="AF67" s="21">
        <f>AF13/About!$A$39*1000</f>
        <v>777853.56264370854</v>
      </c>
    </row>
    <row r="68" spans="1:32">
      <c r="A68" t="s">
        <v>19</v>
      </c>
      <c r="B68" s="21">
        <f>B14/About!$A$39*1000</f>
        <v>1337746.9464918093</v>
      </c>
      <c r="C68" s="21">
        <f>C14/About!$A$39*1000</f>
        <v>1386477.2229812131</v>
      </c>
      <c r="D68" s="21">
        <f>D14/About!$A$39*1000</f>
        <v>1435207.4994706169</v>
      </c>
      <c r="E68" s="21">
        <f>E14/About!$A$39*1000</f>
        <v>1483937.775960021</v>
      </c>
      <c r="F68" s="21">
        <f>F14/About!$A$39*1000</f>
        <v>1532668.0524494245</v>
      </c>
      <c r="G68" s="21">
        <f>G14/About!$A$39*1000</f>
        <v>1581398.3289388283</v>
      </c>
      <c r="H68" s="21">
        <f>H14/About!$A$39*1000</f>
        <v>1630128.6054282323</v>
      </c>
      <c r="I68" s="21">
        <f>I14/About!$A$39*1000</f>
        <v>1678858.8819176361</v>
      </c>
      <c r="J68" s="21">
        <f>J14/About!$A$39*1000</f>
        <v>1727589.1584070399</v>
      </c>
      <c r="K68" s="21">
        <f>K14/About!$A$39*1000</f>
        <v>1776319.4348964437</v>
      </c>
      <c r="L68" s="21">
        <f>L14/About!$A$39*1000</f>
        <v>1825049.7113858475</v>
      </c>
      <c r="M68" s="21">
        <f>M14/About!$A$39*1000</f>
        <v>1873779.9878752513</v>
      </c>
      <c r="N68" s="21">
        <f>N14/About!$A$39*1000</f>
        <v>1922510.2643646554</v>
      </c>
      <c r="O68" s="21">
        <f>O14/About!$A$39*1000</f>
        <v>1971240.5408540589</v>
      </c>
      <c r="P68" s="21">
        <f>P14/About!$A$39*1000</f>
        <v>2019970.8173434627</v>
      </c>
      <c r="Q68" s="21">
        <f>Q14/About!$A$39*1000</f>
        <v>2068701.0938328668</v>
      </c>
      <c r="R68" s="21">
        <f>R14/About!$A$39*1000</f>
        <v>2117431.3703222708</v>
      </c>
      <c r="S68" s="21">
        <f>S14/About!$A$39*1000</f>
        <v>2166161.6468116743</v>
      </c>
      <c r="T68" s="21">
        <f>T14/About!$A$39*1000</f>
        <v>2214891.9233010784</v>
      </c>
      <c r="U68" s="21">
        <f>U14/About!$A$39*1000</f>
        <v>2263622.1997904824</v>
      </c>
      <c r="V68" s="21">
        <f>V14/About!$A$39*1000</f>
        <v>2312352.4762798855</v>
      </c>
      <c r="W68" s="21">
        <f>W14/About!$A$39*1000</f>
        <v>2361082.7527692895</v>
      </c>
      <c r="X68" s="21">
        <f>X14/About!$A$39*1000</f>
        <v>2409813.0292586936</v>
      </c>
      <c r="Y68" s="21">
        <f>Y14/About!$A$39*1000</f>
        <v>2458543.3057480971</v>
      </c>
      <c r="Z68" s="21">
        <f>Z14/About!$A$39*1000</f>
        <v>2507273.5822375012</v>
      </c>
      <c r="AA68" s="21">
        <f>AA14/About!$A$39*1000</f>
        <v>2556003.8587269052</v>
      </c>
      <c r="AB68" s="21">
        <f>AB14/About!$A$39*1000</f>
        <v>2604734.1352163088</v>
      </c>
      <c r="AC68" s="21">
        <f>AC14/About!$A$39*1000</f>
        <v>2653464.4117057128</v>
      </c>
      <c r="AD68" s="21">
        <f>AD14/About!$A$39*1000</f>
        <v>2702194.6881951164</v>
      </c>
      <c r="AE68" s="21">
        <f>AE14/About!$A$39*1000</f>
        <v>2750924.9646845199</v>
      </c>
      <c r="AF68" s="21">
        <f>AF14/About!$A$39*1000</f>
        <v>2799655.2411739239</v>
      </c>
    </row>
    <row r="69" spans="1:32">
      <c r="A69" t="s">
        <v>17</v>
      </c>
      <c r="B69" s="21">
        <f>B15/About!$A$39*1000</f>
        <v>5584838.0580128776</v>
      </c>
      <c r="C69" s="21">
        <f>C15/About!$A$39*1000</f>
        <v>5439632.2685045432</v>
      </c>
      <c r="D69" s="21">
        <f>D15/About!$A$39*1000</f>
        <v>5294426.4789962089</v>
      </c>
      <c r="E69" s="21">
        <f>E15/About!$A$39*1000</f>
        <v>5149220.6894878736</v>
      </c>
      <c r="F69" s="21">
        <f>F15/About!$A$39*1000</f>
        <v>5004014.8999795392</v>
      </c>
      <c r="G69" s="21">
        <f>G15/About!$A$39*1000</f>
        <v>4858809.1104712049</v>
      </c>
      <c r="H69" s="21">
        <f>H15/About!$A$39*1000</f>
        <v>4713603.3209628705</v>
      </c>
      <c r="I69" s="21">
        <f>I15/About!$A$39*1000</f>
        <v>4568397.5314545352</v>
      </c>
      <c r="J69" s="21">
        <f>J15/About!$A$39*1000</f>
        <v>4423191.7419462008</v>
      </c>
      <c r="K69" s="21">
        <f>K15/About!$A$39*1000</f>
        <v>4277985.9524378665</v>
      </c>
      <c r="L69" s="21">
        <f>L15/About!$A$39*1000</f>
        <v>4132780.1629295298</v>
      </c>
      <c r="M69" s="21">
        <f>M15/About!$A$39*1000</f>
        <v>3987574.3734212392</v>
      </c>
      <c r="N69" s="21">
        <f>N15/About!$A$39*1000</f>
        <v>3842368.5839128932</v>
      </c>
      <c r="O69" s="21">
        <f>O15/About!$A$39*1000</f>
        <v>3697162.7944045472</v>
      </c>
      <c r="P69" s="21">
        <f>P15/About!$A$39*1000</f>
        <v>3551957.0048962012</v>
      </c>
      <c r="Q69" s="21">
        <f>Q15/About!$A$39*1000</f>
        <v>3406751.2153878557</v>
      </c>
      <c r="R69" s="21">
        <f>R15/About!$A$39*1000</f>
        <v>3261545.4258795651</v>
      </c>
      <c r="S69" s="21">
        <f>S15/About!$A$39*1000</f>
        <v>3116339.6363712191</v>
      </c>
      <c r="T69" s="21">
        <f>T15/About!$A$39*1000</f>
        <v>2971133.8468628731</v>
      </c>
      <c r="U69" s="21">
        <f>U15/About!$A$39*1000</f>
        <v>2825928.0573545275</v>
      </c>
      <c r="V69" s="21">
        <f>V15/About!$A$39*1000</f>
        <v>2680722.2678461811</v>
      </c>
      <c r="W69" s="21">
        <f>W15/About!$A$39*1000</f>
        <v>2535516.4783378909</v>
      </c>
      <c r="X69" s="21">
        <f>X15/About!$A$39*1000</f>
        <v>2390310.6888295449</v>
      </c>
      <c r="Y69" s="21">
        <f>Y15/About!$A$39*1000</f>
        <v>2245104.8993211994</v>
      </c>
      <c r="Z69" s="21">
        <f>Z15/About!$A$39*1000</f>
        <v>2099899.1098128529</v>
      </c>
      <c r="AA69" s="21">
        <f>AA15/About!$A$39*1000</f>
        <v>1954693.3203045074</v>
      </c>
      <c r="AB69" s="21">
        <f>AB15/About!$A$39*1000</f>
        <v>1809487.5307962168</v>
      </c>
      <c r="AC69" s="21">
        <f>AC15/About!$A$39*1000</f>
        <v>1664281.741287871</v>
      </c>
      <c r="AD69" s="21">
        <f>AD15/About!$A$39*1000</f>
        <v>1519075.951779525</v>
      </c>
      <c r="AE69" s="21">
        <f>AE15/About!$A$39*1000</f>
        <v>1373870.162271179</v>
      </c>
      <c r="AF69" s="21">
        <f>AF15/About!$A$39*1000</f>
        <v>1228664.3727628333</v>
      </c>
    </row>
    <row r="70" spans="1:32">
      <c r="A70" t="s">
        <v>20</v>
      </c>
      <c r="B70" s="21">
        <f>B16/About!$A$39*1000</f>
        <v>1762910.9132371712</v>
      </c>
      <c r="C70" s="21">
        <f>C16/About!$A$39*1000</f>
        <v>1762910.9132371712</v>
      </c>
      <c r="D70" s="21">
        <f>D16/About!$A$39*1000</f>
        <v>1762910.9132371712</v>
      </c>
      <c r="E70" s="21">
        <f>E16/About!$A$39*1000</f>
        <v>1762910.9132371712</v>
      </c>
      <c r="F70" s="21">
        <f>F16/About!$A$39*1000</f>
        <v>1762910.9132371712</v>
      </c>
      <c r="G70" s="21">
        <f>G16/About!$A$39*1000</f>
        <v>1762910.9132371712</v>
      </c>
      <c r="H70" s="21">
        <f>H16/About!$A$39*1000</f>
        <v>1762910.9132371712</v>
      </c>
      <c r="I70" s="21">
        <f>I16/About!$A$39*1000</f>
        <v>1762910.9132371712</v>
      </c>
      <c r="J70" s="21">
        <f>J16/About!$A$39*1000</f>
        <v>1762910.9132371712</v>
      </c>
      <c r="K70" s="21">
        <f>K16/About!$A$39*1000</f>
        <v>1762910.9132371712</v>
      </c>
      <c r="L70" s="21">
        <f>L16/About!$A$39*1000</f>
        <v>1762910.9132371712</v>
      </c>
      <c r="M70" s="21">
        <f>M16/About!$A$39*1000</f>
        <v>1762910.9132371712</v>
      </c>
      <c r="N70" s="21">
        <f>N16/About!$A$39*1000</f>
        <v>1762910.9132371712</v>
      </c>
      <c r="O70" s="21">
        <f>O16/About!$A$39*1000</f>
        <v>1762910.9132371712</v>
      </c>
      <c r="P70" s="21">
        <f>P16/About!$A$39*1000</f>
        <v>1762910.9132371712</v>
      </c>
      <c r="Q70" s="21">
        <f>Q16/About!$A$39*1000</f>
        <v>1762910.9132371712</v>
      </c>
      <c r="R70" s="21">
        <f>R16/About!$A$39*1000</f>
        <v>1762910.9132371712</v>
      </c>
      <c r="S70" s="21">
        <f>S16/About!$A$39*1000</f>
        <v>1762910.9132371712</v>
      </c>
      <c r="T70" s="21">
        <f>T16/About!$A$39*1000</f>
        <v>1762910.9132371712</v>
      </c>
      <c r="U70" s="21">
        <f>U16/About!$A$39*1000</f>
        <v>1762910.9132371712</v>
      </c>
      <c r="V70" s="21">
        <f>V16/About!$A$39*1000</f>
        <v>1762910.9132371712</v>
      </c>
      <c r="W70" s="21">
        <f>W16/About!$A$39*1000</f>
        <v>1762910.9132371712</v>
      </c>
      <c r="X70" s="21">
        <f>X16/About!$A$39*1000</f>
        <v>1762910.9132371712</v>
      </c>
      <c r="Y70" s="21">
        <f>Y16/About!$A$39*1000</f>
        <v>1762910.9132371712</v>
      </c>
      <c r="Z70" s="21">
        <f>Z16/About!$A$39*1000</f>
        <v>1762910.9132371712</v>
      </c>
      <c r="AA70" s="21">
        <f>AA16/About!$A$39*1000</f>
        <v>1762910.9132371712</v>
      </c>
      <c r="AB70" s="21">
        <f>AB16/About!$A$39*1000</f>
        <v>1762910.9132371712</v>
      </c>
      <c r="AC70" s="21">
        <f>AC16/About!$A$39*1000</f>
        <v>1762910.9132371712</v>
      </c>
      <c r="AD70" s="21">
        <f>AD16/About!$A$39*1000</f>
        <v>1762910.9132371712</v>
      </c>
      <c r="AE70" s="21">
        <f>AE16/About!$A$39*1000</f>
        <v>1762910.9132371712</v>
      </c>
      <c r="AF70" s="21">
        <f>AF16/About!$A$39*1000</f>
        <v>1762910.9132371712</v>
      </c>
    </row>
    <row r="71" spans="1:32">
      <c r="A71" t="s">
        <v>21</v>
      </c>
      <c r="B71" s="21">
        <f>B17/About!$A$39*1000</f>
        <v>1762910.9132371712</v>
      </c>
      <c r="C71" s="21">
        <f>C17/About!$A$39*1000</f>
        <v>1762910.9132371712</v>
      </c>
      <c r="D71" s="21">
        <f>D17/About!$A$39*1000</f>
        <v>1762910.9132371712</v>
      </c>
      <c r="E71" s="21">
        <f>E17/About!$A$39*1000</f>
        <v>1762910.9132371712</v>
      </c>
      <c r="F71" s="21">
        <f>F17/About!$A$39*1000</f>
        <v>1762910.9132371712</v>
      </c>
      <c r="G71" s="21">
        <f>G17/About!$A$39*1000</f>
        <v>1762910.9132371712</v>
      </c>
      <c r="H71" s="21">
        <f>H17/About!$A$39*1000</f>
        <v>1762910.9132371712</v>
      </c>
      <c r="I71" s="21">
        <f>I17/About!$A$39*1000</f>
        <v>1762910.9132371712</v>
      </c>
      <c r="J71" s="21">
        <f>J17/About!$A$39*1000</f>
        <v>1762910.9132371712</v>
      </c>
      <c r="K71" s="21">
        <f>K17/About!$A$39*1000</f>
        <v>1762910.9132371712</v>
      </c>
      <c r="L71" s="21">
        <f>L17/About!$A$39*1000</f>
        <v>1762910.9132371712</v>
      </c>
      <c r="M71" s="21">
        <f>M17/About!$A$39*1000</f>
        <v>1762910.9132371712</v>
      </c>
      <c r="N71" s="21">
        <f>N17/About!$A$39*1000</f>
        <v>1762910.9132371712</v>
      </c>
      <c r="O71" s="21">
        <f>O17/About!$A$39*1000</f>
        <v>1762910.9132371712</v>
      </c>
      <c r="P71" s="21">
        <f>P17/About!$A$39*1000</f>
        <v>1762910.9132371712</v>
      </c>
      <c r="Q71" s="21">
        <f>Q17/About!$A$39*1000</f>
        <v>1762910.9132371712</v>
      </c>
      <c r="R71" s="21">
        <f>R17/About!$A$39*1000</f>
        <v>1762910.9132371712</v>
      </c>
      <c r="S71" s="21">
        <f>S17/About!$A$39*1000</f>
        <v>1762910.9132371712</v>
      </c>
      <c r="T71" s="21">
        <f>T17/About!$A$39*1000</f>
        <v>1762910.9132371712</v>
      </c>
      <c r="U71" s="21">
        <f>U17/About!$A$39*1000</f>
        <v>1762910.9132371712</v>
      </c>
      <c r="V71" s="21">
        <f>V17/About!$A$39*1000</f>
        <v>1762910.9132371712</v>
      </c>
      <c r="W71" s="21">
        <f>W17/About!$A$39*1000</f>
        <v>1762910.9132371712</v>
      </c>
      <c r="X71" s="21">
        <f>X17/About!$A$39*1000</f>
        <v>1762910.9132371712</v>
      </c>
      <c r="Y71" s="21">
        <f>Y17/About!$A$39*1000</f>
        <v>1762910.9132371712</v>
      </c>
      <c r="Z71" s="21">
        <f>Z17/About!$A$39*1000</f>
        <v>1762910.9132371712</v>
      </c>
      <c r="AA71" s="21">
        <f>AA17/About!$A$39*1000</f>
        <v>1762910.9132371712</v>
      </c>
      <c r="AB71" s="21">
        <f>AB17/About!$A$39*1000</f>
        <v>1762910.9132371712</v>
      </c>
      <c r="AC71" s="21">
        <f>AC17/About!$A$39*1000</f>
        <v>1762910.9132371712</v>
      </c>
      <c r="AD71" s="21">
        <f>AD17/About!$A$39*1000</f>
        <v>1762910.9132371712</v>
      </c>
      <c r="AE71" s="21">
        <f>AE17/About!$A$39*1000</f>
        <v>1762910.9132371712</v>
      </c>
      <c r="AF71" s="21">
        <f>AF17/About!$A$39*1000</f>
        <v>1762910.9132371712</v>
      </c>
    </row>
    <row r="72" spans="1:32">
      <c r="A72" t="s">
        <v>22</v>
      </c>
      <c r="B72" s="21">
        <f>B18/About!$A$39*1000</f>
        <v>4463927.3106192546</v>
      </c>
      <c r="C72" s="21">
        <f>C18/About!$A$39*1000</f>
        <v>4463927.3106192546</v>
      </c>
      <c r="D72" s="21">
        <f>D18/About!$A$39*1000</f>
        <v>4463927.3106192546</v>
      </c>
      <c r="E72" s="21">
        <f>E18/About!$A$39*1000</f>
        <v>4463927.3106192546</v>
      </c>
      <c r="F72" s="21">
        <f>F18/About!$A$39*1000</f>
        <v>4463927.3106192546</v>
      </c>
      <c r="G72" s="21">
        <f>G18/About!$A$39*1000</f>
        <v>4463927.3106192546</v>
      </c>
      <c r="H72" s="21">
        <f>H18/About!$A$39*1000</f>
        <v>4463927.3106192546</v>
      </c>
      <c r="I72" s="21">
        <f>I18/About!$A$39*1000</f>
        <v>4463927.3106192546</v>
      </c>
      <c r="J72" s="21">
        <f>J18/About!$A$39*1000</f>
        <v>4463927.3106192546</v>
      </c>
      <c r="K72" s="21">
        <f>K18/About!$A$39*1000</f>
        <v>4463927.3106192546</v>
      </c>
      <c r="L72" s="21">
        <f>L18/About!$A$39*1000</f>
        <v>4463927.3106192546</v>
      </c>
      <c r="M72" s="21">
        <f>M18/About!$A$39*1000</f>
        <v>4463927.3106192546</v>
      </c>
      <c r="N72" s="21">
        <f>N18/About!$A$39*1000</f>
        <v>4463927.3106192546</v>
      </c>
      <c r="O72" s="21">
        <f>O18/About!$A$39*1000</f>
        <v>4463927.3106192546</v>
      </c>
      <c r="P72" s="21">
        <f>P18/About!$A$39*1000</f>
        <v>4463927.3106192546</v>
      </c>
      <c r="Q72" s="21">
        <f>Q18/About!$A$39*1000</f>
        <v>4463927.3106192546</v>
      </c>
      <c r="R72" s="21">
        <f>R18/About!$A$39*1000</f>
        <v>4463927.3106192546</v>
      </c>
      <c r="S72" s="21">
        <f>S18/About!$A$39*1000</f>
        <v>4463927.3106192546</v>
      </c>
      <c r="T72" s="21">
        <f>T18/About!$A$39*1000</f>
        <v>4463927.3106192546</v>
      </c>
      <c r="U72" s="21">
        <f>U18/About!$A$39*1000</f>
        <v>4463927.3106192546</v>
      </c>
      <c r="V72" s="21">
        <f>V18/About!$A$39*1000</f>
        <v>4463927.3106192546</v>
      </c>
      <c r="W72" s="21">
        <f>W18/About!$A$39*1000</f>
        <v>4463927.3106192546</v>
      </c>
      <c r="X72" s="21">
        <f>X18/About!$A$39*1000</f>
        <v>4463927.3106192546</v>
      </c>
      <c r="Y72" s="21">
        <f>Y18/About!$A$39*1000</f>
        <v>4463927.3106192546</v>
      </c>
      <c r="Z72" s="21">
        <f>Z18/About!$A$39*1000</f>
        <v>4463927.3106192546</v>
      </c>
      <c r="AA72" s="21">
        <f>AA18/About!$A$39*1000</f>
        <v>4463927.3106192546</v>
      </c>
      <c r="AB72" s="21">
        <f>AB18/About!$A$39*1000</f>
        <v>4463927.3106192546</v>
      </c>
      <c r="AC72" s="21">
        <f>AC18/About!$A$39*1000</f>
        <v>4463927.3106192546</v>
      </c>
      <c r="AD72" s="21">
        <f>AD18/About!$A$39*1000</f>
        <v>4463927.3106192546</v>
      </c>
      <c r="AE72" s="21">
        <f>AE18/About!$A$39*1000</f>
        <v>4463927.3106192546</v>
      </c>
      <c r="AF72" s="21">
        <f>AF18/About!$A$39*1000</f>
        <v>4463927.3106192546</v>
      </c>
    </row>
    <row r="73" spans="1:32">
      <c r="A73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</row>
    <row r="74" spans="1:32">
      <c r="A74" s="17" t="s">
        <v>67</v>
      </c>
      <c r="B74" s="20">
        <v>2020</v>
      </c>
      <c r="C74" s="20">
        <v>2021</v>
      </c>
      <c r="D74" s="20">
        <v>2022</v>
      </c>
      <c r="E74" s="20">
        <v>2023</v>
      </c>
      <c r="F74" s="20">
        <v>2024</v>
      </c>
      <c r="G74" s="20">
        <v>2025</v>
      </c>
      <c r="H74" s="20">
        <v>2026</v>
      </c>
      <c r="I74" s="20">
        <v>2027</v>
      </c>
      <c r="J74" s="20">
        <v>2028</v>
      </c>
      <c r="K74" s="20">
        <v>2029</v>
      </c>
      <c r="L74" s="20">
        <v>2030</v>
      </c>
      <c r="M74" s="20">
        <v>2031</v>
      </c>
      <c r="N74" s="20">
        <v>2032</v>
      </c>
      <c r="O74" s="20">
        <v>2033</v>
      </c>
      <c r="P74" s="20">
        <v>2034</v>
      </c>
      <c r="Q74" s="20">
        <v>2035</v>
      </c>
      <c r="R74" s="20">
        <v>2036</v>
      </c>
      <c r="S74" s="20">
        <v>2037</v>
      </c>
      <c r="T74" s="20">
        <v>2038</v>
      </c>
      <c r="U74" s="20">
        <v>2039</v>
      </c>
      <c r="V74" s="20">
        <v>2040</v>
      </c>
      <c r="W74" s="20">
        <v>2041</v>
      </c>
      <c r="X74" s="20">
        <v>2042</v>
      </c>
      <c r="Y74" s="20">
        <v>2043</v>
      </c>
      <c r="Z74" s="20">
        <v>2044</v>
      </c>
      <c r="AA74" s="20">
        <v>2045</v>
      </c>
      <c r="AB74" s="20">
        <v>2046</v>
      </c>
      <c r="AC74" s="20">
        <v>2047</v>
      </c>
      <c r="AD74" s="20">
        <v>2048</v>
      </c>
      <c r="AE74" s="20">
        <v>2049</v>
      </c>
      <c r="AF74" s="20">
        <v>2050</v>
      </c>
    </row>
    <row r="75" spans="1:32">
      <c r="A75" t="s">
        <v>16</v>
      </c>
      <c r="B75" s="21">
        <f>B21/About!$A$39*1000</f>
        <v>62002.387969942749</v>
      </c>
      <c r="C75" s="21">
        <f>C21/About!$A$39*1000</f>
        <v>62002.387969942749</v>
      </c>
      <c r="D75" s="21">
        <f>D21/About!$A$39*1000</f>
        <v>62002.387969942749</v>
      </c>
      <c r="E75" s="21">
        <f>E21/About!$A$39*1000</f>
        <v>62002.387969942749</v>
      </c>
      <c r="F75" s="21">
        <f>F21/About!$A$39*1000</f>
        <v>62002.387969942749</v>
      </c>
      <c r="G75" s="21">
        <f>G21/About!$A$39*1000</f>
        <v>62002.387969942749</v>
      </c>
      <c r="H75" s="21">
        <f>H21/About!$A$39*1000</f>
        <v>62002.387969942749</v>
      </c>
      <c r="I75" s="21">
        <f>I21/About!$A$39*1000</f>
        <v>62002.387969942749</v>
      </c>
      <c r="J75" s="21">
        <f>J21/About!$A$39*1000</f>
        <v>62002.387969942749</v>
      </c>
      <c r="K75" s="21">
        <f>K21/About!$A$39*1000</f>
        <v>62002.387969942749</v>
      </c>
      <c r="L75" s="21">
        <f>L21/About!$A$39*1000</f>
        <v>62002.387969942749</v>
      </c>
      <c r="M75" s="21">
        <f>M21/About!$A$39*1000</f>
        <v>62002.387969942756</v>
      </c>
      <c r="N75" s="21">
        <f>N21/About!$A$39*1000</f>
        <v>62002.387969942756</v>
      </c>
      <c r="O75" s="21">
        <f>O21/About!$A$39*1000</f>
        <v>62002.387969942756</v>
      </c>
      <c r="P75" s="21">
        <f>P21/About!$A$39*1000</f>
        <v>62002.387969942756</v>
      </c>
      <c r="Q75" s="21">
        <f>Q21/About!$A$39*1000</f>
        <v>62002.387969942756</v>
      </c>
      <c r="R75" s="21">
        <f>R21/About!$A$39*1000</f>
        <v>62002.387969942756</v>
      </c>
      <c r="S75" s="21">
        <f>S21/About!$A$39*1000</f>
        <v>62002.387969942756</v>
      </c>
      <c r="T75" s="21">
        <f>T21/About!$A$39*1000</f>
        <v>62002.387969942756</v>
      </c>
      <c r="U75" s="21">
        <f>U21/About!$A$39*1000</f>
        <v>62002.387969942756</v>
      </c>
      <c r="V75" s="21">
        <f>V21/About!$A$39*1000</f>
        <v>62002.387969942756</v>
      </c>
      <c r="W75" s="21">
        <f>W21/About!$A$39*1000</f>
        <v>62002.387969942756</v>
      </c>
      <c r="X75" s="21">
        <f>X21/About!$A$39*1000</f>
        <v>62002.387969942756</v>
      </c>
      <c r="Y75" s="21">
        <f>Y21/About!$A$39*1000</f>
        <v>62002.387969942756</v>
      </c>
      <c r="Z75" s="21">
        <f>Z21/About!$A$39*1000</f>
        <v>62002.387969942756</v>
      </c>
      <c r="AA75" s="21">
        <f>AA21/About!$A$39*1000</f>
        <v>62002.387969942756</v>
      </c>
      <c r="AB75" s="21">
        <f>AB21/About!$A$39*1000</f>
        <v>62002.387969942756</v>
      </c>
      <c r="AC75" s="21">
        <f>AC21/About!$A$39*1000</f>
        <v>62002.387969942756</v>
      </c>
      <c r="AD75" s="21">
        <f>AD21/About!$A$39*1000</f>
        <v>62002.387969942756</v>
      </c>
      <c r="AE75" s="21">
        <f>AE21/About!$A$39*1000</f>
        <v>62002.387969942756</v>
      </c>
      <c r="AF75" s="21">
        <f>AF21/About!$A$39*1000</f>
        <v>62002.387969942756</v>
      </c>
    </row>
    <row r="76" spans="1:32">
      <c r="A76" t="s">
        <v>11</v>
      </c>
      <c r="B76" s="21">
        <f>B22/About!$A$39*1000</f>
        <v>40766.481369682057</v>
      </c>
      <c r="C76" s="21">
        <f>C22/About!$A$39*1000</f>
        <v>40766.481369682057</v>
      </c>
      <c r="D76" s="21">
        <f>D22/About!$A$39*1000</f>
        <v>40766.481369682057</v>
      </c>
      <c r="E76" s="21">
        <f>E22/About!$A$39*1000</f>
        <v>40766.481369682057</v>
      </c>
      <c r="F76" s="21">
        <f>F22/About!$A$39*1000</f>
        <v>40766.481369682057</v>
      </c>
      <c r="G76" s="21">
        <f>G22/About!$A$39*1000</f>
        <v>40766.481369682057</v>
      </c>
      <c r="H76" s="21">
        <f>H22/About!$A$39*1000</f>
        <v>40766.481369682057</v>
      </c>
      <c r="I76" s="21">
        <f>I22/About!$A$39*1000</f>
        <v>40766.481369682057</v>
      </c>
      <c r="J76" s="21">
        <f>J22/About!$A$39*1000</f>
        <v>40766.481369682057</v>
      </c>
      <c r="K76" s="21">
        <f>K22/About!$A$39*1000</f>
        <v>40766.481369682057</v>
      </c>
      <c r="L76" s="21">
        <f>L22/About!$A$39*1000</f>
        <v>40766.481369682057</v>
      </c>
      <c r="M76" s="21">
        <f>M22/About!$A$39*1000</f>
        <v>40766.481369682064</v>
      </c>
      <c r="N76" s="21">
        <f>N22/About!$A$39*1000</f>
        <v>40766.481369682064</v>
      </c>
      <c r="O76" s="21">
        <f>O22/About!$A$39*1000</f>
        <v>40766.481369682064</v>
      </c>
      <c r="P76" s="21">
        <f>P22/About!$A$39*1000</f>
        <v>40766.481369682064</v>
      </c>
      <c r="Q76" s="21">
        <f>Q22/About!$A$39*1000</f>
        <v>40766.481369682064</v>
      </c>
      <c r="R76" s="21">
        <f>R22/About!$A$39*1000</f>
        <v>40766.481369682064</v>
      </c>
      <c r="S76" s="21">
        <f>S22/About!$A$39*1000</f>
        <v>40766.481369682064</v>
      </c>
      <c r="T76" s="21">
        <f>T22/About!$A$39*1000</f>
        <v>40766.481369682064</v>
      </c>
      <c r="U76" s="21">
        <f>U22/About!$A$39*1000</f>
        <v>40766.481369682064</v>
      </c>
      <c r="V76" s="21">
        <f>V22/About!$A$39*1000</f>
        <v>40766.481369682064</v>
      </c>
      <c r="W76" s="21">
        <f>W22/About!$A$39*1000</f>
        <v>40766.481369682064</v>
      </c>
      <c r="X76" s="21">
        <f>X22/About!$A$39*1000</f>
        <v>40766.481369682064</v>
      </c>
      <c r="Y76" s="21">
        <f>Y22/About!$A$39*1000</f>
        <v>40766.481369682064</v>
      </c>
      <c r="Z76" s="21">
        <f>Z22/About!$A$39*1000</f>
        <v>40766.481369682064</v>
      </c>
      <c r="AA76" s="21">
        <f>AA22/About!$A$39*1000</f>
        <v>40766.481369682064</v>
      </c>
      <c r="AB76" s="21">
        <f>AB22/About!$A$39*1000</f>
        <v>40766.481369682064</v>
      </c>
      <c r="AC76" s="21">
        <f>AC22/About!$A$39*1000</f>
        <v>40766.481369682064</v>
      </c>
      <c r="AD76" s="21">
        <f>AD22/About!$A$39*1000</f>
        <v>40766.481369682064</v>
      </c>
      <c r="AE76" s="21">
        <f>AE22/About!$A$39*1000</f>
        <v>40766.481369682064</v>
      </c>
      <c r="AF76" s="21">
        <f>AF22/About!$A$39*1000</f>
        <v>40766.481369682064</v>
      </c>
    </row>
    <row r="77" spans="1:32">
      <c r="A77" t="s">
        <v>5</v>
      </c>
      <c r="B77" s="21">
        <f>B23/About!$A$39*1000</f>
        <v>155249.58875783393</v>
      </c>
      <c r="C77" s="21">
        <f>C23/About!$A$39*1000</f>
        <v>155249.58875783393</v>
      </c>
      <c r="D77" s="21">
        <f>D23/About!$A$39*1000</f>
        <v>155249.58875783393</v>
      </c>
      <c r="E77" s="21">
        <f>E23/About!$A$39*1000</f>
        <v>155249.58875783393</v>
      </c>
      <c r="F77" s="21">
        <f>F23/About!$A$39*1000</f>
        <v>155249.58875783393</v>
      </c>
      <c r="G77" s="21">
        <f>G23/About!$A$39*1000</f>
        <v>155249.58875783393</v>
      </c>
      <c r="H77" s="21">
        <f>H23/About!$A$39*1000</f>
        <v>155249.58875783393</v>
      </c>
      <c r="I77" s="21">
        <f>I23/About!$A$39*1000</f>
        <v>155249.58875783393</v>
      </c>
      <c r="J77" s="21">
        <f>J23/About!$A$39*1000</f>
        <v>155249.58875783393</v>
      </c>
      <c r="K77" s="21">
        <f>K23/About!$A$39*1000</f>
        <v>155249.58875783393</v>
      </c>
      <c r="L77" s="21">
        <f>L23/About!$A$39*1000</f>
        <v>155249.58875783393</v>
      </c>
      <c r="M77" s="21">
        <f>M23/About!$A$39*1000</f>
        <v>155249.58875783393</v>
      </c>
      <c r="N77" s="21">
        <f>N23/About!$A$39*1000</f>
        <v>155249.58875783393</v>
      </c>
      <c r="O77" s="21">
        <f>O23/About!$A$39*1000</f>
        <v>155249.58875783393</v>
      </c>
      <c r="P77" s="21">
        <f>P23/About!$A$39*1000</f>
        <v>155249.58875783393</v>
      </c>
      <c r="Q77" s="21">
        <f>Q23/About!$A$39*1000</f>
        <v>155249.58875783393</v>
      </c>
      <c r="R77" s="21">
        <f>R23/About!$A$39*1000</f>
        <v>155249.58875783393</v>
      </c>
      <c r="S77" s="21">
        <f>S23/About!$A$39*1000</f>
        <v>155249.58875783393</v>
      </c>
      <c r="T77" s="21">
        <f>T23/About!$A$39*1000</f>
        <v>155249.58875783393</v>
      </c>
      <c r="U77" s="21">
        <f>U23/About!$A$39*1000</f>
        <v>155249.58875783393</v>
      </c>
      <c r="V77" s="21">
        <f>V23/About!$A$39*1000</f>
        <v>155249.58875783393</v>
      </c>
      <c r="W77" s="21">
        <f>W23/About!$A$39*1000</f>
        <v>155249.58875783393</v>
      </c>
      <c r="X77" s="21">
        <f>X23/About!$A$39*1000</f>
        <v>155249.58875783393</v>
      </c>
      <c r="Y77" s="21">
        <f>Y23/About!$A$39*1000</f>
        <v>155249.58875783393</v>
      </c>
      <c r="Z77" s="21">
        <f>Z23/About!$A$39*1000</f>
        <v>155249.58875783393</v>
      </c>
      <c r="AA77" s="21">
        <f>AA23/About!$A$39*1000</f>
        <v>155249.58875783393</v>
      </c>
      <c r="AB77" s="21">
        <f>AB23/About!$A$39*1000</f>
        <v>155249.58875783393</v>
      </c>
      <c r="AC77" s="21">
        <f>AC23/About!$A$39*1000</f>
        <v>155249.58875783393</v>
      </c>
      <c r="AD77" s="21">
        <f>AD23/About!$A$39*1000</f>
        <v>155249.58875783393</v>
      </c>
      <c r="AE77" s="21">
        <f>AE23/About!$A$39*1000</f>
        <v>155249.58875783393</v>
      </c>
      <c r="AF77" s="21">
        <f>AF23/About!$A$39*1000</f>
        <v>155249.58875783393</v>
      </c>
    </row>
    <row r="78" spans="1:32">
      <c r="A78" t="s">
        <v>6</v>
      </c>
      <c r="B78" s="21">
        <f>B24/About!$A$39*1000</f>
        <v>22521.908259358712</v>
      </c>
      <c r="C78" s="21">
        <f>C24/About!$A$39*1000</f>
        <v>22521.908259358712</v>
      </c>
      <c r="D78" s="21">
        <f>D24/About!$A$39*1000</f>
        <v>22521.908259358712</v>
      </c>
      <c r="E78" s="21">
        <f>E24/About!$A$39*1000</f>
        <v>22521.908259358712</v>
      </c>
      <c r="F78" s="21">
        <f>F24/About!$A$39*1000</f>
        <v>22521.908259358712</v>
      </c>
      <c r="G78" s="21">
        <f>G24/About!$A$39*1000</f>
        <v>22521.908259358712</v>
      </c>
      <c r="H78" s="21">
        <f>H24/About!$A$39*1000</f>
        <v>22521.908259358712</v>
      </c>
      <c r="I78" s="21">
        <f>I24/About!$A$39*1000</f>
        <v>22521.908259358712</v>
      </c>
      <c r="J78" s="21">
        <f>J24/About!$A$39*1000</f>
        <v>22521.908259358712</v>
      </c>
      <c r="K78" s="21">
        <f>K24/About!$A$39*1000</f>
        <v>22521.908259358712</v>
      </c>
      <c r="L78" s="21">
        <f>L24/About!$A$39*1000</f>
        <v>22521.908259358712</v>
      </c>
      <c r="M78" s="21">
        <f>M24/About!$A$39*1000</f>
        <v>22521.908259358712</v>
      </c>
      <c r="N78" s="21">
        <f>N24/About!$A$39*1000</f>
        <v>22521.908259358712</v>
      </c>
      <c r="O78" s="21">
        <f>O24/About!$A$39*1000</f>
        <v>22521.908259358712</v>
      </c>
      <c r="P78" s="21">
        <f>P24/About!$A$39*1000</f>
        <v>22521.908259358712</v>
      </c>
      <c r="Q78" s="21">
        <f>Q24/About!$A$39*1000</f>
        <v>22521.908259358712</v>
      </c>
      <c r="R78" s="21">
        <f>R24/About!$A$39*1000</f>
        <v>22521.908259358712</v>
      </c>
      <c r="S78" s="21">
        <f>S24/About!$A$39*1000</f>
        <v>22521.908259358712</v>
      </c>
      <c r="T78" s="21">
        <f>T24/About!$A$39*1000</f>
        <v>22521.908259358712</v>
      </c>
      <c r="U78" s="21">
        <f>U24/About!$A$39*1000</f>
        <v>22521.908259358712</v>
      </c>
      <c r="V78" s="21">
        <f>V24/About!$A$39*1000</f>
        <v>22521.908259358712</v>
      </c>
      <c r="W78" s="21">
        <f>W24/About!$A$39*1000</f>
        <v>22521.908259358712</v>
      </c>
      <c r="X78" s="21">
        <f>X24/About!$A$39*1000</f>
        <v>22521.908259358712</v>
      </c>
      <c r="Y78" s="21">
        <f>Y24/About!$A$39*1000</f>
        <v>22521.908259358712</v>
      </c>
      <c r="Z78" s="21">
        <f>Z24/About!$A$39*1000</f>
        <v>22521.908259358712</v>
      </c>
      <c r="AA78" s="21">
        <f>AA24/About!$A$39*1000</f>
        <v>22521.908259358712</v>
      </c>
      <c r="AB78" s="21">
        <f>AB24/About!$A$39*1000</f>
        <v>22521.908259358712</v>
      </c>
      <c r="AC78" s="21">
        <f>AC24/About!$A$39*1000</f>
        <v>22521.908259358712</v>
      </c>
      <c r="AD78" s="21">
        <f>AD24/About!$A$39*1000</f>
        <v>22521.908259358712</v>
      </c>
      <c r="AE78" s="21">
        <f>AE24/About!$A$39*1000</f>
        <v>22521.908259358712</v>
      </c>
      <c r="AF78" s="21">
        <f>AF24/About!$A$39*1000</f>
        <v>22521.908259358712</v>
      </c>
    </row>
    <row r="79" spans="1:32">
      <c r="A79" t="s">
        <v>18</v>
      </c>
      <c r="B79" s="21">
        <f>B25/About!$A$39*1000</f>
        <v>47454.337266451825</v>
      </c>
      <c r="C79" s="21">
        <f>C25/About!$A$39*1000</f>
        <v>47454.337266451825</v>
      </c>
      <c r="D79" s="21">
        <f>D25/About!$A$39*1000</f>
        <v>47454.337266451825</v>
      </c>
      <c r="E79" s="21">
        <f>E25/About!$A$39*1000</f>
        <v>47454.337266451825</v>
      </c>
      <c r="F79" s="21">
        <f>F25/About!$A$39*1000</f>
        <v>47454.337266451825</v>
      </c>
      <c r="G79" s="21">
        <f>G25/About!$A$39*1000</f>
        <v>47454.337266451825</v>
      </c>
      <c r="H79" s="21">
        <f>H25/About!$A$39*1000</f>
        <v>47454.337266451825</v>
      </c>
      <c r="I79" s="21">
        <f>I25/About!$A$39*1000</f>
        <v>47454.337266451825</v>
      </c>
      <c r="J79" s="21">
        <f>J25/About!$A$39*1000</f>
        <v>47454.337266451825</v>
      </c>
      <c r="K79" s="21">
        <f>K25/About!$A$39*1000</f>
        <v>47454.337266451825</v>
      </c>
      <c r="L79" s="21">
        <f>L25/About!$A$39*1000</f>
        <v>47454.337266451825</v>
      </c>
      <c r="M79" s="21">
        <f>M25/About!$A$39*1000</f>
        <v>47454.337266451825</v>
      </c>
      <c r="N79" s="21">
        <f>N25/About!$A$39*1000</f>
        <v>47454.337266451825</v>
      </c>
      <c r="O79" s="21">
        <f>O25/About!$A$39*1000</f>
        <v>47454.337266451825</v>
      </c>
      <c r="P79" s="21">
        <f>P25/About!$A$39*1000</f>
        <v>47454.337266451825</v>
      </c>
      <c r="Q79" s="21">
        <f>Q25/About!$A$39*1000</f>
        <v>47454.337266451825</v>
      </c>
      <c r="R79" s="21">
        <f>R25/About!$A$39*1000</f>
        <v>47454.337266451825</v>
      </c>
      <c r="S79" s="21">
        <f>S25/About!$A$39*1000</f>
        <v>47454.337266451825</v>
      </c>
      <c r="T79" s="21">
        <f>T25/About!$A$39*1000</f>
        <v>47454.337266451825</v>
      </c>
      <c r="U79" s="21">
        <f>U25/About!$A$39*1000</f>
        <v>47454.337266451825</v>
      </c>
      <c r="V79" s="21">
        <f>V25/About!$A$39*1000</f>
        <v>47454.337266451825</v>
      </c>
      <c r="W79" s="21">
        <f>W25/About!$A$39*1000</f>
        <v>47454.337266451825</v>
      </c>
      <c r="X79" s="21">
        <f>X25/About!$A$39*1000</f>
        <v>47454.337266451825</v>
      </c>
      <c r="Y79" s="21">
        <f>Y25/About!$A$39*1000</f>
        <v>47454.337266451825</v>
      </c>
      <c r="Z79" s="21">
        <f>Z25/About!$A$39*1000</f>
        <v>47454.337266451825</v>
      </c>
      <c r="AA79" s="21">
        <f>AA25/About!$A$39*1000</f>
        <v>47454.337266451825</v>
      </c>
      <c r="AB79" s="21">
        <f>AB25/About!$A$39*1000</f>
        <v>47454.337266451825</v>
      </c>
      <c r="AC79" s="21">
        <f>AC25/About!$A$39*1000</f>
        <v>47454.337266451825</v>
      </c>
      <c r="AD79" s="21">
        <f>AD25/About!$A$39*1000</f>
        <v>47454.337266451825</v>
      </c>
      <c r="AE79" s="21">
        <f>AE25/About!$A$39*1000</f>
        <v>47454.337266451825</v>
      </c>
      <c r="AF79" s="21">
        <f>AF25/About!$A$39*1000</f>
        <v>47454.337266451825</v>
      </c>
    </row>
    <row r="80" spans="1:32">
      <c r="A80" t="s">
        <v>7</v>
      </c>
      <c r="B80" s="21">
        <f>B26/About!$A$39*1000</f>
        <v>23129.653363002399</v>
      </c>
      <c r="C80" s="21">
        <f>C26/About!$A$39*1000</f>
        <v>23129.653363002399</v>
      </c>
      <c r="D80" s="21">
        <f>D26/About!$A$39*1000</f>
        <v>23129.653363002399</v>
      </c>
      <c r="E80" s="21">
        <f>E26/About!$A$39*1000</f>
        <v>23129.653363002399</v>
      </c>
      <c r="F80" s="21">
        <f>F26/About!$A$39*1000</f>
        <v>23129.653363002399</v>
      </c>
      <c r="G80" s="21">
        <f>G26/About!$A$39*1000</f>
        <v>23129.653363002399</v>
      </c>
      <c r="H80" s="21">
        <f>H26/About!$A$39*1000</f>
        <v>23129.653363002399</v>
      </c>
      <c r="I80" s="21">
        <f>I26/About!$A$39*1000</f>
        <v>23129.653363002399</v>
      </c>
      <c r="J80" s="21">
        <f>J26/About!$A$39*1000</f>
        <v>23129.653363002399</v>
      </c>
      <c r="K80" s="21">
        <f>K26/About!$A$39*1000</f>
        <v>23129.653363002399</v>
      </c>
      <c r="L80" s="21">
        <f>L26/About!$A$39*1000</f>
        <v>23129.653363002399</v>
      </c>
      <c r="M80" s="21">
        <f>M26/About!$A$39*1000</f>
        <v>23129.653363002399</v>
      </c>
      <c r="N80" s="21">
        <f>N26/About!$A$39*1000</f>
        <v>23129.653363002399</v>
      </c>
      <c r="O80" s="21">
        <f>O26/About!$A$39*1000</f>
        <v>23129.653363002399</v>
      </c>
      <c r="P80" s="21">
        <f>P26/About!$A$39*1000</f>
        <v>23129.653363002399</v>
      </c>
      <c r="Q80" s="21">
        <f>Q26/About!$A$39*1000</f>
        <v>23129.653363002399</v>
      </c>
      <c r="R80" s="21">
        <f>R26/About!$A$39*1000</f>
        <v>23129.653363002399</v>
      </c>
      <c r="S80" s="21">
        <f>S26/About!$A$39*1000</f>
        <v>23129.653363002399</v>
      </c>
      <c r="T80" s="21">
        <f>T26/About!$A$39*1000</f>
        <v>23129.653363002399</v>
      </c>
      <c r="U80" s="21">
        <f>U26/About!$A$39*1000</f>
        <v>23129.653363002399</v>
      </c>
      <c r="V80" s="21">
        <f>V26/About!$A$39*1000</f>
        <v>23129.653363002399</v>
      </c>
      <c r="W80" s="21">
        <f>W26/About!$A$39*1000</f>
        <v>23129.653363002399</v>
      </c>
      <c r="X80" s="21">
        <f>X26/About!$A$39*1000</f>
        <v>23129.653363002399</v>
      </c>
      <c r="Y80" s="21">
        <f>Y26/About!$A$39*1000</f>
        <v>23129.653363002399</v>
      </c>
      <c r="Z80" s="21">
        <f>Z26/About!$A$39*1000</f>
        <v>23129.653363002399</v>
      </c>
      <c r="AA80" s="21">
        <f>AA26/About!$A$39*1000</f>
        <v>23129.653363002399</v>
      </c>
      <c r="AB80" s="21">
        <f>AB26/About!$A$39*1000</f>
        <v>23129.653363002399</v>
      </c>
      <c r="AC80" s="21">
        <f>AC26/About!$A$39*1000</f>
        <v>23129.653363002399</v>
      </c>
      <c r="AD80" s="21">
        <f>AD26/About!$A$39*1000</f>
        <v>23129.653363002399</v>
      </c>
      <c r="AE80" s="21">
        <f>AE26/About!$A$39*1000</f>
        <v>23129.653363002399</v>
      </c>
      <c r="AF80" s="21">
        <f>AF26/About!$A$39*1000</f>
        <v>23129.653363002399</v>
      </c>
    </row>
    <row r="81" spans="1:32">
      <c r="A81" t="s">
        <v>8</v>
      </c>
      <c r="B81" s="21">
        <f>B27/About!$A$39*1000</f>
        <v>0</v>
      </c>
      <c r="C81" s="21">
        <f>C27/About!$A$39*1000</f>
        <v>0</v>
      </c>
      <c r="D81" s="21">
        <f>D27/About!$A$39*1000</f>
        <v>0</v>
      </c>
      <c r="E81" s="21">
        <f>E27/About!$A$39*1000</f>
        <v>0</v>
      </c>
      <c r="F81" s="21">
        <f>F27/About!$A$39*1000</f>
        <v>0</v>
      </c>
      <c r="G81" s="21">
        <f>G27/About!$A$39*1000</f>
        <v>0</v>
      </c>
      <c r="H81" s="21">
        <f>H27/About!$A$39*1000</f>
        <v>0</v>
      </c>
      <c r="I81" s="21">
        <f>I27/About!$A$39*1000</f>
        <v>0</v>
      </c>
      <c r="J81" s="21">
        <f>J27/About!$A$39*1000</f>
        <v>0</v>
      </c>
      <c r="K81" s="21">
        <f>K27/About!$A$39*1000</f>
        <v>0</v>
      </c>
      <c r="L81" s="21">
        <f>L27/About!$A$39*1000</f>
        <v>0</v>
      </c>
      <c r="M81" s="21">
        <f>M27/About!$A$39*1000</f>
        <v>0</v>
      </c>
      <c r="N81" s="21">
        <f>N27/About!$A$39*1000</f>
        <v>0</v>
      </c>
      <c r="O81" s="21">
        <f>O27/About!$A$39*1000</f>
        <v>0</v>
      </c>
      <c r="P81" s="21">
        <f>P27/About!$A$39*1000</f>
        <v>0</v>
      </c>
      <c r="Q81" s="21">
        <f>Q27/About!$A$39*1000</f>
        <v>0</v>
      </c>
      <c r="R81" s="21">
        <f>R27/About!$A$39*1000</f>
        <v>0</v>
      </c>
      <c r="S81" s="21">
        <f>S27/About!$A$39*1000</f>
        <v>0</v>
      </c>
      <c r="T81" s="21">
        <f>T27/About!$A$39*1000</f>
        <v>0</v>
      </c>
      <c r="U81" s="21">
        <f>U27/About!$A$39*1000</f>
        <v>0</v>
      </c>
      <c r="V81" s="21">
        <f>V27/About!$A$39*1000</f>
        <v>0</v>
      </c>
      <c r="W81" s="21">
        <f>W27/About!$A$39*1000</f>
        <v>0</v>
      </c>
      <c r="X81" s="21">
        <f>X27/About!$A$39*1000</f>
        <v>0</v>
      </c>
      <c r="Y81" s="21">
        <f>Y27/About!$A$39*1000</f>
        <v>0</v>
      </c>
      <c r="Z81" s="21">
        <f>Z27/About!$A$39*1000</f>
        <v>0</v>
      </c>
      <c r="AA81" s="21">
        <f>AA27/About!$A$39*1000</f>
        <v>0</v>
      </c>
      <c r="AB81" s="21">
        <f>AB27/About!$A$39*1000</f>
        <v>0</v>
      </c>
      <c r="AC81" s="21">
        <f>AC27/About!$A$39*1000</f>
        <v>0</v>
      </c>
      <c r="AD81" s="21">
        <f>AD27/About!$A$39*1000</f>
        <v>0</v>
      </c>
      <c r="AE81" s="21">
        <f>AE27/About!$A$39*1000</f>
        <v>0</v>
      </c>
      <c r="AF81" s="21">
        <f>AF27/About!$A$39*1000</f>
        <v>0</v>
      </c>
    </row>
    <row r="82" spans="1:32">
      <c r="A82" t="s">
        <v>9</v>
      </c>
      <c r="B82" s="21">
        <f>B28/About!$A$39*1000</f>
        <v>88891.056397164095</v>
      </c>
      <c r="C82" s="21">
        <f>C28/About!$A$39*1000</f>
        <v>88891.056397164095</v>
      </c>
      <c r="D82" s="21">
        <f>D28/About!$A$39*1000</f>
        <v>88891.056397164095</v>
      </c>
      <c r="E82" s="21">
        <f>E28/About!$A$39*1000</f>
        <v>88891.056397164095</v>
      </c>
      <c r="F82" s="21">
        <f>F28/About!$A$39*1000</f>
        <v>88891.056397164095</v>
      </c>
      <c r="G82" s="21">
        <f>G28/About!$A$39*1000</f>
        <v>88891.056397164095</v>
      </c>
      <c r="H82" s="21">
        <f>H28/About!$A$39*1000</f>
        <v>88891.056397164095</v>
      </c>
      <c r="I82" s="21">
        <f>I28/About!$A$39*1000</f>
        <v>88891.056397164095</v>
      </c>
      <c r="J82" s="21">
        <f>J28/About!$A$39*1000</f>
        <v>88891.056397164095</v>
      </c>
      <c r="K82" s="21">
        <f>K28/About!$A$39*1000</f>
        <v>88891.056397164095</v>
      </c>
      <c r="L82" s="21">
        <f>L28/About!$A$39*1000</f>
        <v>88891.056397164095</v>
      </c>
      <c r="M82" s="21">
        <f>M28/About!$A$39*1000</f>
        <v>88891.056397164095</v>
      </c>
      <c r="N82" s="21">
        <f>N28/About!$A$39*1000</f>
        <v>88891.056397164095</v>
      </c>
      <c r="O82" s="21">
        <f>O28/About!$A$39*1000</f>
        <v>88891.056397164095</v>
      </c>
      <c r="P82" s="21">
        <f>P28/About!$A$39*1000</f>
        <v>88891.056397164095</v>
      </c>
      <c r="Q82" s="21">
        <f>Q28/About!$A$39*1000</f>
        <v>88891.056397164095</v>
      </c>
      <c r="R82" s="21">
        <f>R28/About!$A$39*1000</f>
        <v>88891.056397164095</v>
      </c>
      <c r="S82" s="21">
        <f>S28/About!$A$39*1000</f>
        <v>88891.056397164095</v>
      </c>
      <c r="T82" s="21">
        <f>T28/About!$A$39*1000</f>
        <v>88891.056397164095</v>
      </c>
      <c r="U82" s="21">
        <f>U28/About!$A$39*1000</f>
        <v>88891.056397164095</v>
      </c>
      <c r="V82" s="21">
        <f>V28/About!$A$39*1000</f>
        <v>88891.056397164095</v>
      </c>
      <c r="W82" s="21">
        <f>W28/About!$A$39*1000</f>
        <v>88891.056397164095</v>
      </c>
      <c r="X82" s="21">
        <f>X28/About!$A$39*1000</f>
        <v>88891.056397164095</v>
      </c>
      <c r="Y82" s="21">
        <f>Y28/About!$A$39*1000</f>
        <v>88891.056397164095</v>
      </c>
      <c r="Z82" s="21">
        <f>Z28/About!$A$39*1000</f>
        <v>88891.056397164095</v>
      </c>
      <c r="AA82" s="21">
        <f>AA28/About!$A$39*1000</f>
        <v>88891.056397164095</v>
      </c>
      <c r="AB82" s="21">
        <f>AB28/About!$A$39*1000</f>
        <v>88891.056397164095</v>
      </c>
      <c r="AC82" s="21">
        <f>AC28/About!$A$39*1000</f>
        <v>88891.056397164095</v>
      </c>
      <c r="AD82" s="21">
        <f>AD28/About!$A$39*1000</f>
        <v>88891.056397164095</v>
      </c>
      <c r="AE82" s="21">
        <f>AE28/About!$A$39*1000</f>
        <v>88891.056397164095</v>
      </c>
      <c r="AF82" s="21">
        <f>AF28/About!$A$39*1000</f>
        <v>88891.056397164095</v>
      </c>
    </row>
    <row r="83" spans="1:32">
      <c r="A83" t="s">
        <v>12</v>
      </c>
      <c r="B83" s="21">
        <f>B29/About!$A$39*1000</f>
        <v>205200.00000000003</v>
      </c>
      <c r="C83" s="21">
        <f>C29/About!$A$39*1000</f>
        <v>205200.00000000003</v>
      </c>
      <c r="D83" s="21">
        <f>D29/About!$A$39*1000</f>
        <v>205200.00000000003</v>
      </c>
      <c r="E83" s="21">
        <f>E29/About!$A$39*1000</f>
        <v>205200.00000000003</v>
      </c>
      <c r="F83" s="21">
        <f>F29/About!$A$39*1000</f>
        <v>205200.00000000003</v>
      </c>
      <c r="G83" s="21">
        <f>G29/About!$A$39*1000</f>
        <v>205200.00000000003</v>
      </c>
      <c r="H83" s="21">
        <f>H29/About!$A$39*1000</f>
        <v>205200.00000000003</v>
      </c>
      <c r="I83" s="21">
        <f>I29/About!$A$39*1000</f>
        <v>205200.00000000003</v>
      </c>
      <c r="J83" s="21">
        <f>J29/About!$A$39*1000</f>
        <v>205200.00000000003</v>
      </c>
      <c r="K83" s="21">
        <f>K29/About!$A$39*1000</f>
        <v>205200.00000000003</v>
      </c>
      <c r="L83" s="21">
        <f>L29/About!$A$39*1000</f>
        <v>205200.00000000003</v>
      </c>
      <c r="M83" s="21">
        <f>M29/About!$A$39*1000</f>
        <v>205200.00000000003</v>
      </c>
      <c r="N83" s="21">
        <f>N29/About!$A$39*1000</f>
        <v>205200.00000000003</v>
      </c>
      <c r="O83" s="21">
        <f>O29/About!$A$39*1000</f>
        <v>205200.00000000003</v>
      </c>
      <c r="P83" s="21">
        <f>P29/About!$A$39*1000</f>
        <v>205200.00000000003</v>
      </c>
      <c r="Q83" s="21">
        <f>Q29/About!$A$39*1000</f>
        <v>205200.00000000003</v>
      </c>
      <c r="R83" s="21">
        <f>R29/About!$A$39*1000</f>
        <v>205200.00000000003</v>
      </c>
      <c r="S83" s="21">
        <f>S29/About!$A$39*1000</f>
        <v>205200.00000000003</v>
      </c>
      <c r="T83" s="21">
        <f>T29/About!$A$39*1000</f>
        <v>205200.00000000003</v>
      </c>
      <c r="U83" s="21">
        <f>U29/About!$A$39*1000</f>
        <v>205200.00000000003</v>
      </c>
      <c r="V83" s="21">
        <f>V29/About!$A$39*1000</f>
        <v>205200.00000000003</v>
      </c>
      <c r="W83" s="21">
        <f>W29/About!$A$39*1000</f>
        <v>205200.00000000003</v>
      </c>
      <c r="X83" s="21">
        <f>X29/About!$A$39*1000</f>
        <v>205200.00000000003</v>
      </c>
      <c r="Y83" s="21">
        <f>Y29/About!$A$39*1000</f>
        <v>205200.00000000003</v>
      </c>
      <c r="Z83" s="21">
        <f>Z29/About!$A$39*1000</f>
        <v>205200.00000000003</v>
      </c>
      <c r="AA83" s="21">
        <f>AA29/About!$A$39*1000</f>
        <v>205200.00000000003</v>
      </c>
      <c r="AB83" s="21">
        <f>AB29/About!$A$39*1000</f>
        <v>205200.00000000003</v>
      </c>
      <c r="AC83" s="21">
        <f>AC29/About!$A$39*1000</f>
        <v>205200.00000000003</v>
      </c>
      <c r="AD83" s="21">
        <f>AD29/About!$A$39*1000</f>
        <v>205200.00000000003</v>
      </c>
      <c r="AE83" s="21">
        <f>AE29/About!$A$39*1000</f>
        <v>205200.00000000003</v>
      </c>
      <c r="AF83" s="21">
        <f>AF29/About!$A$39*1000</f>
        <v>205200.00000000003</v>
      </c>
    </row>
    <row r="84" spans="1:32">
      <c r="A84" t="s">
        <v>13</v>
      </c>
      <c r="B84" s="21">
        <f>B30/About!$A$39*1000</f>
        <v>44072.77283092928</v>
      </c>
      <c r="C84" s="21">
        <f>C30/About!$A$39*1000</f>
        <v>44072.77283092928</v>
      </c>
      <c r="D84" s="21">
        <f>D30/About!$A$39*1000</f>
        <v>44072.77283092928</v>
      </c>
      <c r="E84" s="21">
        <f>E30/About!$A$39*1000</f>
        <v>44072.77283092928</v>
      </c>
      <c r="F84" s="21">
        <f>F30/About!$A$39*1000</f>
        <v>44072.77283092928</v>
      </c>
      <c r="G84" s="21">
        <f>G30/About!$A$39*1000</f>
        <v>44072.77283092928</v>
      </c>
      <c r="H84" s="21">
        <f>H30/About!$A$39*1000</f>
        <v>44072.77283092928</v>
      </c>
      <c r="I84" s="21">
        <f>I30/About!$A$39*1000</f>
        <v>44072.77283092928</v>
      </c>
      <c r="J84" s="21">
        <f>J30/About!$A$39*1000</f>
        <v>44072.77283092928</v>
      </c>
      <c r="K84" s="21">
        <f>K30/About!$A$39*1000</f>
        <v>44072.77283092928</v>
      </c>
      <c r="L84" s="21">
        <f>L30/About!$A$39*1000</f>
        <v>44072.77283092928</v>
      </c>
      <c r="M84" s="21">
        <f>M30/About!$A$39*1000</f>
        <v>44072.772830929272</v>
      </c>
      <c r="N84" s="21">
        <f>N30/About!$A$39*1000</f>
        <v>44072.772830929272</v>
      </c>
      <c r="O84" s="21">
        <f>O30/About!$A$39*1000</f>
        <v>44072.772830929272</v>
      </c>
      <c r="P84" s="21">
        <f>P30/About!$A$39*1000</f>
        <v>44072.772830929272</v>
      </c>
      <c r="Q84" s="21">
        <f>Q30/About!$A$39*1000</f>
        <v>44072.772830929272</v>
      </c>
      <c r="R84" s="21">
        <f>R30/About!$A$39*1000</f>
        <v>44072.772830929272</v>
      </c>
      <c r="S84" s="21">
        <f>S30/About!$A$39*1000</f>
        <v>44072.772830929272</v>
      </c>
      <c r="T84" s="21">
        <f>T30/About!$A$39*1000</f>
        <v>44072.772830929272</v>
      </c>
      <c r="U84" s="21">
        <f>U30/About!$A$39*1000</f>
        <v>44072.772830929272</v>
      </c>
      <c r="V84" s="21">
        <f>V30/About!$A$39*1000</f>
        <v>44072.772830929272</v>
      </c>
      <c r="W84" s="21">
        <f>W30/About!$A$39*1000</f>
        <v>44072.772830929272</v>
      </c>
      <c r="X84" s="21">
        <f>X30/About!$A$39*1000</f>
        <v>44072.772830929272</v>
      </c>
      <c r="Y84" s="21">
        <f>Y30/About!$A$39*1000</f>
        <v>44072.772830929272</v>
      </c>
      <c r="Z84" s="21">
        <f>Z30/About!$A$39*1000</f>
        <v>44072.772830929272</v>
      </c>
      <c r="AA84" s="21">
        <f>AA30/About!$A$39*1000</f>
        <v>44072.772830929272</v>
      </c>
      <c r="AB84" s="21">
        <f>AB30/About!$A$39*1000</f>
        <v>44072.772830929272</v>
      </c>
      <c r="AC84" s="21">
        <f>AC30/About!$A$39*1000</f>
        <v>44072.772830929272</v>
      </c>
      <c r="AD84" s="21">
        <f>AD30/About!$A$39*1000</f>
        <v>44072.772830929272</v>
      </c>
      <c r="AE84" s="21">
        <f>AE30/About!$A$39*1000</f>
        <v>44072.772830929272</v>
      </c>
      <c r="AF84" s="21">
        <f>AF30/About!$A$39*1000</f>
        <v>44072.772830929272</v>
      </c>
    </row>
    <row r="85" spans="1:32">
      <c r="A85" t="s">
        <v>14</v>
      </c>
      <c r="B85" s="21">
        <f>B31/About!$A$39*1000</f>
        <v>15296.281644501358</v>
      </c>
      <c r="C85" s="21">
        <f>C31/About!$A$39*1000</f>
        <v>15296.281644501358</v>
      </c>
      <c r="D85" s="21">
        <f>D31/About!$A$39*1000</f>
        <v>15296.281644501358</v>
      </c>
      <c r="E85" s="21">
        <f>E31/About!$A$39*1000</f>
        <v>15296.281644501358</v>
      </c>
      <c r="F85" s="21">
        <f>F31/About!$A$39*1000</f>
        <v>15296.281644501358</v>
      </c>
      <c r="G85" s="21">
        <f>G31/About!$A$39*1000</f>
        <v>15296.281644501358</v>
      </c>
      <c r="H85" s="21">
        <f>H31/About!$A$39*1000</f>
        <v>15296.281644501358</v>
      </c>
      <c r="I85" s="21">
        <f>I31/About!$A$39*1000</f>
        <v>15296.281644501358</v>
      </c>
      <c r="J85" s="21">
        <f>J31/About!$A$39*1000</f>
        <v>15296.281644501358</v>
      </c>
      <c r="K85" s="21">
        <f>K31/About!$A$39*1000</f>
        <v>15296.281644501358</v>
      </c>
      <c r="L85" s="21">
        <f>L31/About!$A$39*1000</f>
        <v>15296.281644501358</v>
      </c>
      <c r="M85" s="21">
        <f>M31/About!$A$39*1000</f>
        <v>15296.281644501361</v>
      </c>
      <c r="N85" s="21">
        <f>N31/About!$A$39*1000</f>
        <v>15296.281644501361</v>
      </c>
      <c r="O85" s="21">
        <f>O31/About!$A$39*1000</f>
        <v>15296.281644501361</v>
      </c>
      <c r="P85" s="21">
        <f>P31/About!$A$39*1000</f>
        <v>15296.281644501361</v>
      </c>
      <c r="Q85" s="21">
        <f>Q31/About!$A$39*1000</f>
        <v>15296.281644501361</v>
      </c>
      <c r="R85" s="21">
        <f>R31/About!$A$39*1000</f>
        <v>15296.281644501361</v>
      </c>
      <c r="S85" s="21">
        <f>S31/About!$A$39*1000</f>
        <v>15296.281644501361</v>
      </c>
      <c r="T85" s="21">
        <f>T31/About!$A$39*1000</f>
        <v>15296.281644501361</v>
      </c>
      <c r="U85" s="21">
        <f>U31/About!$A$39*1000</f>
        <v>15296.281644501361</v>
      </c>
      <c r="V85" s="21">
        <f>V31/About!$A$39*1000</f>
        <v>15296.281644501361</v>
      </c>
      <c r="W85" s="21">
        <f>W31/About!$A$39*1000</f>
        <v>15296.281644501361</v>
      </c>
      <c r="X85" s="21">
        <f>X31/About!$A$39*1000</f>
        <v>15296.281644501361</v>
      </c>
      <c r="Y85" s="21">
        <f>Y31/About!$A$39*1000</f>
        <v>15296.281644501361</v>
      </c>
      <c r="Z85" s="21">
        <f>Z31/About!$A$39*1000</f>
        <v>15296.281644501361</v>
      </c>
      <c r="AA85" s="21">
        <f>AA31/About!$A$39*1000</f>
        <v>15296.281644501361</v>
      </c>
      <c r="AB85" s="21">
        <f>AB31/About!$A$39*1000</f>
        <v>15296.281644501361</v>
      </c>
      <c r="AC85" s="21">
        <f>AC31/About!$A$39*1000</f>
        <v>15296.281644501361</v>
      </c>
      <c r="AD85" s="21">
        <f>AD31/About!$A$39*1000</f>
        <v>15296.281644501361</v>
      </c>
      <c r="AE85" s="21">
        <f>AE31/About!$A$39*1000</f>
        <v>15296.281644501361</v>
      </c>
      <c r="AF85" s="21">
        <f>AF31/About!$A$39*1000</f>
        <v>15296.281644501361</v>
      </c>
    </row>
    <row r="86" spans="1:32">
      <c r="A86" t="s">
        <v>19</v>
      </c>
      <c r="B86" s="21">
        <f>B32/About!$A$39*1000</f>
        <v>62002.387969942749</v>
      </c>
      <c r="C86" s="21">
        <f>C32/About!$A$39*1000</f>
        <v>62002.387969942749</v>
      </c>
      <c r="D86" s="21">
        <f>D32/About!$A$39*1000</f>
        <v>62002.387969942749</v>
      </c>
      <c r="E86" s="21">
        <f>E32/About!$A$39*1000</f>
        <v>62002.387969942749</v>
      </c>
      <c r="F86" s="21">
        <f>F32/About!$A$39*1000</f>
        <v>62002.387969942749</v>
      </c>
      <c r="G86" s="21">
        <f>G32/About!$A$39*1000</f>
        <v>62002.387969942749</v>
      </c>
      <c r="H86" s="21">
        <f>H32/About!$A$39*1000</f>
        <v>62002.387969942749</v>
      </c>
      <c r="I86" s="21">
        <f>I32/About!$A$39*1000</f>
        <v>62002.387969942749</v>
      </c>
      <c r="J86" s="21">
        <f>J32/About!$A$39*1000</f>
        <v>62002.387969942749</v>
      </c>
      <c r="K86" s="21">
        <f>K32/About!$A$39*1000</f>
        <v>62002.387969942749</v>
      </c>
      <c r="L86" s="21">
        <f>L32/About!$A$39*1000</f>
        <v>62002.387969942749</v>
      </c>
      <c r="M86" s="21">
        <f>M32/About!$A$39*1000</f>
        <v>62002.387969942756</v>
      </c>
      <c r="N86" s="21">
        <f>N32/About!$A$39*1000</f>
        <v>62002.387969942756</v>
      </c>
      <c r="O86" s="21">
        <f>O32/About!$A$39*1000</f>
        <v>62002.387969942756</v>
      </c>
      <c r="P86" s="21">
        <f>P32/About!$A$39*1000</f>
        <v>62002.387969942756</v>
      </c>
      <c r="Q86" s="21">
        <f>Q32/About!$A$39*1000</f>
        <v>62002.387969942756</v>
      </c>
      <c r="R86" s="21">
        <f>R32/About!$A$39*1000</f>
        <v>62002.387969942756</v>
      </c>
      <c r="S86" s="21">
        <f>S32/About!$A$39*1000</f>
        <v>62002.387969942756</v>
      </c>
      <c r="T86" s="21">
        <f>T32/About!$A$39*1000</f>
        <v>62002.387969942756</v>
      </c>
      <c r="U86" s="21">
        <f>U32/About!$A$39*1000</f>
        <v>62002.387969942756</v>
      </c>
      <c r="V86" s="21">
        <f>V32/About!$A$39*1000</f>
        <v>62002.387969942756</v>
      </c>
      <c r="W86" s="21">
        <f>W32/About!$A$39*1000</f>
        <v>62002.387969942756</v>
      </c>
      <c r="X86" s="21">
        <f>X32/About!$A$39*1000</f>
        <v>62002.387969942756</v>
      </c>
      <c r="Y86" s="21">
        <f>Y32/About!$A$39*1000</f>
        <v>62002.387969942756</v>
      </c>
      <c r="Z86" s="21">
        <f>Z32/About!$A$39*1000</f>
        <v>62002.387969942756</v>
      </c>
      <c r="AA86" s="21">
        <f>AA32/About!$A$39*1000</f>
        <v>62002.387969942756</v>
      </c>
      <c r="AB86" s="21">
        <f>AB32/About!$A$39*1000</f>
        <v>62002.387969942756</v>
      </c>
      <c r="AC86" s="21">
        <f>AC32/About!$A$39*1000</f>
        <v>62002.387969942756</v>
      </c>
      <c r="AD86" s="21">
        <f>AD32/About!$A$39*1000</f>
        <v>62002.387969942756</v>
      </c>
      <c r="AE86" s="21">
        <f>AE32/About!$A$39*1000</f>
        <v>62002.387969942756</v>
      </c>
      <c r="AF86" s="21">
        <f>AF32/About!$A$39*1000</f>
        <v>62002.387969942756</v>
      </c>
    </row>
    <row r="87" spans="1:32">
      <c r="A87" t="s">
        <v>17</v>
      </c>
      <c r="B87" s="21">
        <f>B33/About!$A$39*1000</f>
        <v>113458.15247823941</v>
      </c>
      <c r="C87" s="21">
        <f>C33/About!$A$39*1000</f>
        <v>113458.15247823941</v>
      </c>
      <c r="D87" s="21">
        <f>D33/About!$A$39*1000</f>
        <v>113458.15247823941</v>
      </c>
      <c r="E87" s="21">
        <f>E33/About!$A$39*1000</f>
        <v>113458.15247823941</v>
      </c>
      <c r="F87" s="21">
        <f>F33/About!$A$39*1000</f>
        <v>113458.15247823941</v>
      </c>
      <c r="G87" s="21">
        <f>G33/About!$A$39*1000</f>
        <v>113458.15247823941</v>
      </c>
      <c r="H87" s="21">
        <f>H33/About!$A$39*1000</f>
        <v>113458.15247823941</v>
      </c>
      <c r="I87" s="21">
        <f>I33/About!$A$39*1000</f>
        <v>113458.15247823941</v>
      </c>
      <c r="J87" s="21">
        <f>J33/About!$A$39*1000</f>
        <v>113458.15247823941</v>
      </c>
      <c r="K87" s="21">
        <f>K33/About!$A$39*1000</f>
        <v>113458.15247823941</v>
      </c>
      <c r="L87" s="21">
        <f>L33/About!$A$39*1000</f>
        <v>113458.15247823941</v>
      </c>
      <c r="M87" s="21">
        <f>M33/About!$A$39*1000</f>
        <v>113458.15247823941</v>
      </c>
      <c r="N87" s="21">
        <f>N33/About!$A$39*1000</f>
        <v>113458.15247823941</v>
      </c>
      <c r="O87" s="21">
        <f>O33/About!$A$39*1000</f>
        <v>113458.15247823941</v>
      </c>
      <c r="P87" s="21">
        <f>P33/About!$A$39*1000</f>
        <v>113458.15247823941</v>
      </c>
      <c r="Q87" s="21">
        <f>Q33/About!$A$39*1000</f>
        <v>113458.15247823941</v>
      </c>
      <c r="R87" s="21">
        <f>R33/About!$A$39*1000</f>
        <v>113458.15247823941</v>
      </c>
      <c r="S87" s="21">
        <f>S33/About!$A$39*1000</f>
        <v>113458.15247823941</v>
      </c>
      <c r="T87" s="21">
        <f>T33/About!$A$39*1000</f>
        <v>113458.15247823941</v>
      </c>
      <c r="U87" s="21">
        <f>U33/About!$A$39*1000</f>
        <v>113458.15247823941</v>
      </c>
      <c r="V87" s="21">
        <f>V33/About!$A$39*1000</f>
        <v>113458.15247823941</v>
      </c>
      <c r="W87" s="21">
        <f>W33/About!$A$39*1000</f>
        <v>113458.15247823941</v>
      </c>
      <c r="X87" s="21">
        <f>X33/About!$A$39*1000</f>
        <v>113458.15247823941</v>
      </c>
      <c r="Y87" s="21">
        <f>Y33/About!$A$39*1000</f>
        <v>113458.15247823941</v>
      </c>
      <c r="Z87" s="21">
        <f>Z33/About!$A$39*1000</f>
        <v>113458.15247823941</v>
      </c>
      <c r="AA87" s="21">
        <f>AA33/About!$A$39*1000</f>
        <v>113458.15247823941</v>
      </c>
      <c r="AB87" s="21">
        <f>AB33/About!$A$39*1000</f>
        <v>113458.15247823941</v>
      </c>
      <c r="AC87" s="21">
        <f>AC33/About!$A$39*1000</f>
        <v>113458.15247823941</v>
      </c>
      <c r="AD87" s="21">
        <f>AD33/About!$A$39*1000</f>
        <v>113458.15247823941</v>
      </c>
      <c r="AE87" s="21">
        <f>AE33/About!$A$39*1000</f>
        <v>113458.15247823941</v>
      </c>
      <c r="AF87" s="21">
        <f>AF33/About!$A$39*1000</f>
        <v>113458.15247823941</v>
      </c>
    </row>
    <row r="88" spans="1:32">
      <c r="A88" t="s">
        <v>20</v>
      </c>
      <c r="B88" s="21">
        <f>B34/About!$A$39*1000</f>
        <v>44072.77283092928</v>
      </c>
      <c r="C88" s="21">
        <f>C34/About!$A$39*1000</f>
        <v>44072.77283092928</v>
      </c>
      <c r="D88" s="21">
        <f>D34/About!$A$39*1000</f>
        <v>44072.77283092928</v>
      </c>
      <c r="E88" s="21">
        <f>E34/About!$A$39*1000</f>
        <v>44072.77283092928</v>
      </c>
      <c r="F88" s="21">
        <f>F34/About!$A$39*1000</f>
        <v>44072.77283092928</v>
      </c>
      <c r="G88" s="21">
        <f>G34/About!$A$39*1000</f>
        <v>44072.77283092928</v>
      </c>
      <c r="H88" s="21">
        <f>H34/About!$A$39*1000</f>
        <v>44072.77283092928</v>
      </c>
      <c r="I88" s="21">
        <f>I34/About!$A$39*1000</f>
        <v>44072.77283092928</v>
      </c>
      <c r="J88" s="21">
        <f>J34/About!$A$39*1000</f>
        <v>44072.77283092928</v>
      </c>
      <c r="K88" s="21">
        <f>K34/About!$A$39*1000</f>
        <v>44072.77283092928</v>
      </c>
      <c r="L88" s="21">
        <f>L34/About!$A$39*1000</f>
        <v>44072.77283092928</v>
      </c>
      <c r="M88" s="21">
        <f>M34/About!$A$39*1000</f>
        <v>44072.772830929272</v>
      </c>
      <c r="N88" s="21">
        <f>N34/About!$A$39*1000</f>
        <v>44072.772830929272</v>
      </c>
      <c r="O88" s="21">
        <f>O34/About!$A$39*1000</f>
        <v>44072.772830929272</v>
      </c>
      <c r="P88" s="21">
        <f>P34/About!$A$39*1000</f>
        <v>44072.772830929272</v>
      </c>
      <c r="Q88" s="21">
        <f>Q34/About!$A$39*1000</f>
        <v>44072.772830929272</v>
      </c>
      <c r="R88" s="21">
        <f>R34/About!$A$39*1000</f>
        <v>44072.772830929272</v>
      </c>
      <c r="S88" s="21">
        <f>S34/About!$A$39*1000</f>
        <v>44072.772830929272</v>
      </c>
      <c r="T88" s="21">
        <f>T34/About!$A$39*1000</f>
        <v>44072.772830929272</v>
      </c>
      <c r="U88" s="21">
        <f>U34/About!$A$39*1000</f>
        <v>44072.772830929272</v>
      </c>
      <c r="V88" s="21">
        <f>V34/About!$A$39*1000</f>
        <v>44072.772830929272</v>
      </c>
      <c r="W88" s="21">
        <f>W34/About!$A$39*1000</f>
        <v>44072.772830929272</v>
      </c>
      <c r="X88" s="21">
        <f>X34/About!$A$39*1000</f>
        <v>44072.772830929272</v>
      </c>
      <c r="Y88" s="21">
        <f>Y34/About!$A$39*1000</f>
        <v>44072.772830929272</v>
      </c>
      <c r="Z88" s="21">
        <f>Z34/About!$A$39*1000</f>
        <v>44072.772830929272</v>
      </c>
      <c r="AA88" s="21">
        <f>AA34/About!$A$39*1000</f>
        <v>44072.772830929272</v>
      </c>
      <c r="AB88" s="21">
        <f>AB34/About!$A$39*1000</f>
        <v>44072.772830929272</v>
      </c>
      <c r="AC88" s="21">
        <f>AC34/About!$A$39*1000</f>
        <v>44072.772830929272</v>
      </c>
      <c r="AD88" s="21">
        <f>AD34/About!$A$39*1000</f>
        <v>44072.772830929272</v>
      </c>
      <c r="AE88" s="21">
        <f>AE34/About!$A$39*1000</f>
        <v>44072.772830929272</v>
      </c>
      <c r="AF88" s="21">
        <f>AF34/About!$A$39*1000</f>
        <v>44072.772830929272</v>
      </c>
    </row>
    <row r="89" spans="1:32">
      <c r="A89" t="s">
        <v>21</v>
      </c>
      <c r="B89" s="21">
        <f>B35/About!$A$39*1000</f>
        <v>44072.77283092928</v>
      </c>
      <c r="C89" s="21">
        <f>C35/About!$A$39*1000</f>
        <v>44072.77283092928</v>
      </c>
      <c r="D89" s="21">
        <f>D35/About!$A$39*1000</f>
        <v>44072.77283092928</v>
      </c>
      <c r="E89" s="21">
        <f>E35/About!$A$39*1000</f>
        <v>44072.77283092928</v>
      </c>
      <c r="F89" s="21">
        <f>F35/About!$A$39*1000</f>
        <v>44072.77283092928</v>
      </c>
      <c r="G89" s="21">
        <f>G35/About!$A$39*1000</f>
        <v>44072.77283092928</v>
      </c>
      <c r="H89" s="21">
        <f>H35/About!$A$39*1000</f>
        <v>44072.77283092928</v>
      </c>
      <c r="I89" s="21">
        <f>I35/About!$A$39*1000</f>
        <v>44072.77283092928</v>
      </c>
      <c r="J89" s="21">
        <f>J35/About!$A$39*1000</f>
        <v>44072.77283092928</v>
      </c>
      <c r="K89" s="21">
        <f>K35/About!$A$39*1000</f>
        <v>44072.77283092928</v>
      </c>
      <c r="L89" s="21">
        <f>L35/About!$A$39*1000</f>
        <v>44072.77283092928</v>
      </c>
      <c r="M89" s="21">
        <f>M35/About!$A$39*1000</f>
        <v>44072.772830929272</v>
      </c>
      <c r="N89" s="21">
        <f>N35/About!$A$39*1000</f>
        <v>44072.772830929272</v>
      </c>
      <c r="O89" s="21">
        <f>O35/About!$A$39*1000</f>
        <v>44072.772830929272</v>
      </c>
      <c r="P89" s="21">
        <f>P35/About!$A$39*1000</f>
        <v>44072.772830929272</v>
      </c>
      <c r="Q89" s="21">
        <f>Q35/About!$A$39*1000</f>
        <v>44072.772830929272</v>
      </c>
      <c r="R89" s="21">
        <f>R35/About!$A$39*1000</f>
        <v>44072.772830929272</v>
      </c>
      <c r="S89" s="21">
        <f>S35/About!$A$39*1000</f>
        <v>44072.772830929272</v>
      </c>
      <c r="T89" s="21">
        <f>T35/About!$A$39*1000</f>
        <v>44072.772830929272</v>
      </c>
      <c r="U89" s="21">
        <f>U35/About!$A$39*1000</f>
        <v>44072.772830929272</v>
      </c>
      <c r="V89" s="21">
        <f>V35/About!$A$39*1000</f>
        <v>44072.772830929272</v>
      </c>
      <c r="W89" s="21">
        <f>W35/About!$A$39*1000</f>
        <v>44072.772830929272</v>
      </c>
      <c r="X89" s="21">
        <f>X35/About!$A$39*1000</f>
        <v>44072.772830929272</v>
      </c>
      <c r="Y89" s="21">
        <f>Y35/About!$A$39*1000</f>
        <v>44072.772830929272</v>
      </c>
      <c r="Z89" s="21">
        <f>Z35/About!$A$39*1000</f>
        <v>44072.772830929272</v>
      </c>
      <c r="AA89" s="21">
        <f>AA35/About!$A$39*1000</f>
        <v>44072.772830929272</v>
      </c>
      <c r="AB89" s="21">
        <f>AB35/About!$A$39*1000</f>
        <v>44072.772830929272</v>
      </c>
      <c r="AC89" s="21">
        <f>AC35/About!$A$39*1000</f>
        <v>44072.772830929272</v>
      </c>
      <c r="AD89" s="21">
        <f>AD35/About!$A$39*1000</f>
        <v>44072.772830929272</v>
      </c>
      <c r="AE89" s="21">
        <f>AE35/About!$A$39*1000</f>
        <v>44072.772830929272</v>
      </c>
      <c r="AF89" s="21">
        <f>AF35/About!$A$39*1000</f>
        <v>44072.772830929272</v>
      </c>
    </row>
    <row r="90" spans="1:32">
      <c r="A90" t="s">
        <v>22</v>
      </c>
      <c r="B90" s="21">
        <f>B36/About!$A$39*1000</f>
        <v>111598.18276548138</v>
      </c>
      <c r="C90" s="21">
        <f>C36/About!$A$39*1000</f>
        <v>111598.18276548138</v>
      </c>
      <c r="D90" s="21">
        <f>D36/About!$A$39*1000</f>
        <v>111598.18276548138</v>
      </c>
      <c r="E90" s="21">
        <f>E36/About!$A$39*1000</f>
        <v>111598.18276548138</v>
      </c>
      <c r="F90" s="21">
        <f>F36/About!$A$39*1000</f>
        <v>111598.18276548138</v>
      </c>
      <c r="G90" s="21">
        <f>G36/About!$A$39*1000</f>
        <v>111598.18276548138</v>
      </c>
      <c r="H90" s="21">
        <f>H36/About!$A$39*1000</f>
        <v>111598.18276548138</v>
      </c>
      <c r="I90" s="21">
        <f>I36/About!$A$39*1000</f>
        <v>111598.18276548138</v>
      </c>
      <c r="J90" s="21">
        <f>J36/About!$A$39*1000</f>
        <v>111598.18276548138</v>
      </c>
      <c r="K90" s="21">
        <f>K36/About!$A$39*1000</f>
        <v>111598.18276548138</v>
      </c>
      <c r="L90" s="21">
        <f>L36/About!$A$39*1000</f>
        <v>111598.18276548138</v>
      </c>
      <c r="M90" s="21">
        <f>M36/About!$A$39*1000</f>
        <v>111598.18276548138</v>
      </c>
      <c r="N90" s="21">
        <f>N36/About!$A$39*1000</f>
        <v>111598.18276548138</v>
      </c>
      <c r="O90" s="21">
        <f>O36/About!$A$39*1000</f>
        <v>111598.18276548138</v>
      </c>
      <c r="P90" s="21">
        <f>P36/About!$A$39*1000</f>
        <v>111598.18276548138</v>
      </c>
      <c r="Q90" s="21">
        <f>Q36/About!$A$39*1000</f>
        <v>111598.18276548138</v>
      </c>
      <c r="R90" s="21">
        <f>R36/About!$A$39*1000</f>
        <v>111598.18276548138</v>
      </c>
      <c r="S90" s="21">
        <f>S36/About!$A$39*1000</f>
        <v>111598.18276548138</v>
      </c>
      <c r="T90" s="21">
        <f>T36/About!$A$39*1000</f>
        <v>111598.18276548138</v>
      </c>
      <c r="U90" s="21">
        <f>U36/About!$A$39*1000</f>
        <v>111598.18276548138</v>
      </c>
      <c r="V90" s="21">
        <f>V36/About!$A$39*1000</f>
        <v>111598.18276548138</v>
      </c>
      <c r="W90" s="21">
        <f>W36/About!$A$39*1000</f>
        <v>111598.18276548138</v>
      </c>
      <c r="X90" s="21">
        <f>X36/About!$A$39*1000</f>
        <v>111598.18276548138</v>
      </c>
      <c r="Y90" s="21">
        <f>Y36/About!$A$39*1000</f>
        <v>111598.18276548138</v>
      </c>
      <c r="Z90" s="21">
        <f>Z36/About!$A$39*1000</f>
        <v>111598.18276548138</v>
      </c>
      <c r="AA90" s="21">
        <f>AA36/About!$A$39*1000</f>
        <v>111598.18276548138</v>
      </c>
      <c r="AB90" s="21">
        <f>AB36/About!$A$39*1000</f>
        <v>111598.18276548138</v>
      </c>
      <c r="AC90" s="21">
        <f>AC36/About!$A$39*1000</f>
        <v>111598.18276548138</v>
      </c>
      <c r="AD90" s="21">
        <f>AD36/About!$A$39*1000</f>
        <v>111598.18276548138</v>
      </c>
      <c r="AE90" s="21">
        <f>AE36/About!$A$39*1000</f>
        <v>111598.18276548138</v>
      </c>
      <c r="AF90" s="21">
        <f>AF36/About!$A$39*1000</f>
        <v>111598.18276548138</v>
      </c>
    </row>
    <row r="91" spans="1:32">
      <c r="A9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</row>
    <row r="92" spans="1:32">
      <c r="A92" s="17" t="s">
        <v>48</v>
      </c>
      <c r="B92" s="20">
        <v>2020</v>
      </c>
      <c r="C92" s="20">
        <v>2021</v>
      </c>
      <c r="D92" s="20">
        <v>2022</v>
      </c>
      <c r="E92" s="20">
        <v>2023</v>
      </c>
      <c r="F92" s="20">
        <v>2024</v>
      </c>
      <c r="G92" s="20">
        <v>2025</v>
      </c>
      <c r="H92" s="20">
        <v>2026</v>
      </c>
      <c r="I92" s="20">
        <v>2027</v>
      </c>
      <c r="J92" s="20">
        <v>2028</v>
      </c>
      <c r="K92" s="20">
        <v>2029</v>
      </c>
      <c r="L92" s="20">
        <v>2030</v>
      </c>
      <c r="M92" s="20">
        <v>2031</v>
      </c>
      <c r="N92" s="20">
        <v>2032</v>
      </c>
      <c r="O92" s="20">
        <v>2033</v>
      </c>
      <c r="P92" s="20">
        <v>2034</v>
      </c>
      <c r="Q92" s="20">
        <v>2035</v>
      </c>
      <c r="R92" s="20">
        <v>2036</v>
      </c>
      <c r="S92" s="20">
        <v>2037</v>
      </c>
      <c r="T92" s="20">
        <v>2038</v>
      </c>
      <c r="U92" s="20">
        <v>2039</v>
      </c>
      <c r="V92" s="20">
        <v>2040</v>
      </c>
      <c r="W92" s="20">
        <v>2041</v>
      </c>
      <c r="X92" s="20">
        <v>2042</v>
      </c>
      <c r="Y92" s="20">
        <v>2043</v>
      </c>
      <c r="Z92" s="20">
        <v>2044</v>
      </c>
      <c r="AA92" s="20">
        <v>2045</v>
      </c>
      <c r="AB92" s="20">
        <v>2046</v>
      </c>
      <c r="AC92" s="20">
        <v>2047</v>
      </c>
      <c r="AD92" s="20">
        <v>2048</v>
      </c>
      <c r="AE92" s="20">
        <v>2049</v>
      </c>
      <c r="AF92" s="20">
        <v>2050</v>
      </c>
    </row>
    <row r="93" spans="1:32">
      <c r="A93" t="s">
        <v>16</v>
      </c>
      <c r="B93" s="21">
        <f>B39/About!$A$39</f>
        <v>1.0973821305272335</v>
      </c>
      <c r="C93" s="21">
        <f>C39/About!$A$39</f>
        <v>1.0973821305272335</v>
      </c>
      <c r="D93" s="21">
        <f>D39/About!$A$39</f>
        <v>1.0973821305272335</v>
      </c>
      <c r="E93" s="21">
        <f>E39/About!$A$39</f>
        <v>1.0973821305272335</v>
      </c>
      <c r="F93" s="21">
        <f>F39/About!$A$39</f>
        <v>1.0973821305272335</v>
      </c>
      <c r="G93" s="21">
        <f>G39/About!$A$39</f>
        <v>1.0973821305272335</v>
      </c>
      <c r="H93" s="21">
        <f>H39/About!$A$39</f>
        <v>1.0973821305272335</v>
      </c>
      <c r="I93" s="21">
        <f>I39/About!$A$39</f>
        <v>1.0973821305272335</v>
      </c>
      <c r="J93" s="21">
        <f>J39/About!$A$39</f>
        <v>1.0973821305272335</v>
      </c>
      <c r="K93" s="21">
        <f>K39/About!$A$39</f>
        <v>1.0973821305272335</v>
      </c>
      <c r="L93" s="21">
        <f>L39/About!$A$39</f>
        <v>1.0973821305272335</v>
      </c>
      <c r="M93" s="21">
        <f>M39/About!$A$39</f>
        <v>1.0973821305272335</v>
      </c>
      <c r="N93" s="21">
        <f>N39/About!$A$39</f>
        <v>1.0973821305272335</v>
      </c>
      <c r="O93" s="21">
        <f>O39/About!$A$39</f>
        <v>1.0973821305272335</v>
      </c>
      <c r="P93" s="21">
        <f>P39/About!$A$39</f>
        <v>1.0973821305272335</v>
      </c>
      <c r="Q93" s="21">
        <f>Q39/About!$A$39</f>
        <v>1.0973821305272335</v>
      </c>
      <c r="R93" s="21">
        <f>R39/About!$A$39</f>
        <v>1.0973821305272335</v>
      </c>
      <c r="S93" s="21">
        <f>S39/About!$A$39</f>
        <v>1.0973821305272335</v>
      </c>
      <c r="T93" s="21">
        <f>T39/About!$A$39</f>
        <v>1.0973821305272335</v>
      </c>
      <c r="U93" s="21">
        <f>U39/About!$A$39</f>
        <v>1.0973821305272335</v>
      </c>
      <c r="V93" s="21">
        <f>V39/About!$A$39</f>
        <v>1.0973821305272335</v>
      </c>
      <c r="W93" s="21">
        <f>W39/About!$A$39</f>
        <v>1.0973821305272335</v>
      </c>
      <c r="X93" s="21">
        <f>X39/About!$A$39</f>
        <v>1.0973821305272335</v>
      </c>
      <c r="Y93" s="21">
        <f>Y39/About!$A$39</f>
        <v>1.0973821305272335</v>
      </c>
      <c r="Z93" s="21">
        <f>Z39/About!$A$39</f>
        <v>1.0973821305272335</v>
      </c>
      <c r="AA93" s="21">
        <f>AA39/About!$A$39</f>
        <v>1.0973821305272335</v>
      </c>
      <c r="AB93" s="21">
        <f>AB39/About!$A$39</f>
        <v>1.0973821305272335</v>
      </c>
      <c r="AC93" s="21">
        <f>AC39/About!$A$39</f>
        <v>1.0973821305272335</v>
      </c>
      <c r="AD93" s="21">
        <f>AD39/About!$A$39</f>
        <v>1.0973821305272335</v>
      </c>
      <c r="AE93" s="21">
        <f>AE39/About!$A$39</f>
        <v>1.0973821305272335</v>
      </c>
      <c r="AF93" s="21">
        <f>AF39/About!$A$39</f>
        <v>1.0973821305272335</v>
      </c>
    </row>
    <row r="94" spans="1:32">
      <c r="A94" t="s">
        <v>11</v>
      </c>
      <c r="B94" s="21">
        <f>B40/About!$A$39</f>
        <v>0.59519030808256734</v>
      </c>
      <c r="C94" s="21">
        <f>C40/About!$A$39</f>
        <v>0.59519030808256734</v>
      </c>
      <c r="D94" s="21">
        <f>D40/About!$A$39</f>
        <v>0.59519030808256734</v>
      </c>
      <c r="E94" s="21">
        <f>E40/About!$A$39</f>
        <v>0.59519030808256734</v>
      </c>
      <c r="F94" s="21">
        <f>F40/About!$A$39</f>
        <v>0.59519030808256734</v>
      </c>
      <c r="G94" s="21">
        <f>G40/About!$A$39</f>
        <v>0.59519030808256734</v>
      </c>
      <c r="H94" s="21">
        <f>H40/About!$A$39</f>
        <v>0.59519030808256734</v>
      </c>
      <c r="I94" s="21">
        <f>I40/About!$A$39</f>
        <v>0.59519030808256734</v>
      </c>
      <c r="J94" s="21">
        <f>J40/About!$A$39</f>
        <v>0.59519030808256734</v>
      </c>
      <c r="K94" s="21">
        <f>K40/About!$A$39</f>
        <v>0.59519030808256734</v>
      </c>
      <c r="L94" s="21">
        <f>L40/About!$A$39</f>
        <v>0.59519030808256734</v>
      </c>
      <c r="M94" s="21">
        <f>M40/About!$A$39</f>
        <v>0.59519030808256734</v>
      </c>
      <c r="N94" s="21">
        <f>N40/About!$A$39</f>
        <v>0.59519030808256734</v>
      </c>
      <c r="O94" s="21">
        <f>O40/About!$A$39</f>
        <v>0.59519030808256734</v>
      </c>
      <c r="P94" s="21">
        <f>P40/About!$A$39</f>
        <v>0.59519030808256734</v>
      </c>
      <c r="Q94" s="21">
        <f>Q40/About!$A$39</f>
        <v>0.59519030808256734</v>
      </c>
      <c r="R94" s="21">
        <f>R40/About!$A$39</f>
        <v>0.59519030808256734</v>
      </c>
      <c r="S94" s="21">
        <f>S40/About!$A$39</f>
        <v>0.59519030808256734</v>
      </c>
      <c r="T94" s="21">
        <f>T40/About!$A$39</f>
        <v>0.59519030808256734</v>
      </c>
      <c r="U94" s="21">
        <f>U40/About!$A$39</f>
        <v>0.59519030808256734</v>
      </c>
      <c r="V94" s="21">
        <f>V40/About!$A$39</f>
        <v>0.59519030808256734</v>
      </c>
      <c r="W94" s="21">
        <f>W40/About!$A$39</f>
        <v>0.59519030808256734</v>
      </c>
      <c r="X94" s="21">
        <f>X40/About!$A$39</f>
        <v>0.59519030808256734</v>
      </c>
      <c r="Y94" s="21">
        <f>Y40/About!$A$39</f>
        <v>0.59519030808256734</v>
      </c>
      <c r="Z94" s="21">
        <f>Z40/About!$A$39</f>
        <v>0.59519030808256734</v>
      </c>
      <c r="AA94" s="21">
        <f>AA40/About!$A$39</f>
        <v>0.59519030808256734</v>
      </c>
      <c r="AB94" s="21">
        <f>AB40/About!$A$39</f>
        <v>0.59519030808256734</v>
      </c>
      <c r="AC94" s="21">
        <f>AC40/About!$A$39</f>
        <v>0.59519030808256734</v>
      </c>
      <c r="AD94" s="21">
        <f>AD40/About!$A$39</f>
        <v>0.59519030808256734</v>
      </c>
      <c r="AE94" s="21">
        <f>AE40/About!$A$39</f>
        <v>0.59519030808256734</v>
      </c>
      <c r="AF94" s="21">
        <f>AF40/About!$A$39</f>
        <v>0.59519030808256734</v>
      </c>
    </row>
    <row r="95" spans="1:32">
      <c r="A95" t="s">
        <v>5</v>
      </c>
      <c r="B95" s="21">
        <f>B41/About!$A$39</f>
        <v>1.850669864194233</v>
      </c>
      <c r="C95" s="21">
        <f>C41/About!$A$39</f>
        <v>1.850669864194233</v>
      </c>
      <c r="D95" s="21">
        <f>D41/About!$A$39</f>
        <v>1.850669864194233</v>
      </c>
      <c r="E95" s="21">
        <f>E41/About!$A$39</f>
        <v>1.850669864194233</v>
      </c>
      <c r="F95" s="21">
        <f>F41/About!$A$39</f>
        <v>1.850669864194233</v>
      </c>
      <c r="G95" s="21">
        <f>G41/About!$A$39</f>
        <v>1.850669864194233</v>
      </c>
      <c r="H95" s="21">
        <f>H41/About!$A$39</f>
        <v>1.850669864194233</v>
      </c>
      <c r="I95" s="21">
        <f>I41/About!$A$39</f>
        <v>1.850669864194233</v>
      </c>
      <c r="J95" s="21">
        <f>J41/About!$A$39</f>
        <v>1.850669864194233</v>
      </c>
      <c r="K95" s="21">
        <f>K41/About!$A$39</f>
        <v>1.850669864194233</v>
      </c>
      <c r="L95" s="21">
        <f>L41/About!$A$39</f>
        <v>1.850669864194233</v>
      </c>
      <c r="M95" s="21">
        <f>M41/About!$A$39</f>
        <v>1.850669864194233</v>
      </c>
      <c r="N95" s="21">
        <f>N41/About!$A$39</f>
        <v>1.850669864194233</v>
      </c>
      <c r="O95" s="21">
        <f>O41/About!$A$39</f>
        <v>1.850669864194233</v>
      </c>
      <c r="P95" s="21">
        <f>P41/About!$A$39</f>
        <v>1.850669864194233</v>
      </c>
      <c r="Q95" s="21">
        <f>Q41/About!$A$39</f>
        <v>1.850669864194233</v>
      </c>
      <c r="R95" s="21">
        <f>R41/About!$A$39</f>
        <v>1.850669864194233</v>
      </c>
      <c r="S95" s="21">
        <f>S41/About!$A$39</f>
        <v>1.850669864194233</v>
      </c>
      <c r="T95" s="21">
        <f>T41/About!$A$39</f>
        <v>1.850669864194233</v>
      </c>
      <c r="U95" s="21">
        <f>U41/About!$A$39</f>
        <v>1.850669864194233</v>
      </c>
      <c r="V95" s="21">
        <f>V41/About!$A$39</f>
        <v>1.850669864194233</v>
      </c>
      <c r="W95" s="21">
        <f>W41/About!$A$39</f>
        <v>1.850669864194233</v>
      </c>
      <c r="X95" s="21">
        <f>X41/About!$A$39</f>
        <v>1.850669864194233</v>
      </c>
      <c r="Y95" s="21">
        <f>Y41/About!$A$39</f>
        <v>1.850669864194233</v>
      </c>
      <c r="Z95" s="21">
        <f>Z41/About!$A$39</f>
        <v>1.850669864194233</v>
      </c>
      <c r="AA95" s="21">
        <f>AA41/About!$A$39</f>
        <v>1.850669864194233</v>
      </c>
      <c r="AB95" s="21">
        <f>AB41/About!$A$39</f>
        <v>1.850669864194233</v>
      </c>
      <c r="AC95" s="21">
        <f>AC41/About!$A$39</f>
        <v>1.850669864194233</v>
      </c>
      <c r="AD95" s="21">
        <f>AD41/About!$A$39</f>
        <v>1.850669864194233</v>
      </c>
      <c r="AE95" s="21">
        <f>AE41/About!$A$39</f>
        <v>1.850669864194233</v>
      </c>
      <c r="AF95" s="21">
        <f>AF41/About!$A$39</f>
        <v>1.850669864194233</v>
      </c>
    </row>
    <row r="96" spans="1:32">
      <c r="A96" t="s">
        <v>6</v>
      </c>
      <c r="B96" s="21">
        <f>B42/About!$A$39</f>
        <v>0.18599697127580231</v>
      </c>
      <c r="C96" s="21">
        <f>C42/About!$A$39</f>
        <v>0.18599697127580231</v>
      </c>
      <c r="D96" s="21">
        <f>D42/About!$A$39</f>
        <v>0.18599697127580231</v>
      </c>
      <c r="E96" s="21">
        <f>E42/About!$A$39</f>
        <v>0.18599697127580231</v>
      </c>
      <c r="F96" s="21">
        <f>F42/About!$A$39</f>
        <v>0.18599697127580231</v>
      </c>
      <c r="G96" s="21">
        <f>G42/About!$A$39</f>
        <v>0.18599697127580231</v>
      </c>
      <c r="H96" s="21">
        <f>H42/About!$A$39</f>
        <v>0.18599697127580231</v>
      </c>
      <c r="I96" s="21">
        <f>I42/About!$A$39</f>
        <v>0.18599697127580231</v>
      </c>
      <c r="J96" s="21">
        <f>J42/About!$A$39</f>
        <v>0.18599697127580231</v>
      </c>
      <c r="K96" s="21">
        <f>K42/About!$A$39</f>
        <v>0.18599697127580231</v>
      </c>
      <c r="L96" s="21">
        <f>L42/About!$A$39</f>
        <v>0.18599697127580231</v>
      </c>
      <c r="M96" s="21">
        <f>M42/About!$A$39</f>
        <v>0.18599697127580231</v>
      </c>
      <c r="N96" s="21">
        <f>N42/About!$A$39</f>
        <v>0.18599697127580231</v>
      </c>
      <c r="O96" s="21">
        <f>O42/About!$A$39</f>
        <v>0.18599697127580231</v>
      </c>
      <c r="P96" s="21">
        <f>P42/About!$A$39</f>
        <v>0.18599697127580231</v>
      </c>
      <c r="Q96" s="21">
        <f>Q42/About!$A$39</f>
        <v>0.18599697127580231</v>
      </c>
      <c r="R96" s="21">
        <f>R42/About!$A$39</f>
        <v>0.18599697127580231</v>
      </c>
      <c r="S96" s="21">
        <f>S42/About!$A$39</f>
        <v>0.18599697127580231</v>
      </c>
      <c r="T96" s="21">
        <f>T42/About!$A$39</f>
        <v>0.18599697127580231</v>
      </c>
      <c r="U96" s="21">
        <f>U42/About!$A$39</f>
        <v>0.18599697127580231</v>
      </c>
      <c r="V96" s="21">
        <f>V42/About!$A$39</f>
        <v>0.18599697127580231</v>
      </c>
      <c r="W96" s="21">
        <f>W42/About!$A$39</f>
        <v>0.18599697127580231</v>
      </c>
      <c r="X96" s="21">
        <f>X42/About!$A$39</f>
        <v>0.18599697127580231</v>
      </c>
      <c r="Y96" s="21">
        <f>Y42/About!$A$39</f>
        <v>0.18599697127580231</v>
      </c>
      <c r="Z96" s="21">
        <f>Z42/About!$A$39</f>
        <v>0.18599697127580231</v>
      </c>
      <c r="AA96" s="21">
        <f>AA42/About!$A$39</f>
        <v>0.18599697127580231</v>
      </c>
      <c r="AB96" s="21">
        <f>AB42/About!$A$39</f>
        <v>0.18599697127580231</v>
      </c>
      <c r="AC96" s="21">
        <f>AC42/About!$A$39</f>
        <v>0.18599697127580231</v>
      </c>
      <c r="AD96" s="21">
        <f>AD42/About!$A$39</f>
        <v>0.18599697127580231</v>
      </c>
      <c r="AE96" s="21">
        <f>AE42/About!$A$39</f>
        <v>0.18599697127580231</v>
      </c>
      <c r="AF96" s="21">
        <f>AF42/About!$A$39</f>
        <v>0.18599697127580231</v>
      </c>
    </row>
    <row r="97" spans="1:32">
      <c r="A97" t="s">
        <v>18</v>
      </c>
      <c r="B97" s="21">
        <f>B43/About!$A$39</f>
        <v>9.2998485637901154E-2</v>
      </c>
      <c r="C97" s="21">
        <f>C43/About!$A$39</f>
        <v>9.2998485637901154E-2</v>
      </c>
      <c r="D97" s="21">
        <f>D43/About!$A$39</f>
        <v>9.2998485637901154E-2</v>
      </c>
      <c r="E97" s="21">
        <f>E43/About!$A$39</f>
        <v>9.2998485637901154E-2</v>
      </c>
      <c r="F97" s="21">
        <f>F43/About!$A$39</f>
        <v>9.2998485637901154E-2</v>
      </c>
      <c r="G97" s="21">
        <f>G43/About!$A$39</f>
        <v>9.2998485637901154E-2</v>
      </c>
      <c r="H97" s="21">
        <f>H43/About!$A$39</f>
        <v>9.2998485637901154E-2</v>
      </c>
      <c r="I97" s="21">
        <f>I43/About!$A$39</f>
        <v>9.2998485637901154E-2</v>
      </c>
      <c r="J97" s="21">
        <f>J43/About!$A$39</f>
        <v>9.2998485637901154E-2</v>
      </c>
      <c r="K97" s="21">
        <f>K43/About!$A$39</f>
        <v>9.2998485637901154E-2</v>
      </c>
      <c r="L97" s="21">
        <f>L43/About!$A$39</f>
        <v>9.2998485637901154E-2</v>
      </c>
      <c r="M97" s="21">
        <f>M43/About!$A$39</f>
        <v>9.2998485637901154E-2</v>
      </c>
      <c r="N97" s="21">
        <f>N43/About!$A$39</f>
        <v>9.2998485637901154E-2</v>
      </c>
      <c r="O97" s="21">
        <f>O43/About!$A$39</f>
        <v>9.2998485637901154E-2</v>
      </c>
      <c r="P97" s="21">
        <f>P43/About!$A$39</f>
        <v>9.2998485637901154E-2</v>
      </c>
      <c r="Q97" s="21">
        <f>Q43/About!$A$39</f>
        <v>9.2998485637901154E-2</v>
      </c>
      <c r="R97" s="21">
        <f>R43/About!$A$39</f>
        <v>9.2998485637901154E-2</v>
      </c>
      <c r="S97" s="21">
        <f>S43/About!$A$39</f>
        <v>9.2998485637901154E-2</v>
      </c>
      <c r="T97" s="21">
        <f>T43/About!$A$39</f>
        <v>9.2998485637901154E-2</v>
      </c>
      <c r="U97" s="21">
        <f>U43/About!$A$39</f>
        <v>9.2998485637901154E-2</v>
      </c>
      <c r="V97" s="21">
        <f>V43/About!$A$39</f>
        <v>9.2998485637901154E-2</v>
      </c>
      <c r="W97" s="21">
        <f>W43/About!$A$39</f>
        <v>9.2998485637901154E-2</v>
      </c>
      <c r="X97" s="21">
        <f>X43/About!$A$39</f>
        <v>9.2998485637901154E-2</v>
      </c>
      <c r="Y97" s="21">
        <f>Y43/About!$A$39</f>
        <v>9.2998485637901154E-2</v>
      </c>
      <c r="Z97" s="21">
        <f>Z43/About!$A$39</f>
        <v>9.2998485637901154E-2</v>
      </c>
      <c r="AA97" s="21">
        <f>AA43/About!$A$39</f>
        <v>9.2998485637901154E-2</v>
      </c>
      <c r="AB97" s="21">
        <f>AB43/About!$A$39</f>
        <v>9.2998485637901154E-2</v>
      </c>
      <c r="AC97" s="21">
        <f>AC43/About!$A$39</f>
        <v>9.2998485637901154E-2</v>
      </c>
      <c r="AD97" s="21">
        <f>AD43/About!$A$39</f>
        <v>9.2998485637901154E-2</v>
      </c>
      <c r="AE97" s="21">
        <f>AE43/About!$A$39</f>
        <v>9.2998485637901154E-2</v>
      </c>
      <c r="AF97" s="21">
        <f>AF43/About!$A$39</f>
        <v>9.2998485637901154E-2</v>
      </c>
    </row>
    <row r="98" spans="1:32">
      <c r="A98" t="s">
        <v>7</v>
      </c>
      <c r="B98" s="21">
        <f>B44/About!$A$39</f>
        <v>9.2998485637901154E-2</v>
      </c>
      <c r="C98" s="21">
        <f>C44/About!$A$39</f>
        <v>9.2998485637901154E-2</v>
      </c>
      <c r="D98" s="21">
        <f>D44/About!$A$39</f>
        <v>9.2998485637901154E-2</v>
      </c>
      <c r="E98" s="21">
        <f>E44/About!$A$39</f>
        <v>9.2998485637901154E-2</v>
      </c>
      <c r="F98" s="21">
        <f>F44/About!$A$39</f>
        <v>9.2998485637901154E-2</v>
      </c>
      <c r="G98" s="21">
        <f>G44/About!$A$39</f>
        <v>9.2998485637901154E-2</v>
      </c>
      <c r="H98" s="21">
        <f>H44/About!$A$39</f>
        <v>9.2998485637901154E-2</v>
      </c>
      <c r="I98" s="21">
        <f>I44/About!$A$39</f>
        <v>9.2998485637901154E-2</v>
      </c>
      <c r="J98" s="21">
        <f>J44/About!$A$39</f>
        <v>9.2998485637901154E-2</v>
      </c>
      <c r="K98" s="21">
        <f>K44/About!$A$39</f>
        <v>9.2998485637901154E-2</v>
      </c>
      <c r="L98" s="21">
        <f>L44/About!$A$39</f>
        <v>9.2998485637901154E-2</v>
      </c>
      <c r="M98" s="21">
        <f>M44/About!$A$39</f>
        <v>9.2998485637901154E-2</v>
      </c>
      <c r="N98" s="21">
        <f>N44/About!$A$39</f>
        <v>9.2998485637901154E-2</v>
      </c>
      <c r="O98" s="21">
        <f>O44/About!$A$39</f>
        <v>9.2998485637901154E-2</v>
      </c>
      <c r="P98" s="21">
        <f>P44/About!$A$39</f>
        <v>9.2998485637901154E-2</v>
      </c>
      <c r="Q98" s="21">
        <f>Q44/About!$A$39</f>
        <v>9.2998485637901154E-2</v>
      </c>
      <c r="R98" s="21">
        <f>R44/About!$A$39</f>
        <v>9.2998485637901154E-2</v>
      </c>
      <c r="S98" s="21">
        <f>S44/About!$A$39</f>
        <v>9.2998485637901154E-2</v>
      </c>
      <c r="T98" s="21">
        <f>T44/About!$A$39</f>
        <v>9.2998485637901154E-2</v>
      </c>
      <c r="U98" s="21">
        <f>U44/About!$A$39</f>
        <v>9.2998485637901154E-2</v>
      </c>
      <c r="V98" s="21">
        <f>V44/About!$A$39</f>
        <v>9.2998485637901154E-2</v>
      </c>
      <c r="W98" s="21">
        <f>W44/About!$A$39</f>
        <v>9.2998485637901154E-2</v>
      </c>
      <c r="X98" s="21">
        <f>X44/About!$A$39</f>
        <v>9.2998485637901154E-2</v>
      </c>
      <c r="Y98" s="21">
        <f>Y44/About!$A$39</f>
        <v>9.2998485637901154E-2</v>
      </c>
      <c r="Z98" s="21">
        <f>Z44/About!$A$39</f>
        <v>9.2998485637901154E-2</v>
      </c>
      <c r="AA98" s="21">
        <f>AA44/About!$A$39</f>
        <v>9.2998485637901154E-2</v>
      </c>
      <c r="AB98" s="21">
        <f>AB44/About!$A$39</f>
        <v>9.2998485637901154E-2</v>
      </c>
      <c r="AC98" s="21">
        <f>AC44/About!$A$39</f>
        <v>9.2998485637901154E-2</v>
      </c>
      <c r="AD98" s="21">
        <f>AD44/About!$A$39</f>
        <v>9.2998485637901154E-2</v>
      </c>
      <c r="AE98" s="21">
        <f>AE44/About!$A$39</f>
        <v>9.2998485637901154E-2</v>
      </c>
      <c r="AF98" s="21">
        <f>AF44/About!$A$39</f>
        <v>9.2998485637901154E-2</v>
      </c>
    </row>
    <row r="99" spans="1:32">
      <c r="A99" t="s">
        <v>8</v>
      </c>
      <c r="B99" s="21">
        <f>B45/About!$A$39</f>
        <v>0</v>
      </c>
      <c r="C99" s="21">
        <f>C45/About!$A$39</f>
        <v>0</v>
      </c>
      <c r="D99" s="21">
        <f>D45/About!$A$39</f>
        <v>0</v>
      </c>
      <c r="E99" s="21">
        <f>E45/About!$A$39</f>
        <v>0</v>
      </c>
      <c r="F99" s="21">
        <f>F45/About!$A$39</f>
        <v>0</v>
      </c>
      <c r="G99" s="21">
        <f>G45/About!$A$39</f>
        <v>0</v>
      </c>
      <c r="H99" s="21">
        <f>H45/About!$A$39</f>
        <v>0</v>
      </c>
      <c r="I99" s="21">
        <f>I45/About!$A$39</f>
        <v>0</v>
      </c>
      <c r="J99" s="21">
        <f>J45/About!$A$39</f>
        <v>0</v>
      </c>
      <c r="K99" s="21">
        <f>K45/About!$A$39</f>
        <v>0</v>
      </c>
      <c r="L99" s="21">
        <f>L45/About!$A$39</f>
        <v>0</v>
      </c>
      <c r="M99" s="21">
        <f>M45/About!$A$39</f>
        <v>0</v>
      </c>
      <c r="N99" s="21">
        <f>N45/About!$A$39</f>
        <v>0</v>
      </c>
      <c r="O99" s="21">
        <f>O45/About!$A$39</f>
        <v>0</v>
      </c>
      <c r="P99" s="21">
        <f>P45/About!$A$39</f>
        <v>0</v>
      </c>
      <c r="Q99" s="21">
        <f>Q45/About!$A$39</f>
        <v>0</v>
      </c>
      <c r="R99" s="21">
        <f>R45/About!$A$39</f>
        <v>0</v>
      </c>
      <c r="S99" s="21">
        <f>S45/About!$A$39</f>
        <v>0</v>
      </c>
      <c r="T99" s="21">
        <f>T45/About!$A$39</f>
        <v>0</v>
      </c>
      <c r="U99" s="21">
        <f>U45/About!$A$39</f>
        <v>0</v>
      </c>
      <c r="V99" s="21">
        <f>V45/About!$A$39</f>
        <v>0</v>
      </c>
      <c r="W99" s="21">
        <f>W45/About!$A$39</f>
        <v>0</v>
      </c>
      <c r="X99" s="21">
        <f>X45/About!$A$39</f>
        <v>0</v>
      </c>
      <c r="Y99" s="21">
        <f>Y45/About!$A$39</f>
        <v>0</v>
      </c>
      <c r="Z99" s="21">
        <f>Z45/About!$A$39</f>
        <v>0</v>
      </c>
      <c r="AA99" s="21">
        <f>AA45/About!$A$39</f>
        <v>0</v>
      </c>
      <c r="AB99" s="21">
        <f>AB45/About!$A$39</f>
        <v>0</v>
      </c>
      <c r="AC99" s="21">
        <f>AC45/About!$A$39</f>
        <v>0</v>
      </c>
      <c r="AD99" s="21">
        <f>AD45/About!$A$39</f>
        <v>0</v>
      </c>
      <c r="AE99" s="21">
        <f>AE45/About!$A$39</f>
        <v>0</v>
      </c>
      <c r="AF99" s="21">
        <f>AF45/About!$A$39</f>
        <v>0</v>
      </c>
    </row>
    <row r="100" spans="1:32">
      <c r="A100" t="s">
        <v>9</v>
      </c>
      <c r="B100" s="21">
        <f>B46/About!$A$39</f>
        <v>9.2998485637901154E-2</v>
      </c>
      <c r="C100" s="21">
        <f>C46/About!$A$39</f>
        <v>9.2998485637901154E-2</v>
      </c>
      <c r="D100" s="21">
        <f>D46/About!$A$39</f>
        <v>9.2998485637901154E-2</v>
      </c>
      <c r="E100" s="21">
        <f>E46/About!$A$39</f>
        <v>9.2998485637901154E-2</v>
      </c>
      <c r="F100" s="21">
        <f>F46/About!$A$39</f>
        <v>9.2998485637901154E-2</v>
      </c>
      <c r="G100" s="21">
        <f>G46/About!$A$39</f>
        <v>9.2998485637901154E-2</v>
      </c>
      <c r="H100" s="21">
        <f>H46/About!$A$39</f>
        <v>9.2998485637901154E-2</v>
      </c>
      <c r="I100" s="21">
        <f>I46/About!$A$39</f>
        <v>9.2998485637901154E-2</v>
      </c>
      <c r="J100" s="21">
        <f>J46/About!$A$39</f>
        <v>9.2998485637901154E-2</v>
      </c>
      <c r="K100" s="21">
        <f>K46/About!$A$39</f>
        <v>9.2998485637901154E-2</v>
      </c>
      <c r="L100" s="21">
        <f>L46/About!$A$39</f>
        <v>9.2998485637901154E-2</v>
      </c>
      <c r="M100" s="21">
        <f>M46/About!$A$39</f>
        <v>9.2998485637901154E-2</v>
      </c>
      <c r="N100" s="21">
        <f>N46/About!$A$39</f>
        <v>9.2998485637901154E-2</v>
      </c>
      <c r="O100" s="21">
        <f>O46/About!$A$39</f>
        <v>9.2998485637901154E-2</v>
      </c>
      <c r="P100" s="21">
        <f>P46/About!$A$39</f>
        <v>9.2998485637901154E-2</v>
      </c>
      <c r="Q100" s="21">
        <f>Q46/About!$A$39</f>
        <v>9.2998485637901154E-2</v>
      </c>
      <c r="R100" s="21">
        <f>R46/About!$A$39</f>
        <v>9.2998485637901154E-2</v>
      </c>
      <c r="S100" s="21">
        <f>S46/About!$A$39</f>
        <v>9.2998485637901154E-2</v>
      </c>
      <c r="T100" s="21">
        <f>T46/About!$A$39</f>
        <v>9.2998485637901154E-2</v>
      </c>
      <c r="U100" s="21">
        <f>U46/About!$A$39</f>
        <v>9.2998485637901154E-2</v>
      </c>
      <c r="V100" s="21">
        <f>V46/About!$A$39</f>
        <v>9.2998485637901154E-2</v>
      </c>
      <c r="W100" s="21">
        <f>W46/About!$A$39</f>
        <v>9.2998485637901154E-2</v>
      </c>
      <c r="X100" s="21">
        <f>X46/About!$A$39</f>
        <v>9.2998485637901154E-2</v>
      </c>
      <c r="Y100" s="21">
        <f>Y46/About!$A$39</f>
        <v>9.2998485637901154E-2</v>
      </c>
      <c r="Z100" s="21">
        <f>Z46/About!$A$39</f>
        <v>9.2998485637901154E-2</v>
      </c>
      <c r="AA100" s="21">
        <f>AA46/About!$A$39</f>
        <v>9.2998485637901154E-2</v>
      </c>
      <c r="AB100" s="21">
        <f>AB46/About!$A$39</f>
        <v>9.2998485637901154E-2</v>
      </c>
      <c r="AC100" s="21">
        <f>AC46/About!$A$39</f>
        <v>9.2998485637901154E-2</v>
      </c>
      <c r="AD100" s="21">
        <f>AD46/About!$A$39</f>
        <v>9.2998485637901154E-2</v>
      </c>
      <c r="AE100" s="21">
        <f>AE46/About!$A$39</f>
        <v>9.2998485637901154E-2</v>
      </c>
      <c r="AF100" s="21">
        <f>AF46/About!$A$39</f>
        <v>9.2998485637901154E-2</v>
      </c>
    </row>
    <row r="101" spans="1:32">
      <c r="A101" t="s">
        <v>12</v>
      </c>
      <c r="B101" s="21">
        <f>B47/About!$A$39</f>
        <v>9.2998485637901154E-2</v>
      </c>
      <c r="C101" s="21">
        <f>C47/About!$A$39</f>
        <v>9.2998485637901154E-2</v>
      </c>
      <c r="D101" s="21">
        <f>D47/About!$A$39</f>
        <v>9.2998485637901154E-2</v>
      </c>
      <c r="E101" s="21">
        <f>E47/About!$A$39</f>
        <v>9.2998485637901154E-2</v>
      </c>
      <c r="F101" s="21">
        <f>F47/About!$A$39</f>
        <v>9.2998485637901154E-2</v>
      </c>
      <c r="G101" s="21">
        <f>G47/About!$A$39</f>
        <v>9.2998485637901154E-2</v>
      </c>
      <c r="H101" s="21">
        <f>H47/About!$A$39</f>
        <v>9.2998485637901154E-2</v>
      </c>
      <c r="I101" s="21">
        <f>I47/About!$A$39</f>
        <v>9.2998485637901154E-2</v>
      </c>
      <c r="J101" s="21">
        <f>J47/About!$A$39</f>
        <v>9.2998485637901154E-2</v>
      </c>
      <c r="K101" s="21">
        <f>K47/About!$A$39</f>
        <v>9.2998485637901154E-2</v>
      </c>
      <c r="L101" s="21">
        <f>L47/About!$A$39</f>
        <v>9.2998485637901154E-2</v>
      </c>
      <c r="M101" s="21">
        <f>M47/About!$A$39</f>
        <v>9.2998485637901154E-2</v>
      </c>
      <c r="N101" s="21">
        <f>N47/About!$A$39</f>
        <v>9.2998485637901154E-2</v>
      </c>
      <c r="O101" s="21">
        <f>O47/About!$A$39</f>
        <v>9.2998485637901154E-2</v>
      </c>
      <c r="P101" s="21">
        <f>P47/About!$A$39</f>
        <v>9.2998485637901154E-2</v>
      </c>
      <c r="Q101" s="21">
        <f>Q47/About!$A$39</f>
        <v>9.2998485637901154E-2</v>
      </c>
      <c r="R101" s="21">
        <f>R47/About!$A$39</f>
        <v>9.2998485637901154E-2</v>
      </c>
      <c r="S101" s="21">
        <f>S47/About!$A$39</f>
        <v>9.2998485637901154E-2</v>
      </c>
      <c r="T101" s="21">
        <f>T47/About!$A$39</f>
        <v>9.2998485637901154E-2</v>
      </c>
      <c r="U101" s="21">
        <f>U47/About!$A$39</f>
        <v>9.2998485637901154E-2</v>
      </c>
      <c r="V101" s="21">
        <f>V47/About!$A$39</f>
        <v>9.2998485637901154E-2</v>
      </c>
      <c r="W101" s="21">
        <f>W47/About!$A$39</f>
        <v>9.2998485637901154E-2</v>
      </c>
      <c r="X101" s="21">
        <f>X47/About!$A$39</f>
        <v>9.2998485637901154E-2</v>
      </c>
      <c r="Y101" s="21">
        <f>Y47/About!$A$39</f>
        <v>9.2998485637901154E-2</v>
      </c>
      <c r="Z101" s="21">
        <f>Z47/About!$A$39</f>
        <v>9.2998485637901154E-2</v>
      </c>
      <c r="AA101" s="21">
        <f>AA47/About!$A$39</f>
        <v>9.2998485637901154E-2</v>
      </c>
      <c r="AB101" s="21">
        <f>AB47/About!$A$39</f>
        <v>9.2998485637901154E-2</v>
      </c>
      <c r="AC101" s="21">
        <f>AC47/About!$A$39</f>
        <v>9.2998485637901154E-2</v>
      </c>
      <c r="AD101" s="21">
        <f>AD47/About!$A$39</f>
        <v>9.2998485637901154E-2</v>
      </c>
      <c r="AE101" s="21">
        <f>AE47/About!$A$39</f>
        <v>9.2998485637901154E-2</v>
      </c>
      <c r="AF101" s="21">
        <f>AF47/About!$A$39</f>
        <v>9.2998485637901154E-2</v>
      </c>
    </row>
    <row r="102" spans="1:32">
      <c r="A102" t="s">
        <v>13</v>
      </c>
      <c r="B102" s="21">
        <f>B48/About!$A$39</f>
        <v>0.13949772845685174</v>
      </c>
      <c r="C102" s="21">
        <f>C48/About!$A$39</f>
        <v>0.13949772845685174</v>
      </c>
      <c r="D102" s="21">
        <f>D48/About!$A$39</f>
        <v>0.13949772845685174</v>
      </c>
      <c r="E102" s="21">
        <f>E48/About!$A$39</f>
        <v>0.13949772845685174</v>
      </c>
      <c r="F102" s="21">
        <f>F48/About!$A$39</f>
        <v>0.13949772845685174</v>
      </c>
      <c r="G102" s="21">
        <f>G48/About!$A$39</f>
        <v>0.13949772845685174</v>
      </c>
      <c r="H102" s="21">
        <f>H48/About!$A$39</f>
        <v>0.13949772845685174</v>
      </c>
      <c r="I102" s="21">
        <f>I48/About!$A$39</f>
        <v>0.13949772845685174</v>
      </c>
      <c r="J102" s="21">
        <f>J48/About!$A$39</f>
        <v>0.13949772845685174</v>
      </c>
      <c r="K102" s="21">
        <f>K48/About!$A$39</f>
        <v>0.13949772845685174</v>
      </c>
      <c r="L102" s="21">
        <f>L48/About!$A$39</f>
        <v>0.13949772845685174</v>
      </c>
      <c r="M102" s="21">
        <f>M48/About!$A$39</f>
        <v>0.13949772845685174</v>
      </c>
      <c r="N102" s="21">
        <f>N48/About!$A$39</f>
        <v>0.13949772845685174</v>
      </c>
      <c r="O102" s="21">
        <f>O48/About!$A$39</f>
        <v>0.13949772845685174</v>
      </c>
      <c r="P102" s="21">
        <f>P48/About!$A$39</f>
        <v>0.13949772845685174</v>
      </c>
      <c r="Q102" s="21">
        <f>Q48/About!$A$39</f>
        <v>0.13949772845685174</v>
      </c>
      <c r="R102" s="21">
        <f>R48/About!$A$39</f>
        <v>0.13949772845685174</v>
      </c>
      <c r="S102" s="21">
        <f>S48/About!$A$39</f>
        <v>0.13949772845685174</v>
      </c>
      <c r="T102" s="21">
        <f>T48/About!$A$39</f>
        <v>0.13949772845685174</v>
      </c>
      <c r="U102" s="21">
        <f>U48/About!$A$39</f>
        <v>0.13949772845685174</v>
      </c>
      <c r="V102" s="21">
        <f>V48/About!$A$39</f>
        <v>0.13949772845685174</v>
      </c>
      <c r="W102" s="21">
        <f>W48/About!$A$39</f>
        <v>0.13949772845685174</v>
      </c>
      <c r="X102" s="21">
        <f>X48/About!$A$39</f>
        <v>0.13949772845685174</v>
      </c>
      <c r="Y102" s="21">
        <f>Y48/About!$A$39</f>
        <v>0.13949772845685174</v>
      </c>
      <c r="Z102" s="21">
        <f>Z48/About!$A$39</f>
        <v>0.13949772845685174</v>
      </c>
      <c r="AA102" s="21">
        <f>AA48/About!$A$39</f>
        <v>0.13949772845685174</v>
      </c>
      <c r="AB102" s="21">
        <f>AB48/About!$A$39</f>
        <v>0.13949772845685174</v>
      </c>
      <c r="AC102" s="21">
        <f>AC48/About!$A$39</f>
        <v>0.13949772845685174</v>
      </c>
      <c r="AD102" s="21">
        <f>AD48/About!$A$39</f>
        <v>0.13949772845685174</v>
      </c>
      <c r="AE102" s="21">
        <f>AE48/About!$A$39</f>
        <v>0.13949772845685174</v>
      </c>
      <c r="AF102" s="21">
        <f>AF48/About!$A$39</f>
        <v>0.13949772845685174</v>
      </c>
    </row>
    <row r="103" spans="1:32">
      <c r="A103" t="s">
        <v>14</v>
      </c>
      <c r="B103" s="21">
        <f>B49/About!$A$39</f>
        <v>0.59519030808256734</v>
      </c>
      <c r="C103" s="21">
        <f>C49/About!$A$39</f>
        <v>0.59519030808256734</v>
      </c>
      <c r="D103" s="21">
        <f>D49/About!$A$39</f>
        <v>0.59519030808256734</v>
      </c>
      <c r="E103" s="21">
        <f>E49/About!$A$39</f>
        <v>0.59519030808256734</v>
      </c>
      <c r="F103" s="21">
        <f>F49/About!$A$39</f>
        <v>0.59519030808256734</v>
      </c>
      <c r="G103" s="21">
        <f>G49/About!$A$39</f>
        <v>0.59519030808256734</v>
      </c>
      <c r="H103" s="21">
        <f>H49/About!$A$39</f>
        <v>0.59519030808256734</v>
      </c>
      <c r="I103" s="21">
        <f>I49/About!$A$39</f>
        <v>0.59519030808256734</v>
      </c>
      <c r="J103" s="21">
        <f>J49/About!$A$39</f>
        <v>0.59519030808256734</v>
      </c>
      <c r="K103" s="21">
        <f>K49/About!$A$39</f>
        <v>0.59519030808256734</v>
      </c>
      <c r="L103" s="21">
        <f>L49/About!$A$39</f>
        <v>0.59519030808256734</v>
      </c>
      <c r="M103" s="21">
        <f>M49/About!$A$39</f>
        <v>0.59519030808256734</v>
      </c>
      <c r="N103" s="21">
        <f>N49/About!$A$39</f>
        <v>0.59519030808256734</v>
      </c>
      <c r="O103" s="21">
        <f>O49/About!$A$39</f>
        <v>0.59519030808256734</v>
      </c>
      <c r="P103" s="21">
        <f>P49/About!$A$39</f>
        <v>0.59519030808256734</v>
      </c>
      <c r="Q103" s="21">
        <f>Q49/About!$A$39</f>
        <v>0.59519030808256734</v>
      </c>
      <c r="R103" s="21">
        <f>R49/About!$A$39</f>
        <v>0.59519030808256734</v>
      </c>
      <c r="S103" s="21">
        <f>S49/About!$A$39</f>
        <v>0.59519030808256734</v>
      </c>
      <c r="T103" s="21">
        <f>T49/About!$A$39</f>
        <v>0.59519030808256734</v>
      </c>
      <c r="U103" s="21">
        <f>U49/About!$A$39</f>
        <v>0.59519030808256734</v>
      </c>
      <c r="V103" s="21">
        <f>V49/About!$A$39</f>
        <v>0.59519030808256734</v>
      </c>
      <c r="W103" s="21">
        <f>W49/About!$A$39</f>
        <v>0.59519030808256734</v>
      </c>
      <c r="X103" s="21">
        <f>X49/About!$A$39</f>
        <v>0.59519030808256734</v>
      </c>
      <c r="Y103" s="21">
        <f>Y49/About!$A$39</f>
        <v>0.59519030808256734</v>
      </c>
      <c r="Z103" s="21">
        <f>Z49/About!$A$39</f>
        <v>0.59519030808256734</v>
      </c>
      <c r="AA103" s="21">
        <f>AA49/About!$A$39</f>
        <v>0.59519030808256734</v>
      </c>
      <c r="AB103" s="21">
        <f>AB49/About!$A$39</f>
        <v>0.59519030808256734</v>
      </c>
      <c r="AC103" s="21">
        <f>AC49/About!$A$39</f>
        <v>0.59519030808256734</v>
      </c>
      <c r="AD103" s="21">
        <f>AD49/About!$A$39</f>
        <v>0.59519030808256734</v>
      </c>
      <c r="AE103" s="21">
        <f>AE49/About!$A$39</f>
        <v>0.59519030808256734</v>
      </c>
      <c r="AF103" s="21">
        <f>AF49/About!$A$39</f>
        <v>0.59519030808256734</v>
      </c>
    </row>
    <row r="104" spans="1:32">
      <c r="A104" t="s">
        <v>19</v>
      </c>
      <c r="B104" s="21">
        <f>B50/About!$A$39</f>
        <v>1.0973821305272335</v>
      </c>
      <c r="C104" s="21">
        <f>C50/About!$A$39</f>
        <v>1.0973821305272335</v>
      </c>
      <c r="D104" s="21">
        <f>D50/About!$A$39</f>
        <v>1.0973821305272335</v>
      </c>
      <c r="E104" s="21">
        <f>E50/About!$A$39</f>
        <v>1.0973821305272335</v>
      </c>
      <c r="F104" s="21">
        <f>F50/About!$A$39</f>
        <v>1.0973821305272335</v>
      </c>
      <c r="G104" s="21">
        <f>G50/About!$A$39</f>
        <v>1.0973821305272335</v>
      </c>
      <c r="H104" s="21">
        <f>H50/About!$A$39</f>
        <v>1.0973821305272335</v>
      </c>
      <c r="I104" s="21">
        <f>I50/About!$A$39</f>
        <v>1.0973821305272335</v>
      </c>
      <c r="J104" s="21">
        <f>J50/About!$A$39</f>
        <v>1.0973821305272335</v>
      </c>
      <c r="K104" s="21">
        <f>K50/About!$A$39</f>
        <v>1.0973821305272335</v>
      </c>
      <c r="L104" s="21">
        <f>L50/About!$A$39</f>
        <v>1.0973821305272335</v>
      </c>
      <c r="M104" s="21">
        <f>M50/About!$A$39</f>
        <v>1.0973821305272335</v>
      </c>
      <c r="N104" s="21">
        <f>N50/About!$A$39</f>
        <v>1.0973821305272335</v>
      </c>
      <c r="O104" s="21">
        <f>O50/About!$A$39</f>
        <v>1.0973821305272335</v>
      </c>
      <c r="P104" s="21">
        <f>P50/About!$A$39</f>
        <v>1.0973821305272335</v>
      </c>
      <c r="Q104" s="21">
        <f>Q50/About!$A$39</f>
        <v>1.0973821305272335</v>
      </c>
      <c r="R104" s="21">
        <f>R50/About!$A$39</f>
        <v>1.0973821305272335</v>
      </c>
      <c r="S104" s="21">
        <f>S50/About!$A$39</f>
        <v>1.0973821305272335</v>
      </c>
      <c r="T104" s="21">
        <f>T50/About!$A$39</f>
        <v>1.0973821305272335</v>
      </c>
      <c r="U104" s="21">
        <f>U50/About!$A$39</f>
        <v>1.0973821305272335</v>
      </c>
      <c r="V104" s="21">
        <f>V50/About!$A$39</f>
        <v>1.0973821305272335</v>
      </c>
      <c r="W104" s="21">
        <f>W50/About!$A$39</f>
        <v>1.0973821305272335</v>
      </c>
      <c r="X104" s="21">
        <f>X50/About!$A$39</f>
        <v>1.0973821305272335</v>
      </c>
      <c r="Y104" s="21">
        <f>Y50/About!$A$39</f>
        <v>1.0973821305272335</v>
      </c>
      <c r="Z104" s="21">
        <f>Z50/About!$A$39</f>
        <v>1.0973821305272335</v>
      </c>
      <c r="AA104" s="21">
        <f>AA50/About!$A$39</f>
        <v>1.0973821305272335</v>
      </c>
      <c r="AB104" s="21">
        <f>AB50/About!$A$39</f>
        <v>1.0973821305272335</v>
      </c>
      <c r="AC104" s="21">
        <f>AC50/About!$A$39</f>
        <v>1.0973821305272335</v>
      </c>
      <c r="AD104" s="21">
        <f>AD50/About!$A$39</f>
        <v>1.0973821305272335</v>
      </c>
      <c r="AE104" s="21">
        <f>AE50/About!$A$39</f>
        <v>1.0973821305272335</v>
      </c>
      <c r="AF104" s="21">
        <f>AF50/About!$A$39</f>
        <v>1.0973821305272335</v>
      </c>
    </row>
    <row r="105" spans="1:32">
      <c r="A105" t="s">
        <v>17</v>
      </c>
      <c r="B105" s="21">
        <f>B51/About!$A$39</f>
        <v>0</v>
      </c>
      <c r="C105" s="21">
        <f>C51/About!$A$39</f>
        <v>0</v>
      </c>
      <c r="D105" s="21">
        <f>D51/About!$A$39</f>
        <v>0</v>
      </c>
      <c r="E105" s="21">
        <f>E51/About!$A$39</f>
        <v>0</v>
      </c>
      <c r="F105" s="21">
        <f>F51/About!$A$39</f>
        <v>0</v>
      </c>
      <c r="G105" s="21">
        <f>G51/About!$A$39</f>
        <v>0</v>
      </c>
      <c r="H105" s="21">
        <f>H51/About!$A$39</f>
        <v>0</v>
      </c>
      <c r="I105" s="21">
        <f>I51/About!$A$39</f>
        <v>0</v>
      </c>
      <c r="J105" s="21">
        <f>J51/About!$A$39</f>
        <v>0</v>
      </c>
      <c r="K105" s="21">
        <f>K51/About!$A$39</f>
        <v>0</v>
      </c>
      <c r="L105" s="21">
        <f>L51/About!$A$39</f>
        <v>0</v>
      </c>
      <c r="M105" s="21">
        <f>M51/About!$A$39</f>
        <v>0</v>
      </c>
      <c r="N105" s="21">
        <f>N51/About!$A$39</f>
        <v>0</v>
      </c>
      <c r="O105" s="21">
        <f>O51/About!$A$39</f>
        <v>0</v>
      </c>
      <c r="P105" s="21">
        <f>P51/About!$A$39</f>
        <v>0</v>
      </c>
      <c r="Q105" s="21">
        <f>Q51/About!$A$39</f>
        <v>0</v>
      </c>
      <c r="R105" s="21">
        <f>R51/About!$A$39</f>
        <v>0</v>
      </c>
      <c r="S105" s="21">
        <f>S51/About!$A$39</f>
        <v>0</v>
      </c>
      <c r="T105" s="21">
        <f>T51/About!$A$39</f>
        <v>0</v>
      </c>
      <c r="U105" s="21">
        <f>U51/About!$A$39</f>
        <v>0</v>
      </c>
      <c r="V105" s="21">
        <f>V51/About!$A$39</f>
        <v>0</v>
      </c>
      <c r="W105" s="21">
        <f>W51/About!$A$39</f>
        <v>0</v>
      </c>
      <c r="X105" s="21">
        <f>X51/About!$A$39</f>
        <v>0</v>
      </c>
      <c r="Y105" s="21">
        <f>Y51/About!$A$39</f>
        <v>0</v>
      </c>
      <c r="Z105" s="21">
        <f>Z51/About!$A$39</f>
        <v>0</v>
      </c>
      <c r="AA105" s="21">
        <f>AA51/About!$A$39</f>
        <v>0</v>
      </c>
      <c r="AB105" s="21">
        <f>AB51/About!$A$39</f>
        <v>0</v>
      </c>
      <c r="AC105" s="21">
        <f>AC51/About!$A$39</f>
        <v>0</v>
      </c>
      <c r="AD105" s="21">
        <f>AD51/About!$A$39</f>
        <v>0</v>
      </c>
      <c r="AE105" s="21">
        <f>AE51/About!$A$39</f>
        <v>0</v>
      </c>
      <c r="AF105" s="21">
        <f>AF51/About!$A$39</f>
        <v>0</v>
      </c>
    </row>
    <row r="106" spans="1:32">
      <c r="A106" t="s">
        <v>20</v>
      </c>
      <c r="B106" s="21">
        <f>B52/About!$A$39</f>
        <v>0.13949772845685174</v>
      </c>
      <c r="C106" s="21">
        <f>C52/About!$A$39</f>
        <v>0.13949772845685174</v>
      </c>
      <c r="D106" s="21">
        <f>D52/About!$A$39</f>
        <v>0.13949772845685174</v>
      </c>
      <c r="E106" s="21">
        <f>E52/About!$A$39</f>
        <v>0.13949772845685174</v>
      </c>
      <c r="F106" s="21">
        <f>F52/About!$A$39</f>
        <v>0.13949772845685174</v>
      </c>
      <c r="G106" s="21">
        <f>G52/About!$A$39</f>
        <v>0.13949772845685174</v>
      </c>
      <c r="H106" s="21">
        <f>H52/About!$A$39</f>
        <v>0.13949772845685174</v>
      </c>
      <c r="I106" s="21">
        <f>I52/About!$A$39</f>
        <v>0.13949772845685174</v>
      </c>
      <c r="J106" s="21">
        <f>J52/About!$A$39</f>
        <v>0.13949772845685174</v>
      </c>
      <c r="K106" s="21">
        <f>K52/About!$A$39</f>
        <v>0.13949772845685174</v>
      </c>
      <c r="L106" s="21">
        <f>L52/About!$A$39</f>
        <v>0.13949772845685174</v>
      </c>
      <c r="M106" s="21">
        <f>M52/About!$A$39</f>
        <v>0.13949772845685174</v>
      </c>
      <c r="N106" s="21">
        <f>N52/About!$A$39</f>
        <v>0.13949772845685174</v>
      </c>
      <c r="O106" s="21">
        <f>O52/About!$A$39</f>
        <v>0.13949772845685174</v>
      </c>
      <c r="P106" s="21">
        <f>P52/About!$A$39</f>
        <v>0.13949772845685174</v>
      </c>
      <c r="Q106" s="21">
        <f>Q52/About!$A$39</f>
        <v>0.13949772845685174</v>
      </c>
      <c r="R106" s="21">
        <f>R52/About!$A$39</f>
        <v>0.13949772845685174</v>
      </c>
      <c r="S106" s="21">
        <f>S52/About!$A$39</f>
        <v>0.13949772845685174</v>
      </c>
      <c r="T106" s="21">
        <f>T52/About!$A$39</f>
        <v>0.13949772845685174</v>
      </c>
      <c r="U106" s="21">
        <f>U52/About!$A$39</f>
        <v>0.13949772845685174</v>
      </c>
      <c r="V106" s="21">
        <f>V52/About!$A$39</f>
        <v>0.13949772845685174</v>
      </c>
      <c r="W106" s="21">
        <f>W52/About!$A$39</f>
        <v>0.13949772845685174</v>
      </c>
      <c r="X106" s="21">
        <f>X52/About!$A$39</f>
        <v>0.13949772845685174</v>
      </c>
      <c r="Y106" s="21">
        <f>Y52/About!$A$39</f>
        <v>0.13949772845685174</v>
      </c>
      <c r="Z106" s="21">
        <f>Z52/About!$A$39</f>
        <v>0.13949772845685174</v>
      </c>
      <c r="AA106" s="21">
        <f>AA52/About!$A$39</f>
        <v>0.13949772845685174</v>
      </c>
      <c r="AB106" s="21">
        <f>AB52/About!$A$39</f>
        <v>0.13949772845685174</v>
      </c>
      <c r="AC106" s="21">
        <f>AC52/About!$A$39</f>
        <v>0.13949772845685174</v>
      </c>
      <c r="AD106" s="21">
        <f>AD52/About!$A$39</f>
        <v>0.13949772845685174</v>
      </c>
      <c r="AE106" s="21">
        <f>AE52/About!$A$39</f>
        <v>0.13949772845685174</v>
      </c>
      <c r="AF106" s="21">
        <f>AF52/About!$A$39</f>
        <v>0.13949772845685174</v>
      </c>
    </row>
    <row r="107" spans="1:32">
      <c r="A107" t="s">
        <v>21</v>
      </c>
      <c r="B107" s="21">
        <f>B53/About!$A$39</f>
        <v>0.13949772845685174</v>
      </c>
      <c r="C107" s="21">
        <f>C53/About!$A$39</f>
        <v>0.13949772845685174</v>
      </c>
      <c r="D107" s="21">
        <f>D53/About!$A$39</f>
        <v>0.13949772845685174</v>
      </c>
      <c r="E107" s="21">
        <f>E53/About!$A$39</f>
        <v>0.13949772845685174</v>
      </c>
      <c r="F107" s="21">
        <f>F53/About!$A$39</f>
        <v>0.13949772845685174</v>
      </c>
      <c r="G107" s="21">
        <f>G53/About!$A$39</f>
        <v>0.13949772845685174</v>
      </c>
      <c r="H107" s="21">
        <f>H53/About!$A$39</f>
        <v>0.13949772845685174</v>
      </c>
      <c r="I107" s="21">
        <f>I53/About!$A$39</f>
        <v>0.13949772845685174</v>
      </c>
      <c r="J107" s="21">
        <f>J53/About!$A$39</f>
        <v>0.13949772845685174</v>
      </c>
      <c r="K107" s="21">
        <f>K53/About!$A$39</f>
        <v>0.13949772845685174</v>
      </c>
      <c r="L107" s="21">
        <f>L53/About!$A$39</f>
        <v>0.13949772845685174</v>
      </c>
      <c r="M107" s="21">
        <f>M53/About!$A$39</f>
        <v>0.13949772845685174</v>
      </c>
      <c r="N107" s="21">
        <f>N53/About!$A$39</f>
        <v>0.13949772845685174</v>
      </c>
      <c r="O107" s="21">
        <f>O53/About!$A$39</f>
        <v>0.13949772845685174</v>
      </c>
      <c r="P107" s="21">
        <f>P53/About!$A$39</f>
        <v>0.13949772845685174</v>
      </c>
      <c r="Q107" s="21">
        <f>Q53/About!$A$39</f>
        <v>0.13949772845685174</v>
      </c>
      <c r="R107" s="21">
        <f>R53/About!$A$39</f>
        <v>0.13949772845685174</v>
      </c>
      <c r="S107" s="21">
        <f>S53/About!$A$39</f>
        <v>0.13949772845685174</v>
      </c>
      <c r="T107" s="21">
        <f>T53/About!$A$39</f>
        <v>0.13949772845685174</v>
      </c>
      <c r="U107" s="21">
        <f>U53/About!$A$39</f>
        <v>0.13949772845685174</v>
      </c>
      <c r="V107" s="21">
        <f>V53/About!$A$39</f>
        <v>0.13949772845685174</v>
      </c>
      <c r="W107" s="21">
        <f>W53/About!$A$39</f>
        <v>0.13949772845685174</v>
      </c>
      <c r="X107" s="21">
        <f>X53/About!$A$39</f>
        <v>0.13949772845685174</v>
      </c>
      <c r="Y107" s="21">
        <f>Y53/About!$A$39</f>
        <v>0.13949772845685174</v>
      </c>
      <c r="Z107" s="21">
        <f>Z53/About!$A$39</f>
        <v>0.13949772845685174</v>
      </c>
      <c r="AA107" s="21">
        <f>AA53/About!$A$39</f>
        <v>0.13949772845685174</v>
      </c>
      <c r="AB107" s="21">
        <f>AB53/About!$A$39</f>
        <v>0.13949772845685174</v>
      </c>
      <c r="AC107" s="21">
        <f>AC53/About!$A$39</f>
        <v>0.13949772845685174</v>
      </c>
      <c r="AD107" s="21">
        <f>AD53/About!$A$39</f>
        <v>0.13949772845685174</v>
      </c>
      <c r="AE107" s="21">
        <f>AE53/About!$A$39</f>
        <v>0.13949772845685174</v>
      </c>
      <c r="AF107" s="21">
        <f>AF53/About!$A$39</f>
        <v>0.13949772845685174</v>
      </c>
    </row>
    <row r="108" spans="1:32">
      <c r="A108" t="s">
        <v>22</v>
      </c>
      <c r="B108" s="21">
        <f>B54/About!$A$39</f>
        <v>9.2998485637901154E-2</v>
      </c>
      <c r="C108" s="21">
        <f>C54/About!$A$39</f>
        <v>9.2998485637901154E-2</v>
      </c>
      <c r="D108" s="21">
        <f>D54/About!$A$39</f>
        <v>9.2998485637901154E-2</v>
      </c>
      <c r="E108" s="21">
        <f>E54/About!$A$39</f>
        <v>9.2998485637901154E-2</v>
      </c>
      <c r="F108" s="21">
        <f>F54/About!$A$39</f>
        <v>9.2998485637901154E-2</v>
      </c>
      <c r="G108" s="21">
        <f>G54/About!$A$39</f>
        <v>9.2998485637901154E-2</v>
      </c>
      <c r="H108" s="21">
        <f>H54/About!$A$39</f>
        <v>9.2998485637901154E-2</v>
      </c>
      <c r="I108" s="21">
        <f>I54/About!$A$39</f>
        <v>9.2998485637901154E-2</v>
      </c>
      <c r="J108" s="21">
        <f>J54/About!$A$39</f>
        <v>9.2998485637901154E-2</v>
      </c>
      <c r="K108" s="21">
        <f>K54/About!$A$39</f>
        <v>9.2998485637901154E-2</v>
      </c>
      <c r="L108" s="21">
        <f>L54/About!$A$39</f>
        <v>9.2998485637901154E-2</v>
      </c>
      <c r="M108" s="21">
        <f>M54/About!$A$39</f>
        <v>9.2998485637901154E-2</v>
      </c>
      <c r="N108" s="21">
        <f>N54/About!$A$39</f>
        <v>9.2998485637901154E-2</v>
      </c>
      <c r="O108" s="21">
        <f>O54/About!$A$39</f>
        <v>9.2998485637901154E-2</v>
      </c>
      <c r="P108" s="21">
        <f>P54/About!$A$39</f>
        <v>9.2998485637901154E-2</v>
      </c>
      <c r="Q108" s="21">
        <f>Q54/About!$A$39</f>
        <v>9.2998485637901154E-2</v>
      </c>
      <c r="R108" s="21">
        <f>R54/About!$A$39</f>
        <v>9.2998485637901154E-2</v>
      </c>
      <c r="S108" s="21">
        <f>S54/About!$A$39</f>
        <v>9.2998485637901154E-2</v>
      </c>
      <c r="T108" s="21">
        <f>T54/About!$A$39</f>
        <v>9.2998485637901154E-2</v>
      </c>
      <c r="U108" s="21">
        <f>U54/About!$A$39</f>
        <v>9.2998485637901154E-2</v>
      </c>
      <c r="V108" s="21">
        <f>V54/About!$A$39</f>
        <v>9.2998485637901154E-2</v>
      </c>
      <c r="W108" s="21">
        <f>W54/About!$A$39</f>
        <v>9.2998485637901154E-2</v>
      </c>
      <c r="X108" s="21">
        <f>X54/About!$A$39</f>
        <v>9.2998485637901154E-2</v>
      </c>
      <c r="Y108" s="21">
        <f>Y54/About!$A$39</f>
        <v>9.2998485637901154E-2</v>
      </c>
      <c r="Z108" s="21">
        <f>Z54/About!$A$39</f>
        <v>9.2998485637901154E-2</v>
      </c>
      <c r="AA108" s="21">
        <f>AA54/About!$A$39</f>
        <v>9.2998485637901154E-2</v>
      </c>
      <c r="AB108" s="21">
        <f>AB54/About!$A$39</f>
        <v>9.2998485637901154E-2</v>
      </c>
      <c r="AC108" s="21">
        <f>AC54/About!$A$39</f>
        <v>9.2998485637901154E-2</v>
      </c>
      <c r="AD108" s="21">
        <f>AD54/About!$A$39</f>
        <v>9.2998485637901154E-2</v>
      </c>
      <c r="AE108" s="21">
        <f>AE54/About!$A$39</f>
        <v>9.2998485637901154E-2</v>
      </c>
      <c r="AF108" s="21">
        <f>AF54/About!$A$39</f>
        <v>9.2998485637901154E-2</v>
      </c>
    </row>
    <row r="110" spans="1:32">
      <c r="A110" s="1" t="s">
        <v>365</v>
      </c>
    </row>
    <row r="111" spans="1:32">
      <c r="A111" s="17" t="s">
        <v>18</v>
      </c>
      <c r="B111">
        <f>KRW!B59/About!$A$39*1000</f>
        <v>39059.363967918485</v>
      </c>
    </row>
    <row r="112" spans="1:32">
      <c r="A112" s="17" t="s">
        <v>7</v>
      </c>
      <c r="B112">
        <f>KRW!B60/About!$A$39*1000</f>
        <v>21389.651696717265</v>
      </c>
    </row>
    <row r="113" spans="1:32">
      <c r="A113" s="17" t="s">
        <v>17</v>
      </c>
      <c r="B113">
        <f>KRW!B61/About!$A$39*1000</f>
        <v>301315.09346679976</v>
      </c>
    </row>
    <row r="115" spans="1:32">
      <c r="A115" s="1" t="s">
        <v>366</v>
      </c>
    </row>
    <row r="116" spans="1:32">
      <c r="A116" s="17" t="s">
        <v>367</v>
      </c>
      <c r="C116">
        <f t="shared" ref="C116:AF116" si="46">C56</f>
        <v>2021</v>
      </c>
      <c r="D116">
        <f t="shared" si="46"/>
        <v>2022</v>
      </c>
      <c r="E116">
        <f t="shared" si="46"/>
        <v>2023</v>
      </c>
      <c r="F116">
        <f t="shared" si="46"/>
        <v>2024</v>
      </c>
      <c r="G116">
        <f t="shared" si="46"/>
        <v>2025</v>
      </c>
      <c r="H116">
        <f t="shared" si="46"/>
        <v>2026</v>
      </c>
      <c r="I116">
        <f t="shared" si="46"/>
        <v>2027</v>
      </c>
      <c r="J116">
        <f t="shared" si="46"/>
        <v>2028</v>
      </c>
      <c r="K116">
        <f t="shared" si="46"/>
        <v>2029</v>
      </c>
      <c r="L116">
        <f t="shared" si="46"/>
        <v>2030</v>
      </c>
      <c r="M116">
        <f t="shared" si="46"/>
        <v>2031</v>
      </c>
      <c r="N116">
        <f t="shared" si="46"/>
        <v>2032</v>
      </c>
      <c r="O116">
        <f t="shared" si="46"/>
        <v>2033</v>
      </c>
      <c r="P116">
        <f t="shared" si="46"/>
        <v>2034</v>
      </c>
      <c r="Q116">
        <f t="shared" si="46"/>
        <v>2035</v>
      </c>
      <c r="R116">
        <f t="shared" si="46"/>
        <v>2036</v>
      </c>
      <c r="S116">
        <f t="shared" si="46"/>
        <v>2037</v>
      </c>
      <c r="T116">
        <f t="shared" si="46"/>
        <v>2038</v>
      </c>
      <c r="U116">
        <f t="shared" si="46"/>
        <v>2039</v>
      </c>
      <c r="V116">
        <f t="shared" si="46"/>
        <v>2040</v>
      </c>
      <c r="W116">
        <f t="shared" si="46"/>
        <v>2041</v>
      </c>
      <c r="X116">
        <f t="shared" si="46"/>
        <v>2042</v>
      </c>
      <c r="Y116">
        <f t="shared" si="46"/>
        <v>2043</v>
      </c>
      <c r="Z116">
        <f t="shared" si="46"/>
        <v>2044</v>
      </c>
      <c r="AA116">
        <f t="shared" si="46"/>
        <v>2045</v>
      </c>
      <c r="AB116">
        <f t="shared" si="46"/>
        <v>2046</v>
      </c>
      <c r="AC116">
        <f t="shared" si="46"/>
        <v>2047</v>
      </c>
      <c r="AD116">
        <f t="shared" si="46"/>
        <v>2048</v>
      </c>
      <c r="AE116">
        <f t="shared" si="46"/>
        <v>2049</v>
      </c>
      <c r="AF116">
        <f t="shared" si="46"/>
        <v>2050</v>
      </c>
    </row>
    <row r="117" spans="1:32">
      <c r="A117" s="17" t="s">
        <v>18</v>
      </c>
      <c r="C117" s="21">
        <f t="shared" ref="C117:AF117" si="47">C61-$B$111</f>
        <v>2480282.8363474817</v>
      </c>
      <c r="D117" s="21">
        <f t="shared" si="47"/>
        <v>2454834.9353341949</v>
      </c>
      <c r="E117" s="21">
        <f t="shared" si="47"/>
        <v>2429387.0343209086</v>
      </c>
      <c r="F117" s="21">
        <f t="shared" si="47"/>
        <v>2403939.1333076218</v>
      </c>
      <c r="G117" s="21">
        <f t="shared" si="47"/>
        <v>2378491.2322943341</v>
      </c>
      <c r="H117" s="21">
        <f t="shared" si="47"/>
        <v>2332685.0104704178</v>
      </c>
      <c r="I117" s="21">
        <f t="shared" si="47"/>
        <v>2286878.7886465015</v>
      </c>
      <c r="J117" s="21">
        <f t="shared" si="47"/>
        <v>2241072.5668225852</v>
      </c>
      <c r="K117" s="21">
        <f t="shared" si="47"/>
        <v>2195266.3449986689</v>
      </c>
      <c r="L117" s="21">
        <f t="shared" si="47"/>
        <v>2149460.1231747521</v>
      </c>
      <c r="M117" s="21">
        <f t="shared" si="47"/>
        <v>2136967.517222771</v>
      </c>
      <c r="N117" s="21">
        <f t="shared" si="47"/>
        <v>2101340.4558041734</v>
      </c>
      <c r="O117" s="21">
        <f t="shared" si="47"/>
        <v>2065713.3943855616</v>
      </c>
      <c r="P117" s="21">
        <f t="shared" si="47"/>
        <v>2030086.3329669638</v>
      </c>
      <c r="Q117" s="21">
        <f t="shared" si="47"/>
        <v>1994459.2715483662</v>
      </c>
      <c r="R117" s="21">
        <f t="shared" si="47"/>
        <v>1958832.2101297549</v>
      </c>
      <c r="S117" s="21">
        <f t="shared" si="47"/>
        <v>1923205.1487111573</v>
      </c>
      <c r="T117" s="21">
        <f t="shared" si="47"/>
        <v>1887578.0872925597</v>
      </c>
      <c r="U117" s="21">
        <f t="shared" si="47"/>
        <v>1851951.0258739621</v>
      </c>
      <c r="V117" s="21">
        <f t="shared" si="47"/>
        <v>1816323.9644553505</v>
      </c>
      <c r="W117" s="21">
        <f t="shared" si="47"/>
        <v>1780696.9030367527</v>
      </c>
      <c r="X117" s="21">
        <f t="shared" si="47"/>
        <v>1745069.8416181551</v>
      </c>
      <c r="Y117" s="21">
        <f t="shared" si="47"/>
        <v>1709442.7801995438</v>
      </c>
      <c r="Z117" s="21">
        <f t="shared" si="47"/>
        <v>1673815.7187809462</v>
      </c>
      <c r="AA117" s="21">
        <f t="shared" si="47"/>
        <v>1638188.6573623486</v>
      </c>
      <c r="AB117" s="21">
        <f t="shared" si="47"/>
        <v>1602561.5959437508</v>
      </c>
      <c r="AC117" s="21">
        <f t="shared" si="47"/>
        <v>1566934.5345251395</v>
      </c>
      <c r="AD117" s="21">
        <f t="shared" si="47"/>
        <v>1531307.4731065419</v>
      </c>
      <c r="AE117" s="21">
        <f t="shared" si="47"/>
        <v>1495680.4116879443</v>
      </c>
      <c r="AF117" s="21">
        <f t="shared" si="47"/>
        <v>1460053.3502693328</v>
      </c>
    </row>
    <row r="118" spans="1:32">
      <c r="A118" s="17" t="s">
        <v>7</v>
      </c>
      <c r="C118" s="21">
        <f t="shared" ref="C118:AF118" si="48">C62-$B$112</f>
        <v>1252851.4189075385</v>
      </c>
      <c r="D118" s="21">
        <f t="shared" si="48"/>
        <v>1252851.4189075385</v>
      </c>
      <c r="E118" s="21">
        <f t="shared" si="48"/>
        <v>1252851.4189075385</v>
      </c>
      <c r="F118" s="21">
        <f t="shared" si="48"/>
        <v>1252851.4189075385</v>
      </c>
      <c r="G118" s="21">
        <f t="shared" si="48"/>
        <v>1252851.4189075385</v>
      </c>
      <c r="H118" s="21">
        <f t="shared" si="48"/>
        <v>1206978.7403657853</v>
      </c>
      <c r="I118" s="21">
        <f t="shared" si="48"/>
        <v>1161106.0618240321</v>
      </c>
      <c r="J118" s="21">
        <f t="shared" si="48"/>
        <v>1115233.3832822789</v>
      </c>
      <c r="K118" s="21">
        <f t="shared" si="48"/>
        <v>1069360.7047405257</v>
      </c>
      <c r="L118" s="21">
        <f t="shared" si="48"/>
        <v>1023488.0261987724</v>
      </c>
      <c r="M118" s="21">
        <f t="shared" si="48"/>
        <v>1052679.7307253478</v>
      </c>
      <c r="N118" s="21">
        <f t="shared" si="48"/>
        <v>1029743.3914544719</v>
      </c>
      <c r="O118" s="21">
        <f t="shared" si="48"/>
        <v>1006807.0521835891</v>
      </c>
      <c r="P118" s="21">
        <f t="shared" si="48"/>
        <v>983870.71291271306</v>
      </c>
      <c r="Q118" s="21">
        <f t="shared" si="48"/>
        <v>960934.37364183716</v>
      </c>
      <c r="R118" s="21">
        <f t="shared" si="48"/>
        <v>937998.03437096125</v>
      </c>
      <c r="S118" s="21">
        <f t="shared" si="48"/>
        <v>915061.69510008534</v>
      </c>
      <c r="T118" s="21">
        <f t="shared" si="48"/>
        <v>892125.35582920944</v>
      </c>
      <c r="U118" s="21">
        <f t="shared" si="48"/>
        <v>869189.01655833353</v>
      </c>
      <c r="V118" s="21">
        <f t="shared" si="48"/>
        <v>846252.67728745739</v>
      </c>
      <c r="W118" s="21">
        <f t="shared" si="48"/>
        <v>823316.33801658149</v>
      </c>
      <c r="X118" s="21">
        <f t="shared" si="48"/>
        <v>800379.99874570558</v>
      </c>
      <c r="Y118" s="21">
        <f t="shared" si="48"/>
        <v>777443.65947482281</v>
      </c>
      <c r="Z118" s="21">
        <f t="shared" si="48"/>
        <v>754507.32020394679</v>
      </c>
      <c r="AA118" s="21">
        <f t="shared" si="48"/>
        <v>731570.98093307088</v>
      </c>
      <c r="AB118" s="21">
        <f t="shared" si="48"/>
        <v>708634.64166219486</v>
      </c>
      <c r="AC118" s="21">
        <f t="shared" si="48"/>
        <v>685698.30239131895</v>
      </c>
      <c r="AD118" s="21">
        <f t="shared" si="48"/>
        <v>662761.96312044305</v>
      </c>
      <c r="AE118" s="21">
        <f t="shared" si="48"/>
        <v>639825.62384956714</v>
      </c>
      <c r="AF118" s="21">
        <f t="shared" si="48"/>
        <v>616889.28457869124</v>
      </c>
    </row>
    <row r="119" spans="1:32">
      <c r="A119" s="17" t="s">
        <v>17</v>
      </c>
      <c r="C119" s="21">
        <f t="shared" ref="C119:AF119" si="49">C69-$B$113</f>
        <v>5138317.1750377435</v>
      </c>
      <c r="D119" s="21">
        <f t="shared" si="49"/>
        <v>4993111.3855294092</v>
      </c>
      <c r="E119" s="21">
        <f t="shared" si="49"/>
        <v>4847905.5960210739</v>
      </c>
      <c r="F119" s="21">
        <f t="shared" si="49"/>
        <v>4702699.8065127395</v>
      </c>
      <c r="G119" s="21">
        <f t="shared" si="49"/>
        <v>4557494.0170044051</v>
      </c>
      <c r="H119" s="21">
        <f t="shared" si="49"/>
        <v>4412288.2274960708</v>
      </c>
      <c r="I119" s="21">
        <f t="shared" si="49"/>
        <v>4267082.4379877355</v>
      </c>
      <c r="J119" s="21">
        <f t="shared" si="49"/>
        <v>4121876.6484794011</v>
      </c>
      <c r="K119" s="21">
        <f t="shared" si="49"/>
        <v>3976670.8589710668</v>
      </c>
      <c r="L119" s="21">
        <f t="shared" si="49"/>
        <v>3831465.0694627301</v>
      </c>
      <c r="M119" s="21">
        <f t="shared" si="49"/>
        <v>3686259.2799544395</v>
      </c>
      <c r="N119" s="21">
        <f t="shared" si="49"/>
        <v>3541053.4904460935</v>
      </c>
      <c r="O119" s="21">
        <f t="shared" si="49"/>
        <v>3395847.7009377475</v>
      </c>
      <c r="P119" s="21">
        <f t="shared" si="49"/>
        <v>3250641.9114294015</v>
      </c>
      <c r="Q119" s="21">
        <f t="shared" si="49"/>
        <v>3105436.121921056</v>
      </c>
      <c r="R119" s="21">
        <f t="shared" si="49"/>
        <v>2960230.3324127654</v>
      </c>
      <c r="S119" s="21">
        <f t="shared" si="49"/>
        <v>2815024.5429044194</v>
      </c>
      <c r="T119" s="21">
        <f t="shared" si="49"/>
        <v>2669818.7533960734</v>
      </c>
      <c r="U119" s="21">
        <f t="shared" si="49"/>
        <v>2524612.9638877278</v>
      </c>
      <c r="V119" s="21">
        <f t="shared" si="49"/>
        <v>2379407.1743793814</v>
      </c>
      <c r="W119" s="21">
        <f t="shared" si="49"/>
        <v>2234201.3848710912</v>
      </c>
      <c r="X119" s="21">
        <f t="shared" si="49"/>
        <v>2088995.5953627452</v>
      </c>
      <c r="Y119" s="21">
        <f t="shared" si="49"/>
        <v>1943789.8058543997</v>
      </c>
      <c r="Z119" s="21">
        <f t="shared" si="49"/>
        <v>1798584.0163460532</v>
      </c>
      <c r="AA119" s="21">
        <f t="shared" si="49"/>
        <v>1653378.2268377077</v>
      </c>
      <c r="AB119" s="21">
        <f t="shared" si="49"/>
        <v>1508172.4373294171</v>
      </c>
      <c r="AC119" s="21">
        <f t="shared" si="49"/>
        <v>1362966.6478210713</v>
      </c>
      <c r="AD119" s="21">
        <f t="shared" si="49"/>
        <v>1217760.8583127253</v>
      </c>
      <c r="AE119" s="21">
        <f t="shared" si="49"/>
        <v>1072555.0688043793</v>
      </c>
      <c r="AF119" s="21">
        <f t="shared" si="49"/>
        <v>927349.27929603355</v>
      </c>
    </row>
  </sheetData>
  <phoneticPr fontId="3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6CCF-0A70-4EBA-9F98-EB67A1D8AFE2}">
  <sheetPr>
    <tabColor rgb="FF92D050"/>
  </sheetPr>
  <dimension ref="A1"/>
  <sheetViews>
    <sheetView workbookViewId="0">
      <selection activeCell="J33" sqref="J33"/>
    </sheetView>
  </sheetViews>
  <sheetFormatPr defaultRowHeight="14.5"/>
  <sheetData/>
  <phoneticPr fontId="3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BF54-B4F2-411A-A717-3FE765696EA9}">
  <sheetPr>
    <tabColor theme="6"/>
  </sheetPr>
  <dimension ref="A1:AG25"/>
  <sheetViews>
    <sheetView workbookViewId="0">
      <selection activeCell="B2" sqref="B2"/>
    </sheetView>
  </sheetViews>
  <sheetFormatPr defaultColWidth="9.08984375" defaultRowHeight="14.5"/>
  <cols>
    <col min="1" max="1" width="38.81640625" customWidth="1"/>
    <col min="2" max="4" width="9.08984375" customWidth="1"/>
    <col min="7" max="7" width="9.08984375" customWidth="1"/>
    <col min="9" max="9" width="9.08984375" customWidth="1"/>
  </cols>
  <sheetData>
    <row r="1" spans="1:33">
      <c r="A1" s="29" t="s">
        <v>123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16</v>
      </c>
      <c r="B2" s="4">
        <v>24015.21</v>
      </c>
      <c r="C2" s="4">
        <v>24015.21</v>
      </c>
      <c r="D2" s="4">
        <v>24015.21</v>
      </c>
      <c r="E2" s="4">
        <v>24015.21</v>
      </c>
      <c r="F2" s="4">
        <v>24015.21</v>
      </c>
      <c r="G2" s="4">
        <v>24015.21</v>
      </c>
      <c r="H2" s="4">
        <v>24015.21</v>
      </c>
      <c r="I2" s="4">
        <v>24015.21</v>
      </c>
      <c r="J2" s="4">
        <v>24015.21</v>
      </c>
      <c r="K2" s="4">
        <v>24015.21</v>
      </c>
      <c r="L2" s="4">
        <v>24015.21</v>
      </c>
      <c r="M2" s="4">
        <v>24015.21</v>
      </c>
      <c r="N2" s="4">
        <v>24015.21</v>
      </c>
      <c r="O2" s="4">
        <v>24015.21</v>
      </c>
      <c r="P2" s="4">
        <v>24015.21</v>
      </c>
      <c r="Q2" s="4">
        <v>24015.21</v>
      </c>
      <c r="R2" s="4">
        <v>24015.21</v>
      </c>
      <c r="S2" s="4">
        <v>24015.21</v>
      </c>
      <c r="T2" s="4">
        <v>24015.21</v>
      </c>
      <c r="U2" s="4">
        <v>24015.21</v>
      </c>
      <c r="V2" s="4">
        <v>24015.21</v>
      </c>
      <c r="W2" s="4">
        <v>24015.21</v>
      </c>
      <c r="X2" s="4">
        <v>24015.21</v>
      </c>
      <c r="Y2" s="4">
        <v>24015.21</v>
      </c>
      <c r="Z2" s="4">
        <v>24015.21</v>
      </c>
      <c r="AA2" s="4">
        <v>24015.21</v>
      </c>
      <c r="AB2" s="4">
        <v>24015.21</v>
      </c>
      <c r="AC2" s="4">
        <v>24015.21</v>
      </c>
      <c r="AD2" s="4">
        <v>24015.21</v>
      </c>
      <c r="AE2" s="4">
        <v>24015.21</v>
      </c>
      <c r="AF2" s="4">
        <v>24015.21</v>
      </c>
      <c r="AG2" s="4">
        <v>24015.21</v>
      </c>
    </row>
    <row r="3" spans="1:33">
      <c r="A3" t="s">
        <v>75</v>
      </c>
      <c r="B3" s="4">
        <v>8473.0412960844351</v>
      </c>
      <c r="C3" s="4">
        <v>8473.0412960844351</v>
      </c>
      <c r="D3" s="4">
        <v>8473.0412960844351</v>
      </c>
      <c r="E3" s="4">
        <v>8473.0412960844351</v>
      </c>
      <c r="F3" s="4">
        <v>8473.0412960844351</v>
      </c>
      <c r="G3" s="4">
        <v>8473.0412960844351</v>
      </c>
      <c r="H3" s="4">
        <v>8473.0412960844351</v>
      </c>
      <c r="I3" s="4">
        <v>8473.0412960844351</v>
      </c>
      <c r="J3" s="4">
        <v>8473.0412960844351</v>
      </c>
      <c r="K3" s="4">
        <v>8473.0412960844351</v>
      </c>
      <c r="L3" s="4">
        <v>8473.0412960844351</v>
      </c>
      <c r="M3" s="4">
        <v>8473.0412960844351</v>
      </c>
      <c r="N3" s="4">
        <v>8473.0412960844351</v>
      </c>
      <c r="O3" s="4">
        <v>8473.0412960844351</v>
      </c>
      <c r="P3" s="4">
        <v>8473.0412960844351</v>
      </c>
      <c r="Q3" s="4">
        <v>8473.0412960844351</v>
      </c>
      <c r="R3" s="4">
        <v>8473.0412960844351</v>
      </c>
      <c r="S3" s="4">
        <v>8473.0412960844351</v>
      </c>
      <c r="T3" s="4">
        <v>8473.0412960844351</v>
      </c>
      <c r="U3" s="4">
        <v>8473.0412960844351</v>
      </c>
      <c r="V3" s="4">
        <v>8473.0412960844351</v>
      </c>
      <c r="W3" s="4">
        <v>8473.0412960844351</v>
      </c>
      <c r="X3" s="4">
        <v>8473.0412960844351</v>
      </c>
      <c r="Y3" s="4">
        <v>8473.0412960844351</v>
      </c>
      <c r="Z3" s="4">
        <v>8473.0412960844351</v>
      </c>
      <c r="AA3" s="4">
        <v>8473.0412960844351</v>
      </c>
      <c r="AB3" s="4">
        <v>8473.0412960844351</v>
      </c>
      <c r="AC3" s="4">
        <v>8473.0412960844351</v>
      </c>
      <c r="AD3" s="4">
        <v>8473.0412960844351</v>
      </c>
      <c r="AE3" s="4">
        <v>8473.0412960844351</v>
      </c>
      <c r="AF3" s="4">
        <v>8473.0412960844351</v>
      </c>
      <c r="AG3" s="4">
        <v>8473.0412960844351</v>
      </c>
    </row>
    <row r="4" spans="1:33">
      <c r="A4" t="s">
        <v>76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</row>
    <row r="5" spans="1:33">
      <c r="A5" t="s">
        <v>5</v>
      </c>
      <c r="B5" s="4">
        <v>55528.115460176989</v>
      </c>
      <c r="C5" s="4">
        <v>55528.115460176989</v>
      </c>
      <c r="D5" s="4">
        <v>55528.115460176989</v>
      </c>
      <c r="E5" s="4">
        <v>55528.115460176989</v>
      </c>
      <c r="F5" s="4">
        <v>55528.115460176989</v>
      </c>
      <c r="G5" s="4">
        <v>55528.115460176989</v>
      </c>
      <c r="H5" s="4">
        <v>55528.115460176989</v>
      </c>
      <c r="I5" s="4">
        <v>55528.115460176989</v>
      </c>
      <c r="J5" s="4">
        <v>55528.115460176989</v>
      </c>
      <c r="K5" s="4">
        <v>55528.115460176989</v>
      </c>
      <c r="L5" s="4">
        <v>55528.115460176989</v>
      </c>
      <c r="M5" s="4">
        <v>55528.115460176989</v>
      </c>
      <c r="N5" s="4">
        <v>55528.115460176989</v>
      </c>
      <c r="O5" s="4">
        <v>55528.115460176989</v>
      </c>
      <c r="P5" s="4">
        <v>55528.115460176989</v>
      </c>
      <c r="Q5" s="4">
        <v>55528.115460176989</v>
      </c>
      <c r="R5" s="4">
        <v>55528.115460176989</v>
      </c>
      <c r="S5" s="4">
        <v>55528.115460176989</v>
      </c>
      <c r="T5" s="4">
        <v>55528.115460176989</v>
      </c>
      <c r="U5" s="4">
        <v>55528.115460176989</v>
      </c>
      <c r="V5" s="4">
        <v>55528.115460176989</v>
      </c>
      <c r="W5" s="4">
        <v>55528.115460176989</v>
      </c>
      <c r="X5" s="4">
        <v>55528.115460176989</v>
      </c>
      <c r="Y5" s="4">
        <v>55528.115460176989</v>
      </c>
      <c r="Z5" s="4">
        <v>55528.115460176989</v>
      </c>
      <c r="AA5" s="4">
        <v>55528.115460176989</v>
      </c>
      <c r="AB5" s="4">
        <v>55528.115460176989</v>
      </c>
      <c r="AC5" s="4">
        <v>55528.115460176989</v>
      </c>
      <c r="AD5" s="4">
        <v>55528.115460176989</v>
      </c>
      <c r="AE5" s="4">
        <v>55528.115460176989</v>
      </c>
      <c r="AF5" s="4">
        <v>55528.115460176989</v>
      </c>
      <c r="AG5" s="4">
        <v>55528.115460176989</v>
      </c>
    </row>
    <row r="6" spans="1:33">
      <c r="A6" t="s">
        <v>6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</row>
    <row r="7" spans="1:33">
      <c r="A7" t="s">
        <v>18</v>
      </c>
      <c r="B7" s="4">
        <v>4236.5206480422175</v>
      </c>
      <c r="C7" s="4">
        <v>4236.5206480422175</v>
      </c>
      <c r="D7" s="4">
        <v>4236.5206480422175</v>
      </c>
      <c r="E7" s="4">
        <v>4236.5206480422175</v>
      </c>
      <c r="F7" s="4">
        <v>4236.5206480422175</v>
      </c>
      <c r="G7" s="4">
        <v>4236.5206480422175</v>
      </c>
      <c r="H7" s="4">
        <v>4236.5206480422175</v>
      </c>
      <c r="I7" s="4">
        <v>4236.5206480422175</v>
      </c>
      <c r="J7" s="4">
        <v>4236.5206480422175</v>
      </c>
      <c r="K7" s="4">
        <v>4236.5206480422175</v>
      </c>
      <c r="L7" s="4">
        <v>4236.5206480422175</v>
      </c>
      <c r="M7" s="4">
        <v>4236.5206480422175</v>
      </c>
      <c r="N7" s="4">
        <v>4236.5206480422175</v>
      </c>
      <c r="O7" s="4">
        <v>4236.5206480422175</v>
      </c>
      <c r="P7" s="4">
        <v>4236.5206480422175</v>
      </c>
      <c r="Q7" s="4">
        <v>4236.5206480422175</v>
      </c>
      <c r="R7" s="4">
        <v>4236.5206480422175</v>
      </c>
      <c r="S7" s="4">
        <v>4236.5206480422175</v>
      </c>
      <c r="T7" s="4">
        <v>4236.5206480422175</v>
      </c>
      <c r="U7" s="4">
        <v>4236.5206480422175</v>
      </c>
      <c r="V7" s="4">
        <v>4236.5206480422175</v>
      </c>
      <c r="W7" s="4">
        <v>4236.5206480422175</v>
      </c>
      <c r="X7" s="4">
        <v>4236.5206480422175</v>
      </c>
      <c r="Y7" s="4">
        <v>4236.5206480422175</v>
      </c>
      <c r="Z7" s="4">
        <v>4236.5206480422175</v>
      </c>
      <c r="AA7" s="4">
        <v>4236.5206480422175</v>
      </c>
      <c r="AB7" s="4">
        <v>4236.5206480422175</v>
      </c>
      <c r="AC7" s="4">
        <v>4236.5206480422175</v>
      </c>
      <c r="AD7" s="4">
        <v>4236.5206480422175</v>
      </c>
      <c r="AE7" s="4">
        <v>4236.5206480422175</v>
      </c>
      <c r="AF7" s="4">
        <v>4236.5206480422175</v>
      </c>
      <c r="AG7" s="4">
        <v>4236.5206480422175</v>
      </c>
    </row>
    <row r="8" spans="1:33">
      <c r="A8" t="s">
        <v>7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</row>
    <row r="9" spans="1:33">
      <c r="A9" t="s">
        <v>8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</row>
    <row r="10" spans="1:33">
      <c r="A10" t="s">
        <v>9</v>
      </c>
      <c r="B10" s="4">
        <v>8473.0412960844351</v>
      </c>
      <c r="C10" s="4">
        <v>8473.0412960844351</v>
      </c>
      <c r="D10" s="4">
        <v>8473.0412960844351</v>
      </c>
      <c r="E10" s="4">
        <v>8473.0412960844351</v>
      </c>
      <c r="F10" s="4">
        <v>8473.0412960844351</v>
      </c>
      <c r="G10" s="4">
        <v>8473.0412960844351</v>
      </c>
      <c r="H10" s="4">
        <v>8473.0412960844351</v>
      </c>
      <c r="I10" s="4">
        <v>8473.0412960844351</v>
      </c>
      <c r="J10" s="4">
        <v>8473.0412960844351</v>
      </c>
      <c r="K10" s="4">
        <v>8473.0412960844351</v>
      </c>
      <c r="L10" s="4">
        <v>8473.0412960844351</v>
      </c>
      <c r="M10" s="4">
        <v>8473.0412960844351</v>
      </c>
      <c r="N10" s="4">
        <v>8473.0412960844351</v>
      </c>
      <c r="O10" s="4">
        <v>8473.0412960844351</v>
      </c>
      <c r="P10" s="4">
        <v>8473.0412960844351</v>
      </c>
      <c r="Q10" s="4">
        <v>8473.0412960844351</v>
      </c>
      <c r="R10" s="4">
        <v>8473.0412960844351</v>
      </c>
      <c r="S10" s="4">
        <v>8473.0412960844351</v>
      </c>
      <c r="T10" s="4">
        <v>8473.0412960844351</v>
      </c>
      <c r="U10" s="4">
        <v>8473.0412960844351</v>
      </c>
      <c r="V10" s="4">
        <v>8473.0412960844351</v>
      </c>
      <c r="W10" s="4">
        <v>8473.0412960844351</v>
      </c>
      <c r="X10" s="4">
        <v>8473.0412960844351</v>
      </c>
      <c r="Y10" s="4">
        <v>8473.0412960844351</v>
      </c>
      <c r="Z10" s="4">
        <v>8473.0412960844351</v>
      </c>
      <c r="AA10" s="4">
        <v>8473.0412960844351</v>
      </c>
      <c r="AB10" s="4">
        <v>8473.0412960844351</v>
      </c>
      <c r="AC10" s="4">
        <v>8473.0412960844351</v>
      </c>
      <c r="AD10" s="4">
        <v>8473.0412960844351</v>
      </c>
      <c r="AE10" s="4">
        <v>8473.0412960844351</v>
      </c>
      <c r="AF10" s="4">
        <v>8473.0412960844351</v>
      </c>
      <c r="AG10" s="4">
        <v>8473.0412960844351</v>
      </c>
    </row>
    <row r="11" spans="1:33">
      <c r="A11" t="s">
        <v>12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</row>
    <row r="12" spans="1:33">
      <c r="A12" t="s">
        <v>13</v>
      </c>
      <c r="B12" s="4">
        <v>8473.0412960844351</v>
      </c>
      <c r="C12" s="4">
        <v>8473.0412960844351</v>
      </c>
      <c r="D12" s="4">
        <v>8473.0412960844351</v>
      </c>
      <c r="E12" s="4">
        <v>8473.0412960844351</v>
      </c>
      <c r="F12" s="4">
        <v>8473.0412960844351</v>
      </c>
      <c r="G12" s="4">
        <v>8473.0412960844351</v>
      </c>
      <c r="H12" s="4">
        <v>8473.0412960844351</v>
      </c>
      <c r="I12" s="4">
        <v>8473.0412960844351</v>
      </c>
      <c r="J12" s="4">
        <v>8473.0412960844351</v>
      </c>
      <c r="K12" s="4">
        <v>8473.0412960844351</v>
      </c>
      <c r="L12" s="4">
        <v>8473.0412960844351</v>
      </c>
      <c r="M12" s="4">
        <v>8473.0412960844351</v>
      </c>
      <c r="N12" s="4">
        <v>8473.0412960844351</v>
      </c>
      <c r="O12" s="4">
        <v>8473.0412960844351</v>
      </c>
      <c r="P12" s="4">
        <v>8473.0412960844351</v>
      </c>
      <c r="Q12" s="4">
        <v>8473.0412960844351</v>
      </c>
      <c r="R12" s="4">
        <v>8473.0412960844351</v>
      </c>
      <c r="S12" s="4">
        <v>8473.0412960844351</v>
      </c>
      <c r="T12" s="4">
        <v>8473.0412960844351</v>
      </c>
      <c r="U12" s="4">
        <v>8473.0412960844351</v>
      </c>
      <c r="V12" s="4">
        <v>8473.0412960844351</v>
      </c>
      <c r="W12" s="4">
        <v>8473.0412960844351</v>
      </c>
      <c r="X12" s="4">
        <v>8473.0412960844351</v>
      </c>
      <c r="Y12" s="4">
        <v>8473.0412960844351</v>
      </c>
      <c r="Z12" s="4">
        <v>8473.0412960844351</v>
      </c>
      <c r="AA12" s="4">
        <v>8473.0412960844351</v>
      </c>
      <c r="AB12" s="4">
        <v>8473.0412960844351</v>
      </c>
      <c r="AC12" s="4">
        <v>8473.0412960844351</v>
      </c>
      <c r="AD12" s="4">
        <v>8473.0412960844351</v>
      </c>
      <c r="AE12" s="4">
        <v>8473.0412960844351</v>
      </c>
      <c r="AF12" s="4">
        <v>8473.0412960844351</v>
      </c>
      <c r="AG12" s="4">
        <v>8473.0412960844351</v>
      </c>
    </row>
    <row r="13" spans="1:33">
      <c r="A13" t="s">
        <v>14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</row>
    <row r="14" spans="1:33">
      <c r="A14" t="s">
        <v>19</v>
      </c>
      <c r="B14" s="4">
        <v>24015.21</v>
      </c>
      <c r="C14" s="4">
        <v>24015.21</v>
      </c>
      <c r="D14" s="4">
        <v>24015.21</v>
      </c>
      <c r="E14" s="4">
        <v>24015.21</v>
      </c>
      <c r="F14" s="4">
        <v>24015.21</v>
      </c>
      <c r="G14" s="4">
        <v>24015.21</v>
      </c>
      <c r="H14" s="4">
        <v>24015.21</v>
      </c>
      <c r="I14" s="4">
        <v>24015.21</v>
      </c>
      <c r="J14" s="4">
        <v>24015.21</v>
      </c>
      <c r="K14" s="4">
        <v>24015.21</v>
      </c>
      <c r="L14" s="4">
        <v>24015.21</v>
      </c>
      <c r="M14" s="4">
        <v>24015.21</v>
      </c>
      <c r="N14" s="4">
        <v>24015.21</v>
      </c>
      <c r="O14" s="4">
        <v>24015.21</v>
      </c>
      <c r="P14" s="4">
        <v>24015.21</v>
      </c>
      <c r="Q14" s="4">
        <v>24015.21</v>
      </c>
      <c r="R14" s="4">
        <v>24015.21</v>
      </c>
      <c r="S14" s="4">
        <v>24015.21</v>
      </c>
      <c r="T14" s="4">
        <v>24015.21</v>
      </c>
      <c r="U14" s="4">
        <v>24015.21</v>
      </c>
      <c r="V14" s="4">
        <v>24015.21</v>
      </c>
      <c r="W14" s="4">
        <v>24015.21</v>
      </c>
      <c r="X14" s="4">
        <v>24015.21</v>
      </c>
      <c r="Y14" s="4">
        <v>24015.21</v>
      </c>
      <c r="Z14" s="4">
        <v>24015.21</v>
      </c>
      <c r="AA14" s="4">
        <v>24015.21</v>
      </c>
      <c r="AB14" s="4">
        <v>24015.21</v>
      </c>
      <c r="AC14" s="4">
        <v>24015.21</v>
      </c>
      <c r="AD14" s="4">
        <v>24015.21</v>
      </c>
      <c r="AE14" s="4">
        <v>24015.21</v>
      </c>
      <c r="AF14" s="4">
        <v>24015.21</v>
      </c>
      <c r="AG14" s="4">
        <v>24015.21</v>
      </c>
    </row>
    <row r="15" spans="1:33">
      <c r="A15" t="s">
        <v>17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</row>
    <row r="16" spans="1:33">
      <c r="A16" t="s">
        <v>20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</row>
    <row r="17" spans="1:33">
      <c r="A17" t="s">
        <v>21</v>
      </c>
      <c r="B17" s="4">
        <v>8473.0412960844351</v>
      </c>
      <c r="C17" s="4">
        <v>8473.0412960844351</v>
      </c>
      <c r="D17" s="4">
        <v>8473.0412960844351</v>
      </c>
      <c r="E17" s="4">
        <v>8473.0412960844351</v>
      </c>
      <c r="F17" s="4">
        <v>8473.0412960844351</v>
      </c>
      <c r="G17" s="4">
        <v>8473.0412960844351</v>
      </c>
      <c r="H17" s="4">
        <v>8473.0412960844351</v>
      </c>
      <c r="I17" s="4">
        <v>8473.0412960844351</v>
      </c>
      <c r="J17" s="4">
        <v>8473.0412960844351</v>
      </c>
      <c r="K17" s="4">
        <v>8473.0412960844351</v>
      </c>
      <c r="L17" s="4">
        <v>8473.0412960844351</v>
      </c>
      <c r="M17" s="4">
        <v>8473.0412960844351</v>
      </c>
      <c r="N17" s="4">
        <v>8473.0412960844351</v>
      </c>
      <c r="O17" s="4">
        <v>8473.0412960844351</v>
      </c>
      <c r="P17" s="4">
        <v>8473.0412960844351</v>
      </c>
      <c r="Q17" s="4">
        <v>8473.0412960844351</v>
      </c>
      <c r="R17" s="4">
        <v>8473.0412960844351</v>
      </c>
      <c r="S17" s="4">
        <v>8473.0412960844351</v>
      </c>
      <c r="T17" s="4">
        <v>8473.0412960844351</v>
      </c>
      <c r="U17" s="4">
        <v>8473.0412960844351</v>
      </c>
      <c r="V17" s="4">
        <v>8473.0412960844351</v>
      </c>
      <c r="W17" s="4">
        <v>8473.0412960844351</v>
      </c>
      <c r="X17" s="4">
        <v>8473.0412960844351</v>
      </c>
      <c r="Y17" s="4">
        <v>8473.0412960844351</v>
      </c>
      <c r="Z17" s="4">
        <v>8473.0412960844351</v>
      </c>
      <c r="AA17" s="4">
        <v>8473.0412960844351</v>
      </c>
      <c r="AB17" s="4">
        <v>8473.0412960844351</v>
      </c>
      <c r="AC17" s="4">
        <v>8473.0412960844351</v>
      </c>
      <c r="AD17" s="4">
        <v>8473.0412960844351</v>
      </c>
      <c r="AE17" s="4">
        <v>8473.0412960844351</v>
      </c>
      <c r="AF17" s="4">
        <v>8473.0412960844351</v>
      </c>
      <c r="AG17" s="4">
        <v>8473.0412960844351</v>
      </c>
    </row>
    <row r="18" spans="1:33">
      <c r="A18" t="s">
        <v>22</v>
      </c>
      <c r="B18">
        <v>8473.0412960844351</v>
      </c>
      <c r="C18">
        <v>8473.0412960844351</v>
      </c>
      <c r="D18">
        <v>8473.0412960844351</v>
      </c>
      <c r="E18">
        <v>8473.0412960844351</v>
      </c>
      <c r="F18">
        <v>8473.0412960844351</v>
      </c>
      <c r="G18">
        <v>8473.0412960844351</v>
      </c>
      <c r="H18">
        <v>8473.0412960844351</v>
      </c>
      <c r="I18">
        <v>8473.0412960844351</v>
      </c>
      <c r="J18">
        <v>8473.0412960844351</v>
      </c>
      <c r="K18">
        <v>8473.0412960844351</v>
      </c>
      <c r="L18">
        <v>8473.0412960844351</v>
      </c>
      <c r="M18">
        <v>8473.0412960844351</v>
      </c>
      <c r="N18">
        <v>8473.0412960844351</v>
      </c>
      <c r="O18">
        <v>8473.0412960844351</v>
      </c>
      <c r="P18">
        <v>8473.0412960844351</v>
      </c>
      <c r="Q18">
        <v>8473.0412960844351</v>
      </c>
      <c r="R18">
        <v>8473.0412960844351</v>
      </c>
      <c r="S18">
        <v>8473.0412960844351</v>
      </c>
      <c r="T18">
        <v>8473.0412960844351</v>
      </c>
      <c r="U18">
        <v>8473.0412960844351</v>
      </c>
      <c r="V18">
        <v>8473.0412960844351</v>
      </c>
      <c r="W18">
        <v>8473.0412960844351</v>
      </c>
      <c r="X18">
        <v>8473.0412960844351</v>
      </c>
      <c r="Y18">
        <v>8473.0412960844351</v>
      </c>
      <c r="Z18">
        <v>8473.0412960844351</v>
      </c>
      <c r="AA18">
        <v>8473.0412960844351</v>
      </c>
      <c r="AB18">
        <v>8473.0412960844351</v>
      </c>
      <c r="AC18">
        <v>8473.0412960844351</v>
      </c>
      <c r="AD18">
        <v>8473.0412960844351</v>
      </c>
      <c r="AE18">
        <v>8473.0412960844351</v>
      </c>
      <c r="AF18">
        <v>8473.0412960844351</v>
      </c>
      <c r="AG18">
        <v>8473.0412960844351</v>
      </c>
    </row>
    <row r="19" spans="1:33">
      <c r="A19" s="1" t="s">
        <v>77</v>
      </c>
      <c r="B19">
        <v>24015.21</v>
      </c>
      <c r="C19">
        <v>24015.21</v>
      </c>
      <c r="D19">
        <v>24015.21</v>
      </c>
      <c r="E19">
        <v>24015.21</v>
      </c>
      <c r="F19">
        <v>24015.21</v>
      </c>
      <c r="G19">
        <v>24015.21</v>
      </c>
      <c r="H19">
        <v>24015.21</v>
      </c>
      <c r="I19">
        <v>24015.21</v>
      </c>
      <c r="J19">
        <v>24015.21</v>
      </c>
      <c r="K19">
        <v>24015.21</v>
      </c>
      <c r="L19">
        <v>24015.21</v>
      </c>
      <c r="M19">
        <v>24015.21</v>
      </c>
      <c r="N19">
        <v>24015.21</v>
      </c>
      <c r="O19">
        <v>24015.21</v>
      </c>
      <c r="P19">
        <v>24015.21</v>
      </c>
      <c r="Q19">
        <v>24015.21</v>
      </c>
      <c r="R19">
        <v>24015.21</v>
      </c>
      <c r="S19">
        <v>24015.21</v>
      </c>
      <c r="T19">
        <v>24015.21</v>
      </c>
      <c r="U19">
        <v>24015.21</v>
      </c>
      <c r="V19">
        <v>24015.21</v>
      </c>
      <c r="W19">
        <v>24015.21</v>
      </c>
      <c r="X19">
        <v>24015.21</v>
      </c>
      <c r="Y19">
        <v>24015.21</v>
      </c>
      <c r="Z19">
        <v>24015.21</v>
      </c>
      <c r="AA19">
        <v>24015.21</v>
      </c>
      <c r="AB19">
        <v>24015.21</v>
      </c>
      <c r="AC19">
        <v>24015.21</v>
      </c>
      <c r="AD19">
        <v>24015.21</v>
      </c>
      <c r="AE19">
        <v>24015.21</v>
      </c>
      <c r="AF19">
        <v>24015.21</v>
      </c>
      <c r="AG19">
        <v>24015.21</v>
      </c>
    </row>
    <row r="20" spans="1:33">
      <c r="A20" t="s">
        <v>78</v>
      </c>
      <c r="B20">
        <v>0</v>
      </c>
      <c r="C20">
        <v>0</v>
      </c>
      <c r="D20">
        <v>0</v>
      </c>
      <c r="E20">
        <v>0</v>
      </c>
      <c r="F20" s="1">
        <v>0</v>
      </c>
      <c r="G20" s="1">
        <v>0</v>
      </c>
      <c r="H20" s="1">
        <v>0</v>
      </c>
      <c r="I20" s="1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>
      <c r="A21" t="s">
        <v>79</v>
      </c>
      <c r="B21">
        <v>8473.0412960844351</v>
      </c>
      <c r="C21">
        <v>8473.0412960844351</v>
      </c>
      <c r="D21">
        <v>8473.0412960844351</v>
      </c>
      <c r="E21">
        <v>8473.0412960844351</v>
      </c>
      <c r="F21">
        <v>8473.0412960844351</v>
      </c>
      <c r="G21">
        <v>8473.0412960844351</v>
      </c>
      <c r="H21">
        <v>8473.0412960844351</v>
      </c>
      <c r="I21">
        <v>8473.0412960844351</v>
      </c>
      <c r="J21">
        <v>8473.0412960844351</v>
      </c>
      <c r="K21">
        <v>8473.0412960844351</v>
      </c>
      <c r="L21">
        <v>8473.0412960844351</v>
      </c>
      <c r="M21">
        <v>8473.0412960844351</v>
      </c>
      <c r="N21">
        <v>8473.0412960844351</v>
      </c>
      <c r="O21">
        <v>8473.0412960844351</v>
      </c>
      <c r="P21">
        <v>8473.0412960844351</v>
      </c>
      <c r="Q21">
        <v>8473.0412960844351</v>
      </c>
      <c r="R21">
        <v>8473.0412960844351</v>
      </c>
      <c r="S21">
        <v>8473.0412960844351</v>
      </c>
      <c r="T21">
        <v>8473.0412960844351</v>
      </c>
      <c r="U21">
        <v>8473.0412960844351</v>
      </c>
      <c r="V21">
        <v>8473.0412960844351</v>
      </c>
      <c r="W21">
        <v>8473.0412960844351</v>
      </c>
      <c r="X21">
        <v>8473.0412960844351</v>
      </c>
      <c r="Y21">
        <v>8473.0412960844351</v>
      </c>
      <c r="Z21">
        <v>8473.0412960844351</v>
      </c>
      <c r="AA21">
        <v>8473.0412960844351</v>
      </c>
      <c r="AB21">
        <v>8473.0412960844351</v>
      </c>
      <c r="AC21">
        <v>8473.0412960844351</v>
      </c>
      <c r="AD21">
        <v>8473.0412960844351</v>
      </c>
      <c r="AE21">
        <v>8473.0412960844351</v>
      </c>
      <c r="AF21">
        <v>8473.0412960844351</v>
      </c>
      <c r="AG21">
        <v>8473.0412960844351</v>
      </c>
    </row>
    <row r="22" spans="1:33">
      <c r="A22" t="s">
        <v>80</v>
      </c>
      <c r="B22">
        <v>24015.21</v>
      </c>
      <c r="C22">
        <v>24015.21</v>
      </c>
      <c r="D22">
        <v>24015.21</v>
      </c>
      <c r="E22">
        <v>24015.21</v>
      </c>
      <c r="F22">
        <v>24015.21</v>
      </c>
      <c r="G22">
        <v>24015.21</v>
      </c>
      <c r="H22">
        <v>24015.21</v>
      </c>
      <c r="I22">
        <v>24015.21</v>
      </c>
      <c r="J22">
        <v>24015.21</v>
      </c>
      <c r="K22">
        <v>24015.21</v>
      </c>
      <c r="L22">
        <v>24015.21</v>
      </c>
      <c r="M22">
        <v>24015.21</v>
      </c>
      <c r="N22">
        <v>24015.21</v>
      </c>
      <c r="O22">
        <v>24015.21</v>
      </c>
      <c r="P22">
        <v>24015.21</v>
      </c>
      <c r="Q22">
        <v>24015.21</v>
      </c>
      <c r="R22">
        <v>24015.21</v>
      </c>
      <c r="S22">
        <v>24015.21</v>
      </c>
      <c r="T22">
        <v>24015.21</v>
      </c>
      <c r="U22">
        <v>24015.21</v>
      </c>
      <c r="V22">
        <v>24015.21</v>
      </c>
      <c r="W22">
        <v>24015.21</v>
      </c>
      <c r="X22">
        <v>24015.21</v>
      </c>
      <c r="Y22">
        <v>24015.21</v>
      </c>
      <c r="Z22">
        <v>24015.21</v>
      </c>
      <c r="AA22">
        <v>24015.21</v>
      </c>
      <c r="AB22">
        <v>24015.21</v>
      </c>
      <c r="AC22">
        <v>24015.21</v>
      </c>
      <c r="AD22">
        <v>24015.21</v>
      </c>
      <c r="AE22">
        <v>24015.21</v>
      </c>
      <c r="AF22">
        <v>24015.21</v>
      </c>
      <c r="AG22">
        <v>24015.21</v>
      </c>
    </row>
    <row r="23" spans="1:33">
      <c r="A23" t="s">
        <v>81</v>
      </c>
      <c r="B23">
        <v>55528.115460176989</v>
      </c>
      <c r="C23">
        <v>55528.115460176989</v>
      </c>
      <c r="D23">
        <v>55528.115460176989</v>
      </c>
      <c r="E23">
        <v>55528.115460176989</v>
      </c>
      <c r="F23">
        <v>55528.115460176989</v>
      </c>
      <c r="G23">
        <v>55528.115460176989</v>
      </c>
      <c r="H23">
        <v>55528.115460176989</v>
      </c>
      <c r="I23">
        <v>55528.115460176989</v>
      </c>
      <c r="J23">
        <v>55528.115460176989</v>
      </c>
      <c r="K23">
        <v>55528.115460176989</v>
      </c>
      <c r="L23">
        <v>55528.115460176989</v>
      </c>
      <c r="M23">
        <v>55528.115460176989</v>
      </c>
      <c r="N23">
        <v>55528.115460176989</v>
      </c>
      <c r="O23">
        <v>55528.115460176989</v>
      </c>
      <c r="P23">
        <v>55528.115460176989</v>
      </c>
      <c r="Q23">
        <v>55528.115460176989</v>
      </c>
      <c r="R23">
        <v>55528.115460176989</v>
      </c>
      <c r="S23">
        <v>55528.115460176989</v>
      </c>
      <c r="T23">
        <v>55528.115460176989</v>
      </c>
      <c r="U23">
        <v>55528.115460176989</v>
      </c>
      <c r="V23">
        <v>55528.115460176989</v>
      </c>
      <c r="W23">
        <v>55528.115460176989</v>
      </c>
      <c r="X23">
        <v>55528.115460176989</v>
      </c>
      <c r="Y23">
        <v>55528.115460176989</v>
      </c>
      <c r="Z23">
        <v>55528.115460176989</v>
      </c>
      <c r="AA23">
        <v>55528.115460176989</v>
      </c>
      <c r="AB23">
        <v>55528.115460176989</v>
      </c>
      <c r="AC23">
        <v>55528.115460176989</v>
      </c>
      <c r="AD23">
        <v>55528.115460176989</v>
      </c>
      <c r="AE23">
        <v>55528.115460176989</v>
      </c>
      <c r="AF23">
        <v>55528.115460176989</v>
      </c>
      <c r="AG23">
        <v>55528.115460176989</v>
      </c>
    </row>
    <row r="24" spans="1:33">
      <c r="A24" t="s">
        <v>82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1:33">
      <c r="A25" t="s">
        <v>83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</sheetData>
  <phoneticPr fontId="3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7B6B-9232-47E2-8111-63EF2E7505AC}">
  <sheetPr>
    <tabColor theme="6"/>
  </sheetPr>
  <dimension ref="A1:AG25"/>
  <sheetViews>
    <sheetView workbookViewId="0">
      <selection activeCell="B6" sqref="B6"/>
    </sheetView>
  </sheetViews>
  <sheetFormatPr defaultColWidth="9.08984375" defaultRowHeight="14.5"/>
  <cols>
    <col min="1" max="1" width="38.81640625" customWidth="1"/>
    <col min="2" max="4" width="9.08984375" customWidth="1"/>
    <col min="7" max="7" width="9.08984375" customWidth="1"/>
    <col min="9" max="9" width="9.08984375" customWidth="1"/>
  </cols>
  <sheetData>
    <row r="1" spans="1:33">
      <c r="A1" s="5" t="s">
        <v>85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16</v>
      </c>
      <c r="B2" s="4">
        <v>17670.920395907164</v>
      </c>
      <c r="C2" s="4">
        <v>17670.920395907164</v>
      </c>
      <c r="D2" s="4">
        <v>65750.800457615216</v>
      </c>
      <c r="E2" s="4">
        <v>67861.068493618775</v>
      </c>
      <c r="F2" s="4">
        <v>67547.260084399721</v>
      </c>
      <c r="G2" s="4">
        <v>67233.45167518068</v>
      </c>
      <c r="H2" s="4">
        <v>66919.643265961626</v>
      </c>
      <c r="I2" s="4">
        <v>66605.834856742586</v>
      </c>
      <c r="J2" s="4">
        <v>66292.026447523545</v>
      </c>
      <c r="K2" s="4">
        <v>65978.218038304491</v>
      </c>
      <c r="L2" s="4">
        <v>65664.40962908545</v>
      </c>
      <c r="M2" s="4">
        <v>65350.601219866388</v>
      </c>
      <c r="N2" s="4">
        <v>65036.792810647356</v>
      </c>
      <c r="O2" s="4">
        <v>64722.984401428308</v>
      </c>
      <c r="P2" s="4">
        <v>64095.36758299022</v>
      </c>
      <c r="Q2" s="4">
        <v>63703.107071466402</v>
      </c>
      <c r="R2" s="4">
        <v>63703.107071466402</v>
      </c>
      <c r="S2" s="4">
        <v>63232.394457637834</v>
      </c>
      <c r="T2" s="4">
        <v>62683.22974150451</v>
      </c>
      <c r="U2" s="4">
        <v>62212.517127675928</v>
      </c>
      <c r="V2" s="4">
        <v>61663.352411542597</v>
      </c>
      <c r="W2" s="4">
        <v>61114.18769540928</v>
      </c>
      <c r="X2" s="4">
        <v>60643.475081580706</v>
      </c>
      <c r="Y2" s="4">
        <v>60094.310365447367</v>
      </c>
      <c r="Z2" s="4">
        <v>59545.145649314043</v>
      </c>
      <c r="AA2" s="4">
        <v>59074.433035485468</v>
      </c>
      <c r="AB2" s="4">
        <v>58525.268319352137</v>
      </c>
      <c r="AC2" s="4">
        <v>58054.555705523569</v>
      </c>
      <c r="AD2" s="4">
        <v>57505.390989390238</v>
      </c>
      <c r="AE2" s="4">
        <v>56956.2262732569</v>
      </c>
      <c r="AF2" s="4">
        <v>56485.513659428339</v>
      </c>
      <c r="AG2" s="4">
        <v>55936.348943295008</v>
      </c>
    </row>
    <row r="3" spans="1:33">
      <c r="A3" t="s">
        <v>75</v>
      </c>
      <c r="B3" s="4">
        <v>7973.6811047683404</v>
      </c>
      <c r="C3" s="4">
        <v>14029.025787390305</v>
      </c>
      <c r="D3" s="4">
        <v>14089.503590454193</v>
      </c>
      <c r="E3" s="4">
        <v>14089.503590454193</v>
      </c>
      <c r="F3" s="4">
        <v>14089.503590454193</v>
      </c>
      <c r="G3" s="4">
        <v>14089.503590454193</v>
      </c>
      <c r="H3" s="4">
        <v>14089.503590454193</v>
      </c>
      <c r="I3" s="4">
        <v>14089.503590454193</v>
      </c>
      <c r="J3" s="4">
        <v>14089.503590454193</v>
      </c>
      <c r="K3" s="4">
        <v>14089.503590454193</v>
      </c>
      <c r="L3" s="4">
        <v>14089.503590454193</v>
      </c>
      <c r="M3" s="4">
        <v>14089.503590454193</v>
      </c>
      <c r="N3" s="4">
        <v>14089.503590454193</v>
      </c>
      <c r="O3" s="4">
        <v>14089.503590454193</v>
      </c>
      <c r="P3" s="4">
        <v>14089.503590454193</v>
      </c>
      <c r="Q3" s="4">
        <v>14089.503590454193</v>
      </c>
      <c r="R3" s="4">
        <v>14089.503590454193</v>
      </c>
      <c r="S3" s="4">
        <v>14089.503590454193</v>
      </c>
      <c r="T3" s="4">
        <v>14089.503590454193</v>
      </c>
      <c r="U3" s="4">
        <v>14089.503590454193</v>
      </c>
      <c r="V3" s="4">
        <v>14089.503590454193</v>
      </c>
      <c r="W3" s="4">
        <v>14089.503590454193</v>
      </c>
      <c r="X3" s="4">
        <v>14089.503590454193</v>
      </c>
      <c r="Y3" s="4">
        <v>14089.503590454193</v>
      </c>
      <c r="Z3" s="4">
        <v>14089.503590454193</v>
      </c>
      <c r="AA3" s="4">
        <v>14089.503590454193</v>
      </c>
      <c r="AB3" s="4">
        <v>14089.503590454193</v>
      </c>
      <c r="AC3" s="4">
        <v>14089.503590454193</v>
      </c>
      <c r="AD3" s="4">
        <v>14089.503590454193</v>
      </c>
      <c r="AE3" s="4">
        <v>14089.503590454193</v>
      </c>
      <c r="AF3" s="4">
        <v>14089.503590454193</v>
      </c>
      <c r="AG3" s="4">
        <v>14089.503590454193</v>
      </c>
    </row>
    <row r="4" spans="1:33">
      <c r="A4" t="s">
        <v>76</v>
      </c>
      <c r="B4" s="4">
        <v>8958.697621129344</v>
      </c>
      <c r="C4" s="4">
        <v>8299.6587907167723</v>
      </c>
      <c r="D4" s="4">
        <v>26096.967191940064</v>
      </c>
      <c r="E4" s="4">
        <v>31380.840921904637</v>
      </c>
      <c r="F4" s="4">
        <v>31380.840921904637</v>
      </c>
      <c r="G4" s="4">
        <v>30596.319898857018</v>
      </c>
      <c r="H4" s="4">
        <v>30596.319898857018</v>
      </c>
      <c r="I4" s="4">
        <v>30596.319898857018</v>
      </c>
      <c r="J4" s="4">
        <v>29811.7988758094</v>
      </c>
      <c r="K4" s="4">
        <v>29811.7988758094</v>
      </c>
      <c r="L4" s="4">
        <v>29811.7988758094</v>
      </c>
      <c r="M4" s="4">
        <v>29811.7988758094</v>
      </c>
      <c r="N4" s="4">
        <v>29027.277852761785</v>
      </c>
      <c r="O4" s="4">
        <v>29027.277852761785</v>
      </c>
      <c r="P4" s="4">
        <v>29027.277852761785</v>
      </c>
      <c r="Q4" s="4">
        <v>28242.75682971417</v>
      </c>
      <c r="R4" s="4">
        <v>28242.75682971417</v>
      </c>
      <c r="S4" s="4">
        <v>28242.75682971417</v>
      </c>
      <c r="T4" s="4">
        <v>28242.75682971417</v>
      </c>
      <c r="U4" s="4">
        <v>27458.235806666555</v>
      </c>
      <c r="V4" s="4">
        <v>27458.235806666555</v>
      </c>
      <c r="W4" s="4">
        <v>27458.235806666555</v>
      </c>
      <c r="X4" s="4">
        <v>27458.235806666555</v>
      </c>
      <c r="Y4" s="4">
        <v>26673.714783618936</v>
      </c>
      <c r="Z4" s="4">
        <v>26673.714783618936</v>
      </c>
      <c r="AA4" s="4">
        <v>26673.714783618936</v>
      </c>
      <c r="AB4" s="4">
        <v>25889.193760571325</v>
      </c>
      <c r="AC4" s="4">
        <v>25889.193760571325</v>
      </c>
      <c r="AD4" s="4">
        <v>25889.193760571325</v>
      </c>
      <c r="AE4" s="4">
        <v>25889.193760571325</v>
      </c>
      <c r="AF4" s="4">
        <v>25104.672737523706</v>
      </c>
      <c r="AG4" s="4">
        <v>25104.672737523706</v>
      </c>
    </row>
    <row r="5" spans="1:33">
      <c r="A5" t="s">
        <v>5</v>
      </c>
      <c r="B5" s="4">
        <v>158387.64230801395</v>
      </c>
      <c r="C5" s="4">
        <v>158387.64230801395</v>
      </c>
      <c r="D5" s="4">
        <v>128891.90419603646</v>
      </c>
      <c r="E5" s="4">
        <v>128891.90419603646</v>
      </c>
      <c r="F5" s="4">
        <v>128891.90419603646</v>
      </c>
      <c r="G5" s="4">
        <v>128891.90419603646</v>
      </c>
      <c r="H5" s="4">
        <v>128891.90419603646</v>
      </c>
      <c r="I5" s="4">
        <v>128891.90419603646</v>
      </c>
      <c r="J5" s="4">
        <v>128891.90419603646</v>
      </c>
      <c r="K5" s="4">
        <v>128891.90419603646</v>
      </c>
      <c r="L5" s="4">
        <v>128891.90419603646</v>
      </c>
      <c r="M5" s="4">
        <v>137291.1790333328</v>
      </c>
      <c r="N5" s="4">
        <v>137291.1790333328</v>
      </c>
      <c r="O5" s="4">
        <v>137291.1790333328</v>
      </c>
      <c r="P5" s="4">
        <v>137291.1790333328</v>
      </c>
      <c r="Q5" s="4">
        <v>137291.1790333328</v>
      </c>
      <c r="R5" s="4">
        <v>137291.1790333328</v>
      </c>
      <c r="S5" s="4">
        <v>137291.1790333328</v>
      </c>
      <c r="T5" s="4">
        <v>137291.1790333328</v>
      </c>
      <c r="U5" s="4">
        <v>137291.1790333328</v>
      </c>
      <c r="V5" s="4">
        <v>137291.1790333328</v>
      </c>
      <c r="W5" s="4">
        <v>137291.1790333328</v>
      </c>
      <c r="X5" s="4">
        <v>137291.1790333328</v>
      </c>
      <c r="Y5" s="4">
        <v>137291.1790333328</v>
      </c>
      <c r="Z5" s="4">
        <v>137291.1790333328</v>
      </c>
      <c r="AA5" s="4">
        <v>137291.1790333328</v>
      </c>
      <c r="AB5" s="4">
        <v>137291.1790333328</v>
      </c>
      <c r="AC5" s="4">
        <v>137291.1790333328</v>
      </c>
      <c r="AD5" s="4">
        <v>137291.1790333328</v>
      </c>
      <c r="AE5" s="4">
        <v>137291.1790333328</v>
      </c>
      <c r="AF5" s="4">
        <v>137291.1790333328</v>
      </c>
      <c r="AG5" s="4">
        <v>137291.1790333328</v>
      </c>
    </row>
    <row r="6" spans="1:33">
      <c r="A6" t="s">
        <v>6</v>
      </c>
      <c r="B6" s="4">
        <v>16314.108873239436</v>
      </c>
      <c r="C6" s="4">
        <v>16314.108873239436</v>
      </c>
      <c r="D6" s="4">
        <v>147430.9185518692</v>
      </c>
      <c r="E6" s="4">
        <v>147489.9523329518</v>
      </c>
      <c r="F6" s="4">
        <v>147489.9523329518</v>
      </c>
      <c r="G6" s="4">
        <v>147489.9523329518</v>
      </c>
      <c r="H6" s="4">
        <v>147489.9523329518</v>
      </c>
      <c r="I6" s="4">
        <v>147489.9523329518</v>
      </c>
      <c r="J6" s="4">
        <v>147489.9523329518</v>
      </c>
      <c r="K6" s="4">
        <v>147489.9523329518</v>
      </c>
      <c r="L6" s="4">
        <v>147489.9523329518</v>
      </c>
      <c r="M6" s="4">
        <v>147489.9523329518</v>
      </c>
      <c r="N6" s="4">
        <v>147489.9523329518</v>
      </c>
      <c r="O6" s="4">
        <v>147489.9523329518</v>
      </c>
      <c r="P6" s="4">
        <v>147489.9523329518</v>
      </c>
      <c r="Q6" s="4">
        <v>147489.9523329518</v>
      </c>
      <c r="R6" s="4">
        <v>147489.9523329518</v>
      </c>
      <c r="S6" s="4">
        <v>147489.9523329518</v>
      </c>
      <c r="T6" s="4">
        <v>147489.9523329518</v>
      </c>
      <c r="U6" s="4">
        <v>147489.9523329518</v>
      </c>
      <c r="V6" s="4">
        <v>147489.9523329518</v>
      </c>
      <c r="W6" s="4">
        <v>147489.9523329518</v>
      </c>
      <c r="X6" s="4">
        <v>141998.30517161844</v>
      </c>
      <c r="Y6" s="4">
        <v>141998.30517161844</v>
      </c>
      <c r="Z6" s="4">
        <v>141998.30517161844</v>
      </c>
      <c r="AA6" s="4">
        <v>141998.30517161844</v>
      </c>
      <c r="AB6" s="4">
        <v>141998.30517161844</v>
      </c>
      <c r="AC6" s="4">
        <v>141998.30517161844</v>
      </c>
      <c r="AD6" s="4">
        <v>141998.30517161844</v>
      </c>
      <c r="AE6" s="4">
        <v>141998.30517161844</v>
      </c>
      <c r="AF6" s="4">
        <v>141998.30517161844</v>
      </c>
      <c r="AG6" s="4">
        <v>141998.30517161844</v>
      </c>
    </row>
    <row r="7" spans="1:33">
      <c r="A7" t="s">
        <v>18</v>
      </c>
      <c r="B7" s="4">
        <v>45662.123609154958</v>
      </c>
      <c r="C7" s="4">
        <v>45662.123609154929</v>
      </c>
      <c r="D7" s="4">
        <v>25673.31512713584</v>
      </c>
      <c r="E7" s="4">
        <v>25452.252632790438</v>
      </c>
      <c r="F7" s="4">
        <v>25140.476709671573</v>
      </c>
      <c r="G7" s="4">
        <v>24828.700786552785</v>
      </c>
      <c r="H7" s="4">
        <v>24516.924863434</v>
      </c>
      <c r="I7" s="4">
        <v>24205.148940315135</v>
      </c>
      <c r="J7" s="4">
        <v>23893.373017196351</v>
      </c>
      <c r="K7" s="4">
        <v>23581.597094077562</v>
      </c>
      <c r="L7" s="4">
        <v>23269.821170958701</v>
      </c>
      <c r="M7" s="4">
        <v>22958.045247839913</v>
      </c>
      <c r="N7" s="4">
        <v>22800.740122993571</v>
      </c>
      <c r="O7" s="4">
        <v>22643.434998147302</v>
      </c>
      <c r="P7" s="4">
        <v>22486.129873300961</v>
      </c>
      <c r="Q7" s="4">
        <v>22328.824748454696</v>
      </c>
      <c r="R7" s="4">
        <v>22171.51962360835</v>
      </c>
      <c r="S7" s="4">
        <v>22014.214498762085</v>
      </c>
      <c r="T7" s="4">
        <v>21856.909373915743</v>
      </c>
      <c r="U7" s="4">
        <v>21699.604249069398</v>
      </c>
      <c r="V7" s="4">
        <v>21542.299124223136</v>
      </c>
      <c r="W7" s="4">
        <v>21384.993999376791</v>
      </c>
      <c r="X7" s="4">
        <v>21227.688874530526</v>
      </c>
      <c r="Y7" s="4">
        <v>21070.383749684184</v>
      </c>
      <c r="Z7" s="4">
        <v>20913.078624837839</v>
      </c>
      <c r="AA7" s="4">
        <v>20755.773499991574</v>
      </c>
      <c r="AB7" s="4">
        <v>20598.468375145228</v>
      </c>
      <c r="AC7" s="4">
        <v>20441.163250298967</v>
      </c>
      <c r="AD7" s="4">
        <v>20283.858125452622</v>
      </c>
      <c r="AE7" s="4">
        <v>20126.553000606353</v>
      </c>
      <c r="AF7" s="4">
        <v>19969.247875760011</v>
      </c>
      <c r="AG7" s="4">
        <v>19811.942750913669</v>
      </c>
    </row>
    <row r="8" spans="1:33">
      <c r="A8" t="s">
        <v>7</v>
      </c>
      <c r="B8" s="4">
        <v>31437.566253617046</v>
      </c>
      <c r="C8" s="4">
        <v>32038.064154929572</v>
      </c>
      <c r="D8" s="4">
        <v>19088.837573790759</v>
      </c>
      <c r="E8" s="4">
        <v>18644.615536927908</v>
      </c>
      <c r="F8" s="4">
        <v>17431.117631901499</v>
      </c>
      <c r="G8" s="4">
        <v>16952.627561335525</v>
      </c>
      <c r="H8" s="4">
        <v>16475.786084549887</v>
      </c>
      <c r="I8" s="4">
        <v>16000.525715249491</v>
      </c>
      <c r="J8" s="4">
        <v>15526.78260101667</v>
      </c>
      <c r="K8" s="4">
        <v>15054.496281972062</v>
      </c>
      <c r="L8" s="4">
        <v>14583.60946841726</v>
      </c>
      <c r="M8" s="4">
        <v>14114.067835739897</v>
      </c>
      <c r="N8" s="4">
        <v>13645.819835037746</v>
      </c>
      <c r="O8" s="4">
        <v>13178.816518073898</v>
      </c>
      <c r="P8" s="4">
        <v>12713.011375313654</v>
      </c>
      <c r="Q8" s="4">
        <v>12248.360185916454</v>
      </c>
      <c r="R8" s="4">
        <v>11784.820878665945</v>
      </c>
      <c r="S8" s="4">
        <v>11665.292643031467</v>
      </c>
      <c r="T8" s="4">
        <v>11545.984680411837</v>
      </c>
      <c r="U8" s="4">
        <v>11426.893379774026</v>
      </c>
      <c r="V8" s="4">
        <v>11308.015208585726</v>
      </c>
      <c r="W8" s="4">
        <v>11189.346710693691</v>
      </c>
      <c r="X8" s="4">
        <v>11070.884504270571</v>
      </c>
      <c r="Y8" s="4">
        <v>10952.625279827558</v>
      </c>
      <c r="Z8" s="4">
        <v>10834.565798290501</v>
      </c>
      <c r="AA8" s="4">
        <v>10716.702889137079</v>
      </c>
      <c r="AB8" s="4">
        <v>10599.033448592816</v>
      </c>
      <c r="AC8" s="4">
        <v>10481.554437883751</v>
      </c>
      <c r="AD8" s="4">
        <v>10364.262881543704</v>
      </c>
      <c r="AE8" s="4">
        <v>10247.155865774195</v>
      </c>
      <c r="AF8" s="4">
        <v>10130.230536855059</v>
      </c>
      <c r="AG8" s="4">
        <v>10013.484099603989</v>
      </c>
    </row>
    <row r="9" spans="1:33">
      <c r="A9" t="s">
        <v>8</v>
      </c>
      <c r="B9" s="4">
        <v>77455.969078232418</v>
      </c>
      <c r="C9" s="4">
        <v>77455.969078232418</v>
      </c>
      <c r="D9" s="4">
        <v>58550.40996420267</v>
      </c>
      <c r="E9" s="4">
        <v>58548.929473407261</v>
      </c>
      <c r="F9" s="4">
        <v>56623.895322683711</v>
      </c>
      <c r="G9" s="4">
        <v>54698.861171960154</v>
      </c>
      <c r="H9" s="4">
        <v>52773.827021236597</v>
      </c>
      <c r="I9" s="4">
        <v>50848.792870513054</v>
      </c>
      <c r="J9" s="4">
        <v>48923.758719789505</v>
      </c>
      <c r="K9" s="4">
        <v>46998.724569065955</v>
      </c>
      <c r="L9" s="4">
        <v>45073.690418342412</v>
      </c>
      <c r="M9" s="4">
        <v>43148.65626761887</v>
      </c>
      <c r="N9" s="4">
        <v>43030.978114161728</v>
      </c>
      <c r="O9" s="4">
        <v>42913.299960704593</v>
      </c>
      <c r="P9" s="4">
        <v>42795.621807247451</v>
      </c>
      <c r="Q9" s="4">
        <v>42677.943653790309</v>
      </c>
      <c r="R9" s="4">
        <v>42560.265500333167</v>
      </c>
      <c r="S9" s="4">
        <v>42442.587346876026</v>
      </c>
      <c r="T9" s="4">
        <v>42324.909193418884</v>
      </c>
      <c r="U9" s="4">
        <v>42207.231039961742</v>
      </c>
      <c r="V9" s="4">
        <v>42089.5528865046</v>
      </c>
      <c r="W9" s="4">
        <v>41971.874733047458</v>
      </c>
      <c r="X9" s="4">
        <v>41854.196579590316</v>
      </c>
      <c r="Y9" s="4">
        <v>41736.518426133174</v>
      </c>
      <c r="Z9" s="4">
        <v>41618.840272676032</v>
      </c>
      <c r="AA9" s="4">
        <v>41501.162119218898</v>
      </c>
      <c r="AB9" s="4">
        <v>41383.483965761756</v>
      </c>
      <c r="AC9" s="4">
        <v>41265.805812304614</v>
      </c>
      <c r="AD9" s="4">
        <v>41148.127658847472</v>
      </c>
      <c r="AE9" s="4">
        <v>41030.44950539033</v>
      </c>
      <c r="AF9" s="4">
        <v>40912.771351933188</v>
      </c>
      <c r="AG9" s="4">
        <v>40795.093198476025</v>
      </c>
    </row>
    <row r="10" spans="1:33">
      <c r="A10" t="s">
        <v>9</v>
      </c>
      <c r="B10" s="4">
        <v>121955.64390845071</v>
      </c>
      <c r="C10" s="4">
        <v>121955.64390845073</v>
      </c>
      <c r="D10" s="4">
        <v>133213.1552570395</v>
      </c>
      <c r="E10" s="4">
        <v>128399.43344853153</v>
      </c>
      <c r="F10" s="4">
        <v>128399.43344853153</v>
      </c>
      <c r="G10" s="4">
        <v>128399.43344853153</v>
      </c>
      <c r="H10" s="4">
        <v>128399.43344853153</v>
      </c>
      <c r="I10" s="4">
        <v>128399.43344853153</v>
      </c>
      <c r="J10" s="4">
        <v>128399.43344853153</v>
      </c>
      <c r="K10" s="4">
        <v>128399.43344853153</v>
      </c>
      <c r="L10" s="4">
        <v>128399.43344853153</v>
      </c>
      <c r="M10" s="4">
        <v>128399.43344853153</v>
      </c>
      <c r="N10" s="4">
        <v>128399.43344853153</v>
      </c>
      <c r="O10" s="4">
        <v>128399.43344853153</v>
      </c>
      <c r="P10" s="4">
        <v>128399.43344853153</v>
      </c>
      <c r="Q10" s="4">
        <v>128399.43344853153</v>
      </c>
      <c r="R10" s="4">
        <v>128399.43344853153</v>
      </c>
      <c r="S10" s="4">
        <v>128399.43344853153</v>
      </c>
      <c r="T10" s="4">
        <v>128399.43344853153</v>
      </c>
      <c r="U10" s="4">
        <v>128399.43344853153</v>
      </c>
      <c r="V10" s="4">
        <v>128399.43344853153</v>
      </c>
      <c r="W10" s="4">
        <v>128399.43344853153</v>
      </c>
      <c r="X10" s="4">
        <v>128399.43344853153</v>
      </c>
      <c r="Y10" s="4">
        <v>128399.43344853153</v>
      </c>
      <c r="Z10" s="4">
        <v>128399.43344853153</v>
      </c>
      <c r="AA10" s="4">
        <v>128399.43344853153</v>
      </c>
      <c r="AB10" s="4">
        <v>128399.43344853153</v>
      </c>
      <c r="AC10" s="4">
        <v>128399.43344853153</v>
      </c>
      <c r="AD10" s="4">
        <v>128399.43344853153</v>
      </c>
      <c r="AE10" s="4">
        <v>128399.43344853153</v>
      </c>
      <c r="AF10" s="4">
        <v>128399.43344853153</v>
      </c>
      <c r="AG10" s="4">
        <v>128399.43344853153</v>
      </c>
    </row>
    <row r="11" spans="1:33">
      <c r="A11" t="s">
        <v>12</v>
      </c>
      <c r="B11" s="4">
        <v>152401.10179577465</v>
      </c>
      <c r="C11" s="4">
        <v>152401.10179577462</v>
      </c>
      <c r="D11" s="4">
        <v>383420.67167963658</v>
      </c>
      <c r="E11" s="4">
        <v>156873.39969016411</v>
      </c>
      <c r="F11" s="4">
        <v>154564.21312707631</v>
      </c>
      <c r="G11" s="4">
        <v>152255.02656398845</v>
      </c>
      <c r="H11" s="4">
        <v>149945.84000090064</v>
      </c>
      <c r="I11" s="4">
        <v>147636.65343781278</v>
      </c>
      <c r="J11" s="4">
        <v>145327.46687472492</v>
      </c>
      <c r="K11" s="4">
        <v>143018.28031163712</v>
      </c>
      <c r="L11" s="4">
        <v>140709.09374854926</v>
      </c>
      <c r="M11" s="4">
        <v>138399.90718546143</v>
      </c>
      <c r="N11" s="4">
        <v>136090.7206223736</v>
      </c>
      <c r="O11" s="4">
        <v>133781.53405928577</v>
      </c>
      <c r="P11" s="4">
        <v>131472.34749619794</v>
      </c>
      <c r="Q11" s="4">
        <v>129163.16093311008</v>
      </c>
      <c r="R11" s="4">
        <v>126853.97437002235</v>
      </c>
      <c r="S11" s="4">
        <v>126853.97437002235</v>
      </c>
      <c r="T11" s="4">
        <v>126853.97437002235</v>
      </c>
      <c r="U11" s="4">
        <v>126853.97437002235</v>
      </c>
      <c r="V11" s="4">
        <v>126853.97437002235</v>
      </c>
      <c r="W11" s="4">
        <v>126853.97437002235</v>
      </c>
      <c r="X11" s="4">
        <v>126853.97437002235</v>
      </c>
      <c r="Y11" s="4">
        <v>126853.97437002235</v>
      </c>
      <c r="Z11" s="4">
        <v>126853.97437002235</v>
      </c>
      <c r="AA11" s="4">
        <v>126853.97437002235</v>
      </c>
      <c r="AB11" s="4">
        <v>126853.97437002235</v>
      </c>
      <c r="AC11" s="4">
        <v>126853.97437002235</v>
      </c>
      <c r="AD11" s="4">
        <v>126853.97437002235</v>
      </c>
      <c r="AE11" s="4">
        <v>126853.97437002235</v>
      </c>
      <c r="AF11" s="4">
        <v>126853.97437002235</v>
      </c>
      <c r="AG11" s="4">
        <v>126853.97437002235</v>
      </c>
    </row>
    <row r="12" spans="1:33">
      <c r="A12" t="s">
        <v>13</v>
      </c>
      <c r="B12" s="4">
        <v>7973.6811047683404</v>
      </c>
      <c r="C12" s="4">
        <v>14029.025787390305</v>
      </c>
      <c r="D12" s="4">
        <v>14089.503590454193</v>
      </c>
      <c r="E12" s="4">
        <v>14089.503590454193</v>
      </c>
      <c r="F12" s="4">
        <v>14089.503590454193</v>
      </c>
      <c r="G12" s="4">
        <v>14089.503590454193</v>
      </c>
      <c r="H12" s="4">
        <v>14089.503590454193</v>
      </c>
      <c r="I12" s="4">
        <v>14089.503590454193</v>
      </c>
      <c r="J12" s="4">
        <v>14089.503590454193</v>
      </c>
      <c r="K12" s="4">
        <v>14089.503590454193</v>
      </c>
      <c r="L12" s="4">
        <v>14089.503590454193</v>
      </c>
      <c r="M12" s="4">
        <v>14089.503590454193</v>
      </c>
      <c r="N12" s="4">
        <v>14089.503590454193</v>
      </c>
      <c r="O12" s="4">
        <v>14089.503590454193</v>
      </c>
      <c r="P12" s="4">
        <v>14089.503590454193</v>
      </c>
      <c r="Q12" s="4">
        <v>14089.503590454193</v>
      </c>
      <c r="R12" s="4">
        <v>14089.503590454193</v>
      </c>
      <c r="S12" s="4">
        <v>14089.503590454193</v>
      </c>
      <c r="T12" s="4">
        <v>14089.503590454193</v>
      </c>
      <c r="U12" s="4">
        <v>14089.503590454193</v>
      </c>
      <c r="V12" s="4">
        <v>14089.503590454193</v>
      </c>
      <c r="W12" s="4">
        <v>14089.503590454193</v>
      </c>
      <c r="X12" s="4">
        <v>14089.503590454193</v>
      </c>
      <c r="Y12" s="4">
        <v>14089.503590454193</v>
      </c>
      <c r="Z12" s="4">
        <v>14089.503590454193</v>
      </c>
      <c r="AA12" s="4">
        <v>14089.503590454193</v>
      </c>
      <c r="AB12" s="4">
        <v>14089.503590454193</v>
      </c>
      <c r="AC12" s="4">
        <v>14089.503590454193</v>
      </c>
      <c r="AD12" s="4">
        <v>14089.503590454193</v>
      </c>
      <c r="AE12" s="4">
        <v>14089.503590454193</v>
      </c>
      <c r="AF12" s="4">
        <v>14089.503590454193</v>
      </c>
      <c r="AG12" s="4">
        <v>14089.503590454193</v>
      </c>
    </row>
    <row r="13" spans="1:33">
      <c r="A13" t="s">
        <v>14</v>
      </c>
      <c r="B13" s="4">
        <v>7144.2571203304669</v>
      </c>
      <c r="C13" s="4">
        <v>4281.3834881053735</v>
      </c>
      <c r="D13" s="4">
        <v>20335.299110602649</v>
      </c>
      <c r="E13" s="4">
        <v>20475.998701542776</v>
      </c>
      <c r="F13" s="4">
        <v>20397.546599238012</v>
      </c>
      <c r="G13" s="4">
        <v>20240.642394628489</v>
      </c>
      <c r="H13" s="4">
        <v>20162.190292323725</v>
      </c>
      <c r="I13" s="4">
        <v>20083.738190018965</v>
      </c>
      <c r="J13" s="4">
        <v>19926.833985409441</v>
      </c>
      <c r="K13" s="4">
        <v>19848.381883104681</v>
      </c>
      <c r="L13" s="4">
        <v>19691.477678495157</v>
      </c>
      <c r="M13" s="4">
        <v>19613.025576190394</v>
      </c>
      <c r="N13" s="4">
        <v>19456.121371580874</v>
      </c>
      <c r="O13" s="4">
        <v>19377.669269276113</v>
      </c>
      <c r="P13" s="4">
        <v>19220.765064666586</v>
      </c>
      <c r="Q13" s="4">
        <v>19142.312962361826</v>
      </c>
      <c r="R13" s="4">
        <v>18985.408757752302</v>
      </c>
      <c r="S13" s="4">
        <v>18906.956655447546</v>
      </c>
      <c r="T13" s="4">
        <v>18750.052450838015</v>
      </c>
      <c r="U13" s="4">
        <v>18671.600348533259</v>
      </c>
      <c r="V13" s="4">
        <v>18593.148246228495</v>
      </c>
      <c r="W13" s="4">
        <v>18436.244041618975</v>
      </c>
      <c r="X13" s="4">
        <v>18357.791939314211</v>
      </c>
      <c r="Y13" s="4">
        <v>18200.887734704687</v>
      </c>
      <c r="Z13" s="4">
        <v>18122.435632399927</v>
      </c>
      <c r="AA13" s="4">
        <v>17965.531427790404</v>
      </c>
      <c r="AB13" s="4">
        <v>17887.07932548564</v>
      </c>
      <c r="AC13" s="4">
        <v>17730.17512087612</v>
      </c>
      <c r="AD13" s="4">
        <v>17651.723018571356</v>
      </c>
      <c r="AE13" s="4">
        <v>17494.818813961836</v>
      </c>
      <c r="AF13" s="4">
        <v>17416.366711657072</v>
      </c>
      <c r="AG13" s="4">
        <v>17259.462507047549</v>
      </c>
    </row>
    <row r="14" spans="1:33">
      <c r="A14" t="s">
        <v>19</v>
      </c>
      <c r="B14" s="4">
        <v>17670.920395907164</v>
      </c>
      <c r="C14" s="4">
        <v>17670.920395907164</v>
      </c>
      <c r="D14" s="4">
        <v>65750.800457615216</v>
      </c>
      <c r="E14" s="4">
        <v>67861.068493618775</v>
      </c>
      <c r="F14" s="4">
        <v>67547.260084399721</v>
      </c>
      <c r="G14" s="4">
        <v>67233.45167518068</v>
      </c>
      <c r="H14" s="4">
        <v>66919.643265961626</v>
      </c>
      <c r="I14" s="4">
        <v>66605.834856742586</v>
      </c>
      <c r="J14" s="4">
        <v>66292.026447523545</v>
      </c>
      <c r="K14" s="4">
        <v>65978.218038304491</v>
      </c>
      <c r="L14" s="4">
        <v>65664.40962908545</v>
      </c>
      <c r="M14" s="4">
        <v>65350.601219866388</v>
      </c>
      <c r="N14" s="4">
        <v>65036.792810647356</v>
      </c>
      <c r="O14" s="4">
        <v>64722.984401428308</v>
      </c>
      <c r="P14" s="4">
        <v>64095.36758299022</v>
      </c>
      <c r="Q14" s="4">
        <v>63703.107071466402</v>
      </c>
      <c r="R14" s="4">
        <v>63703.107071466402</v>
      </c>
      <c r="S14" s="4">
        <v>63232.394457637834</v>
      </c>
      <c r="T14" s="4">
        <v>62683.22974150451</v>
      </c>
      <c r="U14" s="4">
        <v>62212.517127675928</v>
      </c>
      <c r="V14" s="4">
        <v>61663.352411542597</v>
      </c>
      <c r="W14" s="4">
        <v>61114.18769540928</v>
      </c>
      <c r="X14" s="4">
        <v>60643.475081580706</v>
      </c>
      <c r="Y14" s="4">
        <v>60094.310365447367</v>
      </c>
      <c r="Z14" s="4">
        <v>59545.145649314043</v>
      </c>
      <c r="AA14" s="4">
        <v>59074.433035485468</v>
      </c>
      <c r="AB14" s="4">
        <v>58525.268319352137</v>
      </c>
      <c r="AC14" s="4">
        <v>58054.555705523569</v>
      </c>
      <c r="AD14" s="4">
        <v>57505.390989390238</v>
      </c>
      <c r="AE14" s="4">
        <v>56956.2262732569</v>
      </c>
      <c r="AF14" s="4">
        <v>56485.513659428339</v>
      </c>
      <c r="AG14" s="4">
        <v>55936.348943295008</v>
      </c>
    </row>
    <row r="15" spans="1:33">
      <c r="A15" t="s">
        <v>17</v>
      </c>
      <c r="B15" s="4">
        <v>107112.17184040292</v>
      </c>
      <c r="C15" s="4">
        <v>85436.858820422553</v>
      </c>
      <c r="D15" s="4">
        <v>87523.182887390489</v>
      </c>
      <c r="E15" s="4">
        <v>84374.810215554709</v>
      </c>
      <c r="F15" s="4">
        <v>81802.402438068137</v>
      </c>
      <c r="G15" s="4">
        <v>79627.4626522006</v>
      </c>
      <c r="H15" s="4">
        <v>77743.444113931298</v>
      </c>
      <c r="I15" s="4">
        <v>76081.621988745799</v>
      </c>
      <c r="J15" s="4">
        <v>74595.071442095505</v>
      </c>
      <c r="K15" s="4">
        <v>73250.322899390987</v>
      </c>
      <c r="L15" s="4">
        <v>72022.663664608946</v>
      </c>
      <c r="M15" s="4">
        <v>70893.326643955996</v>
      </c>
      <c r="N15" s="4">
        <v>69847.723878741395</v>
      </c>
      <c r="O15" s="4">
        <v>68874.290992773138</v>
      </c>
      <c r="P15" s="4">
        <v>67963.705340472094</v>
      </c>
      <c r="Q15" s="4">
        <v>67108.341600659231</v>
      </c>
      <c r="R15" s="4">
        <v>66301.88321528658</v>
      </c>
      <c r="S15" s="4">
        <v>65539.039024240512</v>
      </c>
      <c r="T15" s="4">
        <v>64815.332668636285</v>
      </c>
      <c r="U15" s="4">
        <v>64126.943429419043</v>
      </c>
      <c r="V15" s="4">
        <v>63470.58412593176</v>
      </c>
      <c r="W15" s="4">
        <v>62843.406178513163</v>
      </c>
      <c r="X15" s="4">
        <v>62242.924891149727</v>
      </c>
      <c r="Y15" s="4">
        <v>61666.959996800491</v>
      </c>
      <c r="Z15" s="4">
        <v>61113.587870496805</v>
      </c>
      <c r="AA15" s="4">
        <v>60581.102765964242</v>
      </c>
      <c r="AB15" s="4">
        <v>60067.985105282183</v>
      </c>
      <c r="AC15" s="4">
        <v>59572.875335531848</v>
      </c>
      <c r="AD15" s="4">
        <v>59094.552219313919</v>
      </c>
      <c r="AE15" s="4">
        <v>58631.914686289841</v>
      </c>
      <c r="AF15" s="4">
        <v>58183.966567012882</v>
      </c>
      <c r="AG15" s="4">
        <v>57749.803676609423</v>
      </c>
    </row>
    <row r="16" spans="1:33">
      <c r="A16" t="s">
        <v>20</v>
      </c>
      <c r="B16" s="4">
        <v>7973.6811047683404</v>
      </c>
      <c r="C16" s="4">
        <v>14029.025787390305</v>
      </c>
      <c r="D16" s="4">
        <v>14029.025787390305</v>
      </c>
      <c r="E16" s="4">
        <v>14029.025787390305</v>
      </c>
      <c r="F16" s="4">
        <v>14029.025787390305</v>
      </c>
      <c r="G16" s="4">
        <v>14029.025787390305</v>
      </c>
      <c r="H16" s="4">
        <v>14029.025787390305</v>
      </c>
      <c r="I16" s="4">
        <v>14029.025787390305</v>
      </c>
      <c r="J16" s="4">
        <v>14029.025787390305</v>
      </c>
      <c r="K16" s="4">
        <v>14029.025787390305</v>
      </c>
      <c r="L16" s="4">
        <v>14029.025787390305</v>
      </c>
      <c r="M16" s="4">
        <v>14029.025787390305</v>
      </c>
      <c r="N16" s="4">
        <v>14029.025787390305</v>
      </c>
      <c r="O16" s="4">
        <v>14029.025787390305</v>
      </c>
      <c r="P16" s="4">
        <v>14029.025787390305</v>
      </c>
      <c r="Q16" s="4">
        <v>14029.025787390305</v>
      </c>
      <c r="R16" s="4">
        <v>14029.025787390305</v>
      </c>
      <c r="S16" s="4">
        <v>14029.025787390305</v>
      </c>
      <c r="T16" s="4">
        <v>14029.025787390305</v>
      </c>
      <c r="U16" s="4">
        <v>14029.025787390305</v>
      </c>
      <c r="V16" s="4">
        <v>14029.025787390305</v>
      </c>
      <c r="W16" s="4">
        <v>14029.025787390305</v>
      </c>
      <c r="X16" s="4">
        <v>14029.025787390305</v>
      </c>
      <c r="Y16" s="4">
        <v>14029.025787390305</v>
      </c>
      <c r="Z16" s="4">
        <v>14029.025787390305</v>
      </c>
      <c r="AA16" s="4">
        <v>14029.025787390305</v>
      </c>
      <c r="AB16" s="4">
        <v>14029.025787390305</v>
      </c>
      <c r="AC16" s="4">
        <v>14029.025787390305</v>
      </c>
      <c r="AD16" s="4">
        <v>14029.025787390305</v>
      </c>
      <c r="AE16" s="4">
        <v>14029.025787390305</v>
      </c>
      <c r="AF16" s="4">
        <v>14029.025787390305</v>
      </c>
      <c r="AG16" s="4">
        <v>14029.025787390305</v>
      </c>
    </row>
    <row r="17" spans="1:33">
      <c r="A17" t="s">
        <v>21</v>
      </c>
      <c r="B17" s="4">
        <v>7973.6811047683404</v>
      </c>
      <c r="C17" s="4">
        <v>14029.025787390305</v>
      </c>
      <c r="D17" s="4">
        <v>14029.025787390305</v>
      </c>
      <c r="E17" s="4">
        <v>14029.025787390305</v>
      </c>
      <c r="F17" s="4">
        <v>14029.025787390305</v>
      </c>
      <c r="G17" s="4">
        <v>14029.025787390305</v>
      </c>
      <c r="H17" s="4">
        <v>14029.025787390305</v>
      </c>
      <c r="I17" s="4">
        <v>14029.025787390305</v>
      </c>
      <c r="J17" s="4">
        <v>14029.025787390305</v>
      </c>
      <c r="K17" s="4">
        <v>14029.025787390305</v>
      </c>
      <c r="L17" s="4">
        <v>14029.025787390305</v>
      </c>
      <c r="M17" s="4">
        <v>14029.025787390305</v>
      </c>
      <c r="N17" s="4">
        <v>14029.025787390305</v>
      </c>
      <c r="O17" s="4">
        <v>14029.025787390305</v>
      </c>
      <c r="P17" s="4">
        <v>14029.025787390305</v>
      </c>
      <c r="Q17" s="4">
        <v>14029.025787390305</v>
      </c>
      <c r="R17" s="4">
        <v>14029.025787390305</v>
      </c>
      <c r="S17" s="4">
        <v>14029.025787390305</v>
      </c>
      <c r="T17" s="4">
        <v>14029.025787390305</v>
      </c>
      <c r="U17" s="4">
        <v>14029.025787390305</v>
      </c>
      <c r="V17" s="4">
        <v>14029.025787390305</v>
      </c>
      <c r="W17" s="4">
        <v>14029.025787390305</v>
      </c>
      <c r="X17" s="4">
        <v>14029.025787390305</v>
      </c>
      <c r="Y17" s="4">
        <v>14029.025787390305</v>
      </c>
      <c r="Z17" s="4">
        <v>14029.025787390305</v>
      </c>
      <c r="AA17" s="4">
        <v>14029.025787390305</v>
      </c>
      <c r="AB17" s="4">
        <v>14029.025787390305</v>
      </c>
      <c r="AC17" s="4">
        <v>14029.025787390305</v>
      </c>
      <c r="AD17" s="4">
        <v>14029.025787390305</v>
      </c>
      <c r="AE17" s="4">
        <v>14029.025787390305</v>
      </c>
      <c r="AF17" s="4">
        <v>14029.025787390305</v>
      </c>
      <c r="AG17" s="4">
        <v>14029.025787390305</v>
      </c>
    </row>
    <row r="18" spans="1:33">
      <c r="A18" t="s">
        <v>22</v>
      </c>
      <c r="B18">
        <v>453528.99295774649</v>
      </c>
      <c r="C18">
        <v>453528.99295774649</v>
      </c>
      <c r="D18">
        <v>453528.99295774649</v>
      </c>
      <c r="E18">
        <v>453528.99295774649</v>
      </c>
      <c r="F18">
        <v>453528.99295774649</v>
      </c>
      <c r="G18">
        <v>453528.99295774649</v>
      </c>
      <c r="H18">
        <v>453528.99295774649</v>
      </c>
      <c r="I18">
        <v>453528.99295774649</v>
      </c>
      <c r="J18">
        <v>453528.99295774649</v>
      </c>
      <c r="K18">
        <v>453528.99295774649</v>
      </c>
      <c r="L18">
        <v>453528.99295774649</v>
      </c>
      <c r="M18">
        <v>453528.99295774649</v>
      </c>
      <c r="N18">
        <v>453528.99295774649</v>
      </c>
      <c r="O18">
        <v>453528.99295774649</v>
      </c>
      <c r="P18">
        <v>453528.99295774649</v>
      </c>
      <c r="Q18">
        <v>453528.99295774649</v>
      </c>
      <c r="R18">
        <v>453528.99295774649</v>
      </c>
      <c r="S18">
        <v>453528.99295774649</v>
      </c>
      <c r="T18">
        <v>453528.99295774649</v>
      </c>
      <c r="U18">
        <v>453528.99295774649</v>
      </c>
      <c r="V18">
        <v>453528.99295774649</v>
      </c>
      <c r="W18">
        <v>453528.99295774649</v>
      </c>
      <c r="X18">
        <v>453528.99295774649</v>
      </c>
      <c r="Y18">
        <v>453528.99295774649</v>
      </c>
      <c r="Z18">
        <v>453528.99295774649</v>
      </c>
      <c r="AA18">
        <v>453528.99295774649</v>
      </c>
      <c r="AB18">
        <v>453528.99295774649</v>
      </c>
      <c r="AC18">
        <v>453528.99295774649</v>
      </c>
      <c r="AD18">
        <v>453528.99295774649</v>
      </c>
      <c r="AE18">
        <v>453528.99295774649</v>
      </c>
      <c r="AF18">
        <v>453528.99295774649</v>
      </c>
      <c r="AG18">
        <v>453528.99295774649</v>
      </c>
    </row>
    <row r="19" spans="1:33">
      <c r="A19" s="1" t="s">
        <v>77</v>
      </c>
      <c r="B19">
        <v>105574.09454921207</v>
      </c>
      <c r="C19">
        <v>105574.09454921207</v>
      </c>
      <c r="D19">
        <v>105574.09454921207</v>
      </c>
      <c r="E19">
        <v>109911.39532897098</v>
      </c>
      <c r="F19">
        <v>108734.61379439956</v>
      </c>
      <c r="G19">
        <v>107479.38015752337</v>
      </c>
      <c r="H19">
        <v>106302.59862295195</v>
      </c>
      <c r="I19">
        <v>105125.81708838053</v>
      </c>
      <c r="J19">
        <v>103949.0355538091</v>
      </c>
      <c r="K19">
        <v>102772.25401923768</v>
      </c>
      <c r="L19">
        <v>101595.47248466624</v>
      </c>
      <c r="M19">
        <v>100418.69095009482</v>
      </c>
      <c r="N19">
        <v>99241.909415523405</v>
      </c>
      <c r="O19">
        <v>98065.127880951972</v>
      </c>
      <c r="P19">
        <v>95711.564811809119</v>
      </c>
      <c r="Q19">
        <v>94534.783277237701</v>
      </c>
      <c r="R19">
        <v>94534.783277237701</v>
      </c>
      <c r="S19">
        <v>93593.35804958058</v>
      </c>
      <c r="T19">
        <v>92651.93282192343</v>
      </c>
      <c r="U19">
        <v>91788.959696571052</v>
      </c>
      <c r="V19">
        <v>90847.534468913902</v>
      </c>
      <c r="W19">
        <v>89984.561343561538</v>
      </c>
      <c r="X19">
        <v>89043.136115904403</v>
      </c>
      <c r="Y19">
        <v>88101.710888247253</v>
      </c>
      <c r="Z19">
        <v>87238.737762894889</v>
      </c>
      <c r="AA19">
        <v>86297.312535237739</v>
      </c>
      <c r="AB19">
        <v>85355.887307580604</v>
      </c>
      <c r="AC19">
        <v>84492.91418222824</v>
      </c>
      <c r="AD19">
        <v>83551.48895457109</v>
      </c>
      <c r="AE19">
        <v>82688.515829218712</v>
      </c>
      <c r="AF19">
        <v>81747.090601561562</v>
      </c>
      <c r="AG19">
        <v>80805.665373904427</v>
      </c>
    </row>
    <row r="20" spans="1:33">
      <c r="A20" t="s">
        <v>78</v>
      </c>
      <c r="B20">
        <v>50922.978189467467</v>
      </c>
      <c r="C20">
        <v>50922.978189467467</v>
      </c>
      <c r="D20">
        <v>50922.978189467467</v>
      </c>
      <c r="E20">
        <v>61977.160820761652</v>
      </c>
      <c r="F20" s="1">
        <v>61192.639797714037</v>
      </c>
      <c r="G20" s="1">
        <v>60408.118774666422</v>
      </c>
      <c r="H20" s="1">
        <v>58839.076728571185</v>
      </c>
      <c r="I20" s="1">
        <v>58054.555705523569</v>
      </c>
      <c r="J20">
        <v>57270.034682475962</v>
      </c>
      <c r="K20">
        <v>56485.513659428339</v>
      </c>
      <c r="L20">
        <v>55700.992636380724</v>
      </c>
      <c r="M20">
        <v>54131.950590285494</v>
      </c>
      <c r="N20">
        <v>53347.429567237872</v>
      </c>
      <c r="O20">
        <v>52562.908544190264</v>
      </c>
      <c r="P20">
        <v>51778.387521142649</v>
      </c>
      <c r="Q20">
        <v>50993.866498095027</v>
      </c>
      <c r="R20">
        <v>49424.824451999797</v>
      </c>
      <c r="S20">
        <v>49424.824451999797</v>
      </c>
      <c r="T20">
        <v>48640.303428952182</v>
      </c>
      <c r="U20">
        <v>47855.78240590456</v>
      </c>
      <c r="V20">
        <v>47855.78240590456</v>
      </c>
      <c r="W20">
        <v>47071.261382856952</v>
      </c>
      <c r="X20">
        <v>46286.740359809337</v>
      </c>
      <c r="Y20">
        <v>46286.740359809337</v>
      </c>
      <c r="Z20">
        <v>45502.219336761722</v>
      </c>
      <c r="AA20">
        <v>44717.6983137141</v>
      </c>
      <c r="AB20">
        <v>44717.6983137141</v>
      </c>
      <c r="AC20">
        <v>43933.177290666485</v>
      </c>
      <c r="AD20">
        <v>43148.65626761887</v>
      </c>
      <c r="AE20">
        <v>43148.65626761887</v>
      </c>
      <c r="AF20">
        <v>42364.135244571262</v>
      </c>
      <c r="AG20">
        <v>41579.61422152364</v>
      </c>
    </row>
    <row r="21" spans="1:33">
      <c r="A21" t="s">
        <v>79</v>
      </c>
      <c r="B21">
        <v>170571.90813369042</v>
      </c>
      <c r="C21">
        <v>170571.90813369042</v>
      </c>
      <c r="D21">
        <v>170571.90813369042</v>
      </c>
      <c r="E21">
        <v>170571.90813369042</v>
      </c>
      <c r="F21">
        <v>170571.90813369042</v>
      </c>
      <c r="G21">
        <v>170571.90813369042</v>
      </c>
      <c r="H21">
        <v>170571.90813369042</v>
      </c>
      <c r="I21">
        <v>170571.90813369042</v>
      </c>
      <c r="J21">
        <v>170571.90813369042</v>
      </c>
      <c r="K21">
        <v>170571.90813369042</v>
      </c>
      <c r="L21">
        <v>170571.90813369042</v>
      </c>
      <c r="M21">
        <v>170571.90813369042</v>
      </c>
      <c r="N21">
        <v>170571.90813369042</v>
      </c>
      <c r="O21">
        <v>170571.90813369042</v>
      </c>
      <c r="P21">
        <v>170571.90813369042</v>
      </c>
      <c r="Q21">
        <v>170571.90813369042</v>
      </c>
      <c r="R21">
        <v>170571.90813369042</v>
      </c>
      <c r="S21">
        <v>170571.90813369042</v>
      </c>
      <c r="T21">
        <v>170571.90813369042</v>
      </c>
      <c r="U21">
        <v>170571.90813369042</v>
      </c>
      <c r="V21">
        <v>170571.90813369042</v>
      </c>
      <c r="W21">
        <v>170571.90813369042</v>
      </c>
      <c r="X21">
        <v>170571.90813369042</v>
      </c>
      <c r="Y21">
        <v>170571.90813369042</v>
      </c>
      <c r="Z21">
        <v>170571.90813369042</v>
      </c>
      <c r="AA21">
        <v>170571.90813369042</v>
      </c>
      <c r="AB21">
        <v>170571.90813369042</v>
      </c>
      <c r="AC21">
        <v>170571.90813369042</v>
      </c>
      <c r="AD21">
        <v>170571.90813369042</v>
      </c>
      <c r="AE21">
        <v>170571.90813369042</v>
      </c>
      <c r="AF21">
        <v>170571.90813369042</v>
      </c>
      <c r="AG21">
        <v>170571.90813369042</v>
      </c>
    </row>
    <row r="22" spans="1:33">
      <c r="A22" t="s">
        <v>80</v>
      </c>
      <c r="B22">
        <v>105574.09454921207</v>
      </c>
      <c r="C22">
        <v>105574.09454921207</v>
      </c>
      <c r="D22">
        <v>105574.09454921207</v>
      </c>
      <c r="E22">
        <v>109911.39532897098</v>
      </c>
      <c r="F22">
        <v>108734.61379439956</v>
      </c>
      <c r="G22">
        <v>107479.38015752337</v>
      </c>
      <c r="H22">
        <v>106302.59862295195</v>
      </c>
      <c r="I22">
        <v>105125.81708838053</v>
      </c>
      <c r="J22">
        <v>103949.0355538091</v>
      </c>
      <c r="K22">
        <v>102772.25401923768</v>
      </c>
      <c r="L22">
        <v>101595.47248466624</v>
      </c>
      <c r="M22">
        <v>100418.69095009482</v>
      </c>
      <c r="N22">
        <v>99241.909415523405</v>
      </c>
      <c r="O22">
        <v>98065.127880951972</v>
      </c>
      <c r="P22">
        <v>95711.564811809119</v>
      </c>
      <c r="Q22">
        <v>94534.783277237701</v>
      </c>
      <c r="R22">
        <v>94534.783277237701</v>
      </c>
      <c r="S22">
        <v>93593.35804958058</v>
      </c>
      <c r="T22">
        <v>92651.93282192343</v>
      </c>
      <c r="U22">
        <v>91788.959696571052</v>
      </c>
      <c r="V22">
        <v>90847.534468913902</v>
      </c>
      <c r="W22">
        <v>89984.561343561538</v>
      </c>
      <c r="X22">
        <v>89043.136115904403</v>
      </c>
      <c r="Y22">
        <v>88101.710888247253</v>
      </c>
      <c r="Z22">
        <v>87238.737762894889</v>
      </c>
      <c r="AA22">
        <v>86297.312535237739</v>
      </c>
      <c r="AB22">
        <v>85355.887307580604</v>
      </c>
      <c r="AC22">
        <v>84492.91418222824</v>
      </c>
      <c r="AD22">
        <v>83551.48895457109</v>
      </c>
      <c r="AE22">
        <v>82688.515829218712</v>
      </c>
      <c r="AF22">
        <v>81747.090601561562</v>
      </c>
      <c r="AG22">
        <v>80805.665373904427</v>
      </c>
    </row>
    <row r="23" spans="1:33">
      <c r="A23" t="s">
        <v>81</v>
      </c>
      <c r="B23">
        <v>100659.7305974831</v>
      </c>
      <c r="C23">
        <v>100659.7305974831</v>
      </c>
      <c r="D23">
        <v>100659.7305974831</v>
      </c>
      <c r="E23">
        <v>100659.7305974831</v>
      </c>
      <c r="F23">
        <v>100659.7305974831</v>
      </c>
      <c r="G23">
        <v>100659.7305974831</v>
      </c>
      <c r="H23">
        <v>100659.7305974831</v>
      </c>
      <c r="I23">
        <v>100659.7305974831</v>
      </c>
      <c r="J23">
        <v>100659.7305974831</v>
      </c>
      <c r="K23">
        <v>100659.7305974831</v>
      </c>
      <c r="L23">
        <v>100659.7305974831</v>
      </c>
      <c r="M23">
        <v>106694.85913447574</v>
      </c>
      <c r="N23">
        <v>106694.85913447574</v>
      </c>
      <c r="O23">
        <v>106694.85913447574</v>
      </c>
      <c r="P23">
        <v>106694.85913447574</v>
      </c>
      <c r="Q23">
        <v>106694.85913447574</v>
      </c>
      <c r="R23">
        <v>106694.85913447574</v>
      </c>
      <c r="S23">
        <v>106694.85913447574</v>
      </c>
      <c r="T23">
        <v>106694.85913447574</v>
      </c>
      <c r="U23">
        <v>106694.85913447574</v>
      </c>
      <c r="V23">
        <v>106694.85913447574</v>
      </c>
      <c r="W23">
        <v>106694.85913447574</v>
      </c>
      <c r="X23">
        <v>106694.85913447574</v>
      </c>
      <c r="Y23">
        <v>106694.85913447574</v>
      </c>
      <c r="Z23">
        <v>106694.85913447574</v>
      </c>
      <c r="AA23">
        <v>106694.85913447574</v>
      </c>
      <c r="AB23">
        <v>106694.85913447574</v>
      </c>
      <c r="AC23">
        <v>106694.85913447574</v>
      </c>
      <c r="AD23">
        <v>106694.85913447574</v>
      </c>
      <c r="AE23">
        <v>106694.85913447574</v>
      </c>
      <c r="AF23">
        <v>106694.85913447574</v>
      </c>
      <c r="AG23">
        <v>106694.85913447574</v>
      </c>
    </row>
    <row r="24" spans="1:33">
      <c r="A24" t="s">
        <v>82</v>
      </c>
      <c r="B24">
        <v>7144.2571203304669</v>
      </c>
      <c r="C24">
        <v>4281.3834881053735</v>
      </c>
      <c r="D24">
        <v>20335.299110602649</v>
      </c>
      <c r="E24">
        <v>20475.998701542776</v>
      </c>
      <c r="F24">
        <v>20397.546599238012</v>
      </c>
      <c r="G24">
        <v>20240.642394628489</v>
      </c>
      <c r="H24">
        <v>20162.190292323725</v>
      </c>
      <c r="I24">
        <v>20083.738190018965</v>
      </c>
      <c r="J24">
        <v>19926.833985409441</v>
      </c>
      <c r="K24">
        <v>19848.381883104681</v>
      </c>
      <c r="L24">
        <v>19691.477678495157</v>
      </c>
      <c r="M24">
        <v>19613.025576190394</v>
      </c>
      <c r="N24">
        <v>19456.121371580874</v>
      </c>
      <c r="O24">
        <v>19377.669269276113</v>
      </c>
      <c r="P24">
        <v>19220.765064666586</v>
      </c>
      <c r="Q24">
        <v>19142.312962361826</v>
      </c>
      <c r="R24">
        <v>18985.408757752302</v>
      </c>
      <c r="S24">
        <v>18906.956655447546</v>
      </c>
      <c r="T24">
        <v>18750.052450838015</v>
      </c>
      <c r="U24">
        <v>18671.600348533259</v>
      </c>
      <c r="V24">
        <v>18593.148246228495</v>
      </c>
      <c r="W24">
        <v>18436.244041618975</v>
      </c>
      <c r="X24">
        <v>18357.791939314211</v>
      </c>
      <c r="Y24">
        <v>18200.887734704687</v>
      </c>
      <c r="Z24">
        <v>18122.435632399927</v>
      </c>
      <c r="AA24">
        <v>17965.531427790404</v>
      </c>
      <c r="AB24">
        <v>17887.07932548564</v>
      </c>
      <c r="AC24">
        <v>17730.17512087612</v>
      </c>
      <c r="AD24">
        <v>17651.723018571356</v>
      </c>
      <c r="AE24">
        <v>17494.818813961836</v>
      </c>
      <c r="AF24">
        <v>17416.366711657072</v>
      </c>
      <c r="AG24">
        <v>17259.462507047549</v>
      </c>
    </row>
    <row r="25" spans="1:33">
      <c r="A25" t="s">
        <v>83</v>
      </c>
      <c r="B25">
        <v>8958.697621129344</v>
      </c>
      <c r="C25">
        <v>8299.6587907167723</v>
      </c>
      <c r="D25">
        <v>26096.967191940064</v>
      </c>
      <c r="E25">
        <v>31380.840921904637</v>
      </c>
      <c r="F25">
        <v>31380.840921904637</v>
      </c>
      <c r="G25">
        <v>30596.319898857018</v>
      </c>
      <c r="H25">
        <v>30596.319898857018</v>
      </c>
      <c r="I25">
        <v>30596.319898857018</v>
      </c>
      <c r="J25">
        <v>29811.7988758094</v>
      </c>
      <c r="K25">
        <v>29811.7988758094</v>
      </c>
      <c r="L25">
        <v>29811.7988758094</v>
      </c>
      <c r="M25">
        <v>29811.7988758094</v>
      </c>
      <c r="N25">
        <v>29027.277852761785</v>
      </c>
      <c r="O25">
        <v>29027.277852761785</v>
      </c>
      <c r="P25">
        <v>29027.277852761785</v>
      </c>
      <c r="Q25">
        <v>28242.75682971417</v>
      </c>
      <c r="R25">
        <v>28242.75682971417</v>
      </c>
      <c r="S25">
        <v>28242.75682971417</v>
      </c>
      <c r="T25">
        <v>28242.75682971417</v>
      </c>
      <c r="U25">
        <v>27458.235806666555</v>
      </c>
      <c r="V25">
        <v>27458.235806666555</v>
      </c>
      <c r="W25">
        <v>27458.235806666555</v>
      </c>
      <c r="X25">
        <v>27458.235806666555</v>
      </c>
      <c r="Y25">
        <v>26673.714783618936</v>
      </c>
      <c r="Z25">
        <v>26673.714783618936</v>
      </c>
      <c r="AA25">
        <v>26673.714783618936</v>
      </c>
      <c r="AB25">
        <v>25889.193760571325</v>
      </c>
      <c r="AC25">
        <v>25889.193760571325</v>
      </c>
      <c r="AD25">
        <v>25889.193760571325</v>
      </c>
      <c r="AE25">
        <v>25889.193760571325</v>
      </c>
      <c r="AF25">
        <v>25104.672737523706</v>
      </c>
      <c r="AG25">
        <v>25104.672737523706</v>
      </c>
    </row>
  </sheetData>
  <phoneticPr fontId="3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7CC2-67DC-4C7C-90E3-46135B23BC15}">
  <sheetPr>
    <tabColor theme="6"/>
  </sheetPr>
  <dimension ref="A1:AG25"/>
  <sheetViews>
    <sheetView workbookViewId="0">
      <selection activeCell="B8" sqref="B8"/>
    </sheetView>
  </sheetViews>
  <sheetFormatPr defaultColWidth="9.08984375" defaultRowHeight="14.5"/>
  <cols>
    <col min="1" max="1" width="41.81640625" customWidth="1"/>
    <col min="2" max="3" width="9.08984375" customWidth="1"/>
  </cols>
  <sheetData>
    <row r="1" spans="1:33" s="9" customFormat="1">
      <c r="A1" s="14" t="s">
        <v>84</v>
      </c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>
      <c r="A2" t="s">
        <v>16</v>
      </c>
      <c r="B2" s="10">
        <v>3.6256791591385165</v>
      </c>
      <c r="C2" s="10">
        <v>3.6256791591385165</v>
      </c>
      <c r="D2" s="10">
        <v>7.1681929364874337</v>
      </c>
      <c r="E2" s="10">
        <v>3.6256791591385165</v>
      </c>
      <c r="F2" s="10">
        <v>3.6256791591385165</v>
      </c>
      <c r="G2" s="10">
        <v>3.6256791591385165</v>
      </c>
      <c r="H2" s="10">
        <v>3.6256791591385165</v>
      </c>
      <c r="I2" s="10">
        <v>3.6256791591385165</v>
      </c>
      <c r="J2" s="10">
        <v>3.6256791591385165</v>
      </c>
      <c r="K2" s="10">
        <v>3.6256791591385165</v>
      </c>
      <c r="L2" s="10">
        <v>3.6256791591385165</v>
      </c>
      <c r="M2" s="10">
        <v>3.6256791591385165</v>
      </c>
      <c r="N2" s="10">
        <v>3.6256791591385165</v>
      </c>
      <c r="O2" s="10">
        <v>3.6256791591385165</v>
      </c>
      <c r="P2" s="10">
        <v>3.6256791591385165</v>
      </c>
      <c r="Q2" s="10">
        <v>3.6256791591385165</v>
      </c>
      <c r="R2" s="10">
        <v>3.6256791591385165</v>
      </c>
      <c r="S2" s="10">
        <v>3.6256791591385165</v>
      </c>
      <c r="T2" s="10">
        <v>3.6256791591385165</v>
      </c>
      <c r="U2" s="10">
        <v>3.6256791591385165</v>
      </c>
      <c r="V2" s="10">
        <v>3.6256791591385165</v>
      </c>
      <c r="W2" s="10">
        <v>3.6256791591385165</v>
      </c>
      <c r="X2" s="10">
        <v>3.6256791591385165</v>
      </c>
      <c r="Y2" s="10">
        <v>3.6256791591385165</v>
      </c>
      <c r="Z2" s="10">
        <v>3.6256791591385165</v>
      </c>
      <c r="AA2" s="10">
        <v>3.6256791591385165</v>
      </c>
      <c r="AB2" s="10">
        <v>3.6256791591385165</v>
      </c>
      <c r="AC2" s="10">
        <v>3.6256791591385165</v>
      </c>
      <c r="AD2" s="10">
        <v>3.6256791591385165</v>
      </c>
      <c r="AE2" s="10">
        <v>3.6256791591385165</v>
      </c>
      <c r="AF2" s="10">
        <v>3.6256791591385165</v>
      </c>
      <c r="AG2" s="10">
        <v>3.6256791591385165</v>
      </c>
    </row>
    <row r="3" spans="1:33">
      <c r="A3" t="s">
        <v>75</v>
      </c>
      <c r="B3" s="10">
        <v>39.450873422962026</v>
      </c>
      <c r="C3" s="10">
        <v>2.2058057829403315</v>
      </c>
      <c r="D3" s="10">
        <v>2.2124867557274697</v>
      </c>
      <c r="E3" s="10">
        <v>2.2058057829403315</v>
      </c>
      <c r="F3" s="10">
        <v>2.2058057829403315</v>
      </c>
      <c r="G3" s="10">
        <v>2.2058057829403315</v>
      </c>
      <c r="H3" s="10">
        <v>2.2058057829403315</v>
      </c>
      <c r="I3" s="10">
        <v>2.2058057829403315</v>
      </c>
      <c r="J3" s="10">
        <v>2.2058057829403315</v>
      </c>
      <c r="K3" s="10">
        <v>2.2058057829403315</v>
      </c>
      <c r="L3" s="10">
        <v>2.2058057829403315</v>
      </c>
      <c r="M3" s="10">
        <v>2.2058057829403315</v>
      </c>
      <c r="N3" s="10">
        <v>2.2058057829403315</v>
      </c>
      <c r="O3" s="10">
        <v>2.2058057829403315</v>
      </c>
      <c r="P3" s="10">
        <v>2.2058057829403315</v>
      </c>
      <c r="Q3" s="10">
        <v>2.2058057829403315</v>
      </c>
      <c r="R3" s="10">
        <v>2.2058057829403315</v>
      </c>
      <c r="S3" s="10">
        <v>2.2058057829403315</v>
      </c>
      <c r="T3" s="10">
        <v>2.2058057829403315</v>
      </c>
      <c r="U3" s="10">
        <v>2.2058057829403315</v>
      </c>
      <c r="V3" s="10">
        <v>2.2058057829403315</v>
      </c>
      <c r="W3" s="10">
        <v>2.2058057829403315</v>
      </c>
      <c r="X3" s="10">
        <v>2.2058057829403315</v>
      </c>
      <c r="Y3" s="10">
        <v>2.2058057829403315</v>
      </c>
      <c r="Z3" s="10">
        <v>2.2058057829403315</v>
      </c>
      <c r="AA3" s="10">
        <v>2.2058057829403315</v>
      </c>
      <c r="AB3" s="10">
        <v>2.2058057829403315</v>
      </c>
      <c r="AC3" s="10">
        <v>2.2058057829403315</v>
      </c>
      <c r="AD3" s="10">
        <v>2.2058057829403315</v>
      </c>
      <c r="AE3" s="10">
        <v>2.2058057829403315</v>
      </c>
      <c r="AF3" s="10">
        <v>2.2058057829403315</v>
      </c>
      <c r="AG3" s="10">
        <v>2.2058057829403315</v>
      </c>
    </row>
    <row r="4" spans="1:33">
      <c r="A4" t="s">
        <v>76</v>
      </c>
      <c r="B4" s="10">
        <v>2.1561187200126</v>
      </c>
      <c r="C4" s="10">
        <v>1.7590300679235182</v>
      </c>
      <c r="D4" s="10">
        <v>1.6607160940325494</v>
      </c>
      <c r="E4" s="10">
        <v>1.7590300679235182</v>
      </c>
      <c r="F4" s="10">
        <v>1.7590300679235182</v>
      </c>
      <c r="G4" s="10">
        <v>1.7590300679235182</v>
      </c>
      <c r="H4" s="10">
        <v>1.7590300679235182</v>
      </c>
      <c r="I4" s="10">
        <v>1.7590300679235182</v>
      </c>
      <c r="J4" s="10">
        <v>1.7590300679235182</v>
      </c>
      <c r="K4" s="10">
        <v>1.7590300679235182</v>
      </c>
      <c r="L4" s="10">
        <v>1.7590300679235182</v>
      </c>
      <c r="M4" s="10">
        <v>1.7590300679235182</v>
      </c>
      <c r="N4" s="10">
        <v>1.7590300679235182</v>
      </c>
      <c r="O4" s="10">
        <v>1.7590300679235182</v>
      </c>
      <c r="P4" s="10">
        <v>1.7590300679235182</v>
      </c>
      <c r="Q4" s="10">
        <v>1.7590300679235182</v>
      </c>
      <c r="R4" s="10">
        <v>1.7590300679235182</v>
      </c>
      <c r="S4" s="10">
        <v>1.7590300679235182</v>
      </c>
      <c r="T4" s="10">
        <v>1.7590300679235182</v>
      </c>
      <c r="U4" s="10">
        <v>1.7590300679235182</v>
      </c>
      <c r="V4" s="10">
        <v>1.7590300679235182</v>
      </c>
      <c r="W4" s="10">
        <v>1.7590300679235182</v>
      </c>
      <c r="X4" s="10">
        <v>1.7590300679235182</v>
      </c>
      <c r="Y4" s="10">
        <v>1.7590300679235182</v>
      </c>
      <c r="Z4" s="10">
        <v>1.7590300679235182</v>
      </c>
      <c r="AA4" s="10">
        <v>1.7590300679235182</v>
      </c>
      <c r="AB4" s="10">
        <v>1.7590300679235182</v>
      </c>
      <c r="AC4" s="10">
        <v>1.7590300679235182</v>
      </c>
      <c r="AD4" s="10">
        <v>1.7590300679235182</v>
      </c>
      <c r="AE4" s="10">
        <v>1.7590300679235182</v>
      </c>
      <c r="AF4" s="10">
        <v>1.7590300679235182</v>
      </c>
      <c r="AG4" s="10">
        <v>1.7590300679235182</v>
      </c>
    </row>
    <row r="5" spans="1:33">
      <c r="A5" t="s">
        <v>5</v>
      </c>
      <c r="B5" s="10">
        <v>0.15598967416569584</v>
      </c>
      <c r="C5" s="10">
        <v>0.15598967416569584</v>
      </c>
      <c r="D5" s="10">
        <v>2.092841200132856</v>
      </c>
      <c r="E5" s="10">
        <v>0.15598967416569584</v>
      </c>
      <c r="F5" s="10">
        <v>0.15598967416569584</v>
      </c>
      <c r="G5" s="10">
        <v>0.15598967416569584</v>
      </c>
      <c r="H5" s="10">
        <v>0.15598967416569584</v>
      </c>
      <c r="I5" s="10">
        <v>0.15598967416569584</v>
      </c>
      <c r="J5" s="10">
        <v>0.15598967416569584</v>
      </c>
      <c r="K5" s="10">
        <v>0.15598967416569584</v>
      </c>
      <c r="L5" s="10">
        <v>0.15598967416569584</v>
      </c>
      <c r="M5" s="10">
        <v>0.15598967416569584</v>
      </c>
      <c r="N5" s="10">
        <v>0.15598967416569584</v>
      </c>
      <c r="O5" s="10">
        <v>0.15598967416569584</v>
      </c>
      <c r="P5" s="10">
        <v>0.15598967416569584</v>
      </c>
      <c r="Q5" s="10">
        <v>0.15598967416569584</v>
      </c>
      <c r="R5" s="10">
        <v>0.15598967416569584</v>
      </c>
      <c r="S5" s="10">
        <v>0.15598967416569584</v>
      </c>
      <c r="T5" s="10">
        <v>0.15598967416569584</v>
      </c>
      <c r="U5" s="10">
        <v>0.15598967416569584</v>
      </c>
      <c r="V5" s="10">
        <v>0.15598967416569584</v>
      </c>
      <c r="W5" s="10">
        <v>0.15598967416569584</v>
      </c>
      <c r="X5" s="10">
        <v>0.15598967416569584</v>
      </c>
      <c r="Y5" s="10">
        <v>0.15598967416569584</v>
      </c>
      <c r="Z5" s="10">
        <v>0.15598967416569584</v>
      </c>
      <c r="AA5" s="10">
        <v>0.15598967416569584</v>
      </c>
      <c r="AB5" s="10">
        <v>0.15598967416569584</v>
      </c>
      <c r="AC5" s="10">
        <v>0.15598967416569584</v>
      </c>
      <c r="AD5" s="10">
        <v>0.15598967416569584</v>
      </c>
      <c r="AE5" s="10">
        <v>0.15598967416569584</v>
      </c>
      <c r="AF5" s="10">
        <v>0.15598967416569584</v>
      </c>
      <c r="AG5" s="10">
        <v>0.15598967416569584</v>
      </c>
    </row>
    <row r="6" spans="1:33">
      <c r="A6" t="s">
        <v>6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</row>
    <row r="7" spans="1:33">
      <c r="A7" t="s">
        <v>18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</row>
    <row r="8" spans="1:33">
      <c r="A8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</row>
    <row r="9" spans="1:33">
      <c r="A9" t="s">
        <v>8</v>
      </c>
      <c r="B9" s="10">
        <v>0</v>
      </c>
      <c r="C9" s="10">
        <v>0</v>
      </c>
      <c r="D9" s="10">
        <v>3.1049459829501416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</row>
    <row r="10" spans="1:33">
      <c r="A10" t="s">
        <v>9</v>
      </c>
      <c r="B10" s="10">
        <v>6.0733272007042256</v>
      </c>
      <c r="C10" s="10">
        <v>6.0733272007042256</v>
      </c>
      <c r="D10" s="10">
        <v>4.2704128132265557</v>
      </c>
      <c r="E10" s="10">
        <v>6.0733272007042256</v>
      </c>
      <c r="F10" s="10">
        <v>6.0733272007042256</v>
      </c>
      <c r="G10" s="10">
        <v>6.0733272007042256</v>
      </c>
      <c r="H10" s="10">
        <v>6.0733272007042256</v>
      </c>
      <c r="I10" s="10">
        <v>6.0733272007042256</v>
      </c>
      <c r="J10" s="10">
        <v>6.0733272007042256</v>
      </c>
      <c r="K10" s="10">
        <v>6.0733272007042256</v>
      </c>
      <c r="L10" s="10">
        <v>6.0733272007042256</v>
      </c>
      <c r="M10" s="10">
        <v>6.0733272007042256</v>
      </c>
      <c r="N10" s="10">
        <v>6.0733272007042256</v>
      </c>
      <c r="O10" s="10">
        <v>6.0733272007042256</v>
      </c>
      <c r="P10" s="10">
        <v>6.0733272007042256</v>
      </c>
      <c r="Q10" s="10">
        <v>6.0733272007042256</v>
      </c>
      <c r="R10" s="10">
        <v>6.0733272007042256</v>
      </c>
      <c r="S10" s="10">
        <v>6.0733272007042256</v>
      </c>
      <c r="T10" s="10">
        <v>6.0733272007042256</v>
      </c>
      <c r="U10" s="10">
        <v>6.0733272007042256</v>
      </c>
      <c r="V10" s="10">
        <v>6.0733272007042256</v>
      </c>
      <c r="W10" s="10">
        <v>6.0733272007042256</v>
      </c>
      <c r="X10" s="10">
        <v>6.0733272007042256</v>
      </c>
      <c r="Y10" s="10">
        <v>6.0733272007042256</v>
      </c>
      <c r="Z10" s="10">
        <v>6.0733272007042256</v>
      </c>
      <c r="AA10" s="10">
        <v>6.0733272007042256</v>
      </c>
      <c r="AB10" s="10">
        <v>6.0733272007042256</v>
      </c>
      <c r="AC10" s="10">
        <v>6.0733272007042256</v>
      </c>
      <c r="AD10" s="10">
        <v>6.0733272007042256</v>
      </c>
      <c r="AE10" s="10">
        <v>6.0733272007042256</v>
      </c>
      <c r="AF10" s="10">
        <v>6.0733272007042256</v>
      </c>
      <c r="AG10" s="10">
        <v>6.0733272007042256</v>
      </c>
    </row>
    <row r="11" spans="1:33">
      <c r="A11" t="s">
        <v>12</v>
      </c>
      <c r="B11" s="10">
        <v>0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</row>
    <row r="12" spans="1:33">
      <c r="A12" t="s">
        <v>13</v>
      </c>
      <c r="B12" s="10">
        <v>39.450873422962026</v>
      </c>
      <c r="C12" s="10">
        <v>2.2058057829403315</v>
      </c>
      <c r="D12" s="10">
        <v>2.2124867557274697</v>
      </c>
      <c r="E12" s="10">
        <v>2.2058057829403315</v>
      </c>
      <c r="F12" s="10">
        <v>2.2058057829403315</v>
      </c>
      <c r="G12" s="10">
        <v>2.2058057829403315</v>
      </c>
      <c r="H12" s="10">
        <v>2.2058057829403315</v>
      </c>
      <c r="I12" s="10">
        <v>2.2058057829403315</v>
      </c>
      <c r="J12" s="10">
        <v>2.2058057829403315</v>
      </c>
      <c r="K12" s="10">
        <v>2.2058057829403315</v>
      </c>
      <c r="L12" s="10">
        <v>2.2058057829403315</v>
      </c>
      <c r="M12" s="10">
        <v>2.2058057829403315</v>
      </c>
      <c r="N12" s="10">
        <v>2.2058057829403315</v>
      </c>
      <c r="O12" s="10">
        <v>2.2058057829403315</v>
      </c>
      <c r="P12" s="10">
        <v>2.2058057829403315</v>
      </c>
      <c r="Q12" s="10">
        <v>2.2058057829403315</v>
      </c>
      <c r="R12" s="10">
        <v>2.2058057829403315</v>
      </c>
      <c r="S12" s="10">
        <v>2.2058057829403315</v>
      </c>
      <c r="T12" s="10">
        <v>2.2058057829403315</v>
      </c>
      <c r="U12" s="10">
        <v>2.2058057829403315</v>
      </c>
      <c r="V12" s="10">
        <v>2.2058057829403315</v>
      </c>
      <c r="W12" s="10">
        <v>2.2058057829403315</v>
      </c>
      <c r="X12" s="10">
        <v>2.2058057829403315</v>
      </c>
      <c r="Y12" s="10">
        <v>2.2058057829403315</v>
      </c>
      <c r="Z12" s="10">
        <v>2.2058057829403315</v>
      </c>
      <c r="AA12" s="10">
        <v>2.2058057829403315</v>
      </c>
      <c r="AB12" s="10">
        <v>2.2058057829403315</v>
      </c>
      <c r="AC12" s="10">
        <v>2.2058057829403315</v>
      </c>
      <c r="AD12" s="10">
        <v>2.2058057829403315</v>
      </c>
      <c r="AE12" s="10">
        <v>2.2058057829403315</v>
      </c>
      <c r="AF12" s="10">
        <v>2.2058057829403315</v>
      </c>
      <c r="AG12" s="10">
        <v>2.2058057829403315</v>
      </c>
    </row>
    <row r="13" spans="1:33">
      <c r="A13" t="s">
        <v>14</v>
      </c>
      <c r="B13" s="10">
        <v>5.9582422979712089</v>
      </c>
      <c r="C13" s="10">
        <v>4.1459540235217816</v>
      </c>
      <c r="D13" s="10">
        <v>5.4566385946783766</v>
      </c>
      <c r="E13" s="10">
        <v>4.1459540235217816</v>
      </c>
      <c r="F13" s="10">
        <v>4.1459540235217816</v>
      </c>
      <c r="G13" s="10">
        <v>4.1459540235217816</v>
      </c>
      <c r="H13" s="10">
        <v>4.1459540235217816</v>
      </c>
      <c r="I13" s="10">
        <v>4.1459540235217816</v>
      </c>
      <c r="J13" s="10">
        <v>4.1459540235217816</v>
      </c>
      <c r="K13" s="10">
        <v>4.1459540235217816</v>
      </c>
      <c r="L13" s="10">
        <v>4.1459540235217816</v>
      </c>
      <c r="M13" s="10">
        <v>4.1459540235217816</v>
      </c>
      <c r="N13" s="10">
        <v>4.1459540235217816</v>
      </c>
      <c r="O13" s="10">
        <v>4.1459540235217816</v>
      </c>
      <c r="P13" s="10">
        <v>4.1459540235217816</v>
      </c>
      <c r="Q13" s="10">
        <v>4.1459540235217816</v>
      </c>
      <c r="R13" s="10">
        <v>4.1459540235217816</v>
      </c>
      <c r="S13" s="10">
        <v>4.1459540235217816</v>
      </c>
      <c r="T13" s="10">
        <v>4.1459540235217816</v>
      </c>
      <c r="U13" s="10">
        <v>4.1459540235217816</v>
      </c>
      <c r="V13" s="10">
        <v>4.1459540235217816</v>
      </c>
      <c r="W13" s="10">
        <v>4.1459540235217816</v>
      </c>
      <c r="X13" s="10">
        <v>4.1459540235217816</v>
      </c>
      <c r="Y13" s="10">
        <v>4.1459540235217816</v>
      </c>
      <c r="Z13" s="10">
        <v>4.1459540235217816</v>
      </c>
      <c r="AA13" s="10">
        <v>4.1459540235217816</v>
      </c>
      <c r="AB13" s="10">
        <v>4.1459540235217816</v>
      </c>
      <c r="AC13" s="10">
        <v>4.1459540235217816</v>
      </c>
      <c r="AD13" s="10">
        <v>4.1459540235217816</v>
      </c>
      <c r="AE13" s="10">
        <v>4.1459540235217816</v>
      </c>
      <c r="AF13" s="10">
        <v>4.1459540235217816</v>
      </c>
      <c r="AG13" s="10">
        <v>4.1459540235217816</v>
      </c>
    </row>
    <row r="14" spans="1:33">
      <c r="A14" t="s">
        <v>19</v>
      </c>
      <c r="B14" s="10">
        <v>6.1423270460699575</v>
      </c>
      <c r="C14" s="10">
        <v>6.1423270460699575</v>
      </c>
      <c r="D14" s="10">
        <v>12.14376215122577</v>
      </c>
      <c r="E14" s="10">
        <v>6.1423270460699575</v>
      </c>
      <c r="F14" s="10">
        <v>6.1423270460699575</v>
      </c>
      <c r="G14" s="10">
        <v>6.1423270460699575</v>
      </c>
      <c r="H14" s="10">
        <v>6.1423270460699575</v>
      </c>
      <c r="I14" s="10">
        <v>6.1423270460699575</v>
      </c>
      <c r="J14" s="10">
        <v>6.1423270460699575</v>
      </c>
      <c r="K14" s="10">
        <v>6.1423270460699575</v>
      </c>
      <c r="L14" s="10">
        <v>6.1423270460699575</v>
      </c>
      <c r="M14" s="10">
        <v>6.1423270460699575</v>
      </c>
      <c r="N14" s="10">
        <v>6.1423270460699575</v>
      </c>
      <c r="O14" s="10">
        <v>6.1423270460699575</v>
      </c>
      <c r="P14" s="10">
        <v>6.1423270460699575</v>
      </c>
      <c r="Q14" s="10">
        <v>6.1423270460699575</v>
      </c>
      <c r="R14" s="10">
        <v>6.1423270460699575</v>
      </c>
      <c r="S14" s="10">
        <v>6.1423270460699575</v>
      </c>
      <c r="T14" s="10">
        <v>6.1423270460699575</v>
      </c>
      <c r="U14" s="10">
        <v>6.1423270460699575</v>
      </c>
      <c r="V14" s="10">
        <v>6.1423270460699575</v>
      </c>
      <c r="W14" s="10">
        <v>6.1423270460699575</v>
      </c>
      <c r="X14" s="10">
        <v>6.1423270460699575</v>
      </c>
      <c r="Y14" s="10">
        <v>6.1423270460699575</v>
      </c>
      <c r="Z14" s="10">
        <v>6.1423270460699575</v>
      </c>
      <c r="AA14" s="10">
        <v>6.1423270460699575</v>
      </c>
      <c r="AB14" s="10">
        <v>6.1423270460699575</v>
      </c>
      <c r="AC14" s="10">
        <v>6.1423270460699575</v>
      </c>
      <c r="AD14" s="10">
        <v>6.1423270460699575</v>
      </c>
      <c r="AE14" s="10">
        <v>6.1423270460699575</v>
      </c>
      <c r="AF14" s="10">
        <v>6.1423270460699575</v>
      </c>
      <c r="AG14" s="10">
        <v>6.1423270460699575</v>
      </c>
    </row>
    <row r="15" spans="1:33">
      <c r="A15" t="s">
        <v>17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</row>
    <row r="16" spans="1:33">
      <c r="A16" t="s">
        <v>20</v>
      </c>
      <c r="B16" s="10">
        <v>39.450873422962026</v>
      </c>
      <c r="C16" s="10">
        <v>2.2058057829403315</v>
      </c>
      <c r="D16" s="10">
        <v>2.2058057829403315</v>
      </c>
      <c r="E16" s="10">
        <v>2.2058057829403315</v>
      </c>
      <c r="F16" s="10">
        <v>2.2058057829403315</v>
      </c>
      <c r="G16" s="10">
        <v>2.2058057829403315</v>
      </c>
      <c r="H16" s="10">
        <v>2.2058057829403315</v>
      </c>
      <c r="I16" s="10">
        <v>2.2058057829403315</v>
      </c>
      <c r="J16" s="10">
        <v>2.2058057829403315</v>
      </c>
      <c r="K16" s="10">
        <v>2.2058057829403315</v>
      </c>
      <c r="L16" s="10">
        <v>2.2058057829403315</v>
      </c>
      <c r="M16" s="10">
        <v>2.2058057829403315</v>
      </c>
      <c r="N16" s="10">
        <v>2.2058057829403315</v>
      </c>
      <c r="O16" s="10">
        <v>2.2058057829403315</v>
      </c>
      <c r="P16" s="10">
        <v>2.2058057829403315</v>
      </c>
      <c r="Q16" s="10">
        <v>2.2058057829403315</v>
      </c>
      <c r="R16" s="10">
        <v>2.2058057829403315</v>
      </c>
      <c r="S16" s="10">
        <v>2.2058057829403315</v>
      </c>
      <c r="T16" s="10">
        <v>2.2058057829403315</v>
      </c>
      <c r="U16" s="10">
        <v>2.2058057829403315</v>
      </c>
      <c r="V16" s="10">
        <v>2.2058057829403315</v>
      </c>
      <c r="W16" s="10">
        <v>2.2058057829403315</v>
      </c>
      <c r="X16" s="10">
        <v>2.2058057829403315</v>
      </c>
      <c r="Y16" s="10">
        <v>2.2058057829403315</v>
      </c>
      <c r="Z16" s="10">
        <v>2.2058057829403315</v>
      </c>
      <c r="AA16" s="10">
        <v>2.2058057829403315</v>
      </c>
      <c r="AB16" s="10">
        <v>2.2058057829403315</v>
      </c>
      <c r="AC16" s="10">
        <v>2.2058057829403315</v>
      </c>
      <c r="AD16" s="10">
        <v>2.2058057829403315</v>
      </c>
      <c r="AE16" s="10">
        <v>2.2058057829403315</v>
      </c>
      <c r="AF16" s="10">
        <v>2.2058057829403315</v>
      </c>
      <c r="AG16" s="10">
        <v>2.2058057829403315</v>
      </c>
    </row>
    <row r="17" spans="1:33">
      <c r="A17" t="s">
        <v>21</v>
      </c>
      <c r="B17" s="10">
        <v>39.450873422962026</v>
      </c>
      <c r="C17" s="10">
        <v>2.2058057829403315</v>
      </c>
      <c r="D17" s="10">
        <v>2.2058057829403315</v>
      </c>
      <c r="E17" s="10">
        <v>2.2058057829403315</v>
      </c>
      <c r="F17" s="10">
        <v>2.2058057829403315</v>
      </c>
      <c r="G17" s="10">
        <v>2.2058057829403315</v>
      </c>
      <c r="H17" s="10">
        <v>2.2058057829403315</v>
      </c>
      <c r="I17" s="10">
        <v>2.2058057829403315</v>
      </c>
      <c r="J17" s="10">
        <v>2.2058057829403315</v>
      </c>
      <c r="K17" s="10">
        <v>2.2058057829403315</v>
      </c>
      <c r="L17" s="10">
        <v>2.2058057829403315</v>
      </c>
      <c r="M17" s="10">
        <v>2.2058057829403315</v>
      </c>
      <c r="N17" s="10">
        <v>2.2058057829403315</v>
      </c>
      <c r="O17" s="10">
        <v>2.2058057829403315</v>
      </c>
      <c r="P17" s="10">
        <v>2.2058057829403315</v>
      </c>
      <c r="Q17" s="10">
        <v>2.2058057829403315</v>
      </c>
      <c r="R17" s="10">
        <v>2.2058057829403315</v>
      </c>
      <c r="S17" s="10">
        <v>2.2058057829403315</v>
      </c>
      <c r="T17" s="10">
        <v>2.2058057829403315</v>
      </c>
      <c r="U17" s="10">
        <v>2.2058057829403315</v>
      </c>
      <c r="V17" s="10">
        <v>2.2058057829403315</v>
      </c>
      <c r="W17" s="10">
        <v>2.2058057829403315</v>
      </c>
      <c r="X17" s="10">
        <v>2.2058057829403315</v>
      </c>
      <c r="Y17" s="10">
        <v>2.2058057829403315</v>
      </c>
      <c r="Z17" s="10">
        <v>2.2058057829403315</v>
      </c>
      <c r="AA17" s="10">
        <v>2.2058057829403315</v>
      </c>
      <c r="AB17" s="10">
        <v>2.2058057829403315</v>
      </c>
      <c r="AC17" s="10">
        <v>2.2058057829403315</v>
      </c>
      <c r="AD17" s="10">
        <v>2.2058057829403315</v>
      </c>
      <c r="AE17" s="10">
        <v>2.2058057829403315</v>
      </c>
      <c r="AF17" s="10">
        <v>2.2058057829403315</v>
      </c>
      <c r="AG17" s="10">
        <v>2.2058057829403315</v>
      </c>
    </row>
    <row r="18" spans="1:33">
      <c r="A18" t="s">
        <v>22</v>
      </c>
      <c r="B18">
        <v>10.101327570422537</v>
      </c>
      <c r="C18">
        <v>10.101327570422537</v>
      </c>
      <c r="D18">
        <v>10.101327570422537</v>
      </c>
      <c r="E18">
        <v>10.101327570422537</v>
      </c>
      <c r="F18">
        <v>10.101327570422537</v>
      </c>
      <c r="G18">
        <v>10.101327570422537</v>
      </c>
      <c r="H18">
        <v>10.101327570422537</v>
      </c>
      <c r="I18">
        <v>10.101327570422537</v>
      </c>
      <c r="J18">
        <v>10.101327570422537</v>
      </c>
      <c r="K18">
        <v>10.101327570422537</v>
      </c>
      <c r="L18">
        <v>10.101327570422537</v>
      </c>
      <c r="M18">
        <v>10.101327570422537</v>
      </c>
      <c r="N18">
        <v>10.101327570422537</v>
      </c>
      <c r="O18">
        <v>10.101327570422537</v>
      </c>
      <c r="P18">
        <v>10.101327570422537</v>
      </c>
      <c r="Q18">
        <v>10.101327570422537</v>
      </c>
      <c r="R18">
        <v>10.101327570422537</v>
      </c>
      <c r="S18">
        <v>10.101327570422537</v>
      </c>
      <c r="T18">
        <v>10.101327570422537</v>
      </c>
      <c r="U18">
        <v>10.101327570422537</v>
      </c>
      <c r="V18">
        <v>10.101327570422537</v>
      </c>
      <c r="W18">
        <v>10.101327570422537</v>
      </c>
      <c r="X18">
        <v>10.101327570422537</v>
      </c>
      <c r="Y18">
        <v>10.101327570422537</v>
      </c>
      <c r="Z18">
        <v>10.101327570422537</v>
      </c>
      <c r="AA18">
        <v>10.101327570422537</v>
      </c>
      <c r="AB18">
        <v>10.101327570422537</v>
      </c>
      <c r="AC18">
        <v>10.101327570422537</v>
      </c>
      <c r="AD18">
        <v>10.101327570422537</v>
      </c>
      <c r="AE18">
        <v>10.101327570422537</v>
      </c>
      <c r="AF18">
        <v>10.101327570422537</v>
      </c>
      <c r="AG18">
        <v>10.101327570422537</v>
      </c>
    </row>
    <row r="19" spans="1:33">
      <c r="A19" t="s">
        <v>77</v>
      </c>
      <c r="B19">
        <v>12.751927150607077</v>
      </c>
      <c r="C19">
        <v>12.751927150607077</v>
      </c>
      <c r="D19">
        <v>12.751927150607077</v>
      </c>
      <c r="E19">
        <v>12.960287300746613</v>
      </c>
      <c r="F19">
        <v>12.834763937058995</v>
      </c>
      <c r="G19">
        <v>12.717085783601853</v>
      </c>
      <c r="H19">
        <v>12.599407630144709</v>
      </c>
      <c r="I19">
        <v>12.473884266457093</v>
      </c>
      <c r="J19">
        <v>12.356206112999949</v>
      </c>
      <c r="K19">
        <v>12.230682749312331</v>
      </c>
      <c r="L19">
        <v>12.113004595855188</v>
      </c>
      <c r="M19">
        <v>11.995326442398046</v>
      </c>
      <c r="N19">
        <v>11.869803078710428</v>
      </c>
      <c r="O19">
        <v>11.752124925253286</v>
      </c>
      <c r="P19">
        <v>11.508923408108524</v>
      </c>
      <c r="Q19">
        <v>11.391245254651382</v>
      </c>
      <c r="R19">
        <v>11.391245254651382</v>
      </c>
      <c r="S19">
        <v>11.352019203499001</v>
      </c>
      <c r="T19">
        <v>11.304947942116144</v>
      </c>
      <c r="U19">
        <v>11.265721890963762</v>
      </c>
      <c r="V19">
        <v>11.226495839811383</v>
      </c>
      <c r="W19">
        <v>11.179424578428526</v>
      </c>
      <c r="X19">
        <v>11.140198527276144</v>
      </c>
      <c r="Y19">
        <v>11.093127265893289</v>
      </c>
      <c r="Z19">
        <v>11.053901214740907</v>
      </c>
      <c r="AA19">
        <v>11.014675163588526</v>
      </c>
      <c r="AB19">
        <v>10.967603902205671</v>
      </c>
      <c r="AC19">
        <v>10.928377851053288</v>
      </c>
      <c r="AD19">
        <v>10.889151799900908</v>
      </c>
      <c r="AE19">
        <v>10.842080538518051</v>
      </c>
      <c r="AF19">
        <v>10.80285448736567</v>
      </c>
      <c r="AG19">
        <v>10.76362843621329</v>
      </c>
    </row>
    <row r="20" spans="1:33">
      <c r="A20" t="s">
        <v>78</v>
      </c>
      <c r="B20">
        <v>3.7959225006458275</v>
      </c>
      <c r="C20">
        <v>3.7959225006458275</v>
      </c>
      <c r="D20">
        <v>3.7959225006458275</v>
      </c>
      <c r="E20">
        <v>4.2285683142266492</v>
      </c>
      <c r="F20">
        <v>4.1736518426133165</v>
      </c>
      <c r="G20">
        <v>4.1187353709999828</v>
      </c>
      <c r="H20">
        <v>4.06381889938665</v>
      </c>
      <c r="I20">
        <v>4.0089024277733172</v>
      </c>
      <c r="J20">
        <v>3.9539859561599839</v>
      </c>
      <c r="K20">
        <v>3.8990694845466507</v>
      </c>
      <c r="L20">
        <v>3.8441530129333179</v>
      </c>
      <c r="M20">
        <v>3.7892365413199847</v>
      </c>
      <c r="N20">
        <v>3.7343200697066514</v>
      </c>
      <c r="O20">
        <v>3.6794035980933186</v>
      </c>
      <c r="P20">
        <v>3.6244871264799854</v>
      </c>
      <c r="Q20">
        <v>3.5695706548666521</v>
      </c>
      <c r="R20">
        <v>3.5146541832533194</v>
      </c>
      <c r="S20">
        <v>3.4832733423314148</v>
      </c>
      <c r="T20">
        <v>3.4597377116399861</v>
      </c>
      <c r="U20">
        <v>3.4283568707180812</v>
      </c>
      <c r="V20">
        <v>3.4048212400266524</v>
      </c>
      <c r="W20">
        <v>3.3734403991047479</v>
      </c>
      <c r="X20">
        <v>3.3499047684133192</v>
      </c>
      <c r="Y20">
        <v>3.3185239274914151</v>
      </c>
      <c r="Z20">
        <v>3.2949882967999868</v>
      </c>
      <c r="AA20">
        <v>3.2636074558780819</v>
      </c>
      <c r="AB20">
        <v>3.2400718251866532</v>
      </c>
      <c r="AC20">
        <v>3.2086909842647486</v>
      </c>
      <c r="AD20">
        <v>3.1851553535733199</v>
      </c>
      <c r="AE20">
        <v>3.1537745126514154</v>
      </c>
      <c r="AF20">
        <v>3.1302388819599876</v>
      </c>
      <c r="AG20">
        <v>3.0988580410380826</v>
      </c>
    </row>
    <row r="21" spans="1:33">
      <c r="A21" t="s">
        <v>79</v>
      </c>
      <c r="B21">
        <v>17.478356018637417</v>
      </c>
      <c r="C21">
        <v>17.478356018637417</v>
      </c>
      <c r="D21">
        <v>17.478356018637417</v>
      </c>
      <c r="E21">
        <v>17.478356018637417</v>
      </c>
      <c r="F21">
        <v>17.478356018637417</v>
      </c>
      <c r="G21">
        <v>17.478356018637417</v>
      </c>
      <c r="H21">
        <v>17.478356018637417</v>
      </c>
      <c r="I21">
        <v>17.478356018637417</v>
      </c>
      <c r="J21">
        <v>17.478356018637417</v>
      </c>
      <c r="K21">
        <v>17.478356018637417</v>
      </c>
      <c r="L21">
        <v>17.478356018637417</v>
      </c>
      <c r="M21">
        <v>17.478356018637417</v>
      </c>
      <c r="N21">
        <v>17.478356018637417</v>
      </c>
      <c r="O21">
        <v>17.478356018637417</v>
      </c>
      <c r="P21">
        <v>17.478356018637417</v>
      </c>
      <c r="Q21">
        <v>17.478356018637417</v>
      </c>
      <c r="R21">
        <v>17.478356018637417</v>
      </c>
      <c r="S21">
        <v>17.478356018637417</v>
      </c>
      <c r="T21">
        <v>17.478356018637417</v>
      </c>
      <c r="U21">
        <v>17.478356018637417</v>
      </c>
      <c r="V21">
        <v>17.478356018637417</v>
      </c>
      <c r="W21">
        <v>17.478356018637417</v>
      </c>
      <c r="X21">
        <v>17.478356018637417</v>
      </c>
      <c r="Y21">
        <v>17.478356018637417</v>
      </c>
      <c r="Z21">
        <v>17.478356018637417</v>
      </c>
      <c r="AA21">
        <v>17.478356018637417</v>
      </c>
      <c r="AB21">
        <v>17.478356018637417</v>
      </c>
      <c r="AC21">
        <v>17.478356018637417</v>
      </c>
      <c r="AD21">
        <v>17.478356018637417</v>
      </c>
      <c r="AE21">
        <v>17.478356018637417</v>
      </c>
      <c r="AF21">
        <v>17.478356018637417</v>
      </c>
      <c r="AG21">
        <v>17.478356018637417</v>
      </c>
    </row>
    <row r="22" spans="1:33">
      <c r="A22" t="s">
        <v>80</v>
      </c>
      <c r="B22">
        <v>21.60326481985199</v>
      </c>
      <c r="C22">
        <v>21.60326481985199</v>
      </c>
      <c r="D22">
        <v>21.60326481985199</v>
      </c>
      <c r="E22">
        <v>21.956251427147201</v>
      </c>
      <c r="F22">
        <v>21.743600081605827</v>
      </c>
      <c r="G22">
        <v>21.544239445160784</v>
      </c>
      <c r="H22">
        <v>21.344878808715741</v>
      </c>
      <c r="I22">
        <v>21.13222746317437</v>
      </c>
      <c r="J22">
        <v>20.932866826729324</v>
      </c>
      <c r="K22">
        <v>20.72021548118795</v>
      </c>
      <c r="L22">
        <v>20.520854844742907</v>
      </c>
      <c r="M22">
        <v>20.321494208297864</v>
      </c>
      <c r="N22">
        <v>20.108842862756489</v>
      </c>
      <c r="O22">
        <v>19.90948222631145</v>
      </c>
      <c r="P22">
        <v>19.497470244325029</v>
      </c>
      <c r="Q22">
        <v>19.29810960787999</v>
      </c>
      <c r="R22">
        <v>19.29810960787999</v>
      </c>
      <c r="S22">
        <v>19.231656062398308</v>
      </c>
      <c r="T22">
        <v>19.151911807820291</v>
      </c>
      <c r="U22">
        <v>19.085458262338609</v>
      </c>
      <c r="V22">
        <v>19.01900471685693</v>
      </c>
      <c r="W22">
        <v>18.939260462278913</v>
      </c>
      <c r="X22">
        <v>18.872806916797231</v>
      </c>
      <c r="Y22">
        <v>18.793062662219217</v>
      </c>
      <c r="Z22">
        <v>18.726609116737539</v>
      </c>
      <c r="AA22">
        <v>18.660155571255856</v>
      </c>
      <c r="AB22">
        <v>18.580411316677843</v>
      </c>
      <c r="AC22">
        <v>18.513957771196157</v>
      </c>
      <c r="AD22">
        <v>18.447504225714479</v>
      </c>
      <c r="AE22">
        <v>18.367759971136461</v>
      </c>
      <c r="AF22">
        <v>18.301306425654783</v>
      </c>
      <c r="AG22">
        <v>18.234852880173104</v>
      </c>
    </row>
    <row r="23" spans="1:33">
      <c r="A23" t="s">
        <v>81</v>
      </c>
      <c r="B23">
        <v>2.6520619256744284</v>
      </c>
      <c r="C23">
        <v>2.6520619256744284</v>
      </c>
      <c r="D23">
        <v>2.6520619256744284</v>
      </c>
      <c r="E23">
        <v>2.6520619256744284</v>
      </c>
      <c r="F23">
        <v>2.6520619256744284</v>
      </c>
      <c r="G23">
        <v>2.6520619256744284</v>
      </c>
      <c r="H23">
        <v>2.6520619256744284</v>
      </c>
      <c r="I23">
        <v>2.6520619256744284</v>
      </c>
      <c r="J23">
        <v>2.6520619256744284</v>
      </c>
      <c r="K23">
        <v>2.6520619256744284</v>
      </c>
      <c r="L23">
        <v>2.6520619256744284</v>
      </c>
      <c r="M23">
        <v>2.0397546599238012</v>
      </c>
      <c r="N23">
        <v>2.0397546599238012</v>
      </c>
      <c r="O23">
        <v>2.0397546599238012</v>
      </c>
      <c r="P23">
        <v>2.0397546599238012</v>
      </c>
      <c r="Q23">
        <v>2.0397546599238012</v>
      </c>
      <c r="R23">
        <v>2.0397546599238012</v>
      </c>
      <c r="S23">
        <v>2.0397546599238012</v>
      </c>
      <c r="T23">
        <v>2.0397546599238012</v>
      </c>
      <c r="U23">
        <v>2.0397546599238012</v>
      </c>
      <c r="V23">
        <v>2.0397546599238012</v>
      </c>
      <c r="W23">
        <v>2.0397546599238012</v>
      </c>
      <c r="X23">
        <v>2.0397546599238012</v>
      </c>
      <c r="Y23">
        <v>2.0397546599238012</v>
      </c>
      <c r="Z23">
        <v>2.0397546599238012</v>
      </c>
      <c r="AA23">
        <v>2.0397546599238012</v>
      </c>
      <c r="AB23">
        <v>2.0397546599238012</v>
      </c>
      <c r="AC23">
        <v>2.0397546599238012</v>
      </c>
      <c r="AD23">
        <v>2.0397546599238012</v>
      </c>
      <c r="AE23">
        <v>2.0397546599238012</v>
      </c>
      <c r="AF23">
        <v>2.0397546599238012</v>
      </c>
      <c r="AG23">
        <v>2.0397546599238012</v>
      </c>
    </row>
    <row r="24" spans="1:33">
      <c r="A24" t="s">
        <v>82</v>
      </c>
      <c r="B24">
        <v>5.9582422979712089</v>
      </c>
      <c r="C24">
        <v>4.1459540235217816</v>
      </c>
      <c r="D24">
        <v>5.4566385946783766</v>
      </c>
      <c r="E24">
        <v>4.1459540235217816</v>
      </c>
      <c r="F24">
        <v>4.1459540235217816</v>
      </c>
      <c r="G24">
        <v>4.1459540235217816</v>
      </c>
      <c r="H24">
        <v>4.1459540235217816</v>
      </c>
      <c r="I24">
        <v>4.1459540235217816</v>
      </c>
      <c r="J24">
        <v>4.1459540235217816</v>
      </c>
      <c r="K24">
        <v>4.1459540235217816</v>
      </c>
      <c r="L24">
        <v>4.1459540235217816</v>
      </c>
      <c r="M24">
        <v>4.1459540235217816</v>
      </c>
      <c r="N24">
        <v>4.1459540235217816</v>
      </c>
      <c r="O24">
        <v>4.1459540235217816</v>
      </c>
      <c r="P24">
        <v>4.1459540235217816</v>
      </c>
      <c r="Q24">
        <v>4.1459540235217816</v>
      </c>
      <c r="R24">
        <v>4.1459540235217816</v>
      </c>
      <c r="S24">
        <v>4.1459540235217816</v>
      </c>
      <c r="T24">
        <v>4.1459540235217816</v>
      </c>
      <c r="U24">
        <v>4.1459540235217816</v>
      </c>
      <c r="V24">
        <v>4.1459540235217816</v>
      </c>
      <c r="W24">
        <v>4.1459540235217816</v>
      </c>
      <c r="X24">
        <v>4.1459540235217816</v>
      </c>
      <c r="Y24">
        <v>4.1459540235217816</v>
      </c>
      <c r="Z24">
        <v>4.1459540235217816</v>
      </c>
      <c r="AA24">
        <v>4.1459540235217816</v>
      </c>
      <c r="AB24">
        <v>4.1459540235217816</v>
      </c>
      <c r="AC24">
        <v>4.1459540235217816</v>
      </c>
      <c r="AD24">
        <v>4.1459540235217816</v>
      </c>
      <c r="AE24">
        <v>4.1459540235217816</v>
      </c>
      <c r="AF24">
        <v>4.1459540235217816</v>
      </c>
      <c r="AG24">
        <v>4.1459540235217816</v>
      </c>
    </row>
    <row r="25" spans="1:33">
      <c r="A25" t="s">
        <v>83</v>
      </c>
      <c r="B25">
        <v>2.1561187200126</v>
      </c>
      <c r="C25">
        <v>1.7590300679235182</v>
      </c>
      <c r="D25">
        <v>1.6607160940325494</v>
      </c>
      <c r="E25">
        <v>1.7590300679235182</v>
      </c>
      <c r="F25">
        <v>1.7590300679235182</v>
      </c>
      <c r="G25">
        <v>1.7590300679235182</v>
      </c>
      <c r="H25">
        <v>1.7590300679235182</v>
      </c>
      <c r="I25">
        <v>1.7590300679235182</v>
      </c>
      <c r="J25">
        <v>1.7590300679235182</v>
      </c>
      <c r="K25">
        <v>1.7590300679235182</v>
      </c>
      <c r="L25">
        <v>1.7590300679235182</v>
      </c>
      <c r="M25">
        <v>1.7590300679235182</v>
      </c>
      <c r="N25">
        <v>1.7590300679235182</v>
      </c>
      <c r="O25">
        <v>1.7590300679235182</v>
      </c>
      <c r="P25">
        <v>1.7590300679235182</v>
      </c>
      <c r="Q25">
        <v>1.7590300679235182</v>
      </c>
      <c r="R25">
        <v>1.7590300679235182</v>
      </c>
      <c r="S25">
        <v>1.7590300679235182</v>
      </c>
      <c r="T25">
        <v>1.7590300679235182</v>
      </c>
      <c r="U25">
        <v>1.7590300679235182</v>
      </c>
      <c r="V25">
        <v>1.7590300679235182</v>
      </c>
      <c r="W25">
        <v>1.7590300679235182</v>
      </c>
      <c r="X25">
        <v>1.7590300679235182</v>
      </c>
      <c r="Y25">
        <v>1.7590300679235182</v>
      </c>
      <c r="Z25">
        <v>1.7590300679235182</v>
      </c>
      <c r="AA25">
        <v>1.7590300679235182</v>
      </c>
      <c r="AB25">
        <v>1.7590300679235182</v>
      </c>
      <c r="AC25">
        <v>1.7590300679235182</v>
      </c>
      <c r="AD25">
        <v>1.7590300679235182</v>
      </c>
      <c r="AE25">
        <v>1.7590300679235182</v>
      </c>
      <c r="AF25">
        <v>1.7590300679235182</v>
      </c>
      <c r="AG25">
        <v>1.7590300679235182</v>
      </c>
    </row>
  </sheetData>
  <phoneticPr fontId="3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CE97-9BED-4B96-B2F3-B1D21B5E75E3}">
  <sheetPr>
    <tabColor theme="6"/>
  </sheetPr>
  <dimension ref="A1:AE25"/>
  <sheetViews>
    <sheetView workbookViewId="0">
      <selection activeCell="B7" sqref="B7"/>
    </sheetView>
  </sheetViews>
  <sheetFormatPr defaultColWidth="9.08984375" defaultRowHeight="14.5"/>
  <cols>
    <col min="1" max="1" width="35.81640625" customWidth="1"/>
    <col min="2" max="17" width="9.08984375" customWidth="1"/>
  </cols>
  <sheetData>
    <row r="1" spans="1:31">
      <c r="A1" s="12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20" t="s">
        <v>36</v>
      </c>
      <c r="B2" s="26">
        <v>0</v>
      </c>
      <c r="C2" s="26">
        <v>0</v>
      </c>
      <c r="D2" s="26">
        <v>0</v>
      </c>
      <c r="E2" s="26">
        <v>0</v>
      </c>
      <c r="F2" s="26">
        <v>0</v>
      </c>
      <c r="G2" s="26">
        <v>0</v>
      </c>
      <c r="H2" s="26">
        <v>0</v>
      </c>
      <c r="I2" s="26">
        <v>0</v>
      </c>
      <c r="J2" s="26">
        <v>0</v>
      </c>
      <c r="K2" s="26">
        <v>0</v>
      </c>
      <c r="L2" s="26">
        <v>0</v>
      </c>
      <c r="M2" s="26">
        <v>0</v>
      </c>
      <c r="N2" s="26">
        <v>0</v>
      </c>
      <c r="O2" s="26">
        <v>0</v>
      </c>
      <c r="P2" s="26">
        <v>0</v>
      </c>
      <c r="Q2" s="26">
        <v>0</v>
      </c>
      <c r="R2" s="26">
        <v>0</v>
      </c>
      <c r="S2" s="26">
        <v>0</v>
      </c>
      <c r="T2" s="26">
        <v>0</v>
      </c>
      <c r="U2" s="26">
        <v>0</v>
      </c>
      <c r="V2" s="26">
        <v>0</v>
      </c>
      <c r="W2" s="26">
        <v>0</v>
      </c>
      <c r="X2" s="26">
        <v>0</v>
      </c>
      <c r="Y2" s="26">
        <v>0</v>
      </c>
      <c r="Z2" s="26">
        <v>0</v>
      </c>
      <c r="AA2" s="26">
        <v>0</v>
      </c>
      <c r="AB2" s="26">
        <v>0</v>
      </c>
      <c r="AC2" s="26">
        <v>0</v>
      </c>
      <c r="AD2" s="26">
        <v>0</v>
      </c>
      <c r="AE2" s="26">
        <v>0</v>
      </c>
    </row>
    <row r="3" spans="1:31">
      <c r="A3" s="20" t="s">
        <v>86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</row>
    <row r="4" spans="1:31">
      <c r="A4" s="20" t="s">
        <v>87</v>
      </c>
      <c r="B4" s="26">
        <v>0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6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</row>
    <row r="5" spans="1:31">
      <c r="A5" s="20" t="s">
        <v>24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26">
        <v>0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  <c r="M5" s="26">
        <v>0</v>
      </c>
      <c r="N5" s="26">
        <v>0</v>
      </c>
      <c r="O5" s="26">
        <v>0</v>
      </c>
      <c r="P5" s="26">
        <v>0</v>
      </c>
      <c r="Q5" s="26">
        <v>0</v>
      </c>
      <c r="R5" s="26">
        <v>0</v>
      </c>
      <c r="S5" s="26">
        <v>0</v>
      </c>
      <c r="T5" s="26">
        <v>0</v>
      </c>
      <c r="U5" s="26">
        <v>0</v>
      </c>
      <c r="V5" s="26">
        <v>0</v>
      </c>
      <c r="W5" s="26">
        <v>0</v>
      </c>
      <c r="X5" s="26">
        <v>0</v>
      </c>
      <c r="Y5" s="26">
        <v>0</v>
      </c>
      <c r="Z5" s="26">
        <v>0</v>
      </c>
      <c r="AA5" s="26">
        <v>0</v>
      </c>
      <c r="AB5" s="26">
        <v>0</v>
      </c>
      <c r="AC5" s="26">
        <v>0</v>
      </c>
      <c r="AD5" s="26">
        <v>0</v>
      </c>
      <c r="AE5" s="26">
        <v>0</v>
      </c>
    </row>
    <row r="6" spans="1:31">
      <c r="A6" s="20" t="s">
        <v>25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v>0</v>
      </c>
    </row>
    <row r="7" spans="1:31">
      <c r="A7" s="20" t="s">
        <v>0</v>
      </c>
      <c r="B7" s="26">
        <v>153983.40382084931</v>
      </c>
      <c r="C7" s="26">
        <v>115487.55286562469</v>
      </c>
      <c r="D7" s="26">
        <v>76991.70191041645</v>
      </c>
      <c r="E7" s="26">
        <v>38495.850955208225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</row>
    <row r="8" spans="1:31">
      <c r="A8" s="20" t="s">
        <v>23</v>
      </c>
      <c r="B8" s="26">
        <v>557789.79563054629</v>
      </c>
      <c r="C8" s="26">
        <v>557789.79563054629</v>
      </c>
      <c r="D8" s="26">
        <v>557789.79563054629</v>
      </c>
      <c r="E8" s="26">
        <v>557789.79563054629</v>
      </c>
      <c r="F8" s="26">
        <v>557789.79563054629</v>
      </c>
      <c r="G8" s="26">
        <v>533728.27503471822</v>
      </c>
      <c r="H8" s="26">
        <v>509666.75443889247</v>
      </c>
      <c r="I8" s="26">
        <v>485605.23384305887</v>
      </c>
      <c r="J8" s="26">
        <v>461543.71324723307</v>
      </c>
      <c r="K8" s="26">
        <v>437482.19265140727</v>
      </c>
      <c r="L8" s="26">
        <v>404671.02820255037</v>
      </c>
      <c r="M8" s="26">
        <v>371859.86375369347</v>
      </c>
      <c r="N8" s="26">
        <v>339048.69930484431</v>
      </c>
      <c r="O8" s="26">
        <v>306237.53485598741</v>
      </c>
      <c r="P8" s="26">
        <v>273426.37040713051</v>
      </c>
      <c r="Q8" s="26">
        <v>268322.41149286367</v>
      </c>
      <c r="R8" s="26">
        <v>263218.45257859875</v>
      </c>
      <c r="S8" s="26">
        <v>258114.49366433191</v>
      </c>
      <c r="T8" s="26">
        <v>253010.53475006507</v>
      </c>
      <c r="U8" s="26">
        <v>247906.57583579823</v>
      </c>
      <c r="V8" s="26">
        <v>242802.61692153334</v>
      </c>
      <c r="W8" s="26">
        <v>237698.65800726647</v>
      </c>
      <c r="X8" s="26">
        <v>232594.69909299962</v>
      </c>
      <c r="Y8" s="26">
        <v>227490.74017873278</v>
      </c>
      <c r="Z8" s="26">
        <v>222386.78126446594</v>
      </c>
      <c r="AA8" s="26">
        <v>217282.82235020105</v>
      </c>
      <c r="AB8" s="26">
        <v>212178.86343593418</v>
      </c>
      <c r="AC8" s="26">
        <v>207074.90452166734</v>
      </c>
      <c r="AD8" s="26">
        <v>201970.9456074005</v>
      </c>
      <c r="AE8" s="26">
        <v>196866.98669313366</v>
      </c>
    </row>
    <row r="9" spans="1:31">
      <c r="A9" s="20" t="s">
        <v>26</v>
      </c>
      <c r="B9" s="26">
        <v>0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</row>
    <row r="10" spans="1:31">
      <c r="A10" s="20" t="s">
        <v>27</v>
      </c>
      <c r="B10" s="26">
        <v>0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</row>
    <row r="11" spans="1:31">
      <c r="A11" s="20" t="s">
        <v>28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</row>
    <row r="12" spans="1:31">
      <c r="A12" s="20" t="s">
        <v>29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</row>
    <row r="13" spans="1:31">
      <c r="A13" s="20" t="s">
        <v>30</v>
      </c>
      <c r="B13" s="26">
        <v>0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</row>
    <row r="14" spans="1:31">
      <c r="A14" s="20" t="s">
        <v>31</v>
      </c>
      <c r="B14" s="26">
        <v>0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</row>
    <row r="15" spans="1:31">
      <c r="A15" s="20" t="s">
        <v>15</v>
      </c>
      <c r="B15" s="26">
        <v>859371.15433418856</v>
      </c>
      <c r="C15" s="26">
        <v>942536.10475363059</v>
      </c>
      <c r="D15" s="26">
        <v>1025701.0551730726</v>
      </c>
      <c r="E15" s="26">
        <v>1108866.0055925148</v>
      </c>
      <c r="F15" s="26">
        <v>1192030.9560119568</v>
      </c>
      <c r="G15" s="26">
        <v>1275195.9064313988</v>
      </c>
      <c r="H15" s="26">
        <v>1358360.8568508131</v>
      </c>
      <c r="I15" s="26">
        <v>1164309.3058721335</v>
      </c>
      <c r="J15" s="26">
        <v>970257.75489345379</v>
      </c>
      <c r="K15" s="26">
        <v>776206.20391477412</v>
      </c>
      <c r="L15" s="26">
        <v>582154.65293603914</v>
      </c>
      <c r="M15" s="26">
        <v>388103.10195735947</v>
      </c>
      <c r="N15" s="26">
        <v>388103.10195738153</v>
      </c>
      <c r="O15" s="26">
        <v>388103.10195738153</v>
      </c>
      <c r="P15" s="26">
        <v>388103.10195738153</v>
      </c>
      <c r="Q15" s="26">
        <v>388103.10195738153</v>
      </c>
      <c r="R15" s="26">
        <v>388103.10195738153</v>
      </c>
      <c r="S15" s="26">
        <v>388103.10195738153</v>
      </c>
      <c r="T15" s="26">
        <v>388103.10195738153</v>
      </c>
      <c r="U15" s="26">
        <v>388103.10195738153</v>
      </c>
      <c r="V15" s="26">
        <v>388103.10195738153</v>
      </c>
      <c r="W15" s="26">
        <v>388103.10195738153</v>
      </c>
      <c r="X15" s="26">
        <v>388103.10195738153</v>
      </c>
      <c r="Y15" s="26">
        <v>388103.10195738153</v>
      </c>
      <c r="Z15" s="26">
        <v>388103.10195738153</v>
      </c>
      <c r="AA15" s="26">
        <v>388103.10195738153</v>
      </c>
      <c r="AB15" s="26">
        <v>388103.10195738153</v>
      </c>
      <c r="AC15" s="26">
        <v>388103.10195738153</v>
      </c>
      <c r="AD15" s="26">
        <v>388103.10195738153</v>
      </c>
      <c r="AE15" s="26">
        <v>388103.10195738153</v>
      </c>
    </row>
    <row r="16" spans="1:31">
      <c r="A16" s="20" t="s">
        <v>32</v>
      </c>
      <c r="B16" s="26">
        <v>0</v>
      </c>
      <c r="C16" s="26">
        <v>0</v>
      </c>
      <c r="D16" s="26">
        <v>0</v>
      </c>
      <c r="E16" s="26">
        <v>0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</row>
    <row r="17" spans="1:31">
      <c r="A17" s="20" t="s">
        <v>33</v>
      </c>
      <c r="B17" s="26">
        <v>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</row>
    <row r="18" spans="1:31">
      <c r="A18" s="20" t="s">
        <v>34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</row>
    <row r="19" spans="1:31">
      <c r="A19" s="20" t="s">
        <v>77</v>
      </c>
      <c r="B19" s="20">
        <v>3007428.4581774496</v>
      </c>
      <c r="C19" s="20">
        <v>3199718.3146478436</v>
      </c>
      <c r="D19" s="20">
        <v>3182756.2794768945</v>
      </c>
      <c r="E19" s="20">
        <v>3165794.2443059455</v>
      </c>
      <c r="F19" s="20">
        <v>3148832.2091349964</v>
      </c>
      <c r="G19" s="20">
        <v>3131870.1739640469</v>
      </c>
      <c r="H19" s="20">
        <v>3114908.1387930983</v>
      </c>
      <c r="I19" s="20">
        <v>3097946.1036221487</v>
      </c>
      <c r="J19" s="20">
        <v>3080984.0684511997</v>
      </c>
      <c r="K19" s="20">
        <v>3064022.0332802506</v>
      </c>
      <c r="L19" s="20">
        <v>3047059.9981093016</v>
      </c>
      <c r="M19" s="20">
        <v>3030097.9629383525</v>
      </c>
      <c r="N19" s="20">
        <v>2996173.8925964544</v>
      </c>
      <c r="O19" s="20">
        <v>2979211.8574255048</v>
      </c>
      <c r="P19" s="20">
        <v>2979211.8574255048</v>
      </c>
      <c r="Q19" s="20">
        <v>2951587.9715756737</v>
      </c>
      <c r="R19" s="20">
        <v>2923867.1598105798</v>
      </c>
      <c r="S19" s="20">
        <v>2896243.2739607482</v>
      </c>
      <c r="T19" s="20">
        <v>2868522.4621956544</v>
      </c>
      <c r="U19" s="20">
        <v>2840801.6504305606</v>
      </c>
      <c r="V19" s="20">
        <v>2813177.764580729</v>
      </c>
      <c r="W19" s="20">
        <v>2785456.9528156351</v>
      </c>
      <c r="X19" s="20">
        <v>2757833.0669658035</v>
      </c>
      <c r="Y19" s="20">
        <v>2730112.2552007092</v>
      </c>
      <c r="Z19" s="20">
        <v>2702391.4434356154</v>
      </c>
      <c r="AA19" s="20">
        <v>2674767.5575857838</v>
      </c>
      <c r="AB19" s="20">
        <v>2647046.7458206899</v>
      </c>
      <c r="AC19" s="20">
        <v>2619422.8599708583</v>
      </c>
      <c r="AD19" s="20">
        <v>2591702.0482057645</v>
      </c>
      <c r="AE19" s="20">
        <v>2564078.1623559333</v>
      </c>
    </row>
    <row r="20" spans="1:31">
      <c r="A20" s="20" t="s">
        <v>78</v>
      </c>
      <c r="B20" s="20">
        <v>1087150.6301901576</v>
      </c>
      <c r="C20" s="20">
        <v>1205045.2811634131</v>
      </c>
      <c r="D20" s="20">
        <v>1194379.6163127213</v>
      </c>
      <c r="E20" s="20">
        <v>1183801.3749444121</v>
      </c>
      <c r="F20" s="20">
        <v>1173135.7100937204</v>
      </c>
      <c r="G20" s="20">
        <v>1162557.4687254112</v>
      </c>
      <c r="H20" s="20">
        <v>1151891.8038747192</v>
      </c>
      <c r="I20" s="20">
        <v>1141313.5625064103</v>
      </c>
      <c r="J20" s="20">
        <v>1130647.8976557183</v>
      </c>
      <c r="K20" s="20">
        <v>1120069.6562874094</v>
      </c>
      <c r="L20" s="20">
        <v>1109403.9914367173</v>
      </c>
      <c r="M20" s="20">
        <v>1098825.7500684082</v>
      </c>
      <c r="N20" s="20">
        <v>1088160.0852177164</v>
      </c>
      <c r="O20" s="20">
        <v>1077581.8438494073</v>
      </c>
      <c r="P20" s="20">
        <v>1066916.1789987157</v>
      </c>
      <c r="Q20" s="20">
        <v>1058873.2186195052</v>
      </c>
      <c r="R20" s="20">
        <v>1050830.2582402949</v>
      </c>
      <c r="S20" s="20">
        <v>1042787.2978610847</v>
      </c>
      <c r="T20" s="20">
        <v>1034744.3374818745</v>
      </c>
      <c r="U20" s="20">
        <v>1026701.3771026643</v>
      </c>
      <c r="V20" s="20">
        <v>1018658.4167234539</v>
      </c>
      <c r="W20" s="20">
        <v>1010528.0328618611</v>
      </c>
      <c r="X20" s="20">
        <v>1002485.0724826509</v>
      </c>
      <c r="Y20" s="20">
        <v>994442.11210344045</v>
      </c>
      <c r="Z20" s="20">
        <v>986399.15172423038</v>
      </c>
      <c r="AA20" s="20">
        <v>978356.19134501996</v>
      </c>
      <c r="AB20" s="20">
        <v>970313.23096580978</v>
      </c>
      <c r="AC20" s="20">
        <v>962270.27058659948</v>
      </c>
      <c r="AD20" s="20">
        <v>954139.88672500674</v>
      </c>
      <c r="AE20" s="20">
        <v>946096.92634579632</v>
      </c>
    </row>
    <row r="21" spans="1:31">
      <c r="A21" s="20" t="s">
        <v>79</v>
      </c>
      <c r="B21" s="20">
        <v>4567459.2942504622</v>
      </c>
      <c r="C21" s="20">
        <v>4336979.5692528971</v>
      </c>
      <c r="D21" s="20">
        <v>4190383.2702012225</v>
      </c>
      <c r="E21" s="20">
        <v>4043786.9711495484</v>
      </c>
      <c r="F21" s="20">
        <v>3927136.4307664423</v>
      </c>
      <c r="G21" s="20">
        <v>3855726.1693224795</v>
      </c>
      <c r="H21" s="20">
        <v>3817909.1611647881</v>
      </c>
      <c r="I21" s="20">
        <v>3793348.8003622182</v>
      </c>
      <c r="J21" s="20">
        <v>3770596.558659941</v>
      </c>
      <c r="K21" s="20">
        <v>3748514.2334313449</v>
      </c>
      <c r="L21" s="20">
        <v>3720135.4127496206</v>
      </c>
      <c r="M21" s="20">
        <v>3693885.6191888475</v>
      </c>
      <c r="N21" s="20">
        <v>3671883.2138122544</v>
      </c>
      <c r="O21" s="20">
        <v>3648867.5335572362</v>
      </c>
      <c r="P21" s="20">
        <v>3626511.6825559833</v>
      </c>
      <c r="Q21" s="20">
        <v>3600902.8465204719</v>
      </c>
      <c r="R21" s="20">
        <v>3575516.3892119913</v>
      </c>
      <c r="S21" s="20">
        <v>3552281.6748363301</v>
      </c>
      <c r="T21" s="20">
        <v>3525100.9653831981</v>
      </c>
      <c r="U21" s="20">
        <v>3501511.9507537293</v>
      </c>
      <c r="V21" s="20">
        <v>3480393.5726294722</v>
      </c>
      <c r="W21" s="20">
        <v>3455446.914100029</v>
      </c>
      <c r="X21" s="20">
        <v>3433404.0126122069</v>
      </c>
      <c r="Y21" s="20">
        <v>3409558.6588279563</v>
      </c>
      <c r="Z21" s="20">
        <v>3384164.1872779299</v>
      </c>
      <c r="AA21" s="20">
        <v>3359285.2811744446</v>
      </c>
      <c r="AB21" s="20">
        <v>3335704.6268611914</v>
      </c>
      <c r="AC21" s="20">
        <v>3310640.5056336247</v>
      </c>
      <c r="AD21" s="20">
        <v>3284159.3194571412</v>
      </c>
      <c r="AE21" s="20">
        <v>3244353.7192191589</v>
      </c>
    </row>
    <row r="22" spans="1:31">
      <c r="A22" s="20" t="s">
        <v>80</v>
      </c>
      <c r="B22" s="20">
        <v>3485435.9953173972</v>
      </c>
      <c r="C22" s="20">
        <v>3708288.8400638644</v>
      </c>
      <c r="D22" s="20">
        <v>3688630.8203434241</v>
      </c>
      <c r="E22" s="20">
        <v>3668972.8006229838</v>
      </c>
      <c r="F22" s="20">
        <v>3649314.7809025436</v>
      </c>
      <c r="G22" s="20">
        <v>3629656.7611821028</v>
      </c>
      <c r="H22" s="20">
        <v>3609998.741461663</v>
      </c>
      <c r="I22" s="20">
        <v>3590340.7217412223</v>
      </c>
      <c r="J22" s="20">
        <v>3570682.702020782</v>
      </c>
      <c r="K22" s="20">
        <v>3551024.6823003418</v>
      </c>
      <c r="L22" s="20">
        <v>3531366.6625799015</v>
      </c>
      <c r="M22" s="20">
        <v>3511708.6428594613</v>
      </c>
      <c r="N22" s="20">
        <v>3472392.6034185807</v>
      </c>
      <c r="O22" s="20">
        <v>3452734.58369814</v>
      </c>
      <c r="P22" s="20">
        <v>3452734.58369814</v>
      </c>
      <c r="Q22" s="20">
        <v>3420720.0944391377</v>
      </c>
      <c r="R22" s="20">
        <v>3388593.2736388752</v>
      </c>
      <c r="S22" s="20">
        <v>3356578.784379872</v>
      </c>
      <c r="T22" s="20">
        <v>3324451.96357961</v>
      </c>
      <c r="U22" s="20">
        <v>3292325.1427793475</v>
      </c>
      <c r="V22" s="20">
        <v>3260310.6535203448</v>
      </c>
      <c r="W22" s="20">
        <v>3228183.8327200823</v>
      </c>
      <c r="X22" s="20">
        <v>3196169.3434610791</v>
      </c>
      <c r="Y22" s="20">
        <v>3164042.5226608166</v>
      </c>
      <c r="Z22" s="20">
        <v>3131915.7018605541</v>
      </c>
      <c r="AA22" s="20">
        <v>3099901.2126015513</v>
      </c>
      <c r="AB22" s="20">
        <v>3067774.3918012888</v>
      </c>
      <c r="AC22" s="20">
        <v>3035759.9025422856</v>
      </c>
      <c r="AD22" s="20">
        <v>3003633.0817420236</v>
      </c>
      <c r="AE22" s="20">
        <v>2971618.5924830209</v>
      </c>
    </row>
    <row r="23" spans="1:31">
      <c r="A23" s="20" t="s">
        <v>88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</row>
    <row r="24" spans="1:31">
      <c r="A24" s="20" t="s">
        <v>89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0</v>
      </c>
    </row>
    <row r="25" spans="1:31">
      <c r="A25" s="20" t="s">
        <v>90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8EE2-F24B-4F44-AAA0-85F2198D6031}">
  <sheetPr>
    <tabColor theme="6"/>
  </sheetPr>
  <dimension ref="A1:AF36"/>
  <sheetViews>
    <sheetView workbookViewId="0">
      <selection activeCell="G2" sqref="G2"/>
    </sheetView>
  </sheetViews>
  <sheetFormatPr defaultColWidth="9.08984375" defaultRowHeight="14.5"/>
  <cols>
    <col min="1" max="1" width="28.08984375" customWidth="1"/>
    <col min="2" max="2" width="9.08984375" customWidth="1"/>
    <col min="3" max="3" width="12.81640625" bestFit="1" customWidth="1"/>
    <col min="4" max="16" width="9.08984375" customWidth="1"/>
  </cols>
  <sheetData>
    <row r="1" spans="1:32">
      <c r="A1" s="30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2">
      <c r="A2" t="s">
        <v>16</v>
      </c>
      <c r="B2" s="4">
        <v>3007428.4581774496</v>
      </c>
      <c r="C2" s="4">
        <v>3199718.3146478436</v>
      </c>
      <c r="D2" s="4">
        <v>3182756.2794768945</v>
      </c>
      <c r="E2" s="4">
        <v>3165794.2443059455</v>
      </c>
      <c r="F2" s="4">
        <v>3148832.2091349964</v>
      </c>
      <c r="G2" s="4">
        <v>3131870.1739640469</v>
      </c>
      <c r="H2" s="4">
        <v>3114908.1387930983</v>
      </c>
      <c r="I2" s="4">
        <v>3097946.1036221487</v>
      </c>
      <c r="J2" s="4">
        <v>3080984.0684511997</v>
      </c>
      <c r="K2" s="4">
        <v>3064022.0332802506</v>
      </c>
      <c r="L2" s="4">
        <v>3047059.9981093016</v>
      </c>
      <c r="M2" s="4">
        <v>3030097.9629383525</v>
      </c>
      <c r="N2" s="4">
        <v>2996173.8925964544</v>
      </c>
      <c r="O2" s="4">
        <v>2979211.8574255048</v>
      </c>
      <c r="P2" s="4">
        <v>2979211.8574255048</v>
      </c>
      <c r="Q2" s="4">
        <v>2951587.9715756737</v>
      </c>
      <c r="R2" s="4">
        <v>2923867.1598105798</v>
      </c>
      <c r="S2" s="4">
        <v>2896243.2739607482</v>
      </c>
      <c r="T2" s="4">
        <v>2868522.4621956544</v>
      </c>
      <c r="U2" s="4">
        <v>2840801.6504305606</v>
      </c>
      <c r="V2" s="4">
        <v>2813177.764580729</v>
      </c>
      <c r="W2" s="4">
        <v>2785456.9528156351</v>
      </c>
      <c r="X2" s="4">
        <v>2757833.0669658035</v>
      </c>
      <c r="Y2" s="4">
        <v>2730112.2552007092</v>
      </c>
      <c r="Z2" s="4">
        <v>2702391.4434356154</v>
      </c>
      <c r="AA2" s="4">
        <v>2674767.5575857838</v>
      </c>
      <c r="AB2" s="4">
        <v>2647046.7458206899</v>
      </c>
      <c r="AC2" s="4">
        <v>2619422.8599708583</v>
      </c>
      <c r="AD2" s="4">
        <v>2591702.0482057645</v>
      </c>
      <c r="AE2" s="4">
        <v>2564078.1623559333</v>
      </c>
      <c r="AF2" s="4"/>
    </row>
    <row r="3" spans="1:32">
      <c r="A3" t="s">
        <v>75</v>
      </c>
      <c r="B3" s="4">
        <v>3007428.4581774496</v>
      </c>
      <c r="C3" s="4">
        <v>3199718.3146478436</v>
      </c>
      <c r="D3" s="4">
        <v>3182756.2794768945</v>
      </c>
      <c r="E3" s="4">
        <v>3165794.2443059455</v>
      </c>
      <c r="F3" s="4">
        <v>3148832.2091349964</v>
      </c>
      <c r="G3" s="4">
        <v>3131870.1739640469</v>
      </c>
      <c r="H3" s="4">
        <v>3114908.1387930983</v>
      </c>
      <c r="I3" s="4">
        <v>3097946.1036221487</v>
      </c>
      <c r="J3" s="4">
        <v>3080984.0684511997</v>
      </c>
      <c r="K3" s="4">
        <v>3064022.0332802506</v>
      </c>
      <c r="L3" s="4">
        <v>3047059.9981093016</v>
      </c>
      <c r="M3" s="4">
        <v>3030097.9629383525</v>
      </c>
      <c r="N3" s="4">
        <v>2996173.8925964544</v>
      </c>
      <c r="O3" s="4">
        <v>2979211.8574255048</v>
      </c>
      <c r="P3" s="4">
        <v>2979211.8574255048</v>
      </c>
      <c r="Q3" s="4">
        <v>2951587.9715756737</v>
      </c>
      <c r="R3" s="4">
        <v>2923867.1598105798</v>
      </c>
      <c r="S3" s="4">
        <v>2896243.2739607482</v>
      </c>
      <c r="T3" s="4">
        <v>2868522.4621956544</v>
      </c>
      <c r="U3" s="4">
        <v>2840801.6504305606</v>
      </c>
      <c r="V3" s="4">
        <v>2813177.764580729</v>
      </c>
      <c r="W3" s="4">
        <v>2785456.9528156351</v>
      </c>
      <c r="X3" s="4">
        <v>2757833.0669658035</v>
      </c>
      <c r="Y3" s="4">
        <v>2730112.2552007092</v>
      </c>
      <c r="Z3" s="4">
        <v>2702391.4434356154</v>
      </c>
      <c r="AA3" s="4">
        <v>2674767.5575857838</v>
      </c>
      <c r="AB3" s="4">
        <v>2647046.7458206899</v>
      </c>
      <c r="AC3" s="4">
        <v>2619422.8599708583</v>
      </c>
      <c r="AD3" s="4">
        <v>2591702.0482057645</v>
      </c>
      <c r="AE3" s="4">
        <v>2564078.1623559333</v>
      </c>
      <c r="AF3" s="4"/>
    </row>
    <row r="4" spans="1:32">
      <c r="A4" t="s">
        <v>76</v>
      </c>
      <c r="B4" s="4">
        <v>1087150.6301901576</v>
      </c>
      <c r="C4" s="4">
        <v>1205045.2811634131</v>
      </c>
      <c r="D4" s="4">
        <v>1194379.6163127213</v>
      </c>
      <c r="E4" s="4">
        <v>1183801.3749444121</v>
      </c>
      <c r="F4" s="4">
        <v>1173135.7100937204</v>
      </c>
      <c r="G4" s="4">
        <v>1162557.4687254112</v>
      </c>
      <c r="H4" s="4">
        <v>1151891.8038747192</v>
      </c>
      <c r="I4" s="4">
        <v>1141313.5625064103</v>
      </c>
      <c r="J4" s="4">
        <v>1130647.8976557183</v>
      </c>
      <c r="K4" s="4">
        <v>1120069.6562874094</v>
      </c>
      <c r="L4" s="4">
        <v>1109403.9914367173</v>
      </c>
      <c r="M4" s="4">
        <v>1098825.7500684082</v>
      </c>
      <c r="N4" s="4">
        <v>1088160.0852177164</v>
      </c>
      <c r="O4" s="4">
        <v>1077581.8438494073</v>
      </c>
      <c r="P4" s="4">
        <v>1066916.1789987157</v>
      </c>
      <c r="Q4" s="4">
        <v>1058873.2186195052</v>
      </c>
      <c r="R4" s="4">
        <v>1050830.2582402949</v>
      </c>
      <c r="S4" s="4">
        <v>1042787.2978610847</v>
      </c>
      <c r="T4" s="4">
        <v>1034744.3374818745</v>
      </c>
      <c r="U4" s="4">
        <v>1026701.3771026643</v>
      </c>
      <c r="V4" s="4">
        <v>1018658.4167234539</v>
      </c>
      <c r="W4" s="4">
        <v>1010528.0328618611</v>
      </c>
      <c r="X4" s="4">
        <v>1002485.0724826509</v>
      </c>
      <c r="Y4" s="4">
        <v>994442.11210344045</v>
      </c>
      <c r="Z4" s="4">
        <v>986399.15172423038</v>
      </c>
      <c r="AA4" s="4">
        <v>978356.19134501996</v>
      </c>
      <c r="AB4" s="4">
        <v>970313.23096580978</v>
      </c>
      <c r="AC4" s="4">
        <v>962270.27058659948</v>
      </c>
      <c r="AD4" s="4">
        <v>954139.88672500674</v>
      </c>
      <c r="AE4" s="4">
        <v>946096.92634579632</v>
      </c>
      <c r="AF4" s="4"/>
    </row>
    <row r="5" spans="1:32">
      <c r="A5" t="s">
        <v>5</v>
      </c>
      <c r="B5" s="4">
        <v>7998667.6914128698</v>
      </c>
      <c r="C5" s="4">
        <v>7732140.6127499426</v>
      </c>
      <c r="D5" s="4">
        <v>7465613.5340870135</v>
      </c>
      <c r="E5" s="4">
        <v>7199086.4554240862</v>
      </c>
      <c r="F5" s="4">
        <v>6868265.0672371695</v>
      </c>
      <c r="G5" s="4">
        <v>6741015.3154564975</v>
      </c>
      <c r="H5" s="4">
        <v>6673383.0516755227</v>
      </c>
      <c r="I5" s="4">
        <v>6629468.9953674376</v>
      </c>
      <c r="J5" s="4">
        <v>6588789.5438430253</v>
      </c>
      <c r="K5" s="4">
        <v>5975193.7310061986</v>
      </c>
      <c r="L5" s="4">
        <v>5924123.6991172563</v>
      </c>
      <c r="M5" s="4">
        <v>5873053.667228315</v>
      </c>
      <c r="N5" s="4">
        <v>5821983.6353393728</v>
      </c>
      <c r="O5" s="4">
        <v>5770913.6034504306</v>
      </c>
      <c r="P5" s="4">
        <v>5719843.5715614883</v>
      </c>
      <c r="Q5" s="4">
        <v>5566633.4758946635</v>
      </c>
      <c r="R5" s="4">
        <v>5413423.3802278377</v>
      </c>
      <c r="S5" s="4">
        <v>5260213.2845610119</v>
      </c>
      <c r="T5" s="4">
        <v>5107003.1888941871</v>
      </c>
      <c r="U5" s="4">
        <v>4953793.0932273604</v>
      </c>
      <c r="V5" s="4">
        <v>4851653.0294494769</v>
      </c>
      <c r="W5" s="4">
        <v>4749512.9656715933</v>
      </c>
      <c r="X5" s="4">
        <v>4647372.9018937098</v>
      </c>
      <c r="Y5" s="4">
        <v>4545232.8381158262</v>
      </c>
      <c r="Z5" s="4">
        <v>4443092.7743379427</v>
      </c>
      <c r="AA5" s="4">
        <v>4340952.7105600592</v>
      </c>
      <c r="AB5" s="4">
        <v>4238812.6467821747</v>
      </c>
      <c r="AC5" s="4">
        <v>4136672.5830042916</v>
      </c>
      <c r="AD5" s="4">
        <v>4034532.5192264072</v>
      </c>
      <c r="AE5" s="4">
        <v>3932392.4554485236</v>
      </c>
    </row>
    <row r="6" spans="1:32">
      <c r="A6" t="s">
        <v>6</v>
      </c>
      <c r="B6" s="4">
        <v>11194179.380731259</v>
      </c>
      <c r="C6" s="4">
        <v>11171207.747910855</v>
      </c>
      <c r="D6" s="4">
        <v>11171207.747910855</v>
      </c>
      <c r="E6" s="4">
        <v>11171207.747910855</v>
      </c>
      <c r="F6" s="4">
        <v>11171207.747910855</v>
      </c>
      <c r="G6" s="4">
        <v>10756160.259631593</v>
      </c>
      <c r="H6" s="4">
        <v>10341947.876962552</v>
      </c>
      <c r="I6" s="4">
        <v>9927735.4942935072</v>
      </c>
      <c r="J6" s="4">
        <v>9512688.0060142446</v>
      </c>
      <c r="K6" s="4">
        <v>14484906.809263198</v>
      </c>
      <c r="L6" s="4">
        <v>13821832.95474864</v>
      </c>
      <c r="M6" s="4">
        <v>13158759.100234084</v>
      </c>
      <c r="N6" s="4">
        <v>12496520.351329748</v>
      </c>
      <c r="O6" s="4">
        <v>11833446.496815192</v>
      </c>
      <c r="P6" s="4">
        <v>11171207.747910855</v>
      </c>
      <c r="Q6" s="4">
        <v>11171207.747910855</v>
      </c>
      <c r="R6" s="4">
        <v>11171207.747910855</v>
      </c>
      <c r="S6" s="4">
        <v>11171207.747910855</v>
      </c>
      <c r="T6" s="4">
        <v>11171207.747910855</v>
      </c>
      <c r="U6" s="4">
        <v>11171207.747910855</v>
      </c>
      <c r="V6" s="4">
        <v>11171207.747910855</v>
      </c>
      <c r="W6" s="4">
        <v>11171207.747910855</v>
      </c>
      <c r="X6" s="4">
        <v>11171207.747910855</v>
      </c>
      <c r="Y6" s="4">
        <v>11171207.747910855</v>
      </c>
      <c r="Z6" s="4">
        <v>11171207.747910855</v>
      </c>
      <c r="AA6" s="4">
        <v>11171207.747910855</v>
      </c>
      <c r="AB6" s="4">
        <v>11171207.747910855</v>
      </c>
      <c r="AC6" s="4">
        <v>11171207.747910855</v>
      </c>
      <c r="AD6" s="4">
        <v>11171207.747910855</v>
      </c>
      <c r="AE6" s="4">
        <v>11171207.747910855</v>
      </c>
    </row>
    <row r="7" spans="1:32">
      <c r="A7" t="s">
        <v>18</v>
      </c>
      <c r="B7" s="4">
        <v>1154875.5286563125</v>
      </c>
      <c r="C7" s="4">
        <v>1223688.4965541745</v>
      </c>
      <c r="D7" s="4">
        <v>1318244.4386692485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</row>
    <row r="8" spans="1:32">
      <c r="A8" t="s">
        <v>7</v>
      </c>
      <c r="B8" s="4">
        <v>1093705.481628522</v>
      </c>
      <c r="C8" s="4">
        <v>1110537.82148701</v>
      </c>
      <c r="D8" s="4">
        <v>1165954.1609686809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</row>
    <row r="9" spans="1:32">
      <c r="A9" t="s">
        <v>8</v>
      </c>
      <c r="B9" s="4">
        <v>6146160.4261342743</v>
      </c>
      <c r="C9" s="4">
        <v>6207145.7134810919</v>
      </c>
      <c r="D9" s="4">
        <v>5939220.5531089073</v>
      </c>
      <c r="E9" s="4">
        <v>5671295.3927367246</v>
      </c>
      <c r="F9" s="4">
        <v>5403370.23236454</v>
      </c>
      <c r="G9" s="4">
        <v>5135445.0719923563</v>
      </c>
      <c r="H9" s="4">
        <v>4867519.9116201727</v>
      </c>
      <c r="I9" s="4">
        <v>4599594.751247989</v>
      </c>
      <c r="J9" s="4">
        <v>4331669.5908758054</v>
      </c>
      <c r="K9" s="4">
        <v>4063744.4305036236</v>
      </c>
      <c r="L9" s="4">
        <v>4035313.0558780544</v>
      </c>
      <c r="M9" s="4">
        <v>4006881.6812524851</v>
      </c>
      <c r="N9" s="4">
        <v>3978450.3066269155</v>
      </c>
      <c r="O9" s="4">
        <v>3950018.9320013458</v>
      </c>
      <c r="P9" s="4">
        <v>3921587.5573757761</v>
      </c>
      <c r="Q9" s="4">
        <v>3893156.1827502074</v>
      </c>
      <c r="R9" s="4">
        <v>3864724.8081246382</v>
      </c>
      <c r="S9" s="4">
        <v>3836293.433499068</v>
      </c>
      <c r="T9" s="4">
        <v>3807862.0588734988</v>
      </c>
      <c r="U9" s="4">
        <v>3779430.6842479291</v>
      </c>
      <c r="V9" s="4">
        <v>3750999.3096223604</v>
      </c>
      <c r="W9" s="4">
        <v>3722567.9349967898</v>
      </c>
      <c r="X9" s="4">
        <v>3694136.560371221</v>
      </c>
      <c r="Y9" s="4">
        <v>3665705.1857456518</v>
      </c>
      <c r="Z9" s="4">
        <v>3637273.8111200822</v>
      </c>
      <c r="AA9" s="4">
        <v>3608842.4364945129</v>
      </c>
      <c r="AB9" s="4">
        <v>3580411.0618689428</v>
      </c>
      <c r="AC9" s="4">
        <v>3551979.6872433741</v>
      </c>
      <c r="AD9" s="4">
        <v>3523548.3126178049</v>
      </c>
      <c r="AE9" s="4">
        <v>3495116.9379922408</v>
      </c>
    </row>
    <row r="10" spans="1:32">
      <c r="A10" t="s">
        <v>9</v>
      </c>
      <c r="B10" s="4">
        <v>4567459.2942504622</v>
      </c>
      <c r="C10" s="4">
        <v>4336979.5692528971</v>
      </c>
      <c r="D10" s="4">
        <v>4190383.2702012225</v>
      </c>
      <c r="E10" s="4">
        <v>4043786.9711495484</v>
      </c>
      <c r="F10" s="4">
        <v>3927136.4307664423</v>
      </c>
      <c r="G10" s="4">
        <v>3855726.1693224795</v>
      </c>
      <c r="H10" s="4">
        <v>3817909.1611647881</v>
      </c>
      <c r="I10" s="4">
        <v>3793348.8003622182</v>
      </c>
      <c r="J10" s="4">
        <v>3770596.558659941</v>
      </c>
      <c r="K10" s="4">
        <v>3748514.2334313449</v>
      </c>
      <c r="L10" s="4">
        <v>3720135.4127496206</v>
      </c>
      <c r="M10" s="4">
        <v>3693885.6191888475</v>
      </c>
      <c r="N10" s="4">
        <v>3671883.2138122544</v>
      </c>
      <c r="O10" s="4">
        <v>3648867.5335572362</v>
      </c>
      <c r="P10" s="4">
        <v>3626511.6825559833</v>
      </c>
      <c r="Q10" s="4">
        <v>3600902.8465204719</v>
      </c>
      <c r="R10" s="4">
        <v>3575516.3892119913</v>
      </c>
      <c r="S10" s="4">
        <v>3552281.6748363301</v>
      </c>
      <c r="T10" s="4">
        <v>3525100.9653831981</v>
      </c>
      <c r="U10" s="4">
        <v>3501511.9507537293</v>
      </c>
      <c r="V10" s="4">
        <v>3480393.5726294722</v>
      </c>
      <c r="W10" s="4">
        <v>3455446.914100029</v>
      </c>
      <c r="X10" s="4">
        <v>3433404.0126122069</v>
      </c>
      <c r="Y10" s="4">
        <v>3409558.6588279563</v>
      </c>
      <c r="Z10" s="4">
        <v>3384164.1872779299</v>
      </c>
      <c r="AA10" s="4">
        <v>3359285.2811744446</v>
      </c>
      <c r="AB10" s="4">
        <v>3335704.6268611914</v>
      </c>
      <c r="AC10" s="4">
        <v>3310640.5056336247</v>
      </c>
      <c r="AD10" s="4">
        <v>3284159.3194571412</v>
      </c>
      <c r="AE10" s="4">
        <v>3244353.7192191589</v>
      </c>
    </row>
    <row r="11" spans="1:32">
      <c r="A11" t="s">
        <v>12</v>
      </c>
      <c r="B11" s="4">
        <v>23925367.141172614</v>
      </c>
      <c r="C11" s="4">
        <v>10524278.406722484</v>
      </c>
      <c r="D11" s="4">
        <v>10094897.08878687</v>
      </c>
      <c r="E11" s="4">
        <v>9725926.151898304</v>
      </c>
      <c r="F11" s="4">
        <v>9403155.399721656</v>
      </c>
      <c r="G11" s="4">
        <v>9116748.7486567199</v>
      </c>
      <c r="H11" s="4">
        <v>8859636.1608781889</v>
      </c>
      <c r="I11" s="4">
        <v>8626577.6186130587</v>
      </c>
      <c r="J11" s="4">
        <v>8413589.456450602</v>
      </c>
      <c r="K11" s="4">
        <v>8217577.5387510844</v>
      </c>
      <c r="L11" s="4">
        <v>8036094.2115633916</v>
      </c>
      <c r="M11" s="4">
        <v>7867172.3189701904</v>
      </c>
      <c r="N11" s="4">
        <v>7709208.8555021361</v>
      </c>
      <c r="O11" s="4">
        <v>7560881.539072847</v>
      </c>
      <c r="P11" s="4">
        <v>7421087.7842886541</v>
      </c>
      <c r="Q11" s="4">
        <v>7384522.2171325404</v>
      </c>
      <c r="R11" s="4">
        <v>7348139.4778122082</v>
      </c>
      <c r="S11" s="4">
        <v>7311938.652188478</v>
      </c>
      <c r="T11" s="4">
        <v>7275918.830692865</v>
      </c>
      <c r="U11" s="4">
        <v>7240079.1083047315</v>
      </c>
      <c r="V11" s="4">
        <v>7204418.5845285384</v>
      </c>
      <c r="W11" s="4">
        <v>7168936.363371226</v>
      </c>
      <c r="X11" s="4">
        <v>7133631.553319701</v>
      </c>
      <c r="Y11" s="4">
        <v>7098503.2673184322</v>
      </c>
      <c r="Z11" s="4">
        <v>7063550.6227471717</v>
      </c>
      <c r="AA11" s="4">
        <v>7028772.7413987657</v>
      </c>
      <c r="AB11" s="4">
        <v>6994168.7494571023</v>
      </c>
      <c r="AC11" s="4">
        <v>6959737.7774751475</v>
      </c>
      <c r="AD11" s="4">
        <v>6925478.9603531025</v>
      </c>
      <c r="AE11" s="4">
        <v>6891391.4373166673</v>
      </c>
    </row>
    <row r="12" spans="1:32">
      <c r="A12" t="s">
        <v>13</v>
      </c>
      <c r="B12" s="4">
        <v>949292.12839980132</v>
      </c>
      <c r="C12" s="4">
        <v>1058173.8307604436</v>
      </c>
      <c r="D12" s="4">
        <v>1050480.564310764</v>
      </c>
      <c r="E12" s="4">
        <v>1042787.2978610847</v>
      </c>
      <c r="F12" s="4">
        <v>1035094.0314114052</v>
      </c>
      <c r="G12" s="4">
        <v>1027400.764961726</v>
      </c>
      <c r="H12" s="4">
        <v>1019707.4985120468</v>
      </c>
      <c r="I12" s="4">
        <v>1012014.2320623671</v>
      </c>
      <c r="J12" s="4">
        <v>1004408.3890950708</v>
      </c>
      <c r="K12" s="4">
        <v>996715.12264539115</v>
      </c>
      <c r="L12" s="4">
        <v>989021.85619571176</v>
      </c>
      <c r="M12" s="4">
        <v>981328.58974603249</v>
      </c>
      <c r="N12" s="4">
        <v>973635.3232963531</v>
      </c>
      <c r="O12" s="4">
        <v>965942.05684667395</v>
      </c>
      <c r="P12" s="4">
        <v>958248.79039699433</v>
      </c>
      <c r="Q12" s="4">
        <v>950555.52394731494</v>
      </c>
      <c r="R12" s="4">
        <v>942949.68098001846</v>
      </c>
      <c r="S12" s="4">
        <v>935256.41453033907</v>
      </c>
      <c r="T12" s="4">
        <v>927563.1480806598</v>
      </c>
      <c r="U12" s="4">
        <v>919869.88163098029</v>
      </c>
      <c r="V12" s="4">
        <v>912176.61518130091</v>
      </c>
      <c r="W12" s="4">
        <v>904483.34873162152</v>
      </c>
      <c r="X12" s="4">
        <v>896790.08228194225</v>
      </c>
      <c r="Y12" s="4">
        <v>889096.81583226286</v>
      </c>
      <c r="Z12" s="4">
        <v>881490.97286496626</v>
      </c>
      <c r="AA12" s="4">
        <v>873797.70641528687</v>
      </c>
      <c r="AB12" s="4">
        <v>866104.43996560748</v>
      </c>
      <c r="AC12" s="4">
        <v>858411.17351592821</v>
      </c>
      <c r="AD12" s="4">
        <v>850717.90706624882</v>
      </c>
      <c r="AE12" s="4">
        <v>843024.64061656944</v>
      </c>
    </row>
    <row r="13" spans="1:32">
      <c r="A13" t="s">
        <v>14</v>
      </c>
      <c r="B13" s="4">
        <v>949292.12839980132</v>
      </c>
      <c r="C13" s="4">
        <v>1058173.8307604436</v>
      </c>
      <c r="D13" s="4">
        <v>1050480.564310764</v>
      </c>
      <c r="E13" s="4">
        <v>1042787.2978610847</v>
      </c>
      <c r="F13" s="4">
        <v>1035094.0314114052</v>
      </c>
      <c r="G13" s="4">
        <v>1027400.764961726</v>
      </c>
      <c r="H13" s="4">
        <v>1019707.4985120468</v>
      </c>
      <c r="I13" s="4">
        <v>1012014.2320623671</v>
      </c>
      <c r="J13" s="4">
        <v>1004408.3890950708</v>
      </c>
      <c r="K13" s="4">
        <v>996715.12264539115</v>
      </c>
      <c r="L13" s="4">
        <v>989021.85619571176</v>
      </c>
      <c r="M13" s="4">
        <v>981328.58974603249</v>
      </c>
      <c r="N13" s="4">
        <v>973635.3232963531</v>
      </c>
      <c r="O13" s="4">
        <v>965942.05684667395</v>
      </c>
      <c r="P13" s="4">
        <v>958248.79039699433</v>
      </c>
      <c r="Q13" s="4">
        <v>950555.52394731494</v>
      </c>
      <c r="R13" s="4">
        <v>942949.68098001846</v>
      </c>
      <c r="S13" s="4">
        <v>935256.41453033907</v>
      </c>
      <c r="T13" s="4">
        <v>927563.1480806598</v>
      </c>
      <c r="U13" s="4">
        <v>919869.88163098029</v>
      </c>
      <c r="V13" s="4">
        <v>912176.61518130091</v>
      </c>
      <c r="W13" s="4">
        <v>904483.34873162152</v>
      </c>
      <c r="X13" s="4">
        <v>896790.08228194225</v>
      </c>
      <c r="Y13" s="4">
        <v>889096.81583226286</v>
      </c>
      <c r="Z13" s="4">
        <v>881490.97286496626</v>
      </c>
      <c r="AA13" s="4">
        <v>873797.70641528687</v>
      </c>
      <c r="AB13" s="4">
        <v>866104.43996560748</v>
      </c>
      <c r="AC13" s="4">
        <v>858411.17351592821</v>
      </c>
      <c r="AD13" s="4">
        <v>850717.90706624882</v>
      </c>
      <c r="AE13" s="4">
        <v>843024.64061656944</v>
      </c>
    </row>
    <row r="14" spans="1:32">
      <c r="A14" t="s">
        <v>19</v>
      </c>
      <c r="B14" s="4">
        <v>3485435.9953173972</v>
      </c>
      <c r="C14" s="4">
        <v>3708288.8400638644</v>
      </c>
      <c r="D14" s="4">
        <v>3688630.8203434241</v>
      </c>
      <c r="E14" s="4">
        <v>3668972.8006229838</v>
      </c>
      <c r="F14" s="4">
        <v>3649314.7809025436</v>
      </c>
      <c r="G14" s="4">
        <v>3629656.7611821028</v>
      </c>
      <c r="H14" s="4">
        <v>3609998.741461663</v>
      </c>
      <c r="I14" s="4">
        <v>3590340.7217412223</v>
      </c>
      <c r="J14" s="4">
        <v>3570682.702020782</v>
      </c>
      <c r="K14" s="4">
        <v>3551024.6823003418</v>
      </c>
      <c r="L14" s="4">
        <v>3531366.6625799015</v>
      </c>
      <c r="M14" s="4">
        <v>3511708.6428594613</v>
      </c>
      <c r="N14" s="4">
        <v>3472392.6034185807</v>
      </c>
      <c r="O14" s="4">
        <v>3452734.58369814</v>
      </c>
      <c r="P14" s="4">
        <v>3452734.58369814</v>
      </c>
      <c r="Q14" s="4">
        <v>3420720.0944391377</v>
      </c>
      <c r="R14" s="4">
        <v>3388593.2736388752</v>
      </c>
      <c r="S14" s="4">
        <v>3356578.784379872</v>
      </c>
      <c r="T14" s="4">
        <v>3324451.96357961</v>
      </c>
      <c r="U14" s="4">
        <v>3292325.1427793475</v>
      </c>
      <c r="V14" s="4">
        <v>3260310.6535203448</v>
      </c>
      <c r="W14" s="4">
        <v>3228183.8327200823</v>
      </c>
      <c r="X14" s="4">
        <v>3196169.3434610791</v>
      </c>
      <c r="Y14" s="4">
        <v>3164042.5226608166</v>
      </c>
      <c r="Z14" s="4">
        <v>3131915.7018605541</v>
      </c>
      <c r="AA14" s="4">
        <v>3099901.2126015513</v>
      </c>
      <c r="AB14" s="4">
        <v>3067774.3918012888</v>
      </c>
      <c r="AC14" s="4">
        <v>3035759.9025422856</v>
      </c>
      <c r="AD14" s="4">
        <v>3003633.0817420236</v>
      </c>
      <c r="AE14" s="4">
        <v>2971618.5924830209</v>
      </c>
    </row>
    <row r="15" spans="1:32">
      <c r="A15" t="s">
        <v>17</v>
      </c>
      <c r="B15" s="4">
        <v>3881031.0195738152</v>
      </c>
      <c r="C15" s="4">
        <v>3881031.0195738152</v>
      </c>
      <c r="D15" s="4">
        <v>3754914.7615139638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</row>
    <row r="16" spans="1:32">
      <c r="A16" t="s">
        <v>20</v>
      </c>
      <c r="B16" s="4">
        <v>949292.12839980132</v>
      </c>
      <c r="C16" s="4">
        <v>1058173.8307604436</v>
      </c>
      <c r="D16" s="4">
        <v>1050480.564310764</v>
      </c>
      <c r="E16" s="4">
        <v>1042787.2978610847</v>
      </c>
      <c r="F16" s="4">
        <v>1035094.0314114052</v>
      </c>
      <c r="G16" s="4">
        <v>1027400.764961726</v>
      </c>
      <c r="H16" s="4">
        <v>1019707.4985120468</v>
      </c>
      <c r="I16" s="4">
        <v>1012014.2320623671</v>
      </c>
      <c r="J16" s="4">
        <v>1004408.3890950708</v>
      </c>
      <c r="K16" s="4">
        <v>996715.12264539115</v>
      </c>
      <c r="L16" s="4">
        <v>989021.85619571176</v>
      </c>
      <c r="M16" s="4">
        <v>981328.58974603249</v>
      </c>
      <c r="N16" s="4">
        <v>973635.3232963531</v>
      </c>
      <c r="O16" s="4">
        <v>965942.05684667395</v>
      </c>
      <c r="P16" s="4">
        <v>958248.79039699433</v>
      </c>
      <c r="Q16" s="4">
        <v>950555.52394731494</v>
      </c>
      <c r="R16" s="4">
        <v>942949.68098001846</v>
      </c>
      <c r="S16" s="4">
        <v>935256.41453033907</v>
      </c>
      <c r="T16" s="4">
        <v>927563.1480806598</v>
      </c>
      <c r="U16" s="4">
        <v>919869.88163098029</v>
      </c>
      <c r="V16" s="4">
        <v>912176.61518130091</v>
      </c>
      <c r="W16" s="4">
        <v>904483.34873162152</v>
      </c>
      <c r="X16" s="4">
        <v>896790.08228194225</v>
      </c>
      <c r="Y16" s="4">
        <v>889096.81583226286</v>
      </c>
      <c r="Z16" s="4">
        <v>881490.97286496626</v>
      </c>
      <c r="AA16" s="4">
        <v>873797.70641528687</v>
      </c>
      <c r="AB16" s="4">
        <v>866104.43996560748</v>
      </c>
      <c r="AC16" s="4">
        <v>858411.17351592821</v>
      </c>
      <c r="AD16" s="4">
        <v>850717.90706624882</v>
      </c>
      <c r="AE16" s="4">
        <v>843024.64061656944</v>
      </c>
    </row>
    <row r="17" spans="1:31">
      <c r="A17" t="s">
        <v>21</v>
      </c>
      <c r="B17" s="4">
        <v>949292.12839980132</v>
      </c>
      <c r="C17" s="4">
        <v>1058173.8307604436</v>
      </c>
      <c r="D17" s="4">
        <v>1050480.564310764</v>
      </c>
      <c r="E17" s="4">
        <v>1042787.2978610847</v>
      </c>
      <c r="F17" s="4">
        <v>1035094.0314114052</v>
      </c>
      <c r="G17" s="4">
        <v>1027400.764961726</v>
      </c>
      <c r="H17" s="4">
        <v>1019707.4985120468</v>
      </c>
      <c r="I17" s="4">
        <v>1012014.2320623671</v>
      </c>
      <c r="J17" s="4">
        <v>1004408.3890950708</v>
      </c>
      <c r="K17" s="4">
        <v>996715.12264539115</v>
      </c>
      <c r="L17" s="4">
        <v>989021.85619571176</v>
      </c>
      <c r="M17" s="4">
        <v>981328.58974603249</v>
      </c>
      <c r="N17" s="4">
        <v>973635.3232963531</v>
      </c>
      <c r="O17" s="4">
        <v>965942.05684667395</v>
      </c>
      <c r="P17" s="4">
        <v>958248.79039699433</v>
      </c>
      <c r="Q17" s="4">
        <v>950555.52394731494</v>
      </c>
      <c r="R17" s="4">
        <v>942949.68098001846</v>
      </c>
      <c r="S17" s="4">
        <v>935256.41453033907</v>
      </c>
      <c r="T17" s="4">
        <v>927563.1480806598</v>
      </c>
      <c r="U17" s="4">
        <v>919869.88163098029</v>
      </c>
      <c r="V17" s="4">
        <v>912176.61518130091</v>
      </c>
      <c r="W17" s="4">
        <v>904483.34873162152</v>
      </c>
      <c r="X17" s="4">
        <v>896790.08228194225</v>
      </c>
      <c r="Y17" s="4">
        <v>889096.81583226286</v>
      </c>
      <c r="Z17" s="4">
        <v>881490.97286496626</v>
      </c>
      <c r="AA17" s="4">
        <v>873797.70641528687</v>
      </c>
      <c r="AB17" s="4">
        <v>866104.43996560748</v>
      </c>
      <c r="AC17" s="4">
        <v>858411.17351592821</v>
      </c>
      <c r="AD17" s="4">
        <v>850717.90706624882</v>
      </c>
      <c r="AE17" s="4">
        <v>843024.64061656944</v>
      </c>
    </row>
    <row r="18" spans="1:31">
      <c r="A18" t="s">
        <v>22</v>
      </c>
      <c r="B18">
        <v>1397288</v>
      </c>
      <c r="C18">
        <v>1397288</v>
      </c>
      <c r="D18">
        <v>1397288</v>
      </c>
      <c r="E18">
        <v>1397288</v>
      </c>
      <c r="F18">
        <v>1397288</v>
      </c>
      <c r="G18">
        <v>1397288</v>
      </c>
      <c r="H18">
        <v>1397288</v>
      </c>
      <c r="I18">
        <v>1397288</v>
      </c>
      <c r="J18">
        <v>1397288</v>
      </c>
      <c r="K18">
        <v>1397288</v>
      </c>
      <c r="L18">
        <v>1397288</v>
      </c>
      <c r="M18">
        <v>1397288</v>
      </c>
      <c r="N18">
        <v>1397288</v>
      </c>
      <c r="O18">
        <v>1397288</v>
      </c>
      <c r="P18">
        <v>1397288</v>
      </c>
      <c r="Q18">
        <v>1397288</v>
      </c>
      <c r="R18">
        <v>1397288</v>
      </c>
      <c r="S18">
        <v>1397288</v>
      </c>
      <c r="T18">
        <v>1397288</v>
      </c>
      <c r="U18">
        <v>1397288</v>
      </c>
      <c r="V18">
        <v>1397288</v>
      </c>
      <c r="W18">
        <v>1397288</v>
      </c>
      <c r="X18">
        <v>1397288</v>
      </c>
      <c r="Y18">
        <v>1397288</v>
      </c>
      <c r="Z18">
        <v>1397288</v>
      </c>
      <c r="AA18">
        <v>1397288</v>
      </c>
      <c r="AB18">
        <v>1397288</v>
      </c>
      <c r="AC18">
        <v>1397288</v>
      </c>
      <c r="AD18">
        <v>1397288</v>
      </c>
      <c r="AE18">
        <v>1397288</v>
      </c>
    </row>
    <row r="19" spans="1:31">
      <c r="A19" t="s">
        <v>77</v>
      </c>
      <c r="B19">
        <v>5111375.590766672</v>
      </c>
      <c r="C19">
        <v>5365237.1134441039</v>
      </c>
      <c r="D19">
        <v>5301847.5648623854</v>
      </c>
      <c r="E19">
        <v>5238458.0162806669</v>
      </c>
      <c r="F19">
        <v>5175068.4676989475</v>
      </c>
      <c r="G19">
        <v>5111678.9191172291</v>
      </c>
      <c r="H19">
        <v>5048289.3705355106</v>
      </c>
      <c r="I19">
        <v>4984899.8219537931</v>
      </c>
      <c r="J19">
        <v>4921510.2733720755</v>
      </c>
      <c r="K19">
        <v>4858120.7247903561</v>
      </c>
      <c r="L19">
        <v>4794731.1762086377</v>
      </c>
      <c r="M19">
        <v>4731341.6276269183</v>
      </c>
      <c r="N19">
        <v>4604562.5304634823</v>
      </c>
      <c r="O19">
        <v>4541172.9818817638</v>
      </c>
      <c r="P19">
        <v>4541172.9818817638</v>
      </c>
      <c r="Q19">
        <v>4492613.0983352177</v>
      </c>
      <c r="R19">
        <v>4444053.2147886716</v>
      </c>
      <c r="S19">
        <v>4395590.2571573891</v>
      </c>
      <c r="T19">
        <v>4347030.373610843</v>
      </c>
      <c r="U19">
        <v>4298470.4900642969</v>
      </c>
      <c r="V19">
        <v>4250007.5324330144</v>
      </c>
      <c r="W19">
        <v>4201447.6488864683</v>
      </c>
      <c r="X19">
        <v>4152887.7653399222</v>
      </c>
      <c r="Y19">
        <v>4104424.8077086397</v>
      </c>
      <c r="Z19">
        <v>4055864.9241620935</v>
      </c>
      <c r="AA19">
        <v>4007401.9665308101</v>
      </c>
      <c r="AB19">
        <v>3958842.0829842649</v>
      </c>
      <c r="AC19">
        <v>3910282.1994377184</v>
      </c>
      <c r="AD19">
        <v>3861819.2418064354</v>
      </c>
      <c r="AE19">
        <v>3813259.3582598893</v>
      </c>
    </row>
    <row r="20" spans="1:31">
      <c r="A20" t="s">
        <v>78</v>
      </c>
      <c r="B20">
        <v>2175532.1398605858</v>
      </c>
      <c r="C20">
        <v>2325464.6313803531</v>
      </c>
      <c r="D20">
        <v>2285249.8294843016</v>
      </c>
      <c r="E20">
        <v>2245035.027588251</v>
      </c>
      <c r="F20">
        <v>2204820.2256921995</v>
      </c>
      <c r="G20">
        <v>2164605.4237961485</v>
      </c>
      <c r="H20">
        <v>2124390.621900097</v>
      </c>
      <c r="I20">
        <v>2085050.0548278729</v>
      </c>
      <c r="J20">
        <v>2044835.2529318216</v>
      </c>
      <c r="K20">
        <v>2004620.4510357708</v>
      </c>
      <c r="L20">
        <v>1964405.6491397195</v>
      </c>
      <c r="M20">
        <v>1924190.8472436683</v>
      </c>
      <c r="N20">
        <v>1883976.045347617</v>
      </c>
      <c r="O20">
        <v>1843761.2434515657</v>
      </c>
      <c r="P20">
        <v>1803546.4415555145</v>
      </c>
      <c r="Q20">
        <v>1783439.0406074887</v>
      </c>
      <c r="R20">
        <v>1764205.8744832904</v>
      </c>
      <c r="S20">
        <v>1744098.4735352646</v>
      </c>
      <c r="T20">
        <v>1724865.3074110667</v>
      </c>
      <c r="U20">
        <v>1704757.906463041</v>
      </c>
      <c r="V20">
        <v>1685524.7403388426</v>
      </c>
      <c r="W20">
        <v>1666291.5742146443</v>
      </c>
      <c r="X20">
        <v>1646184.1732666185</v>
      </c>
      <c r="Y20">
        <v>1626951.0071424202</v>
      </c>
      <c r="Z20">
        <v>1606843.6061943944</v>
      </c>
      <c r="AA20">
        <v>1587610.4400701961</v>
      </c>
      <c r="AB20">
        <v>1567503.0391221705</v>
      </c>
      <c r="AC20">
        <v>1548269.872997972</v>
      </c>
      <c r="AD20">
        <v>1528162.4720499464</v>
      </c>
      <c r="AE20">
        <v>1508929.3059257478</v>
      </c>
    </row>
    <row r="21" spans="1:31">
      <c r="A21" t="s">
        <v>79</v>
      </c>
      <c r="B21">
        <v>5857355.0922698751</v>
      </c>
      <c r="C21" s="25">
        <v>5839455.5710459696</v>
      </c>
      <c r="D21">
        <v>5821556.0498220641</v>
      </c>
      <c r="E21">
        <v>5803656.5285981586</v>
      </c>
      <c r="F21">
        <v>5785757.0073742522</v>
      </c>
      <c r="G21">
        <v>5767857.4861503467</v>
      </c>
      <c r="H21">
        <v>5749957.9649264412</v>
      </c>
      <c r="I21">
        <v>5732058.4437025348</v>
      </c>
      <c r="J21">
        <v>5714158.9224786293</v>
      </c>
      <c r="K21">
        <v>5696259.4012547238</v>
      </c>
      <c r="L21">
        <v>5679939.2495505745</v>
      </c>
      <c r="M21">
        <v>5663619.0978464251</v>
      </c>
      <c r="N21">
        <v>5647298.9461422749</v>
      </c>
      <c r="O21">
        <v>5630978.7944381256</v>
      </c>
      <c r="P21">
        <v>5614658.6427339762</v>
      </c>
      <c r="Q21">
        <v>5598338.4910298269</v>
      </c>
      <c r="R21">
        <v>5582018.3393256776</v>
      </c>
      <c r="S21">
        <v>5565698.1876215283</v>
      </c>
      <c r="T21">
        <v>5549378.035917379</v>
      </c>
      <c r="U21">
        <v>5533057.8842132296</v>
      </c>
      <c r="V21">
        <v>5516737.7325090803</v>
      </c>
      <c r="W21">
        <v>5500417.580804931</v>
      </c>
      <c r="X21">
        <v>5484097.4291007817</v>
      </c>
      <c r="Y21">
        <v>5467777.2773966324</v>
      </c>
      <c r="Z21">
        <v>5451457.125692483</v>
      </c>
      <c r="AA21">
        <v>5435136.9739883328</v>
      </c>
      <c r="AB21">
        <v>5418816.8222841835</v>
      </c>
      <c r="AC21">
        <v>5402496.6705800341</v>
      </c>
      <c r="AD21">
        <v>5386176.5188758848</v>
      </c>
      <c r="AE21">
        <v>5369856.3671717355</v>
      </c>
    </row>
    <row r="22" spans="1:31">
      <c r="A22" t="s">
        <v>80</v>
      </c>
      <c r="B22">
        <v>5923789.2829016084</v>
      </c>
      <c r="C22" s="25">
        <v>6218000.1348871673</v>
      </c>
      <c r="D22">
        <v>6144535.3069033511</v>
      </c>
      <c r="E22">
        <v>6071070.478919534</v>
      </c>
      <c r="F22">
        <v>5997605.650935716</v>
      </c>
      <c r="G22">
        <v>5924140.8229518989</v>
      </c>
      <c r="H22">
        <v>5850675.9949680818</v>
      </c>
      <c r="I22">
        <v>5777211.1669842657</v>
      </c>
      <c r="J22">
        <v>5703746.3390004495</v>
      </c>
      <c r="K22">
        <v>5630281.5110166315</v>
      </c>
      <c r="L22">
        <v>5556816.6830328144</v>
      </c>
      <c r="M22">
        <v>5483351.8550489964</v>
      </c>
      <c r="N22">
        <v>5336422.1990813632</v>
      </c>
      <c r="O22">
        <v>5262957.3710975461</v>
      </c>
      <c r="P22">
        <v>5262957.3710975461</v>
      </c>
      <c r="Q22">
        <v>5206679.2689264566</v>
      </c>
      <c r="R22">
        <v>5150401.1667553671</v>
      </c>
      <c r="S22">
        <v>5094235.3961255383</v>
      </c>
      <c r="T22">
        <v>5037957.2939544488</v>
      </c>
      <c r="U22">
        <v>4981679.1917833593</v>
      </c>
      <c r="V22">
        <v>4925513.4211535305</v>
      </c>
      <c r="W22">
        <v>4869235.318982441</v>
      </c>
      <c r="X22">
        <v>4812957.2168113515</v>
      </c>
      <c r="Y22">
        <v>4756791.4461815227</v>
      </c>
      <c r="Z22">
        <v>4700513.3440104332</v>
      </c>
      <c r="AA22">
        <v>4644347.5733806035</v>
      </c>
      <c r="AB22">
        <v>4588069.4712095149</v>
      </c>
      <c r="AC22">
        <v>4531791.3690384254</v>
      </c>
      <c r="AD22">
        <v>4475625.5984085957</v>
      </c>
      <c r="AE22">
        <v>4419347.4962375062</v>
      </c>
    </row>
    <row r="23" spans="1:31">
      <c r="A23" t="s">
        <v>81</v>
      </c>
      <c r="B23">
        <v>8587076.6537132654</v>
      </c>
      <c r="C23" s="25">
        <v>8300944.0578278247</v>
      </c>
      <c r="D23">
        <v>8014811.4619423822</v>
      </c>
      <c r="E23">
        <v>7728678.8660569396</v>
      </c>
      <c r="F23">
        <v>7501037.2429677434</v>
      </c>
      <c r="G23">
        <v>7362296.246121048</v>
      </c>
      <c r="H23">
        <v>7288664.7974982709</v>
      </c>
      <c r="I23">
        <v>7240937.0173691111</v>
      </c>
      <c r="J23">
        <v>7196742.677430464</v>
      </c>
      <c r="K23">
        <v>7570628.4035703922</v>
      </c>
      <c r="L23">
        <v>7290234.7589937113</v>
      </c>
      <c r="M23">
        <v>7009841.1144170305</v>
      </c>
      <c r="N23">
        <v>6729447.4698403496</v>
      </c>
      <c r="O23">
        <v>6449053.8252636669</v>
      </c>
      <c r="P23">
        <v>6168660.180686987</v>
      </c>
      <c r="Q23">
        <v>5934998.8102064189</v>
      </c>
      <c r="R23">
        <v>5701337.4397258516</v>
      </c>
      <c r="S23">
        <v>5467676.0692452835</v>
      </c>
      <c r="T23">
        <v>5234014.6987647163</v>
      </c>
      <c r="U23">
        <v>5000353.3282841481</v>
      </c>
      <c r="V23">
        <v>4860156.5059958072</v>
      </c>
      <c r="W23">
        <v>4719959.6837074673</v>
      </c>
      <c r="X23">
        <v>4579762.8614191264</v>
      </c>
      <c r="Y23">
        <v>4439566.0391307855</v>
      </c>
      <c r="Z23">
        <v>4299369.2168424446</v>
      </c>
      <c r="AA23">
        <v>4205904.6686502192</v>
      </c>
      <c r="AB23">
        <v>4112440.120457991</v>
      </c>
      <c r="AC23">
        <v>4018975.5722657642</v>
      </c>
      <c r="AD23">
        <v>3925511.024073537</v>
      </c>
      <c r="AE23">
        <v>3832046.4758813097</v>
      </c>
    </row>
    <row r="24" spans="1:31">
      <c r="A24" s="24" t="s">
        <v>82</v>
      </c>
      <c r="B24">
        <v>949292.12839980132</v>
      </c>
      <c r="C24" s="25">
        <v>1058173.8307604436</v>
      </c>
      <c r="D24">
        <v>1050480.564310764</v>
      </c>
      <c r="E24">
        <v>1042787.2978610847</v>
      </c>
      <c r="F24">
        <v>1035094.0314114052</v>
      </c>
      <c r="G24">
        <v>1027400.764961726</v>
      </c>
      <c r="H24">
        <v>1019707.4985120468</v>
      </c>
      <c r="I24">
        <v>1012014.2320623671</v>
      </c>
      <c r="J24">
        <v>1004408.3890950708</v>
      </c>
      <c r="K24">
        <v>996715.12264539115</v>
      </c>
      <c r="L24">
        <v>989021.85619571176</v>
      </c>
      <c r="M24">
        <v>981328.58974603249</v>
      </c>
      <c r="N24">
        <v>973635.3232963531</v>
      </c>
      <c r="O24">
        <v>965942.05684667395</v>
      </c>
      <c r="P24">
        <v>958248.79039699433</v>
      </c>
      <c r="Q24">
        <v>950555.52394731494</v>
      </c>
      <c r="R24">
        <v>942949.68098001846</v>
      </c>
      <c r="S24">
        <v>935256.41453033907</v>
      </c>
      <c r="T24">
        <v>927563.1480806598</v>
      </c>
      <c r="U24">
        <v>919869.88163098029</v>
      </c>
      <c r="V24">
        <v>912176.61518130091</v>
      </c>
      <c r="W24">
        <v>904483.34873162152</v>
      </c>
      <c r="X24">
        <v>896790.08228194225</v>
      </c>
      <c r="Y24">
        <v>889096.81583226286</v>
      </c>
      <c r="Z24">
        <v>881490.97286496626</v>
      </c>
      <c r="AA24">
        <v>873797.70641528687</v>
      </c>
      <c r="AB24">
        <v>866104.43996560748</v>
      </c>
      <c r="AC24">
        <v>858411.17351592821</v>
      </c>
      <c r="AD24">
        <v>850717.90706624882</v>
      </c>
      <c r="AE24">
        <v>843024.64061656944</v>
      </c>
    </row>
    <row r="25" spans="1:31">
      <c r="A25" s="24" t="s">
        <v>83</v>
      </c>
      <c r="B25">
        <v>1087150.6301901576</v>
      </c>
      <c r="C25" s="25">
        <v>1205045.2811634131</v>
      </c>
      <c r="D25">
        <v>1194379.6163127213</v>
      </c>
      <c r="E25">
        <v>1183801.3749444121</v>
      </c>
      <c r="F25">
        <v>1173135.7100937204</v>
      </c>
      <c r="G25">
        <v>1162557.4687254112</v>
      </c>
      <c r="H25">
        <v>1151891.8038747192</v>
      </c>
      <c r="I25">
        <v>1141313.5625064103</v>
      </c>
      <c r="J25">
        <v>1130647.8976557183</v>
      </c>
      <c r="K25">
        <v>1120069.6562874094</v>
      </c>
      <c r="L25">
        <v>1109403.9914367173</v>
      </c>
      <c r="M25">
        <v>1098825.7500684082</v>
      </c>
      <c r="N25">
        <v>1088160.0852177164</v>
      </c>
      <c r="O25">
        <v>1077581.8438494073</v>
      </c>
      <c r="P25">
        <v>1066916.1789987157</v>
      </c>
      <c r="Q25">
        <v>1058873.2186195052</v>
      </c>
      <c r="R25">
        <v>1050830.2582402949</v>
      </c>
      <c r="S25">
        <v>1042787.2978610847</v>
      </c>
      <c r="T25">
        <v>1034744.3374818745</v>
      </c>
      <c r="U25">
        <v>1026701.3771026643</v>
      </c>
      <c r="V25">
        <v>1018658.4167234539</v>
      </c>
      <c r="W25">
        <v>1010528.0328618611</v>
      </c>
      <c r="X25">
        <v>1002485.0724826509</v>
      </c>
      <c r="Y25">
        <v>994442.11210344045</v>
      </c>
      <c r="Z25">
        <v>986399.15172423038</v>
      </c>
      <c r="AA25">
        <v>978356.19134501996</v>
      </c>
      <c r="AB25">
        <v>970313.23096580978</v>
      </c>
      <c r="AC25">
        <v>962270.27058659948</v>
      </c>
      <c r="AD25">
        <v>954139.88672500674</v>
      </c>
      <c r="AE25">
        <v>946096.92634579632</v>
      </c>
    </row>
    <row r="26" spans="1:31">
      <c r="C26" s="13"/>
    </row>
    <row r="27" spans="1:31">
      <c r="C27" s="13"/>
    </row>
    <row r="28" spans="1:31">
      <c r="C28" s="13"/>
    </row>
    <row r="29" spans="1:31">
      <c r="C29" s="13"/>
    </row>
    <row r="30" spans="1:31">
      <c r="C30" s="13"/>
    </row>
    <row r="31" spans="1:31">
      <c r="C31" s="13"/>
    </row>
    <row r="32" spans="1:31">
      <c r="C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</sheetData>
  <phoneticPr fontId="3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8B1F-CE2A-440C-B449-04DD87D55A2A}">
  <sheetPr>
    <tabColor theme="6"/>
  </sheetPr>
  <dimension ref="A1:AF36"/>
  <sheetViews>
    <sheetView workbookViewId="0">
      <selection sqref="A1:AE25"/>
    </sheetView>
  </sheetViews>
  <sheetFormatPr defaultColWidth="9.08984375" defaultRowHeight="14.5"/>
  <cols>
    <col min="1" max="1" width="28.08984375" customWidth="1"/>
    <col min="2" max="16" width="9.08984375" customWidth="1"/>
  </cols>
  <sheetData>
    <row r="1" spans="1:32">
      <c r="A1" s="30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2">
      <c r="A2" t="s">
        <v>36</v>
      </c>
      <c r="B2" s="4">
        <v>99999</v>
      </c>
      <c r="C2" s="4">
        <v>99999</v>
      </c>
      <c r="D2" s="4">
        <v>99999</v>
      </c>
      <c r="E2" s="4">
        <v>99999</v>
      </c>
      <c r="F2" s="4">
        <v>99999</v>
      </c>
      <c r="G2" s="4">
        <v>99999</v>
      </c>
      <c r="H2" s="4">
        <v>99999</v>
      </c>
      <c r="I2" s="4">
        <v>99999</v>
      </c>
      <c r="J2" s="4">
        <v>99999</v>
      </c>
      <c r="K2" s="4">
        <v>99999</v>
      </c>
      <c r="L2" s="4">
        <v>99999</v>
      </c>
      <c r="M2" s="4">
        <v>99999</v>
      </c>
      <c r="N2" s="4">
        <v>99999</v>
      </c>
      <c r="O2" s="4">
        <v>99999</v>
      </c>
      <c r="P2" s="4">
        <v>99999</v>
      </c>
      <c r="Q2" s="4">
        <v>99999</v>
      </c>
      <c r="R2" s="4">
        <v>99999</v>
      </c>
      <c r="S2" s="4">
        <v>99999</v>
      </c>
      <c r="T2" s="4">
        <v>99999</v>
      </c>
      <c r="U2" s="4">
        <v>99999</v>
      </c>
      <c r="V2" s="4">
        <v>99999</v>
      </c>
      <c r="W2" s="4">
        <v>99999</v>
      </c>
      <c r="X2" s="4">
        <v>99999</v>
      </c>
      <c r="Y2" s="4">
        <v>99999</v>
      </c>
      <c r="Z2" s="4">
        <v>99999</v>
      </c>
      <c r="AA2" s="4">
        <v>99999</v>
      </c>
      <c r="AB2" s="4">
        <v>99999</v>
      </c>
      <c r="AC2" s="4">
        <v>99999</v>
      </c>
      <c r="AD2" s="4">
        <v>99999</v>
      </c>
      <c r="AE2" s="4">
        <v>99999</v>
      </c>
      <c r="AF2" s="4"/>
    </row>
    <row r="3" spans="1:32">
      <c r="A3" t="s">
        <v>86</v>
      </c>
      <c r="B3" s="4">
        <v>99999</v>
      </c>
      <c r="C3" s="4">
        <v>99999</v>
      </c>
      <c r="D3" s="4">
        <v>99999</v>
      </c>
      <c r="E3" s="4">
        <v>99999</v>
      </c>
      <c r="F3" s="4">
        <v>99999</v>
      </c>
      <c r="G3" s="4">
        <v>99999</v>
      </c>
      <c r="H3" s="4">
        <v>99999</v>
      </c>
      <c r="I3" s="4">
        <v>99999</v>
      </c>
      <c r="J3" s="4">
        <v>99999</v>
      </c>
      <c r="K3" s="4">
        <v>99999</v>
      </c>
      <c r="L3" s="4">
        <v>99999</v>
      </c>
      <c r="M3" s="4">
        <v>99999</v>
      </c>
      <c r="N3" s="4">
        <v>99999</v>
      </c>
      <c r="O3" s="4">
        <v>99999</v>
      </c>
      <c r="P3" s="4">
        <v>99999</v>
      </c>
      <c r="Q3" s="4">
        <v>99999</v>
      </c>
      <c r="R3" s="4">
        <v>99999</v>
      </c>
      <c r="S3" s="4">
        <v>99999</v>
      </c>
      <c r="T3" s="4">
        <v>99999</v>
      </c>
      <c r="U3" s="4">
        <v>99999</v>
      </c>
      <c r="V3" s="4">
        <v>99999</v>
      </c>
      <c r="W3" s="4">
        <v>99999</v>
      </c>
      <c r="X3" s="4">
        <v>99999</v>
      </c>
      <c r="Y3" s="4">
        <v>99999</v>
      </c>
      <c r="Z3" s="4">
        <v>99999</v>
      </c>
      <c r="AA3" s="4">
        <v>99999</v>
      </c>
      <c r="AB3" s="4">
        <v>99999</v>
      </c>
      <c r="AC3" s="4">
        <v>99999</v>
      </c>
      <c r="AD3" s="4">
        <v>99999</v>
      </c>
      <c r="AE3" s="4">
        <v>99999</v>
      </c>
      <c r="AF3" s="4"/>
    </row>
    <row r="4" spans="1:32">
      <c r="A4" t="s">
        <v>87</v>
      </c>
      <c r="B4" s="4">
        <v>99999</v>
      </c>
      <c r="C4" s="4">
        <v>99999</v>
      </c>
      <c r="D4" s="4">
        <v>99999</v>
      </c>
      <c r="E4" s="4">
        <v>99999</v>
      </c>
      <c r="F4" s="4">
        <v>99999</v>
      </c>
      <c r="G4" s="4">
        <v>99999</v>
      </c>
      <c r="H4" s="4">
        <v>99999</v>
      </c>
      <c r="I4" s="4">
        <v>99999</v>
      </c>
      <c r="J4" s="4">
        <v>99999</v>
      </c>
      <c r="K4" s="4">
        <v>99999</v>
      </c>
      <c r="L4" s="4">
        <v>99999</v>
      </c>
      <c r="M4" s="4">
        <v>99999</v>
      </c>
      <c r="N4" s="4">
        <v>99999</v>
      </c>
      <c r="O4" s="4">
        <v>99999</v>
      </c>
      <c r="P4" s="4">
        <v>99999</v>
      </c>
      <c r="Q4" s="4">
        <v>99999</v>
      </c>
      <c r="R4" s="4">
        <v>99999</v>
      </c>
      <c r="S4" s="4">
        <v>99999</v>
      </c>
      <c r="T4" s="4">
        <v>99999</v>
      </c>
      <c r="U4" s="4">
        <v>99999</v>
      </c>
      <c r="V4" s="4">
        <v>99999</v>
      </c>
      <c r="W4" s="4">
        <v>99999</v>
      </c>
      <c r="X4" s="4">
        <v>99999</v>
      </c>
      <c r="Y4" s="4">
        <v>99999</v>
      </c>
      <c r="Z4" s="4">
        <v>99999</v>
      </c>
      <c r="AA4" s="4">
        <v>99999</v>
      </c>
      <c r="AB4" s="4">
        <v>99999</v>
      </c>
      <c r="AC4" s="4">
        <v>99999</v>
      </c>
      <c r="AD4" s="4">
        <v>99999</v>
      </c>
      <c r="AE4" s="4">
        <v>99999</v>
      </c>
      <c r="AF4" s="4"/>
    </row>
    <row r="5" spans="1:32">
      <c r="A5" t="s">
        <v>24</v>
      </c>
      <c r="B5" s="4">
        <v>99999</v>
      </c>
      <c r="C5" s="4">
        <v>99999</v>
      </c>
      <c r="D5" s="4">
        <v>99999</v>
      </c>
      <c r="E5" s="4">
        <v>99999</v>
      </c>
      <c r="F5" s="4">
        <v>99999</v>
      </c>
      <c r="G5" s="4">
        <v>99999</v>
      </c>
      <c r="H5" s="4">
        <v>99999</v>
      </c>
      <c r="I5" s="4">
        <v>99999</v>
      </c>
      <c r="J5" s="4">
        <v>99999</v>
      </c>
      <c r="K5" s="4">
        <v>99999</v>
      </c>
      <c r="L5" s="4">
        <v>99999</v>
      </c>
      <c r="M5" s="4">
        <v>99999</v>
      </c>
      <c r="N5" s="4">
        <v>99999</v>
      </c>
      <c r="O5" s="4">
        <v>99999</v>
      </c>
      <c r="P5" s="4">
        <v>99999</v>
      </c>
      <c r="Q5" s="4">
        <v>99999</v>
      </c>
      <c r="R5" s="4">
        <v>99999</v>
      </c>
      <c r="S5" s="4">
        <v>99999</v>
      </c>
      <c r="T5" s="4">
        <v>99999</v>
      </c>
      <c r="U5" s="4">
        <v>99999</v>
      </c>
      <c r="V5" s="4">
        <v>99999</v>
      </c>
      <c r="W5" s="4">
        <v>99999</v>
      </c>
      <c r="X5" s="4">
        <v>99999</v>
      </c>
      <c r="Y5" s="4">
        <v>99999</v>
      </c>
      <c r="Z5" s="4">
        <v>99999</v>
      </c>
      <c r="AA5" s="4">
        <v>99999</v>
      </c>
      <c r="AB5" s="4">
        <v>99999</v>
      </c>
      <c r="AC5" s="4">
        <v>99999</v>
      </c>
      <c r="AD5" s="4">
        <v>99999</v>
      </c>
      <c r="AE5" s="4">
        <v>99999</v>
      </c>
    </row>
    <row r="6" spans="1:32">
      <c r="A6" t="s">
        <v>25</v>
      </c>
      <c r="B6" s="4">
        <v>99999</v>
      </c>
      <c r="C6" s="4">
        <v>99999</v>
      </c>
      <c r="D6" s="4">
        <v>99999</v>
      </c>
      <c r="E6" s="4">
        <v>99999</v>
      </c>
      <c r="F6" s="4">
        <v>99999</v>
      </c>
      <c r="G6" s="4">
        <v>99999</v>
      </c>
      <c r="H6" s="4">
        <v>99999</v>
      </c>
      <c r="I6" s="4">
        <v>99999</v>
      </c>
      <c r="J6" s="4">
        <v>99999</v>
      </c>
      <c r="K6" s="4">
        <v>99999</v>
      </c>
      <c r="L6" s="4">
        <v>99999</v>
      </c>
      <c r="M6" s="4">
        <v>99999</v>
      </c>
      <c r="N6" s="4">
        <v>99999</v>
      </c>
      <c r="O6" s="4">
        <v>99999</v>
      </c>
      <c r="P6" s="4">
        <v>99999</v>
      </c>
      <c r="Q6" s="4">
        <v>99999</v>
      </c>
      <c r="R6" s="4">
        <v>99999</v>
      </c>
      <c r="S6" s="4">
        <v>99999</v>
      </c>
      <c r="T6" s="4">
        <v>99999</v>
      </c>
      <c r="U6" s="4">
        <v>99999</v>
      </c>
      <c r="V6" s="4">
        <v>99999</v>
      </c>
      <c r="W6" s="4">
        <v>99999</v>
      </c>
      <c r="X6" s="4">
        <v>99999</v>
      </c>
      <c r="Y6" s="4">
        <v>99999</v>
      </c>
      <c r="Z6" s="4">
        <v>99999</v>
      </c>
      <c r="AA6" s="4">
        <v>99999</v>
      </c>
      <c r="AB6" s="4">
        <v>99999</v>
      </c>
      <c r="AC6" s="4">
        <v>99999</v>
      </c>
      <c r="AD6" s="4">
        <v>99999</v>
      </c>
      <c r="AE6" s="4">
        <v>99999</v>
      </c>
    </row>
    <row r="7" spans="1:32">
      <c r="A7" t="s">
        <v>124</v>
      </c>
      <c r="B7" s="4">
        <v>99999</v>
      </c>
      <c r="C7" s="4">
        <v>99999</v>
      </c>
      <c r="D7" s="4">
        <v>99999</v>
      </c>
      <c r="E7" s="4">
        <v>99999</v>
      </c>
      <c r="F7" s="4">
        <v>99999</v>
      </c>
      <c r="G7" s="4">
        <v>99999</v>
      </c>
      <c r="H7" s="4">
        <v>99999</v>
      </c>
      <c r="I7" s="4">
        <v>99999</v>
      </c>
      <c r="J7" s="4">
        <v>99999</v>
      </c>
      <c r="K7" s="4">
        <v>99999</v>
      </c>
      <c r="L7" s="4">
        <v>99999</v>
      </c>
      <c r="M7" s="4">
        <v>99999</v>
      </c>
      <c r="N7" s="4">
        <v>99999</v>
      </c>
      <c r="O7" s="4">
        <v>99999</v>
      </c>
      <c r="P7" s="4">
        <v>99999</v>
      </c>
      <c r="Q7" s="4">
        <v>99999</v>
      </c>
      <c r="R7" s="4">
        <v>99999</v>
      </c>
      <c r="S7" s="4">
        <v>99999</v>
      </c>
      <c r="T7" s="4">
        <v>99999</v>
      </c>
      <c r="U7" s="4">
        <v>99999</v>
      </c>
      <c r="V7" s="4">
        <v>99999</v>
      </c>
      <c r="W7" s="4">
        <v>99999</v>
      </c>
      <c r="X7" s="4">
        <v>99999</v>
      </c>
      <c r="Y7" s="4">
        <v>99999</v>
      </c>
      <c r="Z7" s="4">
        <v>99999</v>
      </c>
      <c r="AA7" s="4">
        <v>99999</v>
      </c>
      <c r="AB7" s="4">
        <v>99999</v>
      </c>
      <c r="AC7" s="4">
        <v>99999</v>
      </c>
      <c r="AD7" s="4">
        <v>99999</v>
      </c>
      <c r="AE7" s="4">
        <v>99999</v>
      </c>
    </row>
    <row r="8" spans="1:32">
      <c r="A8" t="s">
        <v>125</v>
      </c>
      <c r="B8" s="4">
        <v>99999</v>
      </c>
      <c r="C8" s="4">
        <v>99999</v>
      </c>
      <c r="D8" s="4">
        <v>99999</v>
      </c>
      <c r="E8" s="4">
        <v>99999</v>
      </c>
      <c r="F8" s="4">
        <v>99999</v>
      </c>
      <c r="G8" s="4">
        <v>99999</v>
      </c>
      <c r="H8" s="4">
        <v>99999</v>
      </c>
      <c r="I8" s="4">
        <v>99999</v>
      </c>
      <c r="J8" s="4">
        <v>99999</v>
      </c>
      <c r="K8" s="4">
        <v>99999</v>
      </c>
      <c r="L8" s="4">
        <v>99999</v>
      </c>
      <c r="M8" s="4">
        <v>99999</v>
      </c>
      <c r="N8" s="4">
        <v>99999</v>
      </c>
      <c r="O8" s="4">
        <v>99999</v>
      </c>
      <c r="P8" s="4">
        <v>99999</v>
      </c>
      <c r="Q8" s="4">
        <v>99999</v>
      </c>
      <c r="R8" s="4">
        <v>99999</v>
      </c>
      <c r="S8" s="4">
        <v>99999</v>
      </c>
      <c r="T8" s="4">
        <v>99999</v>
      </c>
      <c r="U8" s="4">
        <v>99999</v>
      </c>
      <c r="V8" s="4">
        <v>99999</v>
      </c>
      <c r="W8" s="4">
        <v>99999</v>
      </c>
      <c r="X8" s="4">
        <v>99999</v>
      </c>
      <c r="Y8" s="4">
        <v>99999</v>
      </c>
      <c r="Z8" s="4">
        <v>99999</v>
      </c>
      <c r="AA8" s="4">
        <v>99999</v>
      </c>
      <c r="AB8" s="4">
        <v>99999</v>
      </c>
      <c r="AC8" s="4">
        <v>99999</v>
      </c>
      <c r="AD8" s="4">
        <v>99999</v>
      </c>
      <c r="AE8" s="4">
        <v>99999</v>
      </c>
    </row>
    <row r="9" spans="1:32">
      <c r="A9" t="s">
        <v>26</v>
      </c>
      <c r="B9" s="4">
        <v>99999</v>
      </c>
      <c r="C9" s="4">
        <v>99999</v>
      </c>
      <c r="D9" s="4">
        <v>99999</v>
      </c>
      <c r="E9" s="4">
        <v>99999</v>
      </c>
      <c r="F9" s="4">
        <v>99999</v>
      </c>
      <c r="G9" s="4">
        <v>99999</v>
      </c>
      <c r="H9" s="4">
        <v>99999</v>
      </c>
      <c r="I9" s="4">
        <v>99999</v>
      </c>
      <c r="J9" s="4">
        <v>99999</v>
      </c>
      <c r="K9" s="4">
        <v>99999</v>
      </c>
      <c r="L9" s="4">
        <v>99999</v>
      </c>
      <c r="M9" s="4">
        <v>99999</v>
      </c>
      <c r="N9" s="4">
        <v>99999</v>
      </c>
      <c r="O9" s="4">
        <v>99999</v>
      </c>
      <c r="P9" s="4">
        <v>99999</v>
      </c>
      <c r="Q9" s="4">
        <v>99999</v>
      </c>
      <c r="R9" s="4">
        <v>99999</v>
      </c>
      <c r="S9" s="4">
        <v>99999</v>
      </c>
      <c r="T9" s="4">
        <v>99999</v>
      </c>
      <c r="U9" s="4">
        <v>99999</v>
      </c>
      <c r="V9" s="4">
        <v>99999</v>
      </c>
      <c r="W9" s="4">
        <v>99999</v>
      </c>
      <c r="X9" s="4">
        <v>99999</v>
      </c>
      <c r="Y9" s="4">
        <v>99999</v>
      </c>
      <c r="Z9" s="4">
        <v>99999</v>
      </c>
      <c r="AA9" s="4">
        <v>99999</v>
      </c>
      <c r="AB9" s="4">
        <v>99999</v>
      </c>
      <c r="AC9" s="4">
        <v>99999</v>
      </c>
      <c r="AD9" s="4">
        <v>99999</v>
      </c>
      <c r="AE9" s="4">
        <v>99999</v>
      </c>
    </row>
    <row r="10" spans="1:32">
      <c r="A10" t="s">
        <v>27</v>
      </c>
      <c r="B10" s="4">
        <v>99999</v>
      </c>
      <c r="C10" s="4">
        <v>99999</v>
      </c>
      <c r="D10" s="4">
        <v>99999</v>
      </c>
      <c r="E10" s="4">
        <v>99999</v>
      </c>
      <c r="F10" s="4">
        <v>99999</v>
      </c>
      <c r="G10" s="4">
        <v>99999</v>
      </c>
      <c r="H10" s="4">
        <v>99999</v>
      </c>
      <c r="I10" s="4">
        <v>99999</v>
      </c>
      <c r="J10" s="4">
        <v>99999</v>
      </c>
      <c r="K10" s="4">
        <v>99999</v>
      </c>
      <c r="L10" s="4">
        <v>99999</v>
      </c>
      <c r="M10" s="4">
        <v>99999</v>
      </c>
      <c r="N10" s="4">
        <v>99999</v>
      </c>
      <c r="O10" s="4">
        <v>99999</v>
      </c>
      <c r="P10" s="4">
        <v>99999</v>
      </c>
      <c r="Q10" s="4">
        <v>99999</v>
      </c>
      <c r="R10" s="4">
        <v>99999</v>
      </c>
      <c r="S10" s="4">
        <v>99999</v>
      </c>
      <c r="T10" s="4">
        <v>99999</v>
      </c>
      <c r="U10" s="4">
        <v>99999</v>
      </c>
      <c r="V10" s="4">
        <v>99999</v>
      </c>
      <c r="W10" s="4">
        <v>99999</v>
      </c>
      <c r="X10" s="4">
        <v>99999</v>
      </c>
      <c r="Y10" s="4">
        <v>99999</v>
      </c>
      <c r="Z10" s="4">
        <v>99999</v>
      </c>
      <c r="AA10" s="4">
        <v>99999</v>
      </c>
      <c r="AB10" s="4">
        <v>99999</v>
      </c>
      <c r="AC10" s="4">
        <v>99999</v>
      </c>
      <c r="AD10" s="4">
        <v>99999</v>
      </c>
      <c r="AE10" s="4">
        <v>99999</v>
      </c>
    </row>
    <row r="11" spans="1:32">
      <c r="A11" t="s">
        <v>28</v>
      </c>
      <c r="B11" s="4">
        <v>99999</v>
      </c>
      <c r="C11" s="4">
        <v>99999</v>
      </c>
      <c r="D11" s="4">
        <v>99999</v>
      </c>
      <c r="E11" s="4">
        <v>99999</v>
      </c>
      <c r="F11" s="4">
        <v>99999</v>
      </c>
      <c r="G11" s="4">
        <v>99999</v>
      </c>
      <c r="H11" s="4">
        <v>99999</v>
      </c>
      <c r="I11" s="4">
        <v>99999</v>
      </c>
      <c r="J11" s="4">
        <v>99999</v>
      </c>
      <c r="K11" s="4">
        <v>99999</v>
      </c>
      <c r="L11" s="4">
        <v>99999</v>
      </c>
      <c r="M11" s="4">
        <v>99999</v>
      </c>
      <c r="N11" s="4">
        <v>99999</v>
      </c>
      <c r="O11" s="4">
        <v>99999</v>
      </c>
      <c r="P11" s="4">
        <v>99999</v>
      </c>
      <c r="Q11" s="4">
        <v>99999</v>
      </c>
      <c r="R11" s="4">
        <v>99999</v>
      </c>
      <c r="S11" s="4">
        <v>99999</v>
      </c>
      <c r="T11" s="4">
        <v>99999</v>
      </c>
      <c r="U11" s="4">
        <v>99999</v>
      </c>
      <c r="V11" s="4">
        <v>99999</v>
      </c>
      <c r="W11" s="4">
        <v>99999</v>
      </c>
      <c r="X11" s="4">
        <v>99999</v>
      </c>
      <c r="Y11" s="4">
        <v>99999</v>
      </c>
      <c r="Z11" s="4">
        <v>99999</v>
      </c>
      <c r="AA11" s="4">
        <v>99999</v>
      </c>
      <c r="AB11" s="4">
        <v>99999</v>
      </c>
      <c r="AC11" s="4">
        <v>99999</v>
      </c>
      <c r="AD11" s="4">
        <v>99999</v>
      </c>
      <c r="AE11" s="4">
        <v>99999</v>
      </c>
    </row>
    <row r="12" spans="1:32">
      <c r="A12" t="s">
        <v>29</v>
      </c>
      <c r="B12" s="4">
        <v>99999</v>
      </c>
      <c r="C12" s="4">
        <v>99999</v>
      </c>
      <c r="D12" s="4">
        <v>99999</v>
      </c>
      <c r="E12" s="4">
        <v>99999</v>
      </c>
      <c r="F12" s="4">
        <v>99999</v>
      </c>
      <c r="G12" s="4">
        <v>99999</v>
      </c>
      <c r="H12" s="4">
        <v>99999</v>
      </c>
      <c r="I12" s="4">
        <v>99999</v>
      </c>
      <c r="J12" s="4">
        <v>99999</v>
      </c>
      <c r="K12" s="4">
        <v>99999</v>
      </c>
      <c r="L12" s="4">
        <v>99999</v>
      </c>
      <c r="M12" s="4">
        <v>99999</v>
      </c>
      <c r="N12" s="4">
        <v>99999</v>
      </c>
      <c r="O12" s="4">
        <v>99999</v>
      </c>
      <c r="P12" s="4">
        <v>99999</v>
      </c>
      <c r="Q12" s="4">
        <v>99999</v>
      </c>
      <c r="R12" s="4">
        <v>99999</v>
      </c>
      <c r="S12" s="4">
        <v>99999</v>
      </c>
      <c r="T12" s="4">
        <v>99999</v>
      </c>
      <c r="U12" s="4">
        <v>99999</v>
      </c>
      <c r="V12" s="4">
        <v>99999</v>
      </c>
      <c r="W12" s="4">
        <v>99999</v>
      </c>
      <c r="X12" s="4">
        <v>99999</v>
      </c>
      <c r="Y12" s="4">
        <v>99999</v>
      </c>
      <c r="Z12" s="4">
        <v>99999</v>
      </c>
      <c r="AA12" s="4">
        <v>99999</v>
      </c>
      <c r="AB12" s="4">
        <v>99999</v>
      </c>
      <c r="AC12" s="4">
        <v>99999</v>
      </c>
      <c r="AD12" s="4">
        <v>99999</v>
      </c>
      <c r="AE12" s="4">
        <v>99999</v>
      </c>
    </row>
    <row r="13" spans="1:32">
      <c r="A13" t="s">
        <v>30</v>
      </c>
      <c r="B13" s="4">
        <v>99999</v>
      </c>
      <c r="C13" s="4">
        <v>99999</v>
      </c>
      <c r="D13" s="4">
        <v>99999</v>
      </c>
      <c r="E13" s="4">
        <v>99999</v>
      </c>
      <c r="F13" s="4">
        <v>99999</v>
      </c>
      <c r="G13" s="4">
        <v>99999</v>
      </c>
      <c r="H13" s="4">
        <v>99999</v>
      </c>
      <c r="I13" s="4">
        <v>99999</v>
      </c>
      <c r="J13" s="4">
        <v>99999</v>
      </c>
      <c r="K13" s="4">
        <v>99999</v>
      </c>
      <c r="L13" s="4">
        <v>99999</v>
      </c>
      <c r="M13" s="4">
        <v>99999</v>
      </c>
      <c r="N13" s="4">
        <v>99999</v>
      </c>
      <c r="O13" s="4">
        <v>99999</v>
      </c>
      <c r="P13" s="4">
        <v>99999</v>
      </c>
      <c r="Q13" s="4">
        <v>99999</v>
      </c>
      <c r="R13" s="4">
        <v>99999</v>
      </c>
      <c r="S13" s="4">
        <v>99999</v>
      </c>
      <c r="T13" s="4">
        <v>99999</v>
      </c>
      <c r="U13" s="4">
        <v>99999</v>
      </c>
      <c r="V13" s="4">
        <v>99999</v>
      </c>
      <c r="W13" s="4">
        <v>99999</v>
      </c>
      <c r="X13" s="4">
        <v>99999</v>
      </c>
      <c r="Y13" s="4">
        <v>99999</v>
      </c>
      <c r="Z13" s="4">
        <v>99999</v>
      </c>
      <c r="AA13" s="4">
        <v>99999</v>
      </c>
      <c r="AB13" s="4">
        <v>99999</v>
      </c>
      <c r="AC13" s="4">
        <v>99999</v>
      </c>
      <c r="AD13" s="4">
        <v>99999</v>
      </c>
      <c r="AE13" s="4">
        <v>99999</v>
      </c>
    </row>
    <row r="14" spans="1:32">
      <c r="A14" t="s">
        <v>31</v>
      </c>
      <c r="B14" s="4">
        <v>99999</v>
      </c>
      <c r="C14" s="4">
        <v>99999</v>
      </c>
      <c r="D14" s="4">
        <v>99999</v>
      </c>
      <c r="E14" s="4">
        <v>99999</v>
      </c>
      <c r="F14" s="4">
        <v>99999</v>
      </c>
      <c r="G14" s="4">
        <v>99999</v>
      </c>
      <c r="H14" s="4">
        <v>99999</v>
      </c>
      <c r="I14" s="4">
        <v>99999</v>
      </c>
      <c r="J14" s="4">
        <v>99999</v>
      </c>
      <c r="K14" s="4">
        <v>99999</v>
      </c>
      <c r="L14" s="4">
        <v>99999</v>
      </c>
      <c r="M14" s="4">
        <v>99999</v>
      </c>
      <c r="N14" s="4">
        <v>99999</v>
      </c>
      <c r="O14" s="4">
        <v>99999</v>
      </c>
      <c r="P14" s="4">
        <v>99999</v>
      </c>
      <c r="Q14" s="4">
        <v>99999</v>
      </c>
      <c r="R14" s="4">
        <v>99999</v>
      </c>
      <c r="S14" s="4">
        <v>99999</v>
      </c>
      <c r="T14" s="4">
        <v>99999</v>
      </c>
      <c r="U14" s="4">
        <v>99999</v>
      </c>
      <c r="V14" s="4">
        <v>99999</v>
      </c>
      <c r="W14" s="4">
        <v>99999</v>
      </c>
      <c r="X14" s="4">
        <v>99999</v>
      </c>
      <c r="Y14" s="4">
        <v>99999</v>
      </c>
      <c r="Z14" s="4">
        <v>99999</v>
      </c>
      <c r="AA14" s="4">
        <v>99999</v>
      </c>
      <c r="AB14" s="4">
        <v>99999</v>
      </c>
      <c r="AC14" s="4">
        <v>99999</v>
      </c>
      <c r="AD14" s="4">
        <v>99999</v>
      </c>
      <c r="AE14" s="4">
        <v>99999</v>
      </c>
    </row>
    <row r="15" spans="1:32">
      <c r="A15" t="s">
        <v>126</v>
      </c>
      <c r="B15" s="4">
        <v>99999</v>
      </c>
      <c r="C15" s="4">
        <v>99999</v>
      </c>
      <c r="D15" s="4">
        <v>99999</v>
      </c>
      <c r="E15" s="4">
        <v>99999</v>
      </c>
      <c r="F15" s="4">
        <v>99999</v>
      </c>
      <c r="G15" s="4">
        <v>99999</v>
      </c>
      <c r="H15" s="4">
        <v>99999</v>
      </c>
      <c r="I15" s="4">
        <v>99999</v>
      </c>
      <c r="J15" s="4">
        <v>99999</v>
      </c>
      <c r="K15" s="4">
        <v>99999</v>
      </c>
      <c r="L15" s="4">
        <v>99999</v>
      </c>
      <c r="M15" s="4">
        <v>99999</v>
      </c>
      <c r="N15" s="4">
        <v>99999</v>
      </c>
      <c r="O15" s="4">
        <v>99999</v>
      </c>
      <c r="P15" s="4">
        <v>99999</v>
      </c>
      <c r="Q15" s="4">
        <v>99999</v>
      </c>
      <c r="R15" s="4">
        <v>99999</v>
      </c>
      <c r="S15" s="4">
        <v>99999</v>
      </c>
      <c r="T15" s="4">
        <v>99999</v>
      </c>
      <c r="U15" s="4">
        <v>99999</v>
      </c>
      <c r="V15" s="4">
        <v>99999</v>
      </c>
      <c r="W15" s="4">
        <v>99999</v>
      </c>
      <c r="X15" s="4">
        <v>99999</v>
      </c>
      <c r="Y15" s="4">
        <v>99999</v>
      </c>
      <c r="Z15" s="4">
        <v>99999</v>
      </c>
      <c r="AA15" s="4">
        <v>99999</v>
      </c>
      <c r="AB15" s="4">
        <v>99999</v>
      </c>
      <c r="AC15" s="4">
        <v>99999</v>
      </c>
      <c r="AD15" s="4">
        <v>99999</v>
      </c>
      <c r="AE15" s="4">
        <v>99999</v>
      </c>
    </row>
    <row r="16" spans="1:32">
      <c r="A16" t="s">
        <v>32</v>
      </c>
      <c r="B16" s="4">
        <v>99999</v>
      </c>
      <c r="C16" s="4">
        <v>99999</v>
      </c>
      <c r="D16" s="4">
        <v>99999</v>
      </c>
      <c r="E16" s="4">
        <v>99999</v>
      </c>
      <c r="F16" s="4">
        <v>99999</v>
      </c>
      <c r="G16" s="4">
        <v>99999</v>
      </c>
      <c r="H16" s="4">
        <v>99999</v>
      </c>
      <c r="I16" s="4">
        <v>99999</v>
      </c>
      <c r="J16" s="4">
        <v>99999</v>
      </c>
      <c r="K16" s="4">
        <v>99999</v>
      </c>
      <c r="L16" s="4">
        <v>99999</v>
      </c>
      <c r="M16" s="4">
        <v>99999</v>
      </c>
      <c r="N16" s="4">
        <v>99999</v>
      </c>
      <c r="O16" s="4">
        <v>99999</v>
      </c>
      <c r="P16" s="4">
        <v>99999</v>
      </c>
      <c r="Q16" s="4">
        <v>99999</v>
      </c>
      <c r="R16" s="4">
        <v>99999</v>
      </c>
      <c r="S16" s="4">
        <v>99999</v>
      </c>
      <c r="T16" s="4">
        <v>99999</v>
      </c>
      <c r="U16" s="4">
        <v>99999</v>
      </c>
      <c r="V16" s="4">
        <v>99999</v>
      </c>
      <c r="W16" s="4">
        <v>99999</v>
      </c>
      <c r="X16" s="4">
        <v>99999</v>
      </c>
      <c r="Y16" s="4">
        <v>99999</v>
      </c>
      <c r="Z16" s="4">
        <v>99999</v>
      </c>
      <c r="AA16" s="4">
        <v>99999</v>
      </c>
      <c r="AB16" s="4">
        <v>99999</v>
      </c>
      <c r="AC16" s="4">
        <v>99999</v>
      </c>
      <c r="AD16" s="4">
        <v>99999</v>
      </c>
      <c r="AE16" s="4">
        <v>99999</v>
      </c>
    </row>
    <row r="17" spans="1:31">
      <c r="A17" t="s">
        <v>33</v>
      </c>
      <c r="B17" s="4">
        <v>99999</v>
      </c>
      <c r="C17" s="4">
        <v>99999</v>
      </c>
      <c r="D17" s="4">
        <v>99999</v>
      </c>
      <c r="E17" s="4">
        <v>99999</v>
      </c>
      <c r="F17" s="4">
        <v>99999</v>
      </c>
      <c r="G17" s="4">
        <v>99999</v>
      </c>
      <c r="H17" s="4">
        <v>99999</v>
      </c>
      <c r="I17" s="4">
        <v>99999</v>
      </c>
      <c r="J17" s="4">
        <v>99999</v>
      </c>
      <c r="K17" s="4">
        <v>99999</v>
      </c>
      <c r="L17" s="4">
        <v>99999</v>
      </c>
      <c r="M17" s="4">
        <v>99999</v>
      </c>
      <c r="N17" s="4">
        <v>99999</v>
      </c>
      <c r="O17" s="4">
        <v>99999</v>
      </c>
      <c r="P17" s="4">
        <v>99999</v>
      </c>
      <c r="Q17" s="4">
        <v>99999</v>
      </c>
      <c r="R17" s="4">
        <v>99999</v>
      </c>
      <c r="S17" s="4">
        <v>99999</v>
      </c>
      <c r="T17" s="4">
        <v>99999</v>
      </c>
      <c r="U17" s="4">
        <v>99999</v>
      </c>
      <c r="V17" s="4">
        <v>99999</v>
      </c>
      <c r="W17" s="4">
        <v>99999</v>
      </c>
      <c r="X17" s="4">
        <v>99999</v>
      </c>
      <c r="Y17" s="4">
        <v>99999</v>
      </c>
      <c r="Z17" s="4">
        <v>99999</v>
      </c>
      <c r="AA17" s="4">
        <v>99999</v>
      </c>
      <c r="AB17" s="4">
        <v>99999</v>
      </c>
      <c r="AC17" s="4">
        <v>99999</v>
      </c>
      <c r="AD17" s="4">
        <v>99999</v>
      </c>
      <c r="AE17" s="4">
        <v>99999</v>
      </c>
    </row>
    <row r="18" spans="1:31">
      <c r="A18" t="s">
        <v>34</v>
      </c>
      <c r="B18">
        <v>99999</v>
      </c>
      <c r="C18">
        <v>99999</v>
      </c>
      <c r="D18">
        <v>99999</v>
      </c>
      <c r="E18">
        <v>99999</v>
      </c>
      <c r="F18">
        <v>99999</v>
      </c>
      <c r="G18">
        <v>99999</v>
      </c>
      <c r="H18">
        <v>99999</v>
      </c>
      <c r="I18">
        <v>99999</v>
      </c>
      <c r="J18">
        <v>99999</v>
      </c>
      <c r="K18">
        <v>99999</v>
      </c>
      <c r="L18">
        <v>99999</v>
      </c>
      <c r="M18">
        <v>99999</v>
      </c>
      <c r="N18">
        <v>99999</v>
      </c>
      <c r="O18">
        <v>99999</v>
      </c>
      <c r="P18">
        <v>99999</v>
      </c>
      <c r="Q18">
        <v>99999</v>
      </c>
      <c r="R18">
        <v>99999</v>
      </c>
      <c r="S18">
        <v>99999</v>
      </c>
      <c r="T18">
        <v>99999</v>
      </c>
      <c r="U18">
        <v>99999</v>
      </c>
      <c r="V18">
        <v>99999</v>
      </c>
      <c r="W18">
        <v>99999</v>
      </c>
      <c r="X18">
        <v>99999</v>
      </c>
      <c r="Y18">
        <v>99999</v>
      </c>
      <c r="Z18">
        <v>99999</v>
      </c>
      <c r="AA18">
        <v>99999</v>
      </c>
      <c r="AB18">
        <v>99999</v>
      </c>
      <c r="AC18">
        <v>99999</v>
      </c>
      <c r="AD18">
        <v>99999</v>
      </c>
      <c r="AE18">
        <v>99999</v>
      </c>
    </row>
    <row r="19" spans="1:31">
      <c r="A19" t="s">
        <v>77</v>
      </c>
      <c r="B19">
        <v>2208697.0648847581</v>
      </c>
      <c r="C19">
        <v>2281829.897111339</v>
      </c>
      <c r="D19">
        <v>2236468.5687684584</v>
      </c>
      <c r="E19">
        <v>2191204.1663408396</v>
      </c>
      <c r="F19">
        <v>2145842.837997959</v>
      </c>
      <c r="G19">
        <v>2100578.4355703406</v>
      </c>
      <c r="H19">
        <v>2055314.0331427217</v>
      </c>
      <c r="I19">
        <v>2009952.7047998405</v>
      </c>
      <c r="J19">
        <v>1964688.3023722221</v>
      </c>
      <c r="K19">
        <v>1919326.9740293408</v>
      </c>
      <c r="L19">
        <v>1874062.5716017226</v>
      </c>
      <c r="M19">
        <v>1828701.2432588416</v>
      </c>
      <c r="N19">
        <v>1738075.5124883417</v>
      </c>
      <c r="O19">
        <v>1692811.1100607233</v>
      </c>
      <c r="P19">
        <v>1692811.1100607233</v>
      </c>
      <c r="Q19">
        <v>1674201.3343303101</v>
      </c>
      <c r="R19">
        <v>1655591.5585998977</v>
      </c>
      <c r="S19">
        <v>1637078.7087847472</v>
      </c>
      <c r="T19">
        <v>1618468.9330543347</v>
      </c>
      <c r="U19">
        <v>1599859.1573239218</v>
      </c>
      <c r="V19">
        <v>1581249.3815935093</v>
      </c>
      <c r="W19">
        <v>1562639.6058630964</v>
      </c>
      <c r="X19">
        <v>1544126.7560479462</v>
      </c>
      <c r="Y19">
        <v>1525516.9803175335</v>
      </c>
      <c r="Z19">
        <v>1506907.2045871208</v>
      </c>
      <c r="AA19">
        <v>1488297.4288567079</v>
      </c>
      <c r="AB19">
        <v>1469687.6531262952</v>
      </c>
      <c r="AC19">
        <v>1451174.8033111452</v>
      </c>
      <c r="AD19">
        <v>1432565.0275807322</v>
      </c>
      <c r="AE19">
        <v>1413955.2518503193</v>
      </c>
    </row>
    <row r="20" spans="1:31">
      <c r="A20" t="s">
        <v>78</v>
      </c>
      <c r="B20">
        <v>1072474.759463849</v>
      </c>
      <c r="C20">
        <v>1107130.980894767</v>
      </c>
      <c r="D20">
        <v>1084226.0285104939</v>
      </c>
      <c r="E20">
        <v>1061233.6526438387</v>
      </c>
      <c r="F20">
        <v>1038241.2767771832</v>
      </c>
      <c r="G20">
        <v>1015248.9009105279</v>
      </c>
      <c r="H20">
        <v>992256.52504387253</v>
      </c>
      <c r="I20">
        <v>969264.14917721727</v>
      </c>
      <c r="J20">
        <v>946271.7733105619</v>
      </c>
      <c r="K20">
        <v>923279.3974439064</v>
      </c>
      <c r="L20">
        <v>900287.02157725103</v>
      </c>
      <c r="M20">
        <v>877382.06919297844</v>
      </c>
      <c r="N20">
        <v>854389.69332632306</v>
      </c>
      <c r="O20">
        <v>831397.31745966768</v>
      </c>
      <c r="P20">
        <v>808404.94159301231</v>
      </c>
      <c r="Q20">
        <v>799138.05246044404</v>
      </c>
      <c r="R20">
        <v>789871.16332787566</v>
      </c>
      <c r="S20">
        <v>780604.27419530728</v>
      </c>
      <c r="T20">
        <v>771424.80854512169</v>
      </c>
      <c r="U20">
        <v>762157.91941255331</v>
      </c>
      <c r="V20">
        <v>752891.03027998505</v>
      </c>
      <c r="W20">
        <v>743624.14114741667</v>
      </c>
      <c r="X20">
        <v>734357.25201484829</v>
      </c>
      <c r="Y20">
        <v>725090.36288228002</v>
      </c>
      <c r="Z20">
        <v>715910.89723209455</v>
      </c>
      <c r="AA20">
        <v>706644.00809952605</v>
      </c>
      <c r="AB20">
        <v>697377.11896695779</v>
      </c>
      <c r="AC20">
        <v>688110.22983438952</v>
      </c>
      <c r="AD20">
        <v>678843.34070182114</v>
      </c>
      <c r="AE20">
        <v>669576.45156925288</v>
      </c>
    </row>
    <row r="21" spans="1:31">
      <c r="A21" t="s">
        <v>79</v>
      </c>
      <c r="B21">
        <v>2208697.0648847581</v>
      </c>
      <c r="C21" s="25">
        <v>2281829.897111339</v>
      </c>
      <c r="D21">
        <v>2236468.5687684584</v>
      </c>
      <c r="E21">
        <v>2191204.1663408396</v>
      </c>
      <c r="F21">
        <v>2145842.837997959</v>
      </c>
      <c r="G21">
        <v>2100578.4355703406</v>
      </c>
      <c r="H21">
        <v>2055314.0331427217</v>
      </c>
      <c r="I21">
        <v>2009952.7047998405</v>
      </c>
      <c r="J21">
        <v>1964688.3023722221</v>
      </c>
      <c r="K21">
        <v>1919326.9740293408</v>
      </c>
      <c r="L21">
        <v>1874062.5716017226</v>
      </c>
      <c r="M21">
        <v>1828701.2432588416</v>
      </c>
      <c r="N21">
        <v>1738075.5124883417</v>
      </c>
      <c r="O21">
        <v>1692811.1100607233</v>
      </c>
      <c r="P21">
        <v>1692811.1100607233</v>
      </c>
      <c r="Q21">
        <v>1674201.3343303101</v>
      </c>
      <c r="R21">
        <v>1655591.5585998977</v>
      </c>
      <c r="S21">
        <v>1637078.7087847472</v>
      </c>
      <c r="T21">
        <v>1618468.9330543347</v>
      </c>
      <c r="U21">
        <v>1599859.1573239218</v>
      </c>
      <c r="V21">
        <v>1581249.3815935093</v>
      </c>
      <c r="W21">
        <v>1562639.6058630964</v>
      </c>
      <c r="X21">
        <v>1544126.7560479462</v>
      </c>
      <c r="Y21">
        <v>1525516.9803175335</v>
      </c>
      <c r="Z21">
        <v>1506907.2045871208</v>
      </c>
      <c r="AA21">
        <v>1488297.4288567079</v>
      </c>
      <c r="AB21">
        <v>1469687.6531262952</v>
      </c>
      <c r="AC21">
        <v>1451174.8033111452</v>
      </c>
      <c r="AD21">
        <v>1432565.0275807322</v>
      </c>
      <c r="AE21">
        <v>1413955.2518503193</v>
      </c>
    </row>
    <row r="22" spans="1:31">
      <c r="A22" t="s">
        <v>80</v>
      </c>
      <c r="B22">
        <v>2208697.0648847581</v>
      </c>
      <c r="C22" s="25">
        <v>2281829.897111339</v>
      </c>
      <c r="D22">
        <v>2236468.5687684584</v>
      </c>
      <c r="E22">
        <v>2191204.1663408396</v>
      </c>
      <c r="F22">
        <v>2145842.837997959</v>
      </c>
      <c r="G22">
        <v>2100578.4355703406</v>
      </c>
      <c r="H22">
        <v>2055314.0331427217</v>
      </c>
      <c r="I22">
        <v>2009952.7047998405</v>
      </c>
      <c r="J22">
        <v>1964688.3023722221</v>
      </c>
      <c r="K22">
        <v>1919326.9740293408</v>
      </c>
      <c r="L22">
        <v>1874062.5716017226</v>
      </c>
      <c r="M22">
        <v>1828701.2432588416</v>
      </c>
      <c r="N22">
        <v>1738075.5124883417</v>
      </c>
      <c r="O22">
        <v>1692811.1100607233</v>
      </c>
      <c r="P22">
        <v>1692811.1100607233</v>
      </c>
      <c r="Q22">
        <v>1674201.3343303101</v>
      </c>
      <c r="R22">
        <v>1655591.5585998977</v>
      </c>
      <c r="S22">
        <v>1637078.7087847472</v>
      </c>
      <c r="T22">
        <v>1618468.9330543347</v>
      </c>
      <c r="U22">
        <v>1599859.1573239218</v>
      </c>
      <c r="V22">
        <v>1581249.3815935093</v>
      </c>
      <c r="W22">
        <v>1562639.6058630964</v>
      </c>
      <c r="X22">
        <v>1544126.7560479462</v>
      </c>
      <c r="Y22">
        <v>1525516.9803175335</v>
      </c>
      <c r="Z22">
        <v>1506907.2045871208</v>
      </c>
      <c r="AA22">
        <v>1488297.4288567079</v>
      </c>
      <c r="AB22">
        <v>1469687.6531262952</v>
      </c>
      <c r="AC22">
        <v>1451174.8033111452</v>
      </c>
      <c r="AD22">
        <v>1432565.0275807322</v>
      </c>
      <c r="AE22">
        <v>1413955.2518503193</v>
      </c>
    </row>
    <row r="23" spans="1:31">
      <c r="A23" t="s">
        <v>88</v>
      </c>
      <c r="B23">
        <v>99999</v>
      </c>
      <c r="C23" s="25">
        <v>99999</v>
      </c>
      <c r="D23">
        <v>99999</v>
      </c>
      <c r="E23">
        <v>99999</v>
      </c>
      <c r="F23">
        <v>99999</v>
      </c>
      <c r="G23">
        <v>99999</v>
      </c>
      <c r="H23">
        <v>99999</v>
      </c>
      <c r="I23">
        <v>99999</v>
      </c>
      <c r="J23">
        <v>99999</v>
      </c>
      <c r="K23">
        <v>99999</v>
      </c>
      <c r="L23">
        <v>99999</v>
      </c>
      <c r="M23">
        <v>99999</v>
      </c>
      <c r="N23">
        <v>99999</v>
      </c>
      <c r="O23">
        <v>99999</v>
      </c>
      <c r="P23">
        <v>99999</v>
      </c>
      <c r="Q23">
        <v>99999</v>
      </c>
      <c r="R23">
        <v>99999</v>
      </c>
      <c r="S23">
        <v>99999</v>
      </c>
      <c r="T23">
        <v>99999</v>
      </c>
      <c r="U23">
        <v>99999</v>
      </c>
      <c r="V23">
        <v>99999</v>
      </c>
      <c r="W23">
        <v>99999</v>
      </c>
      <c r="X23">
        <v>99999</v>
      </c>
      <c r="Y23">
        <v>99999</v>
      </c>
      <c r="Z23">
        <v>99999</v>
      </c>
      <c r="AA23">
        <v>99999</v>
      </c>
      <c r="AB23">
        <v>99999</v>
      </c>
      <c r="AC23">
        <v>99999</v>
      </c>
      <c r="AD23">
        <v>99999</v>
      </c>
      <c r="AE23">
        <v>99999</v>
      </c>
    </row>
    <row r="24" spans="1:31">
      <c r="A24" s="24" t="s">
        <v>89</v>
      </c>
      <c r="B24">
        <v>99999</v>
      </c>
      <c r="C24" s="25">
        <v>99999</v>
      </c>
      <c r="D24">
        <v>99999</v>
      </c>
      <c r="E24">
        <v>99999</v>
      </c>
      <c r="F24">
        <v>99999</v>
      </c>
      <c r="G24">
        <v>99999</v>
      </c>
      <c r="H24">
        <v>99999</v>
      </c>
      <c r="I24">
        <v>99999</v>
      </c>
      <c r="J24">
        <v>99999</v>
      </c>
      <c r="K24">
        <v>99999</v>
      </c>
      <c r="L24">
        <v>99999</v>
      </c>
      <c r="M24">
        <v>99999</v>
      </c>
      <c r="N24">
        <v>99999</v>
      </c>
      <c r="O24">
        <v>99999</v>
      </c>
      <c r="P24">
        <v>99999</v>
      </c>
      <c r="Q24">
        <v>99999</v>
      </c>
      <c r="R24">
        <v>99999</v>
      </c>
      <c r="S24">
        <v>99999</v>
      </c>
      <c r="T24">
        <v>99999</v>
      </c>
      <c r="U24">
        <v>99999</v>
      </c>
      <c r="V24">
        <v>99999</v>
      </c>
      <c r="W24">
        <v>99999</v>
      </c>
      <c r="X24">
        <v>99999</v>
      </c>
      <c r="Y24">
        <v>99999</v>
      </c>
      <c r="Z24">
        <v>99999</v>
      </c>
      <c r="AA24">
        <v>99999</v>
      </c>
      <c r="AB24">
        <v>99999</v>
      </c>
      <c r="AC24">
        <v>99999</v>
      </c>
      <c r="AD24">
        <v>99999</v>
      </c>
      <c r="AE24">
        <v>99999</v>
      </c>
    </row>
    <row r="25" spans="1:31">
      <c r="A25" s="24" t="s">
        <v>90</v>
      </c>
      <c r="B25">
        <v>99999</v>
      </c>
      <c r="C25" s="25">
        <v>99999</v>
      </c>
      <c r="D25">
        <v>99999</v>
      </c>
      <c r="E25">
        <v>99999</v>
      </c>
      <c r="F25">
        <v>99999</v>
      </c>
      <c r="G25">
        <v>99999</v>
      </c>
      <c r="H25">
        <v>99999</v>
      </c>
      <c r="I25">
        <v>99999</v>
      </c>
      <c r="J25">
        <v>99999</v>
      </c>
      <c r="K25">
        <v>99999</v>
      </c>
      <c r="L25">
        <v>99999</v>
      </c>
      <c r="M25">
        <v>99999</v>
      </c>
      <c r="N25">
        <v>99999</v>
      </c>
      <c r="O25">
        <v>99999</v>
      </c>
      <c r="P25">
        <v>99999</v>
      </c>
      <c r="Q25">
        <v>99999</v>
      </c>
      <c r="R25">
        <v>99999</v>
      </c>
      <c r="S25">
        <v>99999</v>
      </c>
      <c r="T25">
        <v>99999</v>
      </c>
      <c r="U25">
        <v>99999</v>
      </c>
      <c r="V25">
        <v>99999</v>
      </c>
      <c r="W25">
        <v>99999</v>
      </c>
      <c r="X25">
        <v>99999</v>
      </c>
      <c r="Y25">
        <v>99999</v>
      </c>
      <c r="Z25">
        <v>99999</v>
      </c>
      <c r="AA25">
        <v>99999</v>
      </c>
      <c r="AB25">
        <v>99999</v>
      </c>
      <c r="AC25">
        <v>99999</v>
      </c>
      <c r="AD25">
        <v>99999</v>
      </c>
      <c r="AE25">
        <v>99999</v>
      </c>
    </row>
    <row r="26" spans="1:31">
      <c r="C26" s="13"/>
    </row>
    <row r="27" spans="1:31">
      <c r="C27" s="13"/>
    </row>
    <row r="28" spans="1:31">
      <c r="C28" s="13"/>
    </row>
    <row r="29" spans="1:31">
      <c r="C29" s="13"/>
    </row>
    <row r="30" spans="1:31">
      <c r="C30" s="13"/>
    </row>
    <row r="31" spans="1:31">
      <c r="C31" s="13"/>
    </row>
    <row r="32" spans="1:31">
      <c r="C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</sheetData>
  <phoneticPr fontId="3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2B78-ECE2-4832-91C2-B9629B8395BB}">
  <sheetPr>
    <tabColor theme="3"/>
  </sheetPr>
  <dimension ref="A1:HC25"/>
  <sheetViews>
    <sheetView zoomScale="70" zoomScaleNormal="70" workbookViewId="0">
      <selection activeCell="J45" sqref="J45"/>
    </sheetView>
  </sheetViews>
  <sheetFormatPr defaultColWidth="8.81640625" defaultRowHeight="14.5"/>
  <cols>
    <col min="1" max="1" width="31.08984375" bestFit="1" customWidth="1"/>
    <col min="118" max="118" width="12.81640625" customWidth="1"/>
    <col min="132" max="132" width="12.54296875" customWidth="1"/>
    <col min="135" max="135" width="9.08984375" customWidth="1"/>
    <col min="137" max="137" width="9.08984375" customWidth="1"/>
  </cols>
  <sheetData>
    <row r="1" spans="1:211" ht="29">
      <c r="A1" s="9" t="s">
        <v>123</v>
      </c>
      <c r="B1" s="9" t="s">
        <v>177</v>
      </c>
      <c r="C1" s="9" t="s">
        <v>178</v>
      </c>
      <c r="D1" s="9" t="s">
        <v>179</v>
      </c>
      <c r="E1" s="9" t="s">
        <v>180</v>
      </c>
      <c r="F1" s="9" t="s">
        <v>181</v>
      </c>
      <c r="G1" s="9" t="s">
        <v>182</v>
      </c>
      <c r="H1" s="9" t="s">
        <v>183</v>
      </c>
      <c r="I1" s="9" t="s">
        <v>184</v>
      </c>
      <c r="J1" s="9" t="s">
        <v>185</v>
      </c>
      <c r="K1" s="9" t="s">
        <v>186</v>
      </c>
      <c r="L1" s="9" t="s">
        <v>187</v>
      </c>
      <c r="M1" s="9" t="s">
        <v>188</v>
      </c>
      <c r="N1" s="9" t="s">
        <v>189</v>
      </c>
      <c r="O1" s="9" t="s">
        <v>190</v>
      </c>
      <c r="P1" s="9" t="s">
        <v>191</v>
      </c>
      <c r="Q1" s="9" t="s">
        <v>192</v>
      </c>
      <c r="R1" s="9" t="s">
        <v>193</v>
      </c>
      <c r="S1" s="9" t="s">
        <v>194</v>
      </c>
      <c r="T1" s="9" t="s">
        <v>195</v>
      </c>
      <c r="U1" s="9" t="s">
        <v>196</v>
      </c>
      <c r="V1" s="9" t="s">
        <v>197</v>
      </c>
      <c r="W1" s="9" t="s">
        <v>198</v>
      </c>
      <c r="X1" s="9" t="s">
        <v>199</v>
      </c>
      <c r="Y1" s="9" t="s">
        <v>200</v>
      </c>
      <c r="Z1" s="9" t="s">
        <v>201</v>
      </c>
      <c r="AA1" s="9" t="s">
        <v>202</v>
      </c>
      <c r="AB1" s="9" t="s">
        <v>203</v>
      </c>
      <c r="AC1" s="9" t="s">
        <v>204</v>
      </c>
      <c r="AD1" s="9" t="s">
        <v>205</v>
      </c>
      <c r="AE1" s="9" t="s">
        <v>206</v>
      </c>
      <c r="AF1" s="9" t="s">
        <v>207</v>
      </c>
      <c r="AG1" s="9" t="s">
        <v>208</v>
      </c>
      <c r="AH1" s="9" t="s">
        <v>209</v>
      </c>
      <c r="AI1" s="9" t="s">
        <v>210</v>
      </c>
      <c r="AJ1" s="9" t="s">
        <v>211</v>
      </c>
      <c r="AK1" s="9" t="s">
        <v>212</v>
      </c>
      <c r="AL1" s="9" t="s">
        <v>213</v>
      </c>
      <c r="AM1" s="9" t="s">
        <v>214</v>
      </c>
      <c r="AN1" s="9" t="s">
        <v>215</v>
      </c>
      <c r="AO1" s="9" t="s">
        <v>216</v>
      </c>
      <c r="AP1" s="9" t="s">
        <v>217</v>
      </c>
      <c r="AQ1" s="9" t="s">
        <v>218</v>
      </c>
      <c r="AR1" s="9" t="s">
        <v>219</v>
      </c>
      <c r="AS1" s="9" t="s">
        <v>220</v>
      </c>
      <c r="AT1" s="9" t="s">
        <v>221</v>
      </c>
      <c r="AU1" s="9" t="s">
        <v>222</v>
      </c>
      <c r="AV1" s="9" t="s">
        <v>223</v>
      </c>
      <c r="AW1" s="9" t="s">
        <v>224</v>
      </c>
      <c r="AX1" s="9" t="s">
        <v>225</v>
      </c>
      <c r="AY1" s="9" t="s">
        <v>226</v>
      </c>
      <c r="AZ1" s="9" t="s">
        <v>227</v>
      </c>
      <c r="BA1" s="9" t="s">
        <v>228</v>
      </c>
      <c r="BB1" s="9" t="s">
        <v>229</v>
      </c>
      <c r="BC1" s="9" t="s">
        <v>230</v>
      </c>
      <c r="BD1" s="9" t="s">
        <v>231</v>
      </c>
      <c r="BE1" s="9" t="s">
        <v>232</v>
      </c>
      <c r="BF1" s="9" t="s">
        <v>233</v>
      </c>
      <c r="BG1" s="9" t="s">
        <v>234</v>
      </c>
      <c r="BH1" s="9" t="s">
        <v>235</v>
      </c>
      <c r="BI1" s="9" t="s">
        <v>236</v>
      </c>
      <c r="BJ1" s="9" t="s">
        <v>237</v>
      </c>
      <c r="BK1" s="9" t="s">
        <v>238</v>
      </c>
      <c r="BL1" s="9" t="s">
        <v>239</v>
      </c>
      <c r="BM1" s="9" t="s">
        <v>240</v>
      </c>
      <c r="BN1" s="9" t="s">
        <v>241</v>
      </c>
      <c r="BO1" s="9" t="s">
        <v>242</v>
      </c>
      <c r="BP1" s="9" t="s">
        <v>243</v>
      </c>
      <c r="BQ1" s="9" t="s">
        <v>244</v>
      </c>
      <c r="BR1" s="9" t="s">
        <v>245</v>
      </c>
      <c r="BS1" s="9" t="s">
        <v>246</v>
      </c>
      <c r="BT1" s="9" t="s">
        <v>247</v>
      </c>
      <c r="BU1" s="9" t="s">
        <v>248</v>
      </c>
      <c r="BV1" s="9" t="s">
        <v>249</v>
      </c>
      <c r="BW1" s="9" t="s">
        <v>250</v>
      </c>
      <c r="BX1" s="9" t="s">
        <v>251</v>
      </c>
      <c r="BY1" s="9" t="s">
        <v>252</v>
      </c>
      <c r="BZ1" s="9" t="s">
        <v>253</v>
      </c>
      <c r="CA1" s="9" t="s">
        <v>254</v>
      </c>
      <c r="CB1" s="9" t="s">
        <v>255</v>
      </c>
      <c r="CC1" s="9" t="s">
        <v>256</v>
      </c>
      <c r="CD1" s="9" t="s">
        <v>257</v>
      </c>
      <c r="CE1" s="9" t="s">
        <v>258</v>
      </c>
      <c r="CF1" s="9" t="s">
        <v>259</v>
      </c>
      <c r="CG1" s="9" t="s">
        <v>260</v>
      </c>
      <c r="CH1" s="9" t="s">
        <v>261</v>
      </c>
      <c r="CI1" s="9" t="s">
        <v>262</v>
      </c>
      <c r="CJ1" s="9" t="s">
        <v>263</v>
      </c>
      <c r="CK1" s="9" t="s">
        <v>264</v>
      </c>
      <c r="CL1" s="9" t="s">
        <v>265</v>
      </c>
      <c r="CM1" s="9" t="s">
        <v>266</v>
      </c>
      <c r="CN1" s="9" t="s">
        <v>267</v>
      </c>
      <c r="CO1" s="9" t="s">
        <v>268</v>
      </c>
      <c r="CP1" s="9" t="s">
        <v>269</v>
      </c>
      <c r="CQ1" s="9" t="s">
        <v>270</v>
      </c>
      <c r="CR1" s="9" t="s">
        <v>271</v>
      </c>
      <c r="CS1" s="9" t="s">
        <v>272</v>
      </c>
      <c r="CT1" s="9" t="s">
        <v>273</v>
      </c>
      <c r="CU1" s="9" t="s">
        <v>274</v>
      </c>
      <c r="CV1" s="9" t="s">
        <v>275</v>
      </c>
      <c r="CW1" s="9" t="s">
        <v>276</v>
      </c>
      <c r="CX1" s="9" t="s">
        <v>277</v>
      </c>
      <c r="CY1" s="9" t="s">
        <v>278</v>
      </c>
      <c r="CZ1" s="9" t="s">
        <v>279</v>
      </c>
      <c r="DA1" s="9" t="s">
        <v>280</v>
      </c>
      <c r="DB1" s="9" t="s">
        <v>281</v>
      </c>
      <c r="DC1" s="9" t="s">
        <v>282</v>
      </c>
      <c r="DD1" s="9" t="s">
        <v>283</v>
      </c>
      <c r="DE1" s="9" t="s">
        <v>284</v>
      </c>
      <c r="DF1" s="9" t="s">
        <v>285</v>
      </c>
      <c r="DG1" s="9" t="s">
        <v>286</v>
      </c>
      <c r="DH1" s="9" t="s">
        <v>287</v>
      </c>
      <c r="DI1" s="9" t="s">
        <v>288</v>
      </c>
      <c r="DJ1" s="9" t="s">
        <v>289</v>
      </c>
      <c r="DK1" s="9" t="s">
        <v>290</v>
      </c>
      <c r="DL1" s="9" t="s">
        <v>291</v>
      </c>
      <c r="DM1" s="9" t="s">
        <v>292</v>
      </c>
      <c r="DN1" s="9" t="s">
        <v>293</v>
      </c>
      <c r="DO1" s="9" t="s">
        <v>294</v>
      </c>
      <c r="DP1" s="9" t="s">
        <v>295</v>
      </c>
      <c r="DQ1" s="9" t="s">
        <v>296</v>
      </c>
      <c r="DR1" s="9" t="s">
        <v>297</v>
      </c>
      <c r="DS1" s="9" t="s">
        <v>298</v>
      </c>
      <c r="DT1" s="9" t="s">
        <v>299</v>
      </c>
      <c r="DU1" s="9" t="s">
        <v>300</v>
      </c>
      <c r="DV1" s="9" t="s">
        <v>301</v>
      </c>
      <c r="DW1" s="9" t="s">
        <v>302</v>
      </c>
      <c r="DX1" s="9" t="s">
        <v>303</v>
      </c>
      <c r="DY1" s="9" t="s">
        <v>304</v>
      </c>
      <c r="DZ1" s="9" t="s">
        <v>91</v>
      </c>
      <c r="EA1" s="9" t="s">
        <v>92</v>
      </c>
      <c r="EB1" s="27" t="s">
        <v>93</v>
      </c>
      <c r="EC1" s="27" t="s">
        <v>94</v>
      </c>
      <c r="ED1" s="27" t="s">
        <v>95</v>
      </c>
      <c r="EE1" s="27" t="s">
        <v>96</v>
      </c>
      <c r="EF1" s="27" t="s">
        <v>97</v>
      </c>
      <c r="EG1" s="27" t="s">
        <v>98</v>
      </c>
      <c r="EH1" s="27" t="s">
        <v>99</v>
      </c>
      <c r="EI1" s="27" t="s">
        <v>100</v>
      </c>
      <c r="EJ1" s="27" t="s">
        <v>101</v>
      </c>
      <c r="EK1" s="27" t="s">
        <v>102</v>
      </c>
      <c r="EL1" s="27" t="s">
        <v>103</v>
      </c>
      <c r="EM1" s="27" t="s">
        <v>104</v>
      </c>
      <c r="EN1" s="27" t="s">
        <v>105</v>
      </c>
      <c r="EO1" s="27" t="s">
        <v>106</v>
      </c>
      <c r="EP1" s="27" t="s">
        <v>107</v>
      </c>
      <c r="EQ1" s="27" t="s">
        <v>108</v>
      </c>
      <c r="ER1" s="27" t="s">
        <v>109</v>
      </c>
      <c r="ES1" s="27" t="s">
        <v>110</v>
      </c>
      <c r="ET1" s="27" t="s">
        <v>111</v>
      </c>
      <c r="EU1" s="27" t="s">
        <v>112</v>
      </c>
      <c r="EV1" s="27" t="s">
        <v>113</v>
      </c>
      <c r="EW1" s="27" t="s">
        <v>114</v>
      </c>
      <c r="EX1" s="27" t="s">
        <v>115</v>
      </c>
      <c r="EY1" s="27" t="s">
        <v>116</v>
      </c>
      <c r="EZ1" s="27" t="s">
        <v>117</v>
      </c>
      <c r="FA1" s="27" t="s">
        <v>118</v>
      </c>
      <c r="FB1" s="27" t="s">
        <v>119</v>
      </c>
      <c r="FC1" s="27" t="s">
        <v>120</v>
      </c>
      <c r="FD1" s="27" t="s">
        <v>121</v>
      </c>
      <c r="FE1" s="27" t="s">
        <v>122</v>
      </c>
      <c r="FF1" s="27" t="s">
        <v>305</v>
      </c>
      <c r="FG1" s="27" t="s">
        <v>306</v>
      </c>
      <c r="FH1" s="27" t="s">
        <v>307</v>
      </c>
      <c r="FI1" s="27" t="s">
        <v>308</v>
      </c>
      <c r="FJ1" s="27" t="s">
        <v>309</v>
      </c>
      <c r="FK1" s="27" t="s">
        <v>310</v>
      </c>
      <c r="FL1" s="27" t="s">
        <v>311</v>
      </c>
      <c r="FM1" s="27" t="s">
        <v>312</v>
      </c>
      <c r="FN1" s="27" t="s">
        <v>313</v>
      </c>
      <c r="FO1" s="27" t="s">
        <v>314</v>
      </c>
      <c r="FP1" s="27" t="s">
        <v>315</v>
      </c>
      <c r="FQ1" s="27" t="s">
        <v>316</v>
      </c>
      <c r="FR1" s="27" t="s">
        <v>317</v>
      </c>
      <c r="FS1" s="27" t="s">
        <v>318</v>
      </c>
      <c r="FT1" s="27" t="s">
        <v>319</v>
      </c>
      <c r="FU1" s="27" t="s">
        <v>320</v>
      </c>
      <c r="FV1" s="27" t="s">
        <v>321</v>
      </c>
      <c r="FW1" s="27" t="s">
        <v>322</v>
      </c>
      <c r="FX1" s="27" t="s">
        <v>323</v>
      </c>
      <c r="FY1" s="27" t="s">
        <v>324</v>
      </c>
      <c r="FZ1" s="27" t="s">
        <v>325</v>
      </c>
      <c r="GA1" s="27" t="s">
        <v>326</v>
      </c>
      <c r="GB1" s="27" t="s">
        <v>327</v>
      </c>
      <c r="GC1" s="27" t="s">
        <v>328</v>
      </c>
      <c r="GD1" s="27" t="s">
        <v>329</v>
      </c>
      <c r="GE1" s="27" t="s">
        <v>330</v>
      </c>
      <c r="GF1" s="27" t="s">
        <v>331</v>
      </c>
      <c r="GG1" s="27" t="s">
        <v>332</v>
      </c>
      <c r="GH1" s="27" t="s">
        <v>333</v>
      </c>
      <c r="GI1" s="27" t="s">
        <v>334</v>
      </c>
      <c r="GJ1" s="27" t="s">
        <v>335</v>
      </c>
      <c r="GK1" s="27" t="s">
        <v>336</v>
      </c>
      <c r="GL1" s="27" t="s">
        <v>337</v>
      </c>
      <c r="GM1" s="27" t="s">
        <v>338</v>
      </c>
      <c r="GN1" s="27" t="s">
        <v>339</v>
      </c>
      <c r="GO1" s="27" t="s">
        <v>340</v>
      </c>
      <c r="GP1" s="27" t="s">
        <v>341</v>
      </c>
      <c r="GQ1" s="27" t="s">
        <v>342</v>
      </c>
      <c r="GR1" s="27" t="s">
        <v>343</v>
      </c>
      <c r="GS1" s="27" t="s">
        <v>344</v>
      </c>
      <c r="GT1" s="27" t="s">
        <v>345</v>
      </c>
      <c r="GU1" s="27" t="s">
        <v>346</v>
      </c>
      <c r="GV1" s="27" t="s">
        <v>347</v>
      </c>
      <c r="GW1" s="27" t="s">
        <v>348</v>
      </c>
      <c r="GX1" s="27" t="s">
        <v>349</v>
      </c>
      <c r="GY1" s="27" t="s">
        <v>350</v>
      </c>
      <c r="GZ1" s="27" t="s">
        <v>351</v>
      </c>
      <c r="HA1" s="27" t="s">
        <v>352</v>
      </c>
      <c r="HB1" s="27" t="s">
        <v>353</v>
      </c>
      <c r="HC1" s="27" t="s">
        <v>354</v>
      </c>
    </row>
    <row r="2" spans="1:211">
      <c r="A2" t="s">
        <v>16</v>
      </c>
      <c r="B2" s="4">
        <f t="shared" ref="B2:BM2" si="0">C2</f>
        <v>11071.432665197597</v>
      </c>
      <c r="C2" s="4">
        <f t="shared" si="0"/>
        <v>11071.432665197597</v>
      </c>
      <c r="D2" s="4">
        <f t="shared" si="0"/>
        <v>11071.432665197597</v>
      </c>
      <c r="E2" s="4">
        <f t="shared" si="0"/>
        <v>11071.432665197597</v>
      </c>
      <c r="F2" s="4">
        <f t="shared" si="0"/>
        <v>11071.432665197597</v>
      </c>
      <c r="G2" s="4">
        <f t="shared" si="0"/>
        <v>11071.432665197597</v>
      </c>
      <c r="H2" s="4">
        <f t="shared" si="0"/>
        <v>11071.432665197597</v>
      </c>
      <c r="I2" s="4">
        <f t="shared" si="0"/>
        <v>11071.432665197597</v>
      </c>
      <c r="J2" s="4">
        <f t="shared" si="0"/>
        <v>11071.432665197597</v>
      </c>
      <c r="K2" s="4">
        <f t="shared" si="0"/>
        <v>11071.432665197597</v>
      </c>
      <c r="L2" s="4">
        <f t="shared" si="0"/>
        <v>11071.432665197597</v>
      </c>
      <c r="M2" s="4">
        <f t="shared" si="0"/>
        <v>11071.432665197597</v>
      </c>
      <c r="N2" s="4">
        <f t="shared" si="0"/>
        <v>11071.432665197597</v>
      </c>
      <c r="O2" s="4">
        <f t="shared" si="0"/>
        <v>11071.432665197597</v>
      </c>
      <c r="P2" s="4">
        <f t="shared" si="0"/>
        <v>11071.432665197597</v>
      </c>
      <c r="Q2" s="4">
        <f t="shared" si="0"/>
        <v>11071.432665197597</v>
      </c>
      <c r="R2" s="4">
        <f t="shared" si="0"/>
        <v>11071.432665197597</v>
      </c>
      <c r="S2" s="4">
        <f t="shared" si="0"/>
        <v>11071.432665197597</v>
      </c>
      <c r="T2" s="4">
        <f t="shared" si="0"/>
        <v>11071.432665197597</v>
      </c>
      <c r="U2" s="4">
        <f t="shared" si="0"/>
        <v>11071.432665197597</v>
      </c>
      <c r="V2" s="4">
        <f t="shared" si="0"/>
        <v>11071.432665197597</v>
      </c>
      <c r="W2" s="4">
        <f t="shared" si="0"/>
        <v>11071.432665197597</v>
      </c>
      <c r="X2" s="4">
        <f t="shared" si="0"/>
        <v>11071.432665197597</v>
      </c>
      <c r="Y2" s="4">
        <f t="shared" si="0"/>
        <v>11071.432665197597</v>
      </c>
      <c r="Z2" s="4">
        <f t="shared" si="0"/>
        <v>11071.432665197597</v>
      </c>
      <c r="AA2" s="4">
        <f t="shared" si="0"/>
        <v>11071.432665197597</v>
      </c>
      <c r="AB2" s="4">
        <f t="shared" si="0"/>
        <v>11071.432665197597</v>
      </c>
      <c r="AC2" s="4">
        <f t="shared" si="0"/>
        <v>11071.432665197597</v>
      </c>
      <c r="AD2" s="4">
        <f t="shared" si="0"/>
        <v>11071.432665197597</v>
      </c>
      <c r="AE2" s="4">
        <f t="shared" si="0"/>
        <v>11071.432665197597</v>
      </c>
      <c r="AF2" s="4">
        <f t="shared" si="0"/>
        <v>11071.432665197597</v>
      </c>
      <c r="AG2" s="4">
        <f t="shared" si="0"/>
        <v>11071.432665197597</v>
      </c>
      <c r="AH2" s="4">
        <f t="shared" si="0"/>
        <v>11071.432665197597</v>
      </c>
      <c r="AI2" s="4">
        <f t="shared" si="0"/>
        <v>11071.432665197597</v>
      </c>
      <c r="AJ2" s="4">
        <f t="shared" si="0"/>
        <v>11071.432665197597</v>
      </c>
      <c r="AK2" s="4">
        <f t="shared" si="0"/>
        <v>11071.432665197597</v>
      </c>
      <c r="AL2" s="4">
        <f t="shared" si="0"/>
        <v>11071.432665197597</v>
      </c>
      <c r="AM2" s="4">
        <f t="shared" si="0"/>
        <v>11071.432665197597</v>
      </c>
      <c r="AN2" s="4">
        <f t="shared" si="0"/>
        <v>11071.432665197597</v>
      </c>
      <c r="AO2" s="4">
        <f t="shared" si="0"/>
        <v>11071.432665197597</v>
      </c>
      <c r="AP2" s="4">
        <f t="shared" si="0"/>
        <v>11071.432665197597</v>
      </c>
      <c r="AQ2" s="4">
        <f t="shared" si="0"/>
        <v>11071.432665197597</v>
      </c>
      <c r="AR2" s="4">
        <f t="shared" si="0"/>
        <v>11071.432665197597</v>
      </c>
      <c r="AS2" s="4">
        <f t="shared" si="0"/>
        <v>11071.432665197597</v>
      </c>
      <c r="AT2" s="4">
        <f t="shared" si="0"/>
        <v>11071.432665197597</v>
      </c>
      <c r="AU2" s="4">
        <f t="shared" si="0"/>
        <v>11071.432665197597</v>
      </c>
      <c r="AV2" s="4">
        <f t="shared" si="0"/>
        <v>11071.432665197597</v>
      </c>
      <c r="AW2" s="4">
        <f t="shared" si="0"/>
        <v>11071.432665197597</v>
      </c>
      <c r="AX2" s="4">
        <f t="shared" si="0"/>
        <v>11071.432665197597</v>
      </c>
      <c r="AY2" s="4">
        <f t="shared" si="0"/>
        <v>11071.432665197597</v>
      </c>
      <c r="AZ2" s="4">
        <f t="shared" si="0"/>
        <v>11071.432665197597</v>
      </c>
      <c r="BA2" s="4">
        <f t="shared" si="0"/>
        <v>11071.432665197597</v>
      </c>
      <c r="BB2" s="4">
        <f t="shared" si="0"/>
        <v>11071.432665197597</v>
      </c>
      <c r="BC2" s="4">
        <f t="shared" si="0"/>
        <v>11071.432665197597</v>
      </c>
      <c r="BD2" s="4">
        <f t="shared" si="0"/>
        <v>11071.432665197597</v>
      </c>
      <c r="BE2" s="4">
        <f t="shared" si="0"/>
        <v>11071.432665197597</v>
      </c>
      <c r="BF2" s="4">
        <f t="shared" si="0"/>
        <v>11071.432665197597</v>
      </c>
      <c r="BG2" s="4">
        <f t="shared" si="0"/>
        <v>11071.432665197597</v>
      </c>
      <c r="BH2" s="4">
        <f t="shared" si="0"/>
        <v>11071.432665197597</v>
      </c>
      <c r="BI2" s="4">
        <f t="shared" si="0"/>
        <v>11071.432665197597</v>
      </c>
      <c r="BJ2" s="4">
        <f t="shared" si="0"/>
        <v>11071.432665197597</v>
      </c>
      <c r="BK2" s="4">
        <f t="shared" si="0"/>
        <v>11071.432665197597</v>
      </c>
      <c r="BL2" s="4">
        <f t="shared" si="0"/>
        <v>11071.432665197597</v>
      </c>
      <c r="BM2" s="4">
        <f t="shared" si="0"/>
        <v>11071.432665197597</v>
      </c>
      <c r="BN2" s="4">
        <f t="shared" ref="BN2:DY2" si="1">BO2</f>
        <v>11071.432665197597</v>
      </c>
      <c r="BO2" s="4">
        <f t="shared" si="1"/>
        <v>11071.432665197597</v>
      </c>
      <c r="BP2" s="4">
        <f t="shared" si="1"/>
        <v>11071.432665197597</v>
      </c>
      <c r="BQ2" s="4">
        <f t="shared" si="1"/>
        <v>11071.432665197597</v>
      </c>
      <c r="BR2" s="4">
        <f t="shared" si="1"/>
        <v>11071.432665197597</v>
      </c>
      <c r="BS2" s="4">
        <f t="shared" si="1"/>
        <v>11071.432665197597</v>
      </c>
      <c r="BT2" s="4">
        <f t="shared" si="1"/>
        <v>11071.432665197597</v>
      </c>
      <c r="BU2" s="4">
        <f t="shared" si="1"/>
        <v>11071.432665197597</v>
      </c>
      <c r="BV2" s="4">
        <f t="shared" si="1"/>
        <v>11071.432665197597</v>
      </c>
      <c r="BW2" s="4">
        <f t="shared" si="1"/>
        <v>11071.432665197597</v>
      </c>
      <c r="BX2" s="4">
        <f t="shared" si="1"/>
        <v>11071.432665197597</v>
      </c>
      <c r="BY2" s="4">
        <f t="shared" si="1"/>
        <v>11071.432665197597</v>
      </c>
      <c r="BZ2" s="4">
        <f t="shared" si="1"/>
        <v>11071.432665197597</v>
      </c>
      <c r="CA2" s="4">
        <f t="shared" si="1"/>
        <v>11071.432665197597</v>
      </c>
      <c r="CB2" s="4">
        <f t="shared" si="1"/>
        <v>11071.432665197597</v>
      </c>
      <c r="CC2" s="4">
        <f t="shared" si="1"/>
        <v>11071.432665197597</v>
      </c>
      <c r="CD2" s="4">
        <f t="shared" si="1"/>
        <v>11071.432665197597</v>
      </c>
      <c r="CE2" s="4">
        <f t="shared" si="1"/>
        <v>11071.432665197597</v>
      </c>
      <c r="CF2" s="4">
        <f t="shared" si="1"/>
        <v>11071.432665197597</v>
      </c>
      <c r="CG2" s="4">
        <f t="shared" si="1"/>
        <v>11071.432665197597</v>
      </c>
      <c r="CH2" s="4">
        <f t="shared" si="1"/>
        <v>11071.432665197597</v>
      </c>
      <c r="CI2" s="4">
        <f t="shared" si="1"/>
        <v>11071.432665197597</v>
      </c>
      <c r="CJ2" s="4">
        <f t="shared" si="1"/>
        <v>11071.432665197597</v>
      </c>
      <c r="CK2" s="4">
        <f t="shared" si="1"/>
        <v>11071.432665197597</v>
      </c>
      <c r="CL2" s="4">
        <f t="shared" si="1"/>
        <v>11071.432665197597</v>
      </c>
      <c r="CM2" s="4">
        <f t="shared" si="1"/>
        <v>11071.432665197597</v>
      </c>
      <c r="CN2" s="4">
        <f t="shared" si="1"/>
        <v>11071.432665197597</v>
      </c>
      <c r="CO2" s="4">
        <f t="shared" si="1"/>
        <v>11071.432665197597</v>
      </c>
      <c r="CP2" s="4">
        <f t="shared" si="1"/>
        <v>11071.432665197597</v>
      </c>
      <c r="CQ2" s="4">
        <f t="shared" si="1"/>
        <v>11071.432665197597</v>
      </c>
      <c r="CR2" s="4">
        <f t="shared" si="1"/>
        <v>11071.432665197597</v>
      </c>
      <c r="CS2" s="4">
        <f t="shared" si="1"/>
        <v>11071.432665197597</v>
      </c>
      <c r="CT2" s="4">
        <f t="shared" si="1"/>
        <v>11071.432665197597</v>
      </c>
      <c r="CU2" s="4">
        <f t="shared" si="1"/>
        <v>11071.432665197597</v>
      </c>
      <c r="CV2" s="4">
        <f t="shared" si="1"/>
        <v>11071.432665197597</v>
      </c>
      <c r="CW2" s="4">
        <f t="shared" si="1"/>
        <v>11071.432665197597</v>
      </c>
      <c r="CX2" s="4">
        <f t="shared" si="1"/>
        <v>11071.432665197597</v>
      </c>
      <c r="CY2" s="4">
        <f t="shared" si="1"/>
        <v>11071.432665197597</v>
      </c>
      <c r="CZ2" s="4">
        <f t="shared" si="1"/>
        <v>11071.432665197597</v>
      </c>
      <c r="DA2" s="4">
        <f t="shared" si="1"/>
        <v>11071.432665197597</v>
      </c>
      <c r="DB2" s="4">
        <f t="shared" si="1"/>
        <v>11071.432665197597</v>
      </c>
      <c r="DC2" s="4">
        <f t="shared" si="1"/>
        <v>11071.432665197597</v>
      </c>
      <c r="DD2" s="4">
        <f t="shared" si="1"/>
        <v>11071.432665197597</v>
      </c>
      <c r="DE2" s="4">
        <f t="shared" si="1"/>
        <v>11071.432665197597</v>
      </c>
      <c r="DF2" s="4">
        <f t="shared" si="1"/>
        <v>11071.432665197597</v>
      </c>
      <c r="DG2" s="4">
        <f t="shared" si="1"/>
        <v>11071.432665197597</v>
      </c>
      <c r="DH2" s="4">
        <f t="shared" si="1"/>
        <v>11071.432665197597</v>
      </c>
      <c r="DI2" s="4">
        <f t="shared" si="1"/>
        <v>11071.432665197597</v>
      </c>
      <c r="DJ2" s="4">
        <f t="shared" si="1"/>
        <v>11071.432665197597</v>
      </c>
      <c r="DK2" s="4">
        <f t="shared" si="1"/>
        <v>11071.432665197597</v>
      </c>
      <c r="DL2" s="4">
        <f t="shared" si="1"/>
        <v>11071.432665197597</v>
      </c>
      <c r="DM2" s="4">
        <f t="shared" si="1"/>
        <v>11071.432665197597</v>
      </c>
      <c r="DN2" s="4">
        <f t="shared" si="1"/>
        <v>11071.432665197597</v>
      </c>
      <c r="DO2" s="4">
        <f t="shared" si="1"/>
        <v>11071.432665197597</v>
      </c>
      <c r="DP2" s="4">
        <f t="shared" si="1"/>
        <v>11071.432665197597</v>
      </c>
      <c r="DQ2" s="4">
        <f t="shared" si="1"/>
        <v>11071.432665197597</v>
      </c>
      <c r="DR2" s="4">
        <f t="shared" si="1"/>
        <v>11071.432665197597</v>
      </c>
      <c r="DS2" s="4">
        <f t="shared" si="1"/>
        <v>11071.432665197597</v>
      </c>
      <c r="DT2" s="4">
        <f t="shared" si="1"/>
        <v>11071.432665197597</v>
      </c>
      <c r="DU2" s="4">
        <f t="shared" si="1"/>
        <v>11071.432665197597</v>
      </c>
      <c r="DV2" s="4">
        <f t="shared" si="1"/>
        <v>11071.432665197597</v>
      </c>
      <c r="DW2" s="4">
        <f t="shared" si="1"/>
        <v>11071.432665197597</v>
      </c>
      <c r="DX2" s="4">
        <f t="shared" si="1"/>
        <v>11071.432665197597</v>
      </c>
      <c r="DY2" s="4">
        <f t="shared" si="1"/>
        <v>11071.432665197597</v>
      </c>
      <c r="DZ2" s="4">
        <f>EA2</f>
        <v>11071.432665197597</v>
      </c>
      <c r="EA2" s="4">
        <f>EB2</f>
        <v>11071.432665197597</v>
      </c>
      <c r="EB2" s="4">
        <f>'CCaMC-ACAPEXpUC US'!D2/'CCaMC-BCCpUC US'!B2*'CCaMC-BCCpUC'!B2</f>
        <v>11071.432665197597</v>
      </c>
      <c r="EC2" s="4">
        <f>EB2</f>
        <v>11071.432665197597</v>
      </c>
      <c r="ED2" s="4">
        <f t="shared" ref="ED2:EM2" si="2">EC2</f>
        <v>11071.432665197597</v>
      </c>
      <c r="EE2" s="4">
        <f t="shared" si="2"/>
        <v>11071.432665197597</v>
      </c>
      <c r="EF2" s="4">
        <f t="shared" si="2"/>
        <v>11071.432665197597</v>
      </c>
      <c r="EG2" s="4">
        <f t="shared" si="2"/>
        <v>11071.432665197597</v>
      </c>
      <c r="EH2" s="4">
        <f t="shared" si="2"/>
        <v>11071.432665197597</v>
      </c>
      <c r="EI2" s="4">
        <f t="shared" si="2"/>
        <v>11071.432665197597</v>
      </c>
      <c r="EJ2" s="4">
        <f t="shared" si="2"/>
        <v>11071.432665197597</v>
      </c>
      <c r="EK2" s="4">
        <f t="shared" si="2"/>
        <v>11071.432665197597</v>
      </c>
      <c r="EL2" s="4">
        <f t="shared" si="2"/>
        <v>11071.432665197597</v>
      </c>
      <c r="EM2" s="4">
        <f t="shared" si="2"/>
        <v>11071.432665197597</v>
      </c>
      <c r="EN2" s="4">
        <f t="shared" ref="EN2:FE2" si="3">EM2</f>
        <v>11071.432665197597</v>
      </c>
      <c r="EO2" s="4">
        <f t="shared" si="3"/>
        <v>11071.432665197597</v>
      </c>
      <c r="EP2" s="4">
        <f t="shared" si="3"/>
        <v>11071.432665197597</v>
      </c>
      <c r="EQ2" s="4">
        <f t="shared" si="3"/>
        <v>11071.432665197597</v>
      </c>
      <c r="ER2" s="4">
        <f t="shared" si="3"/>
        <v>11071.432665197597</v>
      </c>
      <c r="ES2" s="4">
        <f t="shared" si="3"/>
        <v>11071.432665197597</v>
      </c>
      <c r="ET2" s="4">
        <f t="shared" si="3"/>
        <v>11071.432665197597</v>
      </c>
      <c r="EU2" s="4">
        <f t="shared" si="3"/>
        <v>11071.432665197597</v>
      </c>
      <c r="EV2" s="4">
        <f t="shared" si="3"/>
        <v>11071.432665197597</v>
      </c>
      <c r="EW2" s="4">
        <f t="shared" si="3"/>
        <v>11071.432665197597</v>
      </c>
      <c r="EX2" s="4">
        <f t="shared" si="3"/>
        <v>11071.432665197597</v>
      </c>
      <c r="EY2" s="4">
        <f t="shared" si="3"/>
        <v>11071.432665197597</v>
      </c>
      <c r="EZ2" s="4">
        <f t="shared" si="3"/>
        <v>11071.432665197597</v>
      </c>
      <c r="FA2" s="4">
        <f t="shared" si="3"/>
        <v>11071.432665197597</v>
      </c>
      <c r="FB2" s="4">
        <f t="shared" si="3"/>
        <v>11071.432665197597</v>
      </c>
      <c r="FC2" s="4">
        <f t="shared" si="3"/>
        <v>11071.432665197597</v>
      </c>
      <c r="FD2" s="4">
        <f t="shared" si="3"/>
        <v>11071.432665197597</v>
      </c>
      <c r="FE2" s="4">
        <f t="shared" si="3"/>
        <v>11071.432665197597</v>
      </c>
      <c r="FF2" s="4">
        <f t="shared" ref="FF2:FF25" si="4">FE2</f>
        <v>11071.432665197597</v>
      </c>
      <c r="FG2" s="4">
        <f t="shared" ref="FG2:FG25" si="5">FF2</f>
        <v>11071.432665197597</v>
      </c>
      <c r="FH2" s="4">
        <f t="shared" ref="FH2:FH25" si="6">FG2</f>
        <v>11071.432665197597</v>
      </c>
      <c r="FI2" s="4">
        <f t="shared" ref="FI2:FI25" si="7">FH2</f>
        <v>11071.432665197597</v>
      </c>
      <c r="FJ2" s="4">
        <f t="shared" ref="FJ2:FJ25" si="8">FI2</f>
        <v>11071.432665197597</v>
      </c>
      <c r="FK2" s="4">
        <f t="shared" ref="FK2:FK25" si="9">FJ2</f>
        <v>11071.432665197597</v>
      </c>
      <c r="FL2" s="4">
        <f t="shared" ref="FL2:FL25" si="10">FK2</f>
        <v>11071.432665197597</v>
      </c>
      <c r="FM2" s="4">
        <f t="shared" ref="FM2:FM25" si="11">FL2</f>
        <v>11071.432665197597</v>
      </c>
      <c r="FN2" s="4">
        <f t="shared" ref="FN2:FN25" si="12">FM2</f>
        <v>11071.432665197597</v>
      </c>
      <c r="FO2" s="4">
        <f t="shared" ref="FO2:FO25" si="13">FN2</f>
        <v>11071.432665197597</v>
      </c>
      <c r="FP2" s="4">
        <f t="shared" ref="FP2:FP25" si="14">FO2</f>
        <v>11071.432665197597</v>
      </c>
      <c r="FQ2" s="4">
        <f t="shared" ref="FQ2:FQ25" si="15">FP2</f>
        <v>11071.432665197597</v>
      </c>
      <c r="FR2" s="4">
        <f t="shared" ref="FR2:FR25" si="16">FQ2</f>
        <v>11071.432665197597</v>
      </c>
      <c r="FS2" s="4">
        <f t="shared" ref="FS2:FS25" si="17">FR2</f>
        <v>11071.432665197597</v>
      </c>
      <c r="FT2" s="4">
        <f t="shared" ref="FT2:FT25" si="18">FS2</f>
        <v>11071.432665197597</v>
      </c>
      <c r="FU2" s="4">
        <f t="shared" ref="FU2:FU25" si="19">FT2</f>
        <v>11071.432665197597</v>
      </c>
      <c r="FV2" s="4">
        <f t="shared" ref="FV2:FV25" si="20">FU2</f>
        <v>11071.432665197597</v>
      </c>
      <c r="FW2" s="4">
        <f t="shared" ref="FW2:FW25" si="21">FV2</f>
        <v>11071.432665197597</v>
      </c>
      <c r="FX2" s="4">
        <f t="shared" ref="FX2:FX25" si="22">FW2</f>
        <v>11071.432665197597</v>
      </c>
      <c r="FY2" s="4">
        <f t="shared" ref="FY2:FY25" si="23">FX2</f>
        <v>11071.432665197597</v>
      </c>
      <c r="FZ2" s="4">
        <f t="shared" ref="FZ2:FZ25" si="24">FY2</f>
        <v>11071.432665197597</v>
      </c>
      <c r="GA2" s="4">
        <f t="shared" ref="GA2:GA25" si="25">FZ2</f>
        <v>11071.432665197597</v>
      </c>
      <c r="GB2" s="4">
        <f t="shared" ref="GB2:GB25" si="26">GA2</f>
        <v>11071.432665197597</v>
      </c>
      <c r="GC2" s="4">
        <f t="shared" ref="GC2:GC25" si="27">GB2</f>
        <v>11071.432665197597</v>
      </c>
      <c r="GD2" s="4">
        <f t="shared" ref="GD2:GD25" si="28">GC2</f>
        <v>11071.432665197597</v>
      </c>
      <c r="GE2" s="4">
        <f t="shared" ref="GE2:GE25" si="29">GD2</f>
        <v>11071.432665197597</v>
      </c>
      <c r="GF2" s="4">
        <f t="shared" ref="GF2:GF25" si="30">GE2</f>
        <v>11071.432665197597</v>
      </c>
      <c r="GG2" s="4">
        <f t="shared" ref="GG2:GG25" si="31">GF2</f>
        <v>11071.432665197597</v>
      </c>
      <c r="GH2" s="4">
        <f t="shared" ref="GH2:GH25" si="32">GG2</f>
        <v>11071.432665197597</v>
      </c>
      <c r="GI2" s="4">
        <f t="shared" ref="GI2:GI25" si="33">GH2</f>
        <v>11071.432665197597</v>
      </c>
      <c r="GJ2" s="4">
        <f t="shared" ref="GJ2:GJ25" si="34">GI2</f>
        <v>11071.432665197597</v>
      </c>
      <c r="GK2" s="4">
        <f t="shared" ref="GK2:GK25" si="35">GJ2</f>
        <v>11071.432665197597</v>
      </c>
      <c r="GL2" s="4">
        <f t="shared" ref="GL2:GL25" si="36">GK2</f>
        <v>11071.432665197597</v>
      </c>
      <c r="GM2" s="4">
        <f t="shared" ref="GM2:GM25" si="37">GL2</f>
        <v>11071.432665197597</v>
      </c>
      <c r="GN2" s="4">
        <f t="shared" ref="GN2:GN25" si="38">GM2</f>
        <v>11071.432665197597</v>
      </c>
      <c r="GO2" s="4">
        <f t="shared" ref="GO2:GO25" si="39">GN2</f>
        <v>11071.432665197597</v>
      </c>
      <c r="GP2" s="4">
        <f t="shared" ref="GP2:GP25" si="40">GO2</f>
        <v>11071.432665197597</v>
      </c>
      <c r="GQ2" s="4">
        <f t="shared" ref="GQ2:GQ25" si="41">GP2</f>
        <v>11071.432665197597</v>
      </c>
      <c r="GR2" s="4">
        <f t="shared" ref="GR2:GR25" si="42">GQ2</f>
        <v>11071.432665197597</v>
      </c>
      <c r="GS2" s="4">
        <f t="shared" ref="GS2:GS25" si="43">GR2</f>
        <v>11071.432665197597</v>
      </c>
      <c r="GT2" s="4">
        <f t="shared" ref="GT2:GT25" si="44">GS2</f>
        <v>11071.432665197597</v>
      </c>
      <c r="GU2" s="4">
        <f t="shared" ref="GU2:GU25" si="45">GT2</f>
        <v>11071.432665197597</v>
      </c>
      <c r="GV2" s="4">
        <f t="shared" ref="GV2:GV25" si="46">GU2</f>
        <v>11071.432665197597</v>
      </c>
      <c r="GW2" s="4">
        <f t="shared" ref="GW2:GW25" si="47">GV2</f>
        <v>11071.432665197597</v>
      </c>
      <c r="GX2" s="4">
        <f t="shared" ref="GX2:GX25" si="48">GW2</f>
        <v>11071.432665197597</v>
      </c>
      <c r="GY2" s="4">
        <f t="shared" ref="GY2:GY25" si="49">GX2</f>
        <v>11071.432665197597</v>
      </c>
      <c r="GZ2" s="4">
        <f t="shared" ref="GZ2:GZ25" si="50">GY2</f>
        <v>11071.432665197597</v>
      </c>
      <c r="HA2" s="4">
        <f t="shared" ref="HA2:HA25" si="51">GZ2</f>
        <v>11071.432665197597</v>
      </c>
      <c r="HB2" s="4">
        <f t="shared" ref="HB2:HB25" si="52">HA2</f>
        <v>11071.432665197597</v>
      </c>
      <c r="HC2" s="4">
        <f t="shared" ref="HC2:HC25" si="53">HB2</f>
        <v>11071.432665197597</v>
      </c>
    </row>
    <row r="3" spans="1:211">
      <c r="A3" t="s">
        <v>75</v>
      </c>
      <c r="B3" s="4">
        <f t="shared" ref="B3:BM3" si="54">C3</f>
        <v>6873.9664262837932</v>
      </c>
      <c r="C3" s="4">
        <f t="shared" si="54"/>
        <v>6873.9664262837932</v>
      </c>
      <c r="D3" s="4">
        <f t="shared" si="54"/>
        <v>6873.9664262837932</v>
      </c>
      <c r="E3" s="4">
        <f t="shared" si="54"/>
        <v>6873.9664262837932</v>
      </c>
      <c r="F3" s="4">
        <f t="shared" si="54"/>
        <v>6873.9664262837932</v>
      </c>
      <c r="G3" s="4">
        <f t="shared" si="54"/>
        <v>6873.9664262837932</v>
      </c>
      <c r="H3" s="4">
        <f t="shared" si="54"/>
        <v>6873.9664262837932</v>
      </c>
      <c r="I3" s="4">
        <f t="shared" si="54"/>
        <v>6873.9664262837932</v>
      </c>
      <c r="J3" s="4">
        <f t="shared" si="54"/>
        <v>6873.9664262837932</v>
      </c>
      <c r="K3" s="4">
        <f t="shared" si="54"/>
        <v>6873.9664262837932</v>
      </c>
      <c r="L3" s="4">
        <f t="shared" si="54"/>
        <v>6873.9664262837932</v>
      </c>
      <c r="M3" s="4">
        <f t="shared" si="54"/>
        <v>6873.9664262837932</v>
      </c>
      <c r="N3" s="4">
        <f t="shared" si="54"/>
        <v>6873.9664262837932</v>
      </c>
      <c r="O3" s="4">
        <f t="shared" si="54"/>
        <v>6873.9664262837932</v>
      </c>
      <c r="P3" s="4">
        <f t="shared" si="54"/>
        <v>6873.9664262837932</v>
      </c>
      <c r="Q3" s="4">
        <f t="shared" si="54"/>
        <v>6873.9664262837932</v>
      </c>
      <c r="R3" s="4">
        <f t="shared" si="54"/>
        <v>6873.9664262837932</v>
      </c>
      <c r="S3" s="4">
        <f t="shared" si="54"/>
        <v>6873.9664262837932</v>
      </c>
      <c r="T3" s="4">
        <f t="shared" si="54"/>
        <v>6873.9664262837932</v>
      </c>
      <c r="U3" s="4">
        <f t="shared" si="54"/>
        <v>6873.9664262837932</v>
      </c>
      <c r="V3" s="4">
        <f t="shared" si="54"/>
        <v>6873.9664262837932</v>
      </c>
      <c r="W3" s="4">
        <f t="shared" si="54"/>
        <v>6873.9664262837932</v>
      </c>
      <c r="X3" s="4">
        <f t="shared" si="54"/>
        <v>6873.9664262837932</v>
      </c>
      <c r="Y3" s="4">
        <f t="shared" si="54"/>
        <v>6873.9664262837932</v>
      </c>
      <c r="Z3" s="4">
        <f t="shared" si="54"/>
        <v>6873.9664262837932</v>
      </c>
      <c r="AA3" s="4">
        <f t="shared" si="54"/>
        <v>6873.9664262837932</v>
      </c>
      <c r="AB3" s="4">
        <f t="shared" si="54"/>
        <v>6873.9664262837932</v>
      </c>
      <c r="AC3" s="4">
        <f t="shared" si="54"/>
        <v>6873.9664262837932</v>
      </c>
      <c r="AD3" s="4">
        <f t="shared" si="54"/>
        <v>6873.9664262837932</v>
      </c>
      <c r="AE3" s="4">
        <f t="shared" si="54"/>
        <v>6873.9664262837932</v>
      </c>
      <c r="AF3" s="4">
        <f t="shared" si="54"/>
        <v>6873.9664262837932</v>
      </c>
      <c r="AG3" s="4">
        <f t="shared" si="54"/>
        <v>6873.9664262837932</v>
      </c>
      <c r="AH3" s="4">
        <f t="shared" si="54"/>
        <v>6873.9664262837932</v>
      </c>
      <c r="AI3" s="4">
        <f t="shared" si="54"/>
        <v>6873.9664262837932</v>
      </c>
      <c r="AJ3" s="4">
        <f t="shared" si="54"/>
        <v>6873.9664262837932</v>
      </c>
      <c r="AK3" s="4">
        <f t="shared" si="54"/>
        <v>6873.9664262837932</v>
      </c>
      <c r="AL3" s="4">
        <f t="shared" si="54"/>
        <v>6873.9664262837932</v>
      </c>
      <c r="AM3" s="4">
        <f t="shared" si="54"/>
        <v>6873.9664262837932</v>
      </c>
      <c r="AN3" s="4">
        <f t="shared" si="54"/>
        <v>6873.9664262837932</v>
      </c>
      <c r="AO3" s="4">
        <f t="shared" si="54"/>
        <v>6873.9664262837932</v>
      </c>
      <c r="AP3" s="4">
        <f t="shared" si="54"/>
        <v>6873.9664262837932</v>
      </c>
      <c r="AQ3" s="4">
        <f t="shared" si="54"/>
        <v>6873.9664262837932</v>
      </c>
      <c r="AR3" s="4">
        <f t="shared" si="54"/>
        <v>6873.9664262837932</v>
      </c>
      <c r="AS3" s="4">
        <f t="shared" si="54"/>
        <v>6873.9664262837932</v>
      </c>
      <c r="AT3" s="4">
        <f t="shared" si="54"/>
        <v>6873.9664262837932</v>
      </c>
      <c r="AU3" s="4">
        <f t="shared" si="54"/>
        <v>6873.9664262837932</v>
      </c>
      <c r="AV3" s="4">
        <f t="shared" si="54"/>
        <v>6873.9664262837932</v>
      </c>
      <c r="AW3" s="4">
        <f t="shared" si="54"/>
        <v>6873.9664262837932</v>
      </c>
      <c r="AX3" s="4">
        <f t="shared" si="54"/>
        <v>6873.9664262837932</v>
      </c>
      <c r="AY3" s="4">
        <f t="shared" si="54"/>
        <v>6873.9664262837932</v>
      </c>
      <c r="AZ3" s="4">
        <f t="shared" si="54"/>
        <v>6873.9664262837932</v>
      </c>
      <c r="BA3" s="4">
        <f t="shared" si="54"/>
        <v>6873.9664262837932</v>
      </c>
      <c r="BB3" s="4">
        <f t="shared" si="54"/>
        <v>6873.9664262837932</v>
      </c>
      <c r="BC3" s="4">
        <f t="shared" si="54"/>
        <v>6873.9664262837932</v>
      </c>
      <c r="BD3" s="4">
        <f t="shared" si="54"/>
        <v>6873.9664262837932</v>
      </c>
      <c r="BE3" s="4">
        <f t="shared" si="54"/>
        <v>6873.9664262837932</v>
      </c>
      <c r="BF3" s="4">
        <f t="shared" si="54"/>
        <v>6873.9664262837932</v>
      </c>
      <c r="BG3" s="4">
        <f t="shared" si="54"/>
        <v>6873.9664262837932</v>
      </c>
      <c r="BH3" s="4">
        <f t="shared" si="54"/>
        <v>6873.9664262837932</v>
      </c>
      <c r="BI3" s="4">
        <f t="shared" si="54"/>
        <v>6873.9664262837932</v>
      </c>
      <c r="BJ3" s="4">
        <f t="shared" si="54"/>
        <v>6873.9664262837932</v>
      </c>
      <c r="BK3" s="4">
        <f t="shared" si="54"/>
        <v>6873.9664262837932</v>
      </c>
      <c r="BL3" s="4">
        <f t="shared" si="54"/>
        <v>6873.9664262837932</v>
      </c>
      <c r="BM3" s="4">
        <f t="shared" si="54"/>
        <v>6873.9664262837932</v>
      </c>
      <c r="BN3" s="4">
        <f t="shared" ref="BN3:DY3" si="55">BO3</f>
        <v>6873.9664262837932</v>
      </c>
      <c r="BO3" s="4">
        <f t="shared" si="55"/>
        <v>6873.9664262837932</v>
      </c>
      <c r="BP3" s="4">
        <f t="shared" si="55"/>
        <v>6873.9664262837932</v>
      </c>
      <c r="BQ3" s="4">
        <f t="shared" si="55"/>
        <v>6873.9664262837932</v>
      </c>
      <c r="BR3" s="4">
        <f t="shared" si="55"/>
        <v>6873.9664262837932</v>
      </c>
      <c r="BS3" s="4">
        <f t="shared" si="55"/>
        <v>6873.9664262837932</v>
      </c>
      <c r="BT3" s="4">
        <f t="shared" si="55"/>
        <v>6873.9664262837932</v>
      </c>
      <c r="BU3" s="4">
        <f t="shared" si="55"/>
        <v>6873.9664262837932</v>
      </c>
      <c r="BV3" s="4">
        <f t="shared" si="55"/>
        <v>6873.9664262837932</v>
      </c>
      <c r="BW3" s="4">
        <f t="shared" si="55"/>
        <v>6873.9664262837932</v>
      </c>
      <c r="BX3" s="4">
        <f t="shared" si="55"/>
        <v>6873.9664262837932</v>
      </c>
      <c r="BY3" s="4">
        <f t="shared" si="55"/>
        <v>6873.9664262837932</v>
      </c>
      <c r="BZ3" s="4">
        <f t="shared" si="55"/>
        <v>6873.9664262837932</v>
      </c>
      <c r="CA3" s="4">
        <f t="shared" si="55"/>
        <v>6873.9664262837932</v>
      </c>
      <c r="CB3" s="4">
        <f t="shared" si="55"/>
        <v>6873.9664262837932</v>
      </c>
      <c r="CC3" s="4">
        <f t="shared" si="55"/>
        <v>6873.9664262837932</v>
      </c>
      <c r="CD3" s="4">
        <f t="shared" si="55"/>
        <v>6873.9664262837932</v>
      </c>
      <c r="CE3" s="4">
        <f t="shared" si="55"/>
        <v>6873.9664262837932</v>
      </c>
      <c r="CF3" s="4">
        <f t="shared" si="55"/>
        <v>6873.9664262837932</v>
      </c>
      <c r="CG3" s="4">
        <f t="shared" si="55"/>
        <v>6873.9664262837932</v>
      </c>
      <c r="CH3" s="4">
        <f t="shared" si="55"/>
        <v>6873.9664262837932</v>
      </c>
      <c r="CI3" s="4">
        <f t="shared" si="55"/>
        <v>6873.9664262837932</v>
      </c>
      <c r="CJ3" s="4">
        <f t="shared" si="55"/>
        <v>6873.9664262837932</v>
      </c>
      <c r="CK3" s="4">
        <f t="shared" si="55"/>
        <v>6873.9664262837932</v>
      </c>
      <c r="CL3" s="4">
        <f t="shared" si="55"/>
        <v>6873.9664262837932</v>
      </c>
      <c r="CM3" s="4">
        <f t="shared" si="55"/>
        <v>6873.9664262837932</v>
      </c>
      <c r="CN3" s="4">
        <f t="shared" si="55"/>
        <v>6873.9664262837932</v>
      </c>
      <c r="CO3" s="4">
        <f t="shared" si="55"/>
        <v>6873.9664262837932</v>
      </c>
      <c r="CP3" s="4">
        <f t="shared" si="55"/>
        <v>6873.9664262837932</v>
      </c>
      <c r="CQ3" s="4">
        <f t="shared" si="55"/>
        <v>6873.9664262837932</v>
      </c>
      <c r="CR3" s="4">
        <f t="shared" si="55"/>
        <v>6873.9664262837932</v>
      </c>
      <c r="CS3" s="4">
        <f t="shared" si="55"/>
        <v>6873.9664262837932</v>
      </c>
      <c r="CT3" s="4">
        <f t="shared" si="55"/>
        <v>6873.9664262837932</v>
      </c>
      <c r="CU3" s="4">
        <f t="shared" si="55"/>
        <v>6873.9664262837932</v>
      </c>
      <c r="CV3" s="4">
        <f t="shared" si="55"/>
        <v>6873.9664262837932</v>
      </c>
      <c r="CW3" s="4">
        <f t="shared" si="55"/>
        <v>6873.9664262837932</v>
      </c>
      <c r="CX3" s="4">
        <f t="shared" si="55"/>
        <v>6873.9664262837932</v>
      </c>
      <c r="CY3" s="4">
        <f t="shared" si="55"/>
        <v>6873.9664262837932</v>
      </c>
      <c r="CZ3" s="4">
        <f t="shared" si="55"/>
        <v>6873.9664262837932</v>
      </c>
      <c r="DA3" s="4">
        <f t="shared" si="55"/>
        <v>6873.9664262837932</v>
      </c>
      <c r="DB3" s="4">
        <f t="shared" si="55"/>
        <v>6873.9664262837932</v>
      </c>
      <c r="DC3" s="4">
        <f t="shared" si="55"/>
        <v>6873.9664262837932</v>
      </c>
      <c r="DD3" s="4">
        <f t="shared" si="55"/>
        <v>6873.9664262837932</v>
      </c>
      <c r="DE3" s="4">
        <f t="shared" si="55"/>
        <v>6873.9664262837932</v>
      </c>
      <c r="DF3" s="4">
        <f t="shared" si="55"/>
        <v>6873.9664262837932</v>
      </c>
      <c r="DG3" s="4">
        <f t="shared" si="55"/>
        <v>6873.9664262837932</v>
      </c>
      <c r="DH3" s="4">
        <f t="shared" si="55"/>
        <v>6873.9664262837932</v>
      </c>
      <c r="DI3" s="4">
        <f t="shared" si="55"/>
        <v>6873.9664262837932</v>
      </c>
      <c r="DJ3" s="4">
        <f t="shared" si="55"/>
        <v>6873.9664262837932</v>
      </c>
      <c r="DK3" s="4">
        <f t="shared" si="55"/>
        <v>6873.9664262837932</v>
      </c>
      <c r="DL3" s="4">
        <f t="shared" si="55"/>
        <v>6873.9664262837932</v>
      </c>
      <c r="DM3" s="4">
        <f t="shared" si="55"/>
        <v>6873.9664262837932</v>
      </c>
      <c r="DN3" s="4">
        <f t="shared" si="55"/>
        <v>6873.9664262837932</v>
      </c>
      <c r="DO3" s="4">
        <f t="shared" si="55"/>
        <v>6873.9664262837932</v>
      </c>
      <c r="DP3" s="4">
        <f t="shared" si="55"/>
        <v>6873.9664262837932</v>
      </c>
      <c r="DQ3" s="4">
        <f t="shared" si="55"/>
        <v>6873.9664262837932</v>
      </c>
      <c r="DR3" s="4">
        <f t="shared" si="55"/>
        <v>6873.9664262837932</v>
      </c>
      <c r="DS3" s="4">
        <f t="shared" si="55"/>
        <v>6873.9664262837932</v>
      </c>
      <c r="DT3" s="4">
        <f t="shared" si="55"/>
        <v>6873.9664262837932</v>
      </c>
      <c r="DU3" s="4">
        <f t="shared" si="55"/>
        <v>6873.9664262837932</v>
      </c>
      <c r="DV3" s="4">
        <f t="shared" si="55"/>
        <v>6873.9664262837932</v>
      </c>
      <c r="DW3" s="4">
        <f t="shared" si="55"/>
        <v>6873.9664262837932</v>
      </c>
      <c r="DX3" s="4">
        <f t="shared" si="55"/>
        <v>6873.9664262837932</v>
      </c>
      <c r="DY3" s="4">
        <f t="shared" si="55"/>
        <v>6873.9664262837932</v>
      </c>
      <c r="DZ3" s="4">
        <f t="shared" ref="DZ3:EA25" si="56">EA3</f>
        <v>6873.9664262837932</v>
      </c>
      <c r="EA3" s="4">
        <f t="shared" si="56"/>
        <v>6873.9664262837932</v>
      </c>
      <c r="EB3" s="4">
        <f>'CCaMC-ACAPEXpUC US'!D3/'CCaMC-BCCpUC US'!B3*'CCaMC-BCCpUC'!B3</f>
        <v>6873.9664262837932</v>
      </c>
      <c r="EC3" s="4">
        <f t="shared" ref="EC3:EL25" si="57">EB3</f>
        <v>6873.9664262837932</v>
      </c>
      <c r="ED3" s="4">
        <f t="shared" si="57"/>
        <v>6873.9664262837932</v>
      </c>
      <c r="EE3" s="4">
        <f t="shared" si="57"/>
        <v>6873.9664262837932</v>
      </c>
      <c r="EF3" s="4">
        <f t="shared" si="57"/>
        <v>6873.9664262837932</v>
      </c>
      <c r="EG3" s="4">
        <f t="shared" si="57"/>
        <v>6873.9664262837932</v>
      </c>
      <c r="EH3" s="4">
        <f t="shared" si="57"/>
        <v>6873.9664262837932</v>
      </c>
      <c r="EI3" s="4">
        <f t="shared" si="57"/>
        <v>6873.9664262837932</v>
      </c>
      <c r="EJ3" s="4">
        <f t="shared" si="57"/>
        <v>6873.9664262837932</v>
      </c>
      <c r="EK3" s="4">
        <f t="shared" si="57"/>
        <v>6873.9664262837932</v>
      </c>
      <c r="EL3" s="4">
        <f t="shared" si="57"/>
        <v>6873.9664262837932</v>
      </c>
      <c r="EM3" s="4">
        <f t="shared" ref="EM3:FE3" si="58">EL3</f>
        <v>6873.9664262837932</v>
      </c>
      <c r="EN3" s="4">
        <f t="shared" si="58"/>
        <v>6873.9664262837932</v>
      </c>
      <c r="EO3" s="4">
        <f t="shared" si="58"/>
        <v>6873.9664262837932</v>
      </c>
      <c r="EP3" s="4">
        <f t="shared" si="58"/>
        <v>6873.9664262837932</v>
      </c>
      <c r="EQ3" s="4">
        <f t="shared" si="58"/>
        <v>6873.9664262837932</v>
      </c>
      <c r="ER3" s="4">
        <f t="shared" si="58"/>
        <v>6873.9664262837932</v>
      </c>
      <c r="ES3" s="4">
        <f t="shared" si="58"/>
        <v>6873.9664262837932</v>
      </c>
      <c r="ET3" s="4">
        <f t="shared" si="58"/>
        <v>6873.9664262837932</v>
      </c>
      <c r="EU3" s="4">
        <f t="shared" si="58"/>
        <v>6873.9664262837932</v>
      </c>
      <c r="EV3" s="4">
        <f t="shared" si="58"/>
        <v>6873.9664262837932</v>
      </c>
      <c r="EW3" s="4">
        <f t="shared" si="58"/>
        <v>6873.9664262837932</v>
      </c>
      <c r="EX3" s="4">
        <f t="shared" si="58"/>
        <v>6873.9664262837932</v>
      </c>
      <c r="EY3" s="4">
        <f t="shared" si="58"/>
        <v>6873.9664262837932</v>
      </c>
      <c r="EZ3" s="4">
        <f t="shared" si="58"/>
        <v>6873.9664262837932</v>
      </c>
      <c r="FA3" s="4">
        <f t="shared" si="58"/>
        <v>6873.9664262837932</v>
      </c>
      <c r="FB3" s="4">
        <f t="shared" si="58"/>
        <v>6873.9664262837932</v>
      </c>
      <c r="FC3" s="4">
        <f t="shared" si="58"/>
        <v>6873.9664262837932</v>
      </c>
      <c r="FD3" s="4">
        <f t="shared" si="58"/>
        <v>6873.9664262837932</v>
      </c>
      <c r="FE3" s="4">
        <f t="shared" si="58"/>
        <v>6873.9664262837932</v>
      </c>
      <c r="FF3" s="4">
        <f t="shared" si="4"/>
        <v>6873.9664262837932</v>
      </c>
      <c r="FG3" s="4">
        <f t="shared" si="5"/>
        <v>6873.9664262837932</v>
      </c>
      <c r="FH3" s="4">
        <f t="shared" si="6"/>
        <v>6873.9664262837932</v>
      </c>
      <c r="FI3" s="4">
        <f t="shared" si="7"/>
        <v>6873.9664262837932</v>
      </c>
      <c r="FJ3" s="4">
        <f t="shared" si="8"/>
        <v>6873.9664262837932</v>
      </c>
      <c r="FK3" s="4">
        <f t="shared" si="9"/>
        <v>6873.9664262837932</v>
      </c>
      <c r="FL3" s="4">
        <f t="shared" si="10"/>
        <v>6873.9664262837932</v>
      </c>
      <c r="FM3" s="4">
        <f t="shared" si="11"/>
        <v>6873.9664262837932</v>
      </c>
      <c r="FN3" s="4">
        <f t="shared" si="12"/>
        <v>6873.9664262837932</v>
      </c>
      <c r="FO3" s="4">
        <f t="shared" si="13"/>
        <v>6873.9664262837932</v>
      </c>
      <c r="FP3" s="4">
        <f t="shared" si="14"/>
        <v>6873.9664262837932</v>
      </c>
      <c r="FQ3" s="4">
        <f t="shared" si="15"/>
        <v>6873.9664262837932</v>
      </c>
      <c r="FR3" s="4">
        <f t="shared" si="16"/>
        <v>6873.9664262837932</v>
      </c>
      <c r="FS3" s="4">
        <f t="shared" si="17"/>
        <v>6873.9664262837932</v>
      </c>
      <c r="FT3" s="4">
        <f t="shared" si="18"/>
        <v>6873.9664262837932</v>
      </c>
      <c r="FU3" s="4">
        <f t="shared" si="19"/>
        <v>6873.9664262837932</v>
      </c>
      <c r="FV3" s="4">
        <f t="shared" si="20"/>
        <v>6873.9664262837932</v>
      </c>
      <c r="FW3" s="4">
        <f t="shared" si="21"/>
        <v>6873.9664262837932</v>
      </c>
      <c r="FX3" s="4">
        <f t="shared" si="22"/>
        <v>6873.9664262837932</v>
      </c>
      <c r="FY3" s="4">
        <f t="shared" si="23"/>
        <v>6873.9664262837932</v>
      </c>
      <c r="FZ3" s="4">
        <f t="shared" si="24"/>
        <v>6873.9664262837932</v>
      </c>
      <c r="GA3" s="4">
        <f t="shared" si="25"/>
        <v>6873.9664262837932</v>
      </c>
      <c r="GB3" s="4">
        <f t="shared" si="26"/>
        <v>6873.9664262837932</v>
      </c>
      <c r="GC3" s="4">
        <f t="shared" si="27"/>
        <v>6873.9664262837932</v>
      </c>
      <c r="GD3" s="4">
        <f t="shared" si="28"/>
        <v>6873.9664262837932</v>
      </c>
      <c r="GE3" s="4">
        <f t="shared" si="29"/>
        <v>6873.9664262837932</v>
      </c>
      <c r="GF3" s="4">
        <f t="shared" si="30"/>
        <v>6873.9664262837932</v>
      </c>
      <c r="GG3" s="4">
        <f t="shared" si="31"/>
        <v>6873.9664262837932</v>
      </c>
      <c r="GH3" s="4">
        <f t="shared" si="32"/>
        <v>6873.9664262837932</v>
      </c>
      <c r="GI3" s="4">
        <f t="shared" si="33"/>
        <v>6873.9664262837932</v>
      </c>
      <c r="GJ3" s="4">
        <f t="shared" si="34"/>
        <v>6873.9664262837932</v>
      </c>
      <c r="GK3" s="4">
        <f t="shared" si="35"/>
        <v>6873.9664262837932</v>
      </c>
      <c r="GL3" s="4">
        <f t="shared" si="36"/>
        <v>6873.9664262837932</v>
      </c>
      <c r="GM3" s="4">
        <f t="shared" si="37"/>
        <v>6873.9664262837932</v>
      </c>
      <c r="GN3" s="4">
        <f t="shared" si="38"/>
        <v>6873.9664262837932</v>
      </c>
      <c r="GO3" s="4">
        <f t="shared" si="39"/>
        <v>6873.9664262837932</v>
      </c>
      <c r="GP3" s="4">
        <f t="shared" si="40"/>
        <v>6873.9664262837932</v>
      </c>
      <c r="GQ3" s="4">
        <f t="shared" si="41"/>
        <v>6873.9664262837932</v>
      </c>
      <c r="GR3" s="4">
        <f t="shared" si="42"/>
        <v>6873.9664262837932</v>
      </c>
      <c r="GS3" s="4">
        <f t="shared" si="43"/>
        <v>6873.9664262837932</v>
      </c>
      <c r="GT3" s="4">
        <f t="shared" si="44"/>
        <v>6873.9664262837932</v>
      </c>
      <c r="GU3" s="4">
        <f t="shared" si="45"/>
        <v>6873.9664262837932</v>
      </c>
      <c r="GV3" s="4">
        <f t="shared" si="46"/>
        <v>6873.9664262837932</v>
      </c>
      <c r="GW3" s="4">
        <f t="shared" si="47"/>
        <v>6873.9664262837932</v>
      </c>
      <c r="GX3" s="4">
        <f t="shared" si="48"/>
        <v>6873.9664262837932</v>
      </c>
      <c r="GY3" s="4">
        <f t="shared" si="49"/>
        <v>6873.9664262837932</v>
      </c>
      <c r="GZ3" s="4">
        <f t="shared" si="50"/>
        <v>6873.9664262837932</v>
      </c>
      <c r="HA3" s="4">
        <f t="shared" si="51"/>
        <v>6873.9664262837932</v>
      </c>
      <c r="HB3" s="4">
        <f t="shared" si="52"/>
        <v>6873.9664262837932</v>
      </c>
      <c r="HC3" s="4">
        <f t="shared" si="53"/>
        <v>6873.9664262837932</v>
      </c>
    </row>
    <row r="4" spans="1:211">
      <c r="A4" t="s">
        <v>76</v>
      </c>
      <c r="B4" s="4">
        <f t="shared" ref="B4:BM4" si="59">C4</f>
        <v>0</v>
      </c>
      <c r="C4" s="4">
        <f t="shared" si="59"/>
        <v>0</v>
      </c>
      <c r="D4" s="4">
        <f t="shared" si="59"/>
        <v>0</v>
      </c>
      <c r="E4" s="4">
        <f t="shared" si="59"/>
        <v>0</v>
      </c>
      <c r="F4" s="4">
        <f t="shared" si="59"/>
        <v>0</v>
      </c>
      <c r="G4" s="4">
        <f t="shared" si="59"/>
        <v>0</v>
      </c>
      <c r="H4" s="4">
        <f t="shared" si="59"/>
        <v>0</v>
      </c>
      <c r="I4" s="4">
        <f t="shared" si="59"/>
        <v>0</v>
      </c>
      <c r="J4" s="4">
        <f t="shared" si="59"/>
        <v>0</v>
      </c>
      <c r="K4" s="4">
        <f t="shared" si="59"/>
        <v>0</v>
      </c>
      <c r="L4" s="4">
        <f t="shared" si="59"/>
        <v>0</v>
      </c>
      <c r="M4" s="4">
        <f t="shared" si="59"/>
        <v>0</v>
      </c>
      <c r="N4" s="4">
        <f t="shared" si="59"/>
        <v>0</v>
      </c>
      <c r="O4" s="4">
        <f t="shared" si="59"/>
        <v>0</v>
      </c>
      <c r="P4" s="4">
        <f t="shared" si="59"/>
        <v>0</v>
      </c>
      <c r="Q4" s="4">
        <f t="shared" si="59"/>
        <v>0</v>
      </c>
      <c r="R4" s="4">
        <f t="shared" si="59"/>
        <v>0</v>
      </c>
      <c r="S4" s="4">
        <f t="shared" si="59"/>
        <v>0</v>
      </c>
      <c r="T4" s="4">
        <f t="shared" si="59"/>
        <v>0</v>
      </c>
      <c r="U4" s="4">
        <f t="shared" si="59"/>
        <v>0</v>
      </c>
      <c r="V4" s="4">
        <f t="shared" si="59"/>
        <v>0</v>
      </c>
      <c r="W4" s="4">
        <f t="shared" si="59"/>
        <v>0</v>
      </c>
      <c r="X4" s="4">
        <f t="shared" si="59"/>
        <v>0</v>
      </c>
      <c r="Y4" s="4">
        <f t="shared" si="59"/>
        <v>0</v>
      </c>
      <c r="Z4" s="4">
        <f t="shared" si="59"/>
        <v>0</v>
      </c>
      <c r="AA4" s="4">
        <f t="shared" si="59"/>
        <v>0</v>
      </c>
      <c r="AB4" s="4">
        <f t="shared" si="59"/>
        <v>0</v>
      </c>
      <c r="AC4" s="4">
        <f t="shared" si="59"/>
        <v>0</v>
      </c>
      <c r="AD4" s="4">
        <f t="shared" si="59"/>
        <v>0</v>
      </c>
      <c r="AE4" s="4">
        <f t="shared" si="59"/>
        <v>0</v>
      </c>
      <c r="AF4" s="4">
        <f t="shared" si="59"/>
        <v>0</v>
      </c>
      <c r="AG4" s="4">
        <f t="shared" si="59"/>
        <v>0</v>
      </c>
      <c r="AH4" s="4">
        <f t="shared" si="59"/>
        <v>0</v>
      </c>
      <c r="AI4" s="4">
        <f t="shared" si="59"/>
        <v>0</v>
      </c>
      <c r="AJ4" s="4">
        <f t="shared" si="59"/>
        <v>0</v>
      </c>
      <c r="AK4" s="4">
        <f t="shared" si="59"/>
        <v>0</v>
      </c>
      <c r="AL4" s="4">
        <f t="shared" si="59"/>
        <v>0</v>
      </c>
      <c r="AM4" s="4">
        <f t="shared" si="59"/>
        <v>0</v>
      </c>
      <c r="AN4" s="4">
        <f t="shared" si="59"/>
        <v>0</v>
      </c>
      <c r="AO4" s="4">
        <f t="shared" si="59"/>
        <v>0</v>
      </c>
      <c r="AP4" s="4">
        <f t="shared" si="59"/>
        <v>0</v>
      </c>
      <c r="AQ4" s="4">
        <f t="shared" si="59"/>
        <v>0</v>
      </c>
      <c r="AR4" s="4">
        <f t="shared" si="59"/>
        <v>0</v>
      </c>
      <c r="AS4" s="4">
        <f t="shared" si="59"/>
        <v>0</v>
      </c>
      <c r="AT4" s="4">
        <f t="shared" si="59"/>
        <v>0</v>
      </c>
      <c r="AU4" s="4">
        <f t="shared" si="59"/>
        <v>0</v>
      </c>
      <c r="AV4" s="4">
        <f t="shared" si="59"/>
        <v>0</v>
      </c>
      <c r="AW4" s="4">
        <f t="shared" si="59"/>
        <v>0</v>
      </c>
      <c r="AX4" s="4">
        <f t="shared" si="59"/>
        <v>0</v>
      </c>
      <c r="AY4" s="4">
        <f t="shared" si="59"/>
        <v>0</v>
      </c>
      <c r="AZ4" s="4">
        <f t="shared" si="59"/>
        <v>0</v>
      </c>
      <c r="BA4" s="4">
        <f t="shared" si="59"/>
        <v>0</v>
      </c>
      <c r="BB4" s="4">
        <f t="shared" si="59"/>
        <v>0</v>
      </c>
      <c r="BC4" s="4">
        <f t="shared" si="59"/>
        <v>0</v>
      </c>
      <c r="BD4" s="4">
        <f t="shared" si="59"/>
        <v>0</v>
      </c>
      <c r="BE4" s="4">
        <f t="shared" si="59"/>
        <v>0</v>
      </c>
      <c r="BF4" s="4">
        <f t="shared" si="59"/>
        <v>0</v>
      </c>
      <c r="BG4" s="4">
        <f t="shared" si="59"/>
        <v>0</v>
      </c>
      <c r="BH4" s="4">
        <f t="shared" si="59"/>
        <v>0</v>
      </c>
      <c r="BI4" s="4">
        <f t="shared" si="59"/>
        <v>0</v>
      </c>
      <c r="BJ4" s="4">
        <f t="shared" si="59"/>
        <v>0</v>
      </c>
      <c r="BK4" s="4">
        <f t="shared" si="59"/>
        <v>0</v>
      </c>
      <c r="BL4" s="4">
        <f t="shared" si="59"/>
        <v>0</v>
      </c>
      <c r="BM4" s="4">
        <f t="shared" si="59"/>
        <v>0</v>
      </c>
      <c r="BN4" s="4">
        <f t="shared" ref="BN4:DY4" si="60">BO4</f>
        <v>0</v>
      </c>
      <c r="BO4" s="4">
        <f t="shared" si="60"/>
        <v>0</v>
      </c>
      <c r="BP4" s="4">
        <f t="shared" si="60"/>
        <v>0</v>
      </c>
      <c r="BQ4" s="4">
        <f t="shared" si="60"/>
        <v>0</v>
      </c>
      <c r="BR4" s="4">
        <f t="shared" si="60"/>
        <v>0</v>
      </c>
      <c r="BS4" s="4">
        <f t="shared" si="60"/>
        <v>0</v>
      </c>
      <c r="BT4" s="4">
        <f t="shared" si="60"/>
        <v>0</v>
      </c>
      <c r="BU4" s="4">
        <f t="shared" si="60"/>
        <v>0</v>
      </c>
      <c r="BV4" s="4">
        <f t="shared" si="60"/>
        <v>0</v>
      </c>
      <c r="BW4" s="4">
        <f t="shared" si="60"/>
        <v>0</v>
      </c>
      <c r="BX4" s="4">
        <f t="shared" si="60"/>
        <v>0</v>
      </c>
      <c r="BY4" s="4">
        <f t="shared" si="60"/>
        <v>0</v>
      </c>
      <c r="BZ4" s="4">
        <f t="shared" si="60"/>
        <v>0</v>
      </c>
      <c r="CA4" s="4">
        <f t="shared" si="60"/>
        <v>0</v>
      </c>
      <c r="CB4" s="4">
        <f t="shared" si="60"/>
        <v>0</v>
      </c>
      <c r="CC4" s="4">
        <f t="shared" si="60"/>
        <v>0</v>
      </c>
      <c r="CD4" s="4">
        <f t="shared" si="60"/>
        <v>0</v>
      </c>
      <c r="CE4" s="4">
        <f t="shared" si="60"/>
        <v>0</v>
      </c>
      <c r="CF4" s="4">
        <f t="shared" si="60"/>
        <v>0</v>
      </c>
      <c r="CG4" s="4">
        <f t="shared" si="60"/>
        <v>0</v>
      </c>
      <c r="CH4" s="4">
        <f t="shared" si="60"/>
        <v>0</v>
      </c>
      <c r="CI4" s="4">
        <f t="shared" si="60"/>
        <v>0</v>
      </c>
      <c r="CJ4" s="4">
        <f t="shared" si="60"/>
        <v>0</v>
      </c>
      <c r="CK4" s="4">
        <f t="shared" si="60"/>
        <v>0</v>
      </c>
      <c r="CL4" s="4">
        <f t="shared" si="60"/>
        <v>0</v>
      </c>
      <c r="CM4" s="4">
        <f t="shared" si="60"/>
        <v>0</v>
      </c>
      <c r="CN4" s="4">
        <f t="shared" si="60"/>
        <v>0</v>
      </c>
      <c r="CO4" s="4">
        <f t="shared" si="60"/>
        <v>0</v>
      </c>
      <c r="CP4" s="4">
        <f t="shared" si="60"/>
        <v>0</v>
      </c>
      <c r="CQ4" s="4">
        <f t="shared" si="60"/>
        <v>0</v>
      </c>
      <c r="CR4" s="4">
        <f t="shared" si="60"/>
        <v>0</v>
      </c>
      <c r="CS4" s="4">
        <f t="shared" si="60"/>
        <v>0</v>
      </c>
      <c r="CT4" s="4">
        <f t="shared" si="60"/>
        <v>0</v>
      </c>
      <c r="CU4" s="4">
        <f t="shared" si="60"/>
        <v>0</v>
      </c>
      <c r="CV4" s="4">
        <f t="shared" si="60"/>
        <v>0</v>
      </c>
      <c r="CW4" s="4">
        <f t="shared" si="60"/>
        <v>0</v>
      </c>
      <c r="CX4" s="4">
        <f t="shared" si="60"/>
        <v>0</v>
      </c>
      <c r="CY4" s="4">
        <f t="shared" si="60"/>
        <v>0</v>
      </c>
      <c r="CZ4" s="4">
        <f t="shared" si="60"/>
        <v>0</v>
      </c>
      <c r="DA4" s="4">
        <f t="shared" si="60"/>
        <v>0</v>
      </c>
      <c r="DB4" s="4">
        <f t="shared" si="60"/>
        <v>0</v>
      </c>
      <c r="DC4" s="4">
        <f t="shared" si="60"/>
        <v>0</v>
      </c>
      <c r="DD4" s="4">
        <f t="shared" si="60"/>
        <v>0</v>
      </c>
      <c r="DE4" s="4">
        <f t="shared" si="60"/>
        <v>0</v>
      </c>
      <c r="DF4" s="4">
        <f t="shared" si="60"/>
        <v>0</v>
      </c>
      <c r="DG4" s="4">
        <f t="shared" si="60"/>
        <v>0</v>
      </c>
      <c r="DH4" s="4">
        <f t="shared" si="60"/>
        <v>0</v>
      </c>
      <c r="DI4" s="4">
        <f t="shared" si="60"/>
        <v>0</v>
      </c>
      <c r="DJ4" s="4">
        <f t="shared" si="60"/>
        <v>0</v>
      </c>
      <c r="DK4" s="4">
        <f t="shared" si="60"/>
        <v>0</v>
      </c>
      <c r="DL4" s="4">
        <f t="shared" si="60"/>
        <v>0</v>
      </c>
      <c r="DM4" s="4">
        <f t="shared" si="60"/>
        <v>0</v>
      </c>
      <c r="DN4" s="4">
        <f t="shared" si="60"/>
        <v>0</v>
      </c>
      <c r="DO4" s="4">
        <f t="shared" si="60"/>
        <v>0</v>
      </c>
      <c r="DP4" s="4">
        <f t="shared" si="60"/>
        <v>0</v>
      </c>
      <c r="DQ4" s="4">
        <f t="shared" si="60"/>
        <v>0</v>
      </c>
      <c r="DR4" s="4">
        <f t="shared" si="60"/>
        <v>0</v>
      </c>
      <c r="DS4" s="4">
        <f t="shared" si="60"/>
        <v>0</v>
      </c>
      <c r="DT4" s="4">
        <f t="shared" si="60"/>
        <v>0</v>
      </c>
      <c r="DU4" s="4">
        <f t="shared" si="60"/>
        <v>0</v>
      </c>
      <c r="DV4" s="4">
        <f t="shared" si="60"/>
        <v>0</v>
      </c>
      <c r="DW4" s="4">
        <f t="shared" si="60"/>
        <v>0</v>
      </c>
      <c r="DX4" s="4">
        <f t="shared" si="60"/>
        <v>0</v>
      </c>
      <c r="DY4" s="4">
        <f t="shared" si="60"/>
        <v>0</v>
      </c>
      <c r="DZ4" s="4">
        <f t="shared" si="56"/>
        <v>0</v>
      </c>
      <c r="EA4" s="4">
        <f t="shared" si="56"/>
        <v>0</v>
      </c>
      <c r="EB4" s="4">
        <f>'CCaMC-ACAPEXpUC US'!D4/'CCaMC-BCCpUC US'!B4*'CCaMC-BCCpUC'!B4</f>
        <v>0</v>
      </c>
      <c r="EC4" s="4">
        <f t="shared" si="57"/>
        <v>0</v>
      </c>
      <c r="ED4" s="4">
        <f t="shared" si="57"/>
        <v>0</v>
      </c>
      <c r="EE4" s="4">
        <f t="shared" si="57"/>
        <v>0</v>
      </c>
      <c r="EF4" s="4">
        <f t="shared" si="57"/>
        <v>0</v>
      </c>
      <c r="EG4" s="4">
        <f t="shared" si="57"/>
        <v>0</v>
      </c>
      <c r="EH4" s="4">
        <f t="shared" si="57"/>
        <v>0</v>
      </c>
      <c r="EI4" s="4">
        <f t="shared" si="57"/>
        <v>0</v>
      </c>
      <c r="EJ4" s="4">
        <f t="shared" si="57"/>
        <v>0</v>
      </c>
      <c r="EK4" s="4">
        <f t="shared" si="57"/>
        <v>0</v>
      </c>
      <c r="EL4" s="4">
        <f t="shared" si="57"/>
        <v>0</v>
      </c>
      <c r="EM4" s="4">
        <f t="shared" ref="EM4:FE4" si="61">EL4</f>
        <v>0</v>
      </c>
      <c r="EN4" s="4">
        <f t="shared" si="61"/>
        <v>0</v>
      </c>
      <c r="EO4" s="4">
        <f t="shared" si="61"/>
        <v>0</v>
      </c>
      <c r="EP4" s="4">
        <f t="shared" si="61"/>
        <v>0</v>
      </c>
      <c r="EQ4" s="4">
        <f t="shared" si="61"/>
        <v>0</v>
      </c>
      <c r="ER4" s="4">
        <f t="shared" si="61"/>
        <v>0</v>
      </c>
      <c r="ES4" s="4">
        <f t="shared" si="61"/>
        <v>0</v>
      </c>
      <c r="ET4" s="4">
        <f t="shared" si="61"/>
        <v>0</v>
      </c>
      <c r="EU4" s="4">
        <f t="shared" si="61"/>
        <v>0</v>
      </c>
      <c r="EV4" s="4">
        <f t="shared" si="61"/>
        <v>0</v>
      </c>
      <c r="EW4" s="4">
        <f t="shared" si="61"/>
        <v>0</v>
      </c>
      <c r="EX4" s="4">
        <f t="shared" si="61"/>
        <v>0</v>
      </c>
      <c r="EY4" s="4">
        <f t="shared" si="61"/>
        <v>0</v>
      </c>
      <c r="EZ4" s="4">
        <f t="shared" si="61"/>
        <v>0</v>
      </c>
      <c r="FA4" s="4">
        <f t="shared" si="61"/>
        <v>0</v>
      </c>
      <c r="FB4" s="4">
        <f t="shared" si="61"/>
        <v>0</v>
      </c>
      <c r="FC4" s="4">
        <f t="shared" si="61"/>
        <v>0</v>
      </c>
      <c r="FD4" s="4">
        <f t="shared" si="61"/>
        <v>0</v>
      </c>
      <c r="FE4" s="4">
        <f t="shared" si="61"/>
        <v>0</v>
      </c>
      <c r="FF4" s="4">
        <f t="shared" si="4"/>
        <v>0</v>
      </c>
      <c r="FG4" s="4">
        <f t="shared" si="5"/>
        <v>0</v>
      </c>
      <c r="FH4" s="4">
        <f t="shared" si="6"/>
        <v>0</v>
      </c>
      <c r="FI4" s="4">
        <f t="shared" si="7"/>
        <v>0</v>
      </c>
      <c r="FJ4" s="4">
        <f t="shared" si="8"/>
        <v>0</v>
      </c>
      <c r="FK4" s="4">
        <f t="shared" si="9"/>
        <v>0</v>
      </c>
      <c r="FL4" s="4">
        <f t="shared" si="10"/>
        <v>0</v>
      </c>
      <c r="FM4" s="4">
        <f t="shared" si="11"/>
        <v>0</v>
      </c>
      <c r="FN4" s="4">
        <f t="shared" si="12"/>
        <v>0</v>
      </c>
      <c r="FO4" s="4">
        <f t="shared" si="13"/>
        <v>0</v>
      </c>
      <c r="FP4" s="4">
        <f t="shared" si="14"/>
        <v>0</v>
      </c>
      <c r="FQ4" s="4">
        <f t="shared" si="15"/>
        <v>0</v>
      </c>
      <c r="FR4" s="4">
        <f t="shared" si="16"/>
        <v>0</v>
      </c>
      <c r="FS4" s="4">
        <f t="shared" si="17"/>
        <v>0</v>
      </c>
      <c r="FT4" s="4">
        <f t="shared" si="18"/>
        <v>0</v>
      </c>
      <c r="FU4" s="4">
        <f t="shared" si="19"/>
        <v>0</v>
      </c>
      <c r="FV4" s="4">
        <f t="shared" si="20"/>
        <v>0</v>
      </c>
      <c r="FW4" s="4">
        <f t="shared" si="21"/>
        <v>0</v>
      </c>
      <c r="FX4" s="4">
        <f t="shared" si="22"/>
        <v>0</v>
      </c>
      <c r="FY4" s="4">
        <f t="shared" si="23"/>
        <v>0</v>
      </c>
      <c r="FZ4" s="4">
        <f t="shared" si="24"/>
        <v>0</v>
      </c>
      <c r="GA4" s="4">
        <f t="shared" si="25"/>
        <v>0</v>
      </c>
      <c r="GB4" s="4">
        <f t="shared" si="26"/>
        <v>0</v>
      </c>
      <c r="GC4" s="4">
        <f t="shared" si="27"/>
        <v>0</v>
      </c>
      <c r="GD4" s="4">
        <f t="shared" si="28"/>
        <v>0</v>
      </c>
      <c r="GE4" s="4">
        <f t="shared" si="29"/>
        <v>0</v>
      </c>
      <c r="GF4" s="4">
        <f t="shared" si="30"/>
        <v>0</v>
      </c>
      <c r="GG4" s="4">
        <f t="shared" si="31"/>
        <v>0</v>
      </c>
      <c r="GH4" s="4">
        <f t="shared" si="32"/>
        <v>0</v>
      </c>
      <c r="GI4" s="4">
        <f t="shared" si="33"/>
        <v>0</v>
      </c>
      <c r="GJ4" s="4">
        <f t="shared" si="34"/>
        <v>0</v>
      </c>
      <c r="GK4" s="4">
        <f t="shared" si="35"/>
        <v>0</v>
      </c>
      <c r="GL4" s="4">
        <f t="shared" si="36"/>
        <v>0</v>
      </c>
      <c r="GM4" s="4">
        <f t="shared" si="37"/>
        <v>0</v>
      </c>
      <c r="GN4" s="4">
        <f t="shared" si="38"/>
        <v>0</v>
      </c>
      <c r="GO4" s="4">
        <f t="shared" si="39"/>
        <v>0</v>
      </c>
      <c r="GP4" s="4">
        <f t="shared" si="40"/>
        <v>0</v>
      </c>
      <c r="GQ4" s="4">
        <f t="shared" si="41"/>
        <v>0</v>
      </c>
      <c r="GR4" s="4">
        <f t="shared" si="42"/>
        <v>0</v>
      </c>
      <c r="GS4" s="4">
        <f t="shared" si="43"/>
        <v>0</v>
      </c>
      <c r="GT4" s="4">
        <f t="shared" si="44"/>
        <v>0</v>
      </c>
      <c r="GU4" s="4">
        <f t="shared" si="45"/>
        <v>0</v>
      </c>
      <c r="GV4" s="4">
        <f t="shared" si="46"/>
        <v>0</v>
      </c>
      <c r="GW4" s="4">
        <f t="shared" si="47"/>
        <v>0</v>
      </c>
      <c r="GX4" s="4">
        <f t="shared" si="48"/>
        <v>0</v>
      </c>
      <c r="GY4" s="4">
        <f t="shared" si="49"/>
        <v>0</v>
      </c>
      <c r="GZ4" s="4">
        <f t="shared" si="50"/>
        <v>0</v>
      </c>
      <c r="HA4" s="4">
        <f t="shared" si="51"/>
        <v>0</v>
      </c>
      <c r="HB4" s="4">
        <f t="shared" si="52"/>
        <v>0</v>
      </c>
      <c r="HC4" s="4">
        <f t="shared" si="53"/>
        <v>0</v>
      </c>
    </row>
    <row r="5" spans="1:211">
      <c r="A5" t="s">
        <v>5</v>
      </c>
      <c r="B5" s="4">
        <f t="shared" ref="B5:BM5" si="62">C5</f>
        <v>29986.815525558835</v>
      </c>
      <c r="C5" s="4">
        <f t="shared" si="62"/>
        <v>29986.815525558835</v>
      </c>
      <c r="D5" s="4">
        <f t="shared" si="62"/>
        <v>29986.815525558835</v>
      </c>
      <c r="E5" s="4">
        <f t="shared" si="62"/>
        <v>29986.815525558835</v>
      </c>
      <c r="F5" s="4">
        <f t="shared" si="62"/>
        <v>29986.815525558835</v>
      </c>
      <c r="G5" s="4">
        <f t="shared" si="62"/>
        <v>29986.815525558835</v>
      </c>
      <c r="H5" s="4">
        <f t="shared" si="62"/>
        <v>29986.815525558835</v>
      </c>
      <c r="I5" s="4">
        <f t="shared" si="62"/>
        <v>29986.815525558835</v>
      </c>
      <c r="J5" s="4">
        <f t="shared" si="62"/>
        <v>29986.815525558835</v>
      </c>
      <c r="K5" s="4">
        <f t="shared" si="62"/>
        <v>29986.815525558835</v>
      </c>
      <c r="L5" s="4">
        <f t="shared" si="62"/>
        <v>29986.815525558835</v>
      </c>
      <c r="M5" s="4">
        <f t="shared" si="62"/>
        <v>29986.815525558835</v>
      </c>
      <c r="N5" s="4">
        <f t="shared" si="62"/>
        <v>29986.815525558835</v>
      </c>
      <c r="O5" s="4">
        <f t="shared" si="62"/>
        <v>29986.815525558835</v>
      </c>
      <c r="P5" s="4">
        <f t="shared" si="62"/>
        <v>29986.815525558835</v>
      </c>
      <c r="Q5" s="4">
        <f t="shared" si="62"/>
        <v>29986.815525558835</v>
      </c>
      <c r="R5" s="4">
        <f t="shared" si="62"/>
        <v>29986.815525558835</v>
      </c>
      <c r="S5" s="4">
        <f t="shared" si="62"/>
        <v>29986.815525558835</v>
      </c>
      <c r="T5" s="4">
        <f t="shared" si="62"/>
        <v>29986.815525558835</v>
      </c>
      <c r="U5" s="4">
        <f t="shared" si="62"/>
        <v>29986.815525558835</v>
      </c>
      <c r="V5" s="4">
        <f t="shared" si="62"/>
        <v>29986.815525558835</v>
      </c>
      <c r="W5" s="4">
        <f t="shared" si="62"/>
        <v>29986.815525558835</v>
      </c>
      <c r="X5" s="4">
        <f t="shared" si="62"/>
        <v>29986.815525558835</v>
      </c>
      <c r="Y5" s="4">
        <f t="shared" si="62"/>
        <v>29986.815525558835</v>
      </c>
      <c r="Z5" s="4">
        <f t="shared" si="62"/>
        <v>29986.815525558835</v>
      </c>
      <c r="AA5" s="4">
        <f t="shared" si="62"/>
        <v>29986.815525558835</v>
      </c>
      <c r="AB5" s="4">
        <f t="shared" si="62"/>
        <v>29986.815525558835</v>
      </c>
      <c r="AC5" s="4">
        <f t="shared" si="62"/>
        <v>29986.815525558835</v>
      </c>
      <c r="AD5" s="4">
        <f t="shared" si="62"/>
        <v>29986.815525558835</v>
      </c>
      <c r="AE5" s="4">
        <f t="shared" si="62"/>
        <v>29986.815525558835</v>
      </c>
      <c r="AF5" s="4">
        <f t="shared" si="62"/>
        <v>29986.815525558835</v>
      </c>
      <c r="AG5" s="4">
        <f t="shared" si="62"/>
        <v>29986.815525558835</v>
      </c>
      <c r="AH5" s="4">
        <f t="shared" si="62"/>
        <v>29986.815525558835</v>
      </c>
      <c r="AI5" s="4">
        <f t="shared" si="62"/>
        <v>29986.815525558835</v>
      </c>
      <c r="AJ5" s="4">
        <f t="shared" si="62"/>
        <v>29986.815525558835</v>
      </c>
      <c r="AK5" s="4">
        <f t="shared" si="62"/>
        <v>29986.815525558835</v>
      </c>
      <c r="AL5" s="4">
        <f t="shared" si="62"/>
        <v>29986.815525558835</v>
      </c>
      <c r="AM5" s="4">
        <f t="shared" si="62"/>
        <v>29986.815525558835</v>
      </c>
      <c r="AN5" s="4">
        <f t="shared" si="62"/>
        <v>29986.815525558835</v>
      </c>
      <c r="AO5" s="4">
        <f t="shared" si="62"/>
        <v>29986.815525558835</v>
      </c>
      <c r="AP5" s="4">
        <f t="shared" si="62"/>
        <v>29986.815525558835</v>
      </c>
      <c r="AQ5" s="4">
        <f t="shared" si="62"/>
        <v>29986.815525558835</v>
      </c>
      <c r="AR5" s="4">
        <f t="shared" si="62"/>
        <v>29986.815525558835</v>
      </c>
      <c r="AS5" s="4">
        <f t="shared" si="62"/>
        <v>29986.815525558835</v>
      </c>
      <c r="AT5" s="4">
        <f t="shared" si="62"/>
        <v>29986.815525558835</v>
      </c>
      <c r="AU5" s="4">
        <f t="shared" si="62"/>
        <v>29986.815525558835</v>
      </c>
      <c r="AV5" s="4">
        <f t="shared" si="62"/>
        <v>29986.815525558835</v>
      </c>
      <c r="AW5" s="4">
        <f t="shared" si="62"/>
        <v>29986.815525558835</v>
      </c>
      <c r="AX5" s="4">
        <f t="shared" si="62"/>
        <v>29986.815525558835</v>
      </c>
      <c r="AY5" s="4">
        <f t="shared" si="62"/>
        <v>29986.815525558835</v>
      </c>
      <c r="AZ5" s="4">
        <f t="shared" si="62"/>
        <v>29986.815525558835</v>
      </c>
      <c r="BA5" s="4">
        <f t="shared" si="62"/>
        <v>29986.815525558835</v>
      </c>
      <c r="BB5" s="4">
        <f t="shared" si="62"/>
        <v>29986.815525558835</v>
      </c>
      <c r="BC5" s="4">
        <f t="shared" si="62"/>
        <v>29986.815525558835</v>
      </c>
      <c r="BD5" s="4">
        <f t="shared" si="62"/>
        <v>29986.815525558835</v>
      </c>
      <c r="BE5" s="4">
        <f t="shared" si="62"/>
        <v>29986.815525558835</v>
      </c>
      <c r="BF5" s="4">
        <f t="shared" si="62"/>
        <v>29986.815525558835</v>
      </c>
      <c r="BG5" s="4">
        <f t="shared" si="62"/>
        <v>29986.815525558835</v>
      </c>
      <c r="BH5" s="4">
        <f t="shared" si="62"/>
        <v>29986.815525558835</v>
      </c>
      <c r="BI5" s="4">
        <f t="shared" si="62"/>
        <v>29986.815525558835</v>
      </c>
      <c r="BJ5" s="4">
        <f t="shared" si="62"/>
        <v>29986.815525558835</v>
      </c>
      <c r="BK5" s="4">
        <f t="shared" si="62"/>
        <v>29986.815525558835</v>
      </c>
      <c r="BL5" s="4">
        <f t="shared" si="62"/>
        <v>29986.815525558835</v>
      </c>
      <c r="BM5" s="4">
        <f t="shared" si="62"/>
        <v>29986.815525558835</v>
      </c>
      <c r="BN5" s="4">
        <f t="shared" ref="BN5:DY5" si="63">BO5</f>
        <v>29986.815525558835</v>
      </c>
      <c r="BO5" s="4">
        <f t="shared" si="63"/>
        <v>29986.815525558835</v>
      </c>
      <c r="BP5" s="4">
        <f t="shared" si="63"/>
        <v>29986.815525558835</v>
      </c>
      <c r="BQ5" s="4">
        <f t="shared" si="63"/>
        <v>29986.815525558835</v>
      </c>
      <c r="BR5" s="4">
        <f t="shared" si="63"/>
        <v>29986.815525558835</v>
      </c>
      <c r="BS5" s="4">
        <f t="shared" si="63"/>
        <v>29986.815525558835</v>
      </c>
      <c r="BT5" s="4">
        <f t="shared" si="63"/>
        <v>29986.815525558835</v>
      </c>
      <c r="BU5" s="4">
        <f t="shared" si="63"/>
        <v>29986.815525558835</v>
      </c>
      <c r="BV5" s="4">
        <f t="shared" si="63"/>
        <v>29986.815525558835</v>
      </c>
      <c r="BW5" s="4">
        <f t="shared" si="63"/>
        <v>29986.815525558835</v>
      </c>
      <c r="BX5" s="4">
        <f t="shared" si="63"/>
        <v>29986.815525558835</v>
      </c>
      <c r="BY5" s="4">
        <f t="shared" si="63"/>
        <v>29986.815525558835</v>
      </c>
      <c r="BZ5" s="4">
        <f t="shared" si="63"/>
        <v>29986.815525558835</v>
      </c>
      <c r="CA5" s="4">
        <f t="shared" si="63"/>
        <v>29986.815525558835</v>
      </c>
      <c r="CB5" s="4">
        <f t="shared" si="63"/>
        <v>29986.815525558835</v>
      </c>
      <c r="CC5" s="4">
        <f t="shared" si="63"/>
        <v>29986.815525558835</v>
      </c>
      <c r="CD5" s="4">
        <f t="shared" si="63"/>
        <v>29986.815525558835</v>
      </c>
      <c r="CE5" s="4">
        <f t="shared" si="63"/>
        <v>29986.815525558835</v>
      </c>
      <c r="CF5" s="4">
        <f t="shared" si="63"/>
        <v>29986.815525558835</v>
      </c>
      <c r="CG5" s="4">
        <f t="shared" si="63"/>
        <v>29986.815525558835</v>
      </c>
      <c r="CH5" s="4">
        <f t="shared" si="63"/>
        <v>29986.815525558835</v>
      </c>
      <c r="CI5" s="4">
        <f t="shared" si="63"/>
        <v>29986.815525558835</v>
      </c>
      <c r="CJ5" s="4">
        <f t="shared" si="63"/>
        <v>29986.815525558835</v>
      </c>
      <c r="CK5" s="4">
        <f t="shared" si="63"/>
        <v>29986.815525558835</v>
      </c>
      <c r="CL5" s="4">
        <f t="shared" si="63"/>
        <v>29986.815525558835</v>
      </c>
      <c r="CM5" s="4">
        <f t="shared" si="63"/>
        <v>29986.815525558835</v>
      </c>
      <c r="CN5" s="4">
        <f t="shared" si="63"/>
        <v>29986.815525558835</v>
      </c>
      <c r="CO5" s="4">
        <f t="shared" si="63"/>
        <v>29986.815525558835</v>
      </c>
      <c r="CP5" s="4">
        <f t="shared" si="63"/>
        <v>29986.815525558835</v>
      </c>
      <c r="CQ5" s="4">
        <f t="shared" si="63"/>
        <v>29986.815525558835</v>
      </c>
      <c r="CR5" s="4">
        <f t="shared" si="63"/>
        <v>29986.815525558835</v>
      </c>
      <c r="CS5" s="4">
        <f t="shared" si="63"/>
        <v>29986.815525558835</v>
      </c>
      <c r="CT5" s="4">
        <f t="shared" si="63"/>
        <v>29986.815525558835</v>
      </c>
      <c r="CU5" s="4">
        <f t="shared" si="63"/>
        <v>29986.815525558835</v>
      </c>
      <c r="CV5" s="4">
        <f t="shared" si="63"/>
        <v>29986.815525558835</v>
      </c>
      <c r="CW5" s="4">
        <f t="shared" si="63"/>
        <v>29986.815525558835</v>
      </c>
      <c r="CX5" s="4">
        <f t="shared" si="63"/>
        <v>29986.815525558835</v>
      </c>
      <c r="CY5" s="4">
        <f t="shared" si="63"/>
        <v>29986.815525558835</v>
      </c>
      <c r="CZ5" s="4">
        <f t="shared" si="63"/>
        <v>29986.815525558835</v>
      </c>
      <c r="DA5" s="4">
        <f t="shared" si="63"/>
        <v>29986.815525558835</v>
      </c>
      <c r="DB5" s="4">
        <f t="shared" si="63"/>
        <v>29986.815525558835</v>
      </c>
      <c r="DC5" s="4">
        <f t="shared" si="63"/>
        <v>29986.815525558835</v>
      </c>
      <c r="DD5" s="4">
        <f t="shared" si="63"/>
        <v>29986.815525558835</v>
      </c>
      <c r="DE5" s="4">
        <f t="shared" si="63"/>
        <v>29986.815525558835</v>
      </c>
      <c r="DF5" s="4">
        <f t="shared" si="63"/>
        <v>29986.815525558835</v>
      </c>
      <c r="DG5" s="4">
        <f t="shared" si="63"/>
        <v>29986.815525558835</v>
      </c>
      <c r="DH5" s="4">
        <f t="shared" si="63"/>
        <v>29986.815525558835</v>
      </c>
      <c r="DI5" s="4">
        <f t="shared" si="63"/>
        <v>29986.815525558835</v>
      </c>
      <c r="DJ5" s="4">
        <f t="shared" si="63"/>
        <v>29986.815525558835</v>
      </c>
      <c r="DK5" s="4">
        <f t="shared" si="63"/>
        <v>29986.815525558835</v>
      </c>
      <c r="DL5" s="4">
        <f t="shared" si="63"/>
        <v>29986.815525558835</v>
      </c>
      <c r="DM5" s="4">
        <f t="shared" si="63"/>
        <v>29986.815525558835</v>
      </c>
      <c r="DN5" s="4">
        <f t="shared" si="63"/>
        <v>29986.815525558835</v>
      </c>
      <c r="DO5" s="4">
        <f t="shared" si="63"/>
        <v>29986.815525558835</v>
      </c>
      <c r="DP5" s="4">
        <f t="shared" si="63"/>
        <v>29986.815525558835</v>
      </c>
      <c r="DQ5" s="4">
        <f t="shared" si="63"/>
        <v>29986.815525558835</v>
      </c>
      <c r="DR5" s="4">
        <f t="shared" si="63"/>
        <v>29986.815525558835</v>
      </c>
      <c r="DS5" s="4">
        <f t="shared" si="63"/>
        <v>29986.815525558835</v>
      </c>
      <c r="DT5" s="4">
        <f t="shared" si="63"/>
        <v>29986.815525558835</v>
      </c>
      <c r="DU5" s="4">
        <f t="shared" si="63"/>
        <v>29986.815525558835</v>
      </c>
      <c r="DV5" s="4">
        <f t="shared" si="63"/>
        <v>29986.815525558835</v>
      </c>
      <c r="DW5" s="4">
        <f t="shared" si="63"/>
        <v>29986.815525558835</v>
      </c>
      <c r="DX5" s="4">
        <f t="shared" si="63"/>
        <v>29986.815525558835</v>
      </c>
      <c r="DY5" s="4">
        <f t="shared" si="63"/>
        <v>29986.815525558835</v>
      </c>
      <c r="DZ5" s="4">
        <f t="shared" si="56"/>
        <v>29986.815525558835</v>
      </c>
      <c r="EA5" s="4">
        <f t="shared" si="56"/>
        <v>29986.815525558835</v>
      </c>
      <c r="EB5" s="4">
        <f>'CCaMC-ACAPEXpUC US'!D5/'CCaMC-BCCpUC US'!B5*'CCaMC-BCCpUC'!B5</f>
        <v>29986.815525558835</v>
      </c>
      <c r="EC5" s="4">
        <f t="shared" si="57"/>
        <v>29986.815525558835</v>
      </c>
      <c r="ED5" s="4">
        <f t="shared" si="57"/>
        <v>29986.815525558835</v>
      </c>
      <c r="EE5" s="4">
        <f t="shared" si="57"/>
        <v>29986.815525558835</v>
      </c>
      <c r="EF5" s="4">
        <f t="shared" si="57"/>
        <v>29986.815525558835</v>
      </c>
      <c r="EG5" s="4">
        <f t="shared" si="57"/>
        <v>29986.815525558835</v>
      </c>
      <c r="EH5" s="4">
        <f t="shared" si="57"/>
        <v>29986.815525558835</v>
      </c>
      <c r="EI5" s="4">
        <f t="shared" si="57"/>
        <v>29986.815525558835</v>
      </c>
      <c r="EJ5" s="4">
        <f t="shared" si="57"/>
        <v>29986.815525558835</v>
      </c>
      <c r="EK5" s="4">
        <f t="shared" si="57"/>
        <v>29986.815525558835</v>
      </c>
      <c r="EL5" s="4">
        <f t="shared" si="57"/>
        <v>29986.815525558835</v>
      </c>
      <c r="EM5" s="4">
        <f t="shared" ref="EM5:FE5" si="64">EL5</f>
        <v>29986.815525558835</v>
      </c>
      <c r="EN5" s="4">
        <f t="shared" si="64"/>
        <v>29986.815525558835</v>
      </c>
      <c r="EO5" s="4">
        <f t="shared" si="64"/>
        <v>29986.815525558835</v>
      </c>
      <c r="EP5" s="4">
        <f t="shared" si="64"/>
        <v>29986.815525558835</v>
      </c>
      <c r="EQ5" s="4">
        <f t="shared" si="64"/>
        <v>29986.815525558835</v>
      </c>
      <c r="ER5" s="4">
        <f t="shared" si="64"/>
        <v>29986.815525558835</v>
      </c>
      <c r="ES5" s="4">
        <f t="shared" si="64"/>
        <v>29986.815525558835</v>
      </c>
      <c r="ET5" s="4">
        <f t="shared" si="64"/>
        <v>29986.815525558835</v>
      </c>
      <c r="EU5" s="4">
        <f t="shared" si="64"/>
        <v>29986.815525558835</v>
      </c>
      <c r="EV5" s="4">
        <f t="shared" si="64"/>
        <v>29986.815525558835</v>
      </c>
      <c r="EW5" s="4">
        <f t="shared" si="64"/>
        <v>29986.815525558835</v>
      </c>
      <c r="EX5" s="4">
        <f t="shared" si="64"/>
        <v>29986.815525558835</v>
      </c>
      <c r="EY5" s="4">
        <f t="shared" si="64"/>
        <v>29986.815525558835</v>
      </c>
      <c r="EZ5" s="4">
        <f t="shared" si="64"/>
        <v>29986.815525558835</v>
      </c>
      <c r="FA5" s="4">
        <f t="shared" si="64"/>
        <v>29986.815525558835</v>
      </c>
      <c r="FB5" s="4">
        <f t="shared" si="64"/>
        <v>29986.815525558835</v>
      </c>
      <c r="FC5" s="4">
        <f t="shared" si="64"/>
        <v>29986.815525558835</v>
      </c>
      <c r="FD5" s="4">
        <f t="shared" si="64"/>
        <v>29986.815525558835</v>
      </c>
      <c r="FE5" s="4">
        <f t="shared" si="64"/>
        <v>29986.815525558835</v>
      </c>
      <c r="FF5" s="4">
        <f t="shared" si="4"/>
        <v>29986.815525558835</v>
      </c>
      <c r="FG5" s="4">
        <f t="shared" si="5"/>
        <v>29986.815525558835</v>
      </c>
      <c r="FH5" s="4">
        <f t="shared" si="6"/>
        <v>29986.815525558835</v>
      </c>
      <c r="FI5" s="4">
        <f t="shared" si="7"/>
        <v>29986.815525558835</v>
      </c>
      <c r="FJ5" s="4">
        <f t="shared" si="8"/>
        <v>29986.815525558835</v>
      </c>
      <c r="FK5" s="4">
        <f t="shared" si="9"/>
        <v>29986.815525558835</v>
      </c>
      <c r="FL5" s="4">
        <f t="shared" si="10"/>
        <v>29986.815525558835</v>
      </c>
      <c r="FM5" s="4">
        <f t="shared" si="11"/>
        <v>29986.815525558835</v>
      </c>
      <c r="FN5" s="4">
        <f t="shared" si="12"/>
        <v>29986.815525558835</v>
      </c>
      <c r="FO5" s="4">
        <f t="shared" si="13"/>
        <v>29986.815525558835</v>
      </c>
      <c r="FP5" s="4">
        <f t="shared" si="14"/>
        <v>29986.815525558835</v>
      </c>
      <c r="FQ5" s="4">
        <f t="shared" si="15"/>
        <v>29986.815525558835</v>
      </c>
      <c r="FR5" s="4">
        <f t="shared" si="16"/>
        <v>29986.815525558835</v>
      </c>
      <c r="FS5" s="4">
        <f t="shared" si="17"/>
        <v>29986.815525558835</v>
      </c>
      <c r="FT5" s="4">
        <f t="shared" si="18"/>
        <v>29986.815525558835</v>
      </c>
      <c r="FU5" s="4">
        <f t="shared" si="19"/>
        <v>29986.815525558835</v>
      </c>
      <c r="FV5" s="4">
        <f t="shared" si="20"/>
        <v>29986.815525558835</v>
      </c>
      <c r="FW5" s="4">
        <f t="shared" si="21"/>
        <v>29986.815525558835</v>
      </c>
      <c r="FX5" s="4">
        <f t="shared" si="22"/>
        <v>29986.815525558835</v>
      </c>
      <c r="FY5" s="4">
        <f t="shared" si="23"/>
        <v>29986.815525558835</v>
      </c>
      <c r="FZ5" s="4">
        <f t="shared" si="24"/>
        <v>29986.815525558835</v>
      </c>
      <c r="GA5" s="4">
        <f t="shared" si="25"/>
        <v>29986.815525558835</v>
      </c>
      <c r="GB5" s="4">
        <f t="shared" si="26"/>
        <v>29986.815525558835</v>
      </c>
      <c r="GC5" s="4">
        <f t="shared" si="27"/>
        <v>29986.815525558835</v>
      </c>
      <c r="GD5" s="4">
        <f t="shared" si="28"/>
        <v>29986.815525558835</v>
      </c>
      <c r="GE5" s="4">
        <f t="shared" si="29"/>
        <v>29986.815525558835</v>
      </c>
      <c r="GF5" s="4">
        <f t="shared" si="30"/>
        <v>29986.815525558835</v>
      </c>
      <c r="GG5" s="4">
        <f t="shared" si="31"/>
        <v>29986.815525558835</v>
      </c>
      <c r="GH5" s="4">
        <f t="shared" si="32"/>
        <v>29986.815525558835</v>
      </c>
      <c r="GI5" s="4">
        <f t="shared" si="33"/>
        <v>29986.815525558835</v>
      </c>
      <c r="GJ5" s="4">
        <f t="shared" si="34"/>
        <v>29986.815525558835</v>
      </c>
      <c r="GK5" s="4">
        <f t="shared" si="35"/>
        <v>29986.815525558835</v>
      </c>
      <c r="GL5" s="4">
        <f t="shared" si="36"/>
        <v>29986.815525558835</v>
      </c>
      <c r="GM5" s="4">
        <f t="shared" si="37"/>
        <v>29986.815525558835</v>
      </c>
      <c r="GN5" s="4">
        <f t="shared" si="38"/>
        <v>29986.815525558835</v>
      </c>
      <c r="GO5" s="4">
        <f t="shared" si="39"/>
        <v>29986.815525558835</v>
      </c>
      <c r="GP5" s="4">
        <f t="shared" si="40"/>
        <v>29986.815525558835</v>
      </c>
      <c r="GQ5" s="4">
        <f t="shared" si="41"/>
        <v>29986.815525558835</v>
      </c>
      <c r="GR5" s="4">
        <f t="shared" si="42"/>
        <v>29986.815525558835</v>
      </c>
      <c r="GS5" s="4">
        <f t="shared" si="43"/>
        <v>29986.815525558835</v>
      </c>
      <c r="GT5" s="4">
        <f t="shared" si="44"/>
        <v>29986.815525558835</v>
      </c>
      <c r="GU5" s="4">
        <f t="shared" si="45"/>
        <v>29986.815525558835</v>
      </c>
      <c r="GV5" s="4">
        <f t="shared" si="46"/>
        <v>29986.815525558835</v>
      </c>
      <c r="GW5" s="4">
        <f t="shared" si="47"/>
        <v>29986.815525558835</v>
      </c>
      <c r="GX5" s="4">
        <f t="shared" si="48"/>
        <v>29986.815525558835</v>
      </c>
      <c r="GY5" s="4">
        <f t="shared" si="49"/>
        <v>29986.815525558835</v>
      </c>
      <c r="GZ5" s="4">
        <f t="shared" si="50"/>
        <v>29986.815525558835</v>
      </c>
      <c r="HA5" s="4">
        <f t="shared" si="51"/>
        <v>29986.815525558835</v>
      </c>
      <c r="HB5" s="4">
        <f t="shared" si="52"/>
        <v>29986.815525558835</v>
      </c>
      <c r="HC5" s="4">
        <f t="shared" si="53"/>
        <v>29986.815525558835</v>
      </c>
    </row>
    <row r="6" spans="1:211">
      <c r="A6" t="s">
        <v>6</v>
      </c>
      <c r="B6" s="4">
        <f t="shared" ref="B6:BM6" si="65">C6</f>
        <v>0</v>
      </c>
      <c r="C6" s="4">
        <f t="shared" si="65"/>
        <v>0</v>
      </c>
      <c r="D6" s="4">
        <f t="shared" si="65"/>
        <v>0</v>
      </c>
      <c r="E6" s="4">
        <f t="shared" si="65"/>
        <v>0</v>
      </c>
      <c r="F6" s="4">
        <f t="shared" si="65"/>
        <v>0</v>
      </c>
      <c r="G6" s="4">
        <f t="shared" si="65"/>
        <v>0</v>
      </c>
      <c r="H6" s="4">
        <f t="shared" si="65"/>
        <v>0</v>
      </c>
      <c r="I6" s="4">
        <f t="shared" si="65"/>
        <v>0</v>
      </c>
      <c r="J6" s="4">
        <f t="shared" si="65"/>
        <v>0</v>
      </c>
      <c r="K6" s="4">
        <f t="shared" si="65"/>
        <v>0</v>
      </c>
      <c r="L6" s="4">
        <f t="shared" si="65"/>
        <v>0</v>
      </c>
      <c r="M6" s="4">
        <f t="shared" si="65"/>
        <v>0</v>
      </c>
      <c r="N6" s="4">
        <f t="shared" si="65"/>
        <v>0</v>
      </c>
      <c r="O6" s="4">
        <f t="shared" si="65"/>
        <v>0</v>
      </c>
      <c r="P6" s="4">
        <f t="shared" si="65"/>
        <v>0</v>
      </c>
      <c r="Q6" s="4">
        <f t="shared" si="65"/>
        <v>0</v>
      </c>
      <c r="R6" s="4">
        <f t="shared" si="65"/>
        <v>0</v>
      </c>
      <c r="S6" s="4">
        <f t="shared" si="65"/>
        <v>0</v>
      </c>
      <c r="T6" s="4">
        <f t="shared" si="65"/>
        <v>0</v>
      </c>
      <c r="U6" s="4">
        <f t="shared" si="65"/>
        <v>0</v>
      </c>
      <c r="V6" s="4">
        <f t="shared" si="65"/>
        <v>0</v>
      </c>
      <c r="W6" s="4">
        <f t="shared" si="65"/>
        <v>0</v>
      </c>
      <c r="X6" s="4">
        <f t="shared" si="65"/>
        <v>0</v>
      </c>
      <c r="Y6" s="4">
        <f t="shared" si="65"/>
        <v>0</v>
      </c>
      <c r="Z6" s="4">
        <f t="shared" si="65"/>
        <v>0</v>
      </c>
      <c r="AA6" s="4">
        <f t="shared" si="65"/>
        <v>0</v>
      </c>
      <c r="AB6" s="4">
        <f t="shared" si="65"/>
        <v>0</v>
      </c>
      <c r="AC6" s="4">
        <f t="shared" si="65"/>
        <v>0</v>
      </c>
      <c r="AD6" s="4">
        <f t="shared" si="65"/>
        <v>0</v>
      </c>
      <c r="AE6" s="4">
        <f t="shared" si="65"/>
        <v>0</v>
      </c>
      <c r="AF6" s="4">
        <f t="shared" si="65"/>
        <v>0</v>
      </c>
      <c r="AG6" s="4">
        <f t="shared" si="65"/>
        <v>0</v>
      </c>
      <c r="AH6" s="4">
        <f t="shared" si="65"/>
        <v>0</v>
      </c>
      <c r="AI6" s="4">
        <f t="shared" si="65"/>
        <v>0</v>
      </c>
      <c r="AJ6" s="4">
        <f t="shared" si="65"/>
        <v>0</v>
      </c>
      <c r="AK6" s="4">
        <f t="shared" si="65"/>
        <v>0</v>
      </c>
      <c r="AL6" s="4">
        <f t="shared" si="65"/>
        <v>0</v>
      </c>
      <c r="AM6" s="4">
        <f t="shared" si="65"/>
        <v>0</v>
      </c>
      <c r="AN6" s="4">
        <f t="shared" si="65"/>
        <v>0</v>
      </c>
      <c r="AO6" s="4">
        <f t="shared" si="65"/>
        <v>0</v>
      </c>
      <c r="AP6" s="4">
        <f t="shared" si="65"/>
        <v>0</v>
      </c>
      <c r="AQ6" s="4">
        <f t="shared" si="65"/>
        <v>0</v>
      </c>
      <c r="AR6" s="4">
        <f t="shared" si="65"/>
        <v>0</v>
      </c>
      <c r="AS6" s="4">
        <f t="shared" si="65"/>
        <v>0</v>
      </c>
      <c r="AT6" s="4">
        <f t="shared" si="65"/>
        <v>0</v>
      </c>
      <c r="AU6" s="4">
        <f t="shared" si="65"/>
        <v>0</v>
      </c>
      <c r="AV6" s="4">
        <f t="shared" si="65"/>
        <v>0</v>
      </c>
      <c r="AW6" s="4">
        <f t="shared" si="65"/>
        <v>0</v>
      </c>
      <c r="AX6" s="4">
        <f t="shared" si="65"/>
        <v>0</v>
      </c>
      <c r="AY6" s="4">
        <f t="shared" si="65"/>
        <v>0</v>
      </c>
      <c r="AZ6" s="4">
        <f t="shared" si="65"/>
        <v>0</v>
      </c>
      <c r="BA6" s="4">
        <f t="shared" si="65"/>
        <v>0</v>
      </c>
      <c r="BB6" s="4">
        <f t="shared" si="65"/>
        <v>0</v>
      </c>
      <c r="BC6" s="4">
        <f t="shared" si="65"/>
        <v>0</v>
      </c>
      <c r="BD6" s="4">
        <f t="shared" si="65"/>
        <v>0</v>
      </c>
      <c r="BE6" s="4">
        <f t="shared" si="65"/>
        <v>0</v>
      </c>
      <c r="BF6" s="4">
        <f t="shared" si="65"/>
        <v>0</v>
      </c>
      <c r="BG6" s="4">
        <f t="shared" si="65"/>
        <v>0</v>
      </c>
      <c r="BH6" s="4">
        <f t="shared" si="65"/>
        <v>0</v>
      </c>
      <c r="BI6" s="4">
        <f t="shared" si="65"/>
        <v>0</v>
      </c>
      <c r="BJ6" s="4">
        <f t="shared" si="65"/>
        <v>0</v>
      </c>
      <c r="BK6" s="4">
        <f t="shared" si="65"/>
        <v>0</v>
      </c>
      <c r="BL6" s="4">
        <f t="shared" si="65"/>
        <v>0</v>
      </c>
      <c r="BM6" s="4">
        <f t="shared" si="65"/>
        <v>0</v>
      </c>
      <c r="BN6" s="4">
        <f t="shared" ref="BN6:DY6" si="66">BO6</f>
        <v>0</v>
      </c>
      <c r="BO6" s="4">
        <f t="shared" si="66"/>
        <v>0</v>
      </c>
      <c r="BP6" s="4">
        <f t="shared" si="66"/>
        <v>0</v>
      </c>
      <c r="BQ6" s="4">
        <f t="shared" si="66"/>
        <v>0</v>
      </c>
      <c r="BR6" s="4">
        <f t="shared" si="66"/>
        <v>0</v>
      </c>
      <c r="BS6" s="4">
        <f t="shared" si="66"/>
        <v>0</v>
      </c>
      <c r="BT6" s="4">
        <f t="shared" si="66"/>
        <v>0</v>
      </c>
      <c r="BU6" s="4">
        <f t="shared" si="66"/>
        <v>0</v>
      </c>
      <c r="BV6" s="4">
        <f t="shared" si="66"/>
        <v>0</v>
      </c>
      <c r="BW6" s="4">
        <f t="shared" si="66"/>
        <v>0</v>
      </c>
      <c r="BX6" s="4">
        <f t="shared" si="66"/>
        <v>0</v>
      </c>
      <c r="BY6" s="4">
        <f t="shared" si="66"/>
        <v>0</v>
      </c>
      <c r="BZ6" s="4">
        <f t="shared" si="66"/>
        <v>0</v>
      </c>
      <c r="CA6" s="4">
        <f t="shared" si="66"/>
        <v>0</v>
      </c>
      <c r="CB6" s="4">
        <f t="shared" si="66"/>
        <v>0</v>
      </c>
      <c r="CC6" s="4">
        <f t="shared" si="66"/>
        <v>0</v>
      </c>
      <c r="CD6" s="4">
        <f t="shared" si="66"/>
        <v>0</v>
      </c>
      <c r="CE6" s="4">
        <f t="shared" si="66"/>
        <v>0</v>
      </c>
      <c r="CF6" s="4">
        <f t="shared" si="66"/>
        <v>0</v>
      </c>
      <c r="CG6" s="4">
        <f t="shared" si="66"/>
        <v>0</v>
      </c>
      <c r="CH6" s="4">
        <f t="shared" si="66"/>
        <v>0</v>
      </c>
      <c r="CI6" s="4">
        <f t="shared" si="66"/>
        <v>0</v>
      </c>
      <c r="CJ6" s="4">
        <f t="shared" si="66"/>
        <v>0</v>
      </c>
      <c r="CK6" s="4">
        <f t="shared" si="66"/>
        <v>0</v>
      </c>
      <c r="CL6" s="4">
        <f t="shared" si="66"/>
        <v>0</v>
      </c>
      <c r="CM6" s="4">
        <f t="shared" si="66"/>
        <v>0</v>
      </c>
      <c r="CN6" s="4">
        <f t="shared" si="66"/>
        <v>0</v>
      </c>
      <c r="CO6" s="4">
        <f t="shared" si="66"/>
        <v>0</v>
      </c>
      <c r="CP6" s="4">
        <f t="shared" si="66"/>
        <v>0</v>
      </c>
      <c r="CQ6" s="4">
        <f t="shared" si="66"/>
        <v>0</v>
      </c>
      <c r="CR6" s="4">
        <f t="shared" si="66"/>
        <v>0</v>
      </c>
      <c r="CS6" s="4">
        <f t="shared" si="66"/>
        <v>0</v>
      </c>
      <c r="CT6" s="4">
        <f t="shared" si="66"/>
        <v>0</v>
      </c>
      <c r="CU6" s="4">
        <f t="shared" si="66"/>
        <v>0</v>
      </c>
      <c r="CV6" s="4">
        <f t="shared" si="66"/>
        <v>0</v>
      </c>
      <c r="CW6" s="4">
        <f t="shared" si="66"/>
        <v>0</v>
      </c>
      <c r="CX6" s="4">
        <f t="shared" si="66"/>
        <v>0</v>
      </c>
      <c r="CY6" s="4">
        <f t="shared" si="66"/>
        <v>0</v>
      </c>
      <c r="CZ6" s="4">
        <f t="shared" si="66"/>
        <v>0</v>
      </c>
      <c r="DA6" s="4">
        <f t="shared" si="66"/>
        <v>0</v>
      </c>
      <c r="DB6" s="4">
        <f t="shared" si="66"/>
        <v>0</v>
      </c>
      <c r="DC6" s="4">
        <f t="shared" si="66"/>
        <v>0</v>
      </c>
      <c r="DD6" s="4">
        <f t="shared" si="66"/>
        <v>0</v>
      </c>
      <c r="DE6" s="4">
        <f t="shared" si="66"/>
        <v>0</v>
      </c>
      <c r="DF6" s="4">
        <f t="shared" si="66"/>
        <v>0</v>
      </c>
      <c r="DG6" s="4">
        <f t="shared" si="66"/>
        <v>0</v>
      </c>
      <c r="DH6" s="4">
        <f t="shared" si="66"/>
        <v>0</v>
      </c>
      <c r="DI6" s="4">
        <f t="shared" si="66"/>
        <v>0</v>
      </c>
      <c r="DJ6" s="4">
        <f t="shared" si="66"/>
        <v>0</v>
      </c>
      <c r="DK6" s="4">
        <f t="shared" si="66"/>
        <v>0</v>
      </c>
      <c r="DL6" s="4">
        <f t="shared" si="66"/>
        <v>0</v>
      </c>
      <c r="DM6" s="4">
        <f t="shared" si="66"/>
        <v>0</v>
      </c>
      <c r="DN6" s="4">
        <f t="shared" si="66"/>
        <v>0</v>
      </c>
      <c r="DO6" s="4">
        <f t="shared" si="66"/>
        <v>0</v>
      </c>
      <c r="DP6" s="4">
        <f t="shared" si="66"/>
        <v>0</v>
      </c>
      <c r="DQ6" s="4">
        <f t="shared" si="66"/>
        <v>0</v>
      </c>
      <c r="DR6" s="4">
        <f t="shared" si="66"/>
        <v>0</v>
      </c>
      <c r="DS6" s="4">
        <f t="shared" si="66"/>
        <v>0</v>
      </c>
      <c r="DT6" s="4">
        <f t="shared" si="66"/>
        <v>0</v>
      </c>
      <c r="DU6" s="4">
        <f t="shared" si="66"/>
        <v>0</v>
      </c>
      <c r="DV6" s="4">
        <f t="shared" si="66"/>
        <v>0</v>
      </c>
      <c r="DW6" s="4">
        <f t="shared" si="66"/>
        <v>0</v>
      </c>
      <c r="DX6" s="4">
        <f t="shared" si="66"/>
        <v>0</v>
      </c>
      <c r="DY6" s="4">
        <f t="shared" si="66"/>
        <v>0</v>
      </c>
      <c r="DZ6" s="4">
        <f t="shared" si="56"/>
        <v>0</v>
      </c>
      <c r="EA6" s="4">
        <f t="shared" si="56"/>
        <v>0</v>
      </c>
      <c r="EB6" s="4">
        <f>'CCaMC-ACAPEXpUC US'!D6/'CCaMC-BCCpUC US'!B6*'CCaMC-BCCpUC'!B6</f>
        <v>0</v>
      </c>
      <c r="EC6" s="4">
        <f t="shared" si="57"/>
        <v>0</v>
      </c>
      <c r="ED6" s="4">
        <f t="shared" si="57"/>
        <v>0</v>
      </c>
      <c r="EE6" s="4">
        <f t="shared" si="57"/>
        <v>0</v>
      </c>
      <c r="EF6" s="4">
        <f t="shared" si="57"/>
        <v>0</v>
      </c>
      <c r="EG6" s="4">
        <f t="shared" si="57"/>
        <v>0</v>
      </c>
      <c r="EH6" s="4">
        <f t="shared" si="57"/>
        <v>0</v>
      </c>
      <c r="EI6" s="4">
        <f t="shared" si="57"/>
        <v>0</v>
      </c>
      <c r="EJ6" s="4">
        <f t="shared" si="57"/>
        <v>0</v>
      </c>
      <c r="EK6" s="4">
        <f t="shared" si="57"/>
        <v>0</v>
      </c>
      <c r="EL6" s="4">
        <f t="shared" si="57"/>
        <v>0</v>
      </c>
      <c r="EM6" s="4">
        <f t="shared" ref="EM6:FE6" si="67">EL6</f>
        <v>0</v>
      </c>
      <c r="EN6" s="4">
        <f t="shared" si="67"/>
        <v>0</v>
      </c>
      <c r="EO6" s="4">
        <f t="shared" si="67"/>
        <v>0</v>
      </c>
      <c r="EP6" s="4">
        <f t="shared" si="67"/>
        <v>0</v>
      </c>
      <c r="EQ6" s="4">
        <f t="shared" si="67"/>
        <v>0</v>
      </c>
      <c r="ER6" s="4">
        <f t="shared" si="67"/>
        <v>0</v>
      </c>
      <c r="ES6" s="4">
        <f t="shared" si="67"/>
        <v>0</v>
      </c>
      <c r="ET6" s="4">
        <f t="shared" si="67"/>
        <v>0</v>
      </c>
      <c r="EU6" s="4">
        <f t="shared" si="67"/>
        <v>0</v>
      </c>
      <c r="EV6" s="4">
        <f t="shared" si="67"/>
        <v>0</v>
      </c>
      <c r="EW6" s="4">
        <f t="shared" si="67"/>
        <v>0</v>
      </c>
      <c r="EX6" s="4">
        <f t="shared" si="67"/>
        <v>0</v>
      </c>
      <c r="EY6" s="4">
        <f t="shared" si="67"/>
        <v>0</v>
      </c>
      <c r="EZ6" s="4">
        <f t="shared" si="67"/>
        <v>0</v>
      </c>
      <c r="FA6" s="4">
        <f t="shared" si="67"/>
        <v>0</v>
      </c>
      <c r="FB6" s="4">
        <f t="shared" si="67"/>
        <v>0</v>
      </c>
      <c r="FC6" s="4">
        <f t="shared" si="67"/>
        <v>0</v>
      </c>
      <c r="FD6" s="4">
        <f t="shared" si="67"/>
        <v>0</v>
      </c>
      <c r="FE6" s="4">
        <f t="shared" si="67"/>
        <v>0</v>
      </c>
      <c r="FF6" s="4">
        <f t="shared" si="4"/>
        <v>0</v>
      </c>
      <c r="FG6" s="4">
        <f t="shared" si="5"/>
        <v>0</v>
      </c>
      <c r="FH6" s="4">
        <f t="shared" si="6"/>
        <v>0</v>
      </c>
      <c r="FI6" s="4">
        <f t="shared" si="7"/>
        <v>0</v>
      </c>
      <c r="FJ6" s="4">
        <f t="shared" si="8"/>
        <v>0</v>
      </c>
      <c r="FK6" s="4">
        <f t="shared" si="9"/>
        <v>0</v>
      </c>
      <c r="FL6" s="4">
        <f t="shared" si="10"/>
        <v>0</v>
      </c>
      <c r="FM6" s="4">
        <f t="shared" si="11"/>
        <v>0</v>
      </c>
      <c r="FN6" s="4">
        <f t="shared" si="12"/>
        <v>0</v>
      </c>
      <c r="FO6" s="4">
        <f t="shared" si="13"/>
        <v>0</v>
      </c>
      <c r="FP6" s="4">
        <f t="shared" si="14"/>
        <v>0</v>
      </c>
      <c r="FQ6" s="4">
        <f t="shared" si="15"/>
        <v>0</v>
      </c>
      <c r="FR6" s="4">
        <f t="shared" si="16"/>
        <v>0</v>
      </c>
      <c r="FS6" s="4">
        <f t="shared" si="17"/>
        <v>0</v>
      </c>
      <c r="FT6" s="4">
        <f t="shared" si="18"/>
        <v>0</v>
      </c>
      <c r="FU6" s="4">
        <f t="shared" si="19"/>
        <v>0</v>
      </c>
      <c r="FV6" s="4">
        <f t="shared" si="20"/>
        <v>0</v>
      </c>
      <c r="FW6" s="4">
        <f t="shared" si="21"/>
        <v>0</v>
      </c>
      <c r="FX6" s="4">
        <f t="shared" si="22"/>
        <v>0</v>
      </c>
      <c r="FY6" s="4">
        <f t="shared" si="23"/>
        <v>0</v>
      </c>
      <c r="FZ6" s="4">
        <f t="shared" si="24"/>
        <v>0</v>
      </c>
      <c r="GA6" s="4">
        <f t="shared" si="25"/>
        <v>0</v>
      </c>
      <c r="GB6" s="4">
        <f t="shared" si="26"/>
        <v>0</v>
      </c>
      <c r="GC6" s="4">
        <f t="shared" si="27"/>
        <v>0</v>
      </c>
      <c r="GD6" s="4">
        <f t="shared" si="28"/>
        <v>0</v>
      </c>
      <c r="GE6" s="4">
        <f t="shared" si="29"/>
        <v>0</v>
      </c>
      <c r="GF6" s="4">
        <f t="shared" si="30"/>
        <v>0</v>
      </c>
      <c r="GG6" s="4">
        <f t="shared" si="31"/>
        <v>0</v>
      </c>
      <c r="GH6" s="4">
        <f t="shared" si="32"/>
        <v>0</v>
      </c>
      <c r="GI6" s="4">
        <f t="shared" si="33"/>
        <v>0</v>
      </c>
      <c r="GJ6" s="4">
        <f t="shared" si="34"/>
        <v>0</v>
      </c>
      <c r="GK6" s="4">
        <f t="shared" si="35"/>
        <v>0</v>
      </c>
      <c r="GL6" s="4">
        <f t="shared" si="36"/>
        <v>0</v>
      </c>
      <c r="GM6" s="4">
        <f t="shared" si="37"/>
        <v>0</v>
      </c>
      <c r="GN6" s="4">
        <f t="shared" si="38"/>
        <v>0</v>
      </c>
      <c r="GO6" s="4">
        <f t="shared" si="39"/>
        <v>0</v>
      </c>
      <c r="GP6" s="4">
        <f t="shared" si="40"/>
        <v>0</v>
      </c>
      <c r="GQ6" s="4">
        <f t="shared" si="41"/>
        <v>0</v>
      </c>
      <c r="GR6" s="4">
        <f t="shared" si="42"/>
        <v>0</v>
      </c>
      <c r="GS6" s="4">
        <f t="shared" si="43"/>
        <v>0</v>
      </c>
      <c r="GT6" s="4">
        <f t="shared" si="44"/>
        <v>0</v>
      </c>
      <c r="GU6" s="4">
        <f t="shared" si="45"/>
        <v>0</v>
      </c>
      <c r="GV6" s="4">
        <f t="shared" si="46"/>
        <v>0</v>
      </c>
      <c r="GW6" s="4">
        <f t="shared" si="47"/>
        <v>0</v>
      </c>
      <c r="GX6" s="4">
        <f t="shared" si="48"/>
        <v>0</v>
      </c>
      <c r="GY6" s="4">
        <f t="shared" si="49"/>
        <v>0</v>
      </c>
      <c r="GZ6" s="4">
        <f t="shared" si="50"/>
        <v>0</v>
      </c>
      <c r="HA6" s="4">
        <f t="shared" si="51"/>
        <v>0</v>
      </c>
      <c r="HB6" s="4">
        <f t="shared" si="52"/>
        <v>0</v>
      </c>
      <c r="HC6" s="4">
        <f t="shared" si="53"/>
        <v>0</v>
      </c>
    </row>
    <row r="7" spans="1:211">
      <c r="A7" t="s">
        <v>18</v>
      </c>
      <c r="B7" s="4">
        <f t="shared" ref="B7:BM7" si="68">C7</f>
        <v>9098.6164209371727</v>
      </c>
      <c r="C7" s="4">
        <f t="shared" si="68"/>
        <v>9098.6164209371727</v>
      </c>
      <c r="D7" s="4">
        <f t="shared" si="68"/>
        <v>9098.6164209371727</v>
      </c>
      <c r="E7" s="4">
        <f t="shared" si="68"/>
        <v>9098.6164209371727</v>
      </c>
      <c r="F7" s="4">
        <f t="shared" si="68"/>
        <v>9098.6164209371727</v>
      </c>
      <c r="G7" s="4">
        <f t="shared" si="68"/>
        <v>9098.6164209371727</v>
      </c>
      <c r="H7" s="4">
        <f t="shared" si="68"/>
        <v>9098.6164209371727</v>
      </c>
      <c r="I7" s="4">
        <f t="shared" si="68"/>
        <v>9098.6164209371727</v>
      </c>
      <c r="J7" s="4">
        <f t="shared" si="68"/>
        <v>9098.6164209371727</v>
      </c>
      <c r="K7" s="4">
        <f t="shared" si="68"/>
        <v>9098.6164209371727</v>
      </c>
      <c r="L7" s="4">
        <f t="shared" si="68"/>
        <v>9098.6164209371727</v>
      </c>
      <c r="M7" s="4">
        <f t="shared" si="68"/>
        <v>9098.6164209371727</v>
      </c>
      <c r="N7" s="4">
        <f t="shared" si="68"/>
        <v>9098.6164209371727</v>
      </c>
      <c r="O7" s="4">
        <f t="shared" si="68"/>
        <v>9098.6164209371727</v>
      </c>
      <c r="P7" s="4">
        <f t="shared" si="68"/>
        <v>9098.6164209371727</v>
      </c>
      <c r="Q7" s="4">
        <f t="shared" si="68"/>
        <v>9098.6164209371727</v>
      </c>
      <c r="R7" s="4">
        <f t="shared" si="68"/>
        <v>9098.6164209371727</v>
      </c>
      <c r="S7" s="4">
        <f t="shared" si="68"/>
        <v>9098.6164209371727</v>
      </c>
      <c r="T7" s="4">
        <f t="shared" si="68"/>
        <v>9098.6164209371727</v>
      </c>
      <c r="U7" s="4">
        <f t="shared" si="68"/>
        <v>9098.6164209371727</v>
      </c>
      <c r="V7" s="4">
        <f t="shared" si="68"/>
        <v>9098.6164209371727</v>
      </c>
      <c r="W7" s="4">
        <f t="shared" si="68"/>
        <v>9098.6164209371727</v>
      </c>
      <c r="X7" s="4">
        <f t="shared" si="68"/>
        <v>9098.6164209371727</v>
      </c>
      <c r="Y7" s="4">
        <f t="shared" si="68"/>
        <v>9098.6164209371727</v>
      </c>
      <c r="Z7" s="4">
        <f t="shared" si="68"/>
        <v>9098.6164209371727</v>
      </c>
      <c r="AA7" s="4">
        <f t="shared" si="68"/>
        <v>9098.6164209371727</v>
      </c>
      <c r="AB7" s="4">
        <f t="shared" si="68"/>
        <v>9098.6164209371727</v>
      </c>
      <c r="AC7" s="4">
        <f t="shared" si="68"/>
        <v>9098.6164209371727</v>
      </c>
      <c r="AD7" s="4">
        <f t="shared" si="68"/>
        <v>9098.6164209371727</v>
      </c>
      <c r="AE7" s="4">
        <f t="shared" si="68"/>
        <v>9098.6164209371727</v>
      </c>
      <c r="AF7" s="4">
        <f t="shared" si="68"/>
        <v>9098.6164209371727</v>
      </c>
      <c r="AG7" s="4">
        <f t="shared" si="68"/>
        <v>9098.6164209371727</v>
      </c>
      <c r="AH7" s="4">
        <f t="shared" si="68"/>
        <v>9098.6164209371727</v>
      </c>
      <c r="AI7" s="4">
        <f t="shared" si="68"/>
        <v>9098.6164209371727</v>
      </c>
      <c r="AJ7" s="4">
        <f t="shared" si="68"/>
        <v>9098.6164209371727</v>
      </c>
      <c r="AK7" s="4">
        <f t="shared" si="68"/>
        <v>9098.6164209371727</v>
      </c>
      <c r="AL7" s="4">
        <f t="shared" si="68"/>
        <v>9098.6164209371727</v>
      </c>
      <c r="AM7" s="4">
        <f t="shared" si="68"/>
        <v>9098.6164209371727</v>
      </c>
      <c r="AN7" s="4">
        <f t="shared" si="68"/>
        <v>9098.6164209371727</v>
      </c>
      <c r="AO7" s="4">
        <f t="shared" si="68"/>
        <v>9098.6164209371727</v>
      </c>
      <c r="AP7" s="4">
        <f t="shared" si="68"/>
        <v>9098.6164209371727</v>
      </c>
      <c r="AQ7" s="4">
        <f t="shared" si="68"/>
        <v>9098.6164209371727</v>
      </c>
      <c r="AR7" s="4">
        <f t="shared" si="68"/>
        <v>9098.6164209371727</v>
      </c>
      <c r="AS7" s="4">
        <f t="shared" si="68"/>
        <v>9098.6164209371727</v>
      </c>
      <c r="AT7" s="4">
        <f t="shared" si="68"/>
        <v>9098.6164209371727</v>
      </c>
      <c r="AU7" s="4">
        <f t="shared" si="68"/>
        <v>9098.6164209371727</v>
      </c>
      <c r="AV7" s="4">
        <f t="shared" si="68"/>
        <v>9098.6164209371727</v>
      </c>
      <c r="AW7" s="4">
        <f t="shared" si="68"/>
        <v>9098.6164209371727</v>
      </c>
      <c r="AX7" s="4">
        <f t="shared" si="68"/>
        <v>9098.6164209371727</v>
      </c>
      <c r="AY7" s="4">
        <f t="shared" si="68"/>
        <v>9098.6164209371727</v>
      </c>
      <c r="AZ7" s="4">
        <f t="shared" si="68"/>
        <v>9098.6164209371727</v>
      </c>
      <c r="BA7" s="4">
        <f t="shared" si="68"/>
        <v>9098.6164209371727</v>
      </c>
      <c r="BB7" s="4">
        <f t="shared" si="68"/>
        <v>9098.6164209371727</v>
      </c>
      <c r="BC7" s="4">
        <f t="shared" si="68"/>
        <v>9098.6164209371727</v>
      </c>
      <c r="BD7" s="4">
        <f t="shared" si="68"/>
        <v>9098.6164209371727</v>
      </c>
      <c r="BE7" s="4">
        <f t="shared" si="68"/>
        <v>9098.6164209371727</v>
      </c>
      <c r="BF7" s="4">
        <f t="shared" si="68"/>
        <v>9098.6164209371727</v>
      </c>
      <c r="BG7" s="4">
        <f t="shared" si="68"/>
        <v>9098.6164209371727</v>
      </c>
      <c r="BH7" s="4">
        <f t="shared" si="68"/>
        <v>9098.6164209371727</v>
      </c>
      <c r="BI7" s="4">
        <f t="shared" si="68"/>
        <v>9098.6164209371727</v>
      </c>
      <c r="BJ7" s="4">
        <f t="shared" si="68"/>
        <v>9098.6164209371727</v>
      </c>
      <c r="BK7" s="4">
        <f t="shared" si="68"/>
        <v>9098.6164209371727</v>
      </c>
      <c r="BL7" s="4">
        <f t="shared" si="68"/>
        <v>9098.6164209371727</v>
      </c>
      <c r="BM7" s="4">
        <f t="shared" si="68"/>
        <v>9098.6164209371727</v>
      </c>
      <c r="BN7" s="4">
        <f t="shared" ref="BN7:DY7" si="69">BO7</f>
        <v>9098.6164209371727</v>
      </c>
      <c r="BO7" s="4">
        <f t="shared" si="69"/>
        <v>9098.6164209371727</v>
      </c>
      <c r="BP7" s="4">
        <f t="shared" si="69"/>
        <v>9098.6164209371727</v>
      </c>
      <c r="BQ7" s="4">
        <f t="shared" si="69"/>
        <v>9098.6164209371727</v>
      </c>
      <c r="BR7" s="4">
        <f t="shared" si="69"/>
        <v>9098.6164209371727</v>
      </c>
      <c r="BS7" s="4">
        <f t="shared" si="69"/>
        <v>9098.6164209371727</v>
      </c>
      <c r="BT7" s="4">
        <f t="shared" si="69"/>
        <v>9098.6164209371727</v>
      </c>
      <c r="BU7" s="4">
        <f t="shared" si="69"/>
        <v>9098.6164209371727</v>
      </c>
      <c r="BV7" s="4">
        <f t="shared" si="69"/>
        <v>9098.6164209371727</v>
      </c>
      <c r="BW7" s="4">
        <f t="shared" si="69"/>
        <v>9098.6164209371727</v>
      </c>
      <c r="BX7" s="4">
        <f t="shared" si="69"/>
        <v>9098.6164209371727</v>
      </c>
      <c r="BY7" s="4">
        <f t="shared" si="69"/>
        <v>9098.6164209371727</v>
      </c>
      <c r="BZ7" s="4">
        <f t="shared" si="69"/>
        <v>9098.6164209371727</v>
      </c>
      <c r="CA7" s="4">
        <f t="shared" si="69"/>
        <v>9098.6164209371727</v>
      </c>
      <c r="CB7" s="4">
        <f t="shared" si="69"/>
        <v>9098.6164209371727</v>
      </c>
      <c r="CC7" s="4">
        <f t="shared" si="69"/>
        <v>9098.6164209371727</v>
      </c>
      <c r="CD7" s="4">
        <f t="shared" si="69"/>
        <v>9098.6164209371727</v>
      </c>
      <c r="CE7" s="4">
        <f t="shared" si="69"/>
        <v>9098.6164209371727</v>
      </c>
      <c r="CF7" s="4">
        <f t="shared" si="69"/>
        <v>9098.6164209371727</v>
      </c>
      <c r="CG7" s="4">
        <f t="shared" si="69"/>
        <v>9098.6164209371727</v>
      </c>
      <c r="CH7" s="4">
        <f t="shared" si="69"/>
        <v>9098.6164209371727</v>
      </c>
      <c r="CI7" s="4">
        <f t="shared" si="69"/>
        <v>9098.6164209371727</v>
      </c>
      <c r="CJ7" s="4">
        <f t="shared" si="69"/>
        <v>9098.6164209371727</v>
      </c>
      <c r="CK7" s="4">
        <f t="shared" si="69"/>
        <v>9098.6164209371727</v>
      </c>
      <c r="CL7" s="4">
        <f t="shared" si="69"/>
        <v>9098.6164209371727</v>
      </c>
      <c r="CM7" s="4">
        <f t="shared" si="69"/>
        <v>9098.6164209371727</v>
      </c>
      <c r="CN7" s="4">
        <f t="shared" si="69"/>
        <v>9098.6164209371727</v>
      </c>
      <c r="CO7" s="4">
        <f t="shared" si="69"/>
        <v>9098.6164209371727</v>
      </c>
      <c r="CP7" s="4">
        <f t="shared" si="69"/>
        <v>9098.6164209371727</v>
      </c>
      <c r="CQ7" s="4">
        <f t="shared" si="69"/>
        <v>9098.6164209371727</v>
      </c>
      <c r="CR7" s="4">
        <f t="shared" si="69"/>
        <v>9098.6164209371727</v>
      </c>
      <c r="CS7" s="4">
        <f t="shared" si="69"/>
        <v>9098.6164209371727</v>
      </c>
      <c r="CT7" s="4">
        <f t="shared" si="69"/>
        <v>9098.6164209371727</v>
      </c>
      <c r="CU7" s="4">
        <f t="shared" si="69"/>
        <v>9098.6164209371727</v>
      </c>
      <c r="CV7" s="4">
        <f t="shared" si="69"/>
        <v>9098.6164209371727</v>
      </c>
      <c r="CW7" s="4">
        <f t="shared" si="69"/>
        <v>9098.6164209371727</v>
      </c>
      <c r="CX7" s="4">
        <f t="shared" si="69"/>
        <v>9098.6164209371727</v>
      </c>
      <c r="CY7" s="4">
        <f t="shared" si="69"/>
        <v>9098.6164209371727</v>
      </c>
      <c r="CZ7" s="4">
        <f t="shared" si="69"/>
        <v>9098.6164209371727</v>
      </c>
      <c r="DA7" s="4">
        <f t="shared" si="69"/>
        <v>9098.6164209371727</v>
      </c>
      <c r="DB7" s="4">
        <f t="shared" si="69"/>
        <v>9098.6164209371727</v>
      </c>
      <c r="DC7" s="4">
        <f t="shared" si="69"/>
        <v>9098.6164209371727</v>
      </c>
      <c r="DD7" s="4">
        <f t="shared" si="69"/>
        <v>9098.6164209371727</v>
      </c>
      <c r="DE7" s="4">
        <f t="shared" si="69"/>
        <v>9098.6164209371727</v>
      </c>
      <c r="DF7" s="4">
        <f t="shared" si="69"/>
        <v>9098.6164209371727</v>
      </c>
      <c r="DG7" s="4">
        <f t="shared" si="69"/>
        <v>9098.6164209371727</v>
      </c>
      <c r="DH7" s="4">
        <f t="shared" si="69"/>
        <v>9098.6164209371727</v>
      </c>
      <c r="DI7" s="4">
        <f t="shared" si="69"/>
        <v>9098.6164209371727</v>
      </c>
      <c r="DJ7" s="4">
        <f t="shared" si="69"/>
        <v>9098.6164209371727</v>
      </c>
      <c r="DK7" s="4">
        <f t="shared" si="69"/>
        <v>9098.6164209371727</v>
      </c>
      <c r="DL7" s="4">
        <f t="shared" si="69"/>
        <v>9098.6164209371727</v>
      </c>
      <c r="DM7" s="4">
        <f t="shared" si="69"/>
        <v>9098.6164209371727</v>
      </c>
      <c r="DN7" s="4">
        <f t="shared" si="69"/>
        <v>9098.6164209371727</v>
      </c>
      <c r="DO7" s="4">
        <f t="shared" si="69"/>
        <v>9098.6164209371727</v>
      </c>
      <c r="DP7" s="4">
        <f t="shared" si="69"/>
        <v>9098.6164209371727</v>
      </c>
      <c r="DQ7" s="4">
        <f t="shared" si="69"/>
        <v>9098.6164209371727</v>
      </c>
      <c r="DR7" s="4">
        <f t="shared" si="69"/>
        <v>9098.6164209371727</v>
      </c>
      <c r="DS7" s="4">
        <f t="shared" si="69"/>
        <v>9098.6164209371727</v>
      </c>
      <c r="DT7" s="4">
        <f t="shared" si="69"/>
        <v>9098.6164209371727</v>
      </c>
      <c r="DU7" s="4">
        <f t="shared" si="69"/>
        <v>9098.6164209371727</v>
      </c>
      <c r="DV7" s="4">
        <f t="shared" si="69"/>
        <v>9098.6164209371727</v>
      </c>
      <c r="DW7" s="4">
        <f t="shared" si="69"/>
        <v>9098.6164209371727</v>
      </c>
      <c r="DX7" s="4">
        <f t="shared" si="69"/>
        <v>9098.6164209371727</v>
      </c>
      <c r="DY7" s="4">
        <f t="shared" si="69"/>
        <v>9098.6164209371727</v>
      </c>
      <c r="DZ7" s="4">
        <f t="shared" si="56"/>
        <v>9098.6164209371727</v>
      </c>
      <c r="EA7" s="4">
        <f t="shared" si="56"/>
        <v>9098.6164209371727</v>
      </c>
      <c r="EB7" s="4">
        <f>'CCaMC-ACAPEXpUC US'!D7/'CCaMC-BCCpUC US'!B7*'CCaMC-BCCpUC'!B7</f>
        <v>9098.6164209371727</v>
      </c>
      <c r="EC7" s="4">
        <f t="shared" si="57"/>
        <v>9098.6164209371727</v>
      </c>
      <c r="ED7" s="4">
        <f t="shared" si="57"/>
        <v>9098.6164209371727</v>
      </c>
      <c r="EE7" s="4">
        <f t="shared" si="57"/>
        <v>9098.6164209371727</v>
      </c>
      <c r="EF7" s="4">
        <f t="shared" si="57"/>
        <v>9098.6164209371727</v>
      </c>
      <c r="EG7" s="4">
        <f t="shared" si="57"/>
        <v>9098.6164209371727</v>
      </c>
      <c r="EH7" s="4">
        <f t="shared" si="57"/>
        <v>9098.6164209371727</v>
      </c>
      <c r="EI7" s="4">
        <f t="shared" si="57"/>
        <v>9098.6164209371727</v>
      </c>
      <c r="EJ7" s="4">
        <f t="shared" si="57"/>
        <v>9098.6164209371727</v>
      </c>
      <c r="EK7" s="4">
        <f t="shared" si="57"/>
        <v>9098.6164209371727</v>
      </c>
      <c r="EL7" s="4">
        <f t="shared" si="57"/>
        <v>9098.6164209371727</v>
      </c>
      <c r="EM7" s="4">
        <f t="shared" ref="EM7:FE7" si="70">EL7</f>
        <v>9098.6164209371727</v>
      </c>
      <c r="EN7" s="4">
        <f t="shared" si="70"/>
        <v>9098.6164209371727</v>
      </c>
      <c r="EO7" s="4">
        <f t="shared" si="70"/>
        <v>9098.6164209371727</v>
      </c>
      <c r="EP7" s="4">
        <f t="shared" si="70"/>
        <v>9098.6164209371727</v>
      </c>
      <c r="EQ7" s="4">
        <f t="shared" si="70"/>
        <v>9098.6164209371727</v>
      </c>
      <c r="ER7" s="4">
        <f t="shared" si="70"/>
        <v>9098.6164209371727</v>
      </c>
      <c r="ES7" s="4">
        <f t="shared" si="70"/>
        <v>9098.6164209371727</v>
      </c>
      <c r="ET7" s="4">
        <f t="shared" si="70"/>
        <v>9098.6164209371727</v>
      </c>
      <c r="EU7" s="4">
        <f t="shared" si="70"/>
        <v>9098.6164209371727</v>
      </c>
      <c r="EV7" s="4">
        <f t="shared" si="70"/>
        <v>9098.6164209371727</v>
      </c>
      <c r="EW7" s="4">
        <f t="shared" si="70"/>
        <v>9098.6164209371727</v>
      </c>
      <c r="EX7" s="4">
        <f t="shared" si="70"/>
        <v>9098.6164209371727</v>
      </c>
      <c r="EY7" s="4">
        <f t="shared" si="70"/>
        <v>9098.6164209371727</v>
      </c>
      <c r="EZ7" s="4">
        <f t="shared" si="70"/>
        <v>9098.6164209371727</v>
      </c>
      <c r="FA7" s="4">
        <f t="shared" si="70"/>
        <v>9098.6164209371727</v>
      </c>
      <c r="FB7" s="4">
        <f t="shared" si="70"/>
        <v>9098.6164209371727</v>
      </c>
      <c r="FC7" s="4">
        <f t="shared" si="70"/>
        <v>9098.6164209371727</v>
      </c>
      <c r="FD7" s="4">
        <f t="shared" si="70"/>
        <v>9098.6164209371727</v>
      </c>
      <c r="FE7" s="4">
        <f t="shared" si="70"/>
        <v>9098.6164209371727</v>
      </c>
      <c r="FF7" s="4">
        <f t="shared" si="4"/>
        <v>9098.6164209371727</v>
      </c>
      <c r="FG7" s="4">
        <f t="shared" si="5"/>
        <v>9098.6164209371727</v>
      </c>
      <c r="FH7" s="4">
        <f t="shared" si="6"/>
        <v>9098.6164209371727</v>
      </c>
      <c r="FI7" s="4">
        <f t="shared" si="7"/>
        <v>9098.6164209371727</v>
      </c>
      <c r="FJ7" s="4">
        <f t="shared" si="8"/>
        <v>9098.6164209371727</v>
      </c>
      <c r="FK7" s="4">
        <f t="shared" si="9"/>
        <v>9098.6164209371727</v>
      </c>
      <c r="FL7" s="4">
        <f t="shared" si="10"/>
        <v>9098.6164209371727</v>
      </c>
      <c r="FM7" s="4">
        <f t="shared" si="11"/>
        <v>9098.6164209371727</v>
      </c>
      <c r="FN7" s="4">
        <f t="shared" si="12"/>
        <v>9098.6164209371727</v>
      </c>
      <c r="FO7" s="4">
        <f t="shared" si="13"/>
        <v>9098.6164209371727</v>
      </c>
      <c r="FP7" s="4">
        <f t="shared" si="14"/>
        <v>9098.6164209371727</v>
      </c>
      <c r="FQ7" s="4">
        <f t="shared" si="15"/>
        <v>9098.6164209371727</v>
      </c>
      <c r="FR7" s="4">
        <f t="shared" si="16"/>
        <v>9098.6164209371727</v>
      </c>
      <c r="FS7" s="4">
        <f t="shared" si="17"/>
        <v>9098.6164209371727</v>
      </c>
      <c r="FT7" s="4">
        <f t="shared" si="18"/>
        <v>9098.6164209371727</v>
      </c>
      <c r="FU7" s="4">
        <f t="shared" si="19"/>
        <v>9098.6164209371727</v>
      </c>
      <c r="FV7" s="4">
        <f t="shared" si="20"/>
        <v>9098.6164209371727</v>
      </c>
      <c r="FW7" s="4">
        <f t="shared" si="21"/>
        <v>9098.6164209371727</v>
      </c>
      <c r="FX7" s="4">
        <f t="shared" si="22"/>
        <v>9098.6164209371727</v>
      </c>
      <c r="FY7" s="4">
        <f t="shared" si="23"/>
        <v>9098.6164209371727</v>
      </c>
      <c r="FZ7" s="4">
        <f t="shared" si="24"/>
        <v>9098.6164209371727</v>
      </c>
      <c r="GA7" s="4">
        <f t="shared" si="25"/>
        <v>9098.6164209371727</v>
      </c>
      <c r="GB7" s="4">
        <f t="shared" si="26"/>
        <v>9098.6164209371727</v>
      </c>
      <c r="GC7" s="4">
        <f t="shared" si="27"/>
        <v>9098.6164209371727</v>
      </c>
      <c r="GD7" s="4">
        <f t="shared" si="28"/>
        <v>9098.6164209371727</v>
      </c>
      <c r="GE7" s="4">
        <f t="shared" si="29"/>
        <v>9098.6164209371727</v>
      </c>
      <c r="GF7" s="4">
        <f t="shared" si="30"/>
        <v>9098.6164209371727</v>
      </c>
      <c r="GG7" s="4">
        <f t="shared" si="31"/>
        <v>9098.6164209371727</v>
      </c>
      <c r="GH7" s="4">
        <f t="shared" si="32"/>
        <v>9098.6164209371727</v>
      </c>
      <c r="GI7" s="4">
        <f t="shared" si="33"/>
        <v>9098.6164209371727</v>
      </c>
      <c r="GJ7" s="4">
        <f t="shared" si="34"/>
        <v>9098.6164209371727</v>
      </c>
      <c r="GK7" s="4">
        <f t="shared" si="35"/>
        <v>9098.6164209371727</v>
      </c>
      <c r="GL7" s="4">
        <f t="shared" si="36"/>
        <v>9098.6164209371727</v>
      </c>
      <c r="GM7" s="4">
        <f t="shared" si="37"/>
        <v>9098.6164209371727</v>
      </c>
      <c r="GN7" s="4">
        <f t="shared" si="38"/>
        <v>9098.6164209371727</v>
      </c>
      <c r="GO7" s="4">
        <f t="shared" si="39"/>
        <v>9098.6164209371727</v>
      </c>
      <c r="GP7" s="4">
        <f t="shared" si="40"/>
        <v>9098.6164209371727</v>
      </c>
      <c r="GQ7" s="4">
        <f t="shared" si="41"/>
        <v>9098.6164209371727</v>
      </c>
      <c r="GR7" s="4">
        <f t="shared" si="42"/>
        <v>9098.6164209371727</v>
      </c>
      <c r="GS7" s="4">
        <f t="shared" si="43"/>
        <v>9098.6164209371727</v>
      </c>
      <c r="GT7" s="4">
        <f t="shared" si="44"/>
        <v>9098.6164209371727</v>
      </c>
      <c r="GU7" s="4">
        <f t="shared" si="45"/>
        <v>9098.6164209371727</v>
      </c>
      <c r="GV7" s="4">
        <f t="shared" si="46"/>
        <v>9098.6164209371727</v>
      </c>
      <c r="GW7" s="4">
        <f t="shared" si="47"/>
        <v>9098.6164209371727</v>
      </c>
      <c r="GX7" s="4">
        <f t="shared" si="48"/>
        <v>9098.6164209371727</v>
      </c>
      <c r="GY7" s="4">
        <f t="shared" si="49"/>
        <v>9098.6164209371727</v>
      </c>
      <c r="GZ7" s="4">
        <f t="shared" si="50"/>
        <v>9098.6164209371727</v>
      </c>
      <c r="HA7" s="4">
        <f t="shared" si="51"/>
        <v>9098.6164209371727</v>
      </c>
      <c r="HB7" s="4">
        <f t="shared" si="52"/>
        <v>9098.6164209371727</v>
      </c>
      <c r="HC7" s="4">
        <f t="shared" si="53"/>
        <v>9098.6164209371727</v>
      </c>
    </row>
    <row r="8" spans="1:211">
      <c r="A8" t="s">
        <v>7</v>
      </c>
      <c r="B8" s="4">
        <f t="shared" ref="B8:BM8" si="71">C8</f>
        <v>0</v>
      </c>
      <c r="C8" s="4">
        <f t="shared" si="71"/>
        <v>0</v>
      </c>
      <c r="D8" s="4">
        <f t="shared" si="71"/>
        <v>0</v>
      </c>
      <c r="E8" s="4">
        <f t="shared" si="71"/>
        <v>0</v>
      </c>
      <c r="F8" s="4">
        <f t="shared" si="71"/>
        <v>0</v>
      </c>
      <c r="G8" s="4">
        <f t="shared" si="71"/>
        <v>0</v>
      </c>
      <c r="H8" s="4">
        <f t="shared" si="71"/>
        <v>0</v>
      </c>
      <c r="I8" s="4">
        <f t="shared" si="71"/>
        <v>0</v>
      </c>
      <c r="J8" s="4">
        <f t="shared" si="71"/>
        <v>0</v>
      </c>
      <c r="K8" s="4">
        <f t="shared" si="71"/>
        <v>0</v>
      </c>
      <c r="L8" s="4">
        <f t="shared" si="71"/>
        <v>0</v>
      </c>
      <c r="M8" s="4">
        <f t="shared" si="71"/>
        <v>0</v>
      </c>
      <c r="N8" s="4">
        <f t="shared" si="71"/>
        <v>0</v>
      </c>
      <c r="O8" s="4">
        <f t="shared" si="71"/>
        <v>0</v>
      </c>
      <c r="P8" s="4">
        <f t="shared" si="71"/>
        <v>0</v>
      </c>
      <c r="Q8" s="4">
        <f t="shared" si="71"/>
        <v>0</v>
      </c>
      <c r="R8" s="4">
        <f t="shared" si="71"/>
        <v>0</v>
      </c>
      <c r="S8" s="4">
        <f t="shared" si="71"/>
        <v>0</v>
      </c>
      <c r="T8" s="4">
        <f t="shared" si="71"/>
        <v>0</v>
      </c>
      <c r="U8" s="4">
        <f t="shared" si="71"/>
        <v>0</v>
      </c>
      <c r="V8" s="4">
        <f t="shared" si="71"/>
        <v>0</v>
      </c>
      <c r="W8" s="4">
        <f t="shared" si="71"/>
        <v>0</v>
      </c>
      <c r="X8" s="4">
        <f t="shared" si="71"/>
        <v>0</v>
      </c>
      <c r="Y8" s="4">
        <f t="shared" si="71"/>
        <v>0</v>
      </c>
      <c r="Z8" s="4">
        <f t="shared" si="71"/>
        <v>0</v>
      </c>
      <c r="AA8" s="4">
        <f t="shared" si="71"/>
        <v>0</v>
      </c>
      <c r="AB8" s="4">
        <f t="shared" si="71"/>
        <v>0</v>
      </c>
      <c r="AC8" s="4">
        <f t="shared" si="71"/>
        <v>0</v>
      </c>
      <c r="AD8" s="4">
        <f t="shared" si="71"/>
        <v>0</v>
      </c>
      <c r="AE8" s="4">
        <f t="shared" si="71"/>
        <v>0</v>
      </c>
      <c r="AF8" s="4">
        <f t="shared" si="71"/>
        <v>0</v>
      </c>
      <c r="AG8" s="4">
        <f t="shared" si="71"/>
        <v>0</v>
      </c>
      <c r="AH8" s="4">
        <f t="shared" si="71"/>
        <v>0</v>
      </c>
      <c r="AI8" s="4">
        <f t="shared" si="71"/>
        <v>0</v>
      </c>
      <c r="AJ8" s="4">
        <f t="shared" si="71"/>
        <v>0</v>
      </c>
      <c r="AK8" s="4">
        <f t="shared" si="71"/>
        <v>0</v>
      </c>
      <c r="AL8" s="4">
        <f t="shared" si="71"/>
        <v>0</v>
      </c>
      <c r="AM8" s="4">
        <f t="shared" si="71"/>
        <v>0</v>
      </c>
      <c r="AN8" s="4">
        <f t="shared" si="71"/>
        <v>0</v>
      </c>
      <c r="AO8" s="4">
        <f t="shared" si="71"/>
        <v>0</v>
      </c>
      <c r="AP8" s="4">
        <f t="shared" si="71"/>
        <v>0</v>
      </c>
      <c r="AQ8" s="4">
        <f t="shared" si="71"/>
        <v>0</v>
      </c>
      <c r="AR8" s="4">
        <f t="shared" si="71"/>
        <v>0</v>
      </c>
      <c r="AS8" s="4">
        <f t="shared" si="71"/>
        <v>0</v>
      </c>
      <c r="AT8" s="4">
        <f t="shared" si="71"/>
        <v>0</v>
      </c>
      <c r="AU8" s="4">
        <f t="shared" si="71"/>
        <v>0</v>
      </c>
      <c r="AV8" s="4">
        <f t="shared" si="71"/>
        <v>0</v>
      </c>
      <c r="AW8" s="4">
        <f t="shared" si="71"/>
        <v>0</v>
      </c>
      <c r="AX8" s="4">
        <f t="shared" si="71"/>
        <v>0</v>
      </c>
      <c r="AY8" s="4">
        <f t="shared" si="71"/>
        <v>0</v>
      </c>
      <c r="AZ8" s="4">
        <f t="shared" si="71"/>
        <v>0</v>
      </c>
      <c r="BA8" s="4">
        <f t="shared" si="71"/>
        <v>0</v>
      </c>
      <c r="BB8" s="4">
        <f t="shared" si="71"/>
        <v>0</v>
      </c>
      <c r="BC8" s="4">
        <f t="shared" si="71"/>
        <v>0</v>
      </c>
      <c r="BD8" s="4">
        <f t="shared" si="71"/>
        <v>0</v>
      </c>
      <c r="BE8" s="4">
        <f t="shared" si="71"/>
        <v>0</v>
      </c>
      <c r="BF8" s="4">
        <f t="shared" si="71"/>
        <v>0</v>
      </c>
      <c r="BG8" s="4">
        <f t="shared" si="71"/>
        <v>0</v>
      </c>
      <c r="BH8" s="4">
        <f t="shared" si="71"/>
        <v>0</v>
      </c>
      <c r="BI8" s="4">
        <f t="shared" si="71"/>
        <v>0</v>
      </c>
      <c r="BJ8" s="4">
        <f t="shared" si="71"/>
        <v>0</v>
      </c>
      <c r="BK8" s="4">
        <f t="shared" si="71"/>
        <v>0</v>
      </c>
      <c r="BL8" s="4">
        <f t="shared" si="71"/>
        <v>0</v>
      </c>
      <c r="BM8" s="4">
        <f t="shared" si="71"/>
        <v>0</v>
      </c>
      <c r="BN8" s="4">
        <f t="shared" ref="BN8:DY8" si="72">BO8</f>
        <v>0</v>
      </c>
      <c r="BO8" s="4">
        <f t="shared" si="72"/>
        <v>0</v>
      </c>
      <c r="BP8" s="4">
        <f t="shared" si="72"/>
        <v>0</v>
      </c>
      <c r="BQ8" s="4">
        <f t="shared" si="72"/>
        <v>0</v>
      </c>
      <c r="BR8" s="4">
        <f t="shared" si="72"/>
        <v>0</v>
      </c>
      <c r="BS8" s="4">
        <f t="shared" si="72"/>
        <v>0</v>
      </c>
      <c r="BT8" s="4">
        <f t="shared" si="72"/>
        <v>0</v>
      </c>
      <c r="BU8" s="4">
        <f t="shared" si="72"/>
        <v>0</v>
      </c>
      <c r="BV8" s="4">
        <f t="shared" si="72"/>
        <v>0</v>
      </c>
      <c r="BW8" s="4">
        <f t="shared" si="72"/>
        <v>0</v>
      </c>
      <c r="BX8" s="4">
        <f t="shared" si="72"/>
        <v>0</v>
      </c>
      <c r="BY8" s="4">
        <f t="shared" si="72"/>
        <v>0</v>
      </c>
      <c r="BZ8" s="4">
        <f t="shared" si="72"/>
        <v>0</v>
      </c>
      <c r="CA8" s="4">
        <f t="shared" si="72"/>
        <v>0</v>
      </c>
      <c r="CB8" s="4">
        <f t="shared" si="72"/>
        <v>0</v>
      </c>
      <c r="CC8" s="4">
        <f t="shared" si="72"/>
        <v>0</v>
      </c>
      <c r="CD8" s="4">
        <f t="shared" si="72"/>
        <v>0</v>
      </c>
      <c r="CE8" s="4">
        <f t="shared" si="72"/>
        <v>0</v>
      </c>
      <c r="CF8" s="4">
        <f t="shared" si="72"/>
        <v>0</v>
      </c>
      <c r="CG8" s="4">
        <f t="shared" si="72"/>
        <v>0</v>
      </c>
      <c r="CH8" s="4">
        <f t="shared" si="72"/>
        <v>0</v>
      </c>
      <c r="CI8" s="4">
        <f t="shared" si="72"/>
        <v>0</v>
      </c>
      <c r="CJ8" s="4">
        <f t="shared" si="72"/>
        <v>0</v>
      </c>
      <c r="CK8" s="4">
        <f t="shared" si="72"/>
        <v>0</v>
      </c>
      <c r="CL8" s="4">
        <f t="shared" si="72"/>
        <v>0</v>
      </c>
      <c r="CM8" s="4">
        <f t="shared" si="72"/>
        <v>0</v>
      </c>
      <c r="CN8" s="4">
        <f t="shared" si="72"/>
        <v>0</v>
      </c>
      <c r="CO8" s="4">
        <f t="shared" si="72"/>
        <v>0</v>
      </c>
      <c r="CP8" s="4">
        <f t="shared" si="72"/>
        <v>0</v>
      </c>
      <c r="CQ8" s="4">
        <f t="shared" si="72"/>
        <v>0</v>
      </c>
      <c r="CR8" s="4">
        <f t="shared" si="72"/>
        <v>0</v>
      </c>
      <c r="CS8" s="4">
        <f t="shared" si="72"/>
        <v>0</v>
      </c>
      <c r="CT8" s="4">
        <f t="shared" si="72"/>
        <v>0</v>
      </c>
      <c r="CU8" s="4">
        <f t="shared" si="72"/>
        <v>0</v>
      </c>
      <c r="CV8" s="4">
        <f t="shared" si="72"/>
        <v>0</v>
      </c>
      <c r="CW8" s="4">
        <f t="shared" si="72"/>
        <v>0</v>
      </c>
      <c r="CX8" s="4">
        <f t="shared" si="72"/>
        <v>0</v>
      </c>
      <c r="CY8" s="4">
        <f t="shared" si="72"/>
        <v>0</v>
      </c>
      <c r="CZ8" s="4">
        <f t="shared" si="72"/>
        <v>0</v>
      </c>
      <c r="DA8" s="4">
        <f t="shared" si="72"/>
        <v>0</v>
      </c>
      <c r="DB8" s="4">
        <f t="shared" si="72"/>
        <v>0</v>
      </c>
      <c r="DC8" s="4">
        <f t="shared" si="72"/>
        <v>0</v>
      </c>
      <c r="DD8" s="4">
        <f t="shared" si="72"/>
        <v>0</v>
      </c>
      <c r="DE8" s="4">
        <f t="shared" si="72"/>
        <v>0</v>
      </c>
      <c r="DF8" s="4">
        <f t="shared" si="72"/>
        <v>0</v>
      </c>
      <c r="DG8" s="4">
        <f t="shared" si="72"/>
        <v>0</v>
      </c>
      <c r="DH8" s="4">
        <f t="shared" si="72"/>
        <v>0</v>
      </c>
      <c r="DI8" s="4">
        <f t="shared" si="72"/>
        <v>0</v>
      </c>
      <c r="DJ8" s="4">
        <f t="shared" si="72"/>
        <v>0</v>
      </c>
      <c r="DK8" s="4">
        <f t="shared" si="72"/>
        <v>0</v>
      </c>
      <c r="DL8" s="4">
        <f t="shared" si="72"/>
        <v>0</v>
      </c>
      <c r="DM8" s="4">
        <f t="shared" si="72"/>
        <v>0</v>
      </c>
      <c r="DN8" s="4">
        <f t="shared" si="72"/>
        <v>0</v>
      </c>
      <c r="DO8" s="4">
        <f t="shared" si="72"/>
        <v>0</v>
      </c>
      <c r="DP8" s="4">
        <f t="shared" si="72"/>
        <v>0</v>
      </c>
      <c r="DQ8" s="4">
        <f t="shared" si="72"/>
        <v>0</v>
      </c>
      <c r="DR8" s="4">
        <f t="shared" si="72"/>
        <v>0</v>
      </c>
      <c r="DS8" s="4">
        <f t="shared" si="72"/>
        <v>0</v>
      </c>
      <c r="DT8" s="4">
        <f t="shared" si="72"/>
        <v>0</v>
      </c>
      <c r="DU8" s="4">
        <f t="shared" si="72"/>
        <v>0</v>
      </c>
      <c r="DV8" s="4">
        <f t="shared" si="72"/>
        <v>0</v>
      </c>
      <c r="DW8" s="4">
        <f t="shared" si="72"/>
        <v>0</v>
      </c>
      <c r="DX8" s="4">
        <f t="shared" si="72"/>
        <v>0</v>
      </c>
      <c r="DY8" s="4">
        <f t="shared" si="72"/>
        <v>0</v>
      </c>
      <c r="DZ8" s="4">
        <f t="shared" si="56"/>
        <v>0</v>
      </c>
      <c r="EA8" s="4">
        <f t="shared" si="56"/>
        <v>0</v>
      </c>
      <c r="EB8" s="4">
        <f>'CCaMC-ACAPEXpUC US'!D8/'CCaMC-BCCpUC US'!B8*'CCaMC-BCCpUC'!B8</f>
        <v>0</v>
      </c>
      <c r="EC8" s="4">
        <f t="shared" si="57"/>
        <v>0</v>
      </c>
      <c r="ED8" s="4">
        <f t="shared" si="57"/>
        <v>0</v>
      </c>
      <c r="EE8" s="4">
        <f t="shared" si="57"/>
        <v>0</v>
      </c>
      <c r="EF8" s="4">
        <f t="shared" si="57"/>
        <v>0</v>
      </c>
      <c r="EG8" s="4">
        <f t="shared" si="57"/>
        <v>0</v>
      </c>
      <c r="EH8" s="4">
        <f t="shared" si="57"/>
        <v>0</v>
      </c>
      <c r="EI8" s="4">
        <f t="shared" si="57"/>
        <v>0</v>
      </c>
      <c r="EJ8" s="4">
        <f t="shared" si="57"/>
        <v>0</v>
      </c>
      <c r="EK8" s="4">
        <f t="shared" si="57"/>
        <v>0</v>
      </c>
      <c r="EL8" s="4">
        <f t="shared" si="57"/>
        <v>0</v>
      </c>
      <c r="EM8" s="4">
        <f t="shared" ref="EM8:FE8" si="73">EL8</f>
        <v>0</v>
      </c>
      <c r="EN8" s="4">
        <f t="shared" si="73"/>
        <v>0</v>
      </c>
      <c r="EO8" s="4">
        <f t="shared" si="73"/>
        <v>0</v>
      </c>
      <c r="EP8" s="4">
        <f t="shared" si="73"/>
        <v>0</v>
      </c>
      <c r="EQ8" s="4">
        <f t="shared" si="73"/>
        <v>0</v>
      </c>
      <c r="ER8" s="4">
        <f t="shared" si="73"/>
        <v>0</v>
      </c>
      <c r="ES8" s="4">
        <f t="shared" si="73"/>
        <v>0</v>
      </c>
      <c r="ET8" s="4">
        <f t="shared" si="73"/>
        <v>0</v>
      </c>
      <c r="EU8" s="4">
        <f t="shared" si="73"/>
        <v>0</v>
      </c>
      <c r="EV8" s="4">
        <f t="shared" si="73"/>
        <v>0</v>
      </c>
      <c r="EW8" s="4">
        <f t="shared" si="73"/>
        <v>0</v>
      </c>
      <c r="EX8" s="4">
        <f t="shared" si="73"/>
        <v>0</v>
      </c>
      <c r="EY8" s="4">
        <f t="shared" si="73"/>
        <v>0</v>
      </c>
      <c r="EZ8" s="4">
        <f t="shared" si="73"/>
        <v>0</v>
      </c>
      <c r="FA8" s="4">
        <f t="shared" si="73"/>
        <v>0</v>
      </c>
      <c r="FB8" s="4">
        <f t="shared" si="73"/>
        <v>0</v>
      </c>
      <c r="FC8" s="4">
        <f t="shared" si="73"/>
        <v>0</v>
      </c>
      <c r="FD8" s="4">
        <f t="shared" si="73"/>
        <v>0</v>
      </c>
      <c r="FE8" s="4">
        <f t="shared" si="73"/>
        <v>0</v>
      </c>
      <c r="FF8" s="4">
        <f t="shared" si="4"/>
        <v>0</v>
      </c>
      <c r="FG8" s="4">
        <f t="shared" si="5"/>
        <v>0</v>
      </c>
      <c r="FH8" s="4">
        <f t="shared" si="6"/>
        <v>0</v>
      </c>
      <c r="FI8" s="4">
        <f t="shared" si="7"/>
        <v>0</v>
      </c>
      <c r="FJ8" s="4">
        <f t="shared" si="8"/>
        <v>0</v>
      </c>
      <c r="FK8" s="4">
        <f t="shared" si="9"/>
        <v>0</v>
      </c>
      <c r="FL8" s="4">
        <f t="shared" si="10"/>
        <v>0</v>
      </c>
      <c r="FM8" s="4">
        <f t="shared" si="11"/>
        <v>0</v>
      </c>
      <c r="FN8" s="4">
        <f t="shared" si="12"/>
        <v>0</v>
      </c>
      <c r="FO8" s="4">
        <f t="shared" si="13"/>
        <v>0</v>
      </c>
      <c r="FP8" s="4">
        <f t="shared" si="14"/>
        <v>0</v>
      </c>
      <c r="FQ8" s="4">
        <f t="shared" si="15"/>
        <v>0</v>
      </c>
      <c r="FR8" s="4">
        <f t="shared" si="16"/>
        <v>0</v>
      </c>
      <c r="FS8" s="4">
        <f t="shared" si="17"/>
        <v>0</v>
      </c>
      <c r="FT8" s="4">
        <f t="shared" si="18"/>
        <v>0</v>
      </c>
      <c r="FU8" s="4">
        <f t="shared" si="19"/>
        <v>0</v>
      </c>
      <c r="FV8" s="4">
        <f t="shared" si="20"/>
        <v>0</v>
      </c>
      <c r="FW8" s="4">
        <f t="shared" si="21"/>
        <v>0</v>
      </c>
      <c r="FX8" s="4">
        <f t="shared" si="22"/>
        <v>0</v>
      </c>
      <c r="FY8" s="4">
        <f t="shared" si="23"/>
        <v>0</v>
      </c>
      <c r="FZ8" s="4">
        <f t="shared" si="24"/>
        <v>0</v>
      </c>
      <c r="GA8" s="4">
        <f t="shared" si="25"/>
        <v>0</v>
      </c>
      <c r="GB8" s="4">
        <f t="shared" si="26"/>
        <v>0</v>
      </c>
      <c r="GC8" s="4">
        <f t="shared" si="27"/>
        <v>0</v>
      </c>
      <c r="GD8" s="4">
        <f t="shared" si="28"/>
        <v>0</v>
      </c>
      <c r="GE8" s="4">
        <f t="shared" si="29"/>
        <v>0</v>
      </c>
      <c r="GF8" s="4">
        <f t="shared" si="30"/>
        <v>0</v>
      </c>
      <c r="GG8" s="4">
        <f t="shared" si="31"/>
        <v>0</v>
      </c>
      <c r="GH8" s="4">
        <f t="shared" si="32"/>
        <v>0</v>
      </c>
      <c r="GI8" s="4">
        <f t="shared" si="33"/>
        <v>0</v>
      </c>
      <c r="GJ8" s="4">
        <f t="shared" si="34"/>
        <v>0</v>
      </c>
      <c r="GK8" s="4">
        <f t="shared" si="35"/>
        <v>0</v>
      </c>
      <c r="GL8" s="4">
        <f t="shared" si="36"/>
        <v>0</v>
      </c>
      <c r="GM8" s="4">
        <f t="shared" si="37"/>
        <v>0</v>
      </c>
      <c r="GN8" s="4">
        <f t="shared" si="38"/>
        <v>0</v>
      </c>
      <c r="GO8" s="4">
        <f t="shared" si="39"/>
        <v>0</v>
      </c>
      <c r="GP8" s="4">
        <f t="shared" si="40"/>
        <v>0</v>
      </c>
      <c r="GQ8" s="4">
        <f t="shared" si="41"/>
        <v>0</v>
      </c>
      <c r="GR8" s="4">
        <f t="shared" si="42"/>
        <v>0</v>
      </c>
      <c r="GS8" s="4">
        <f t="shared" si="43"/>
        <v>0</v>
      </c>
      <c r="GT8" s="4">
        <f t="shared" si="44"/>
        <v>0</v>
      </c>
      <c r="GU8" s="4">
        <f t="shared" si="45"/>
        <v>0</v>
      </c>
      <c r="GV8" s="4">
        <f t="shared" si="46"/>
        <v>0</v>
      </c>
      <c r="GW8" s="4">
        <f t="shared" si="47"/>
        <v>0</v>
      </c>
      <c r="GX8" s="4">
        <f t="shared" si="48"/>
        <v>0</v>
      </c>
      <c r="GY8" s="4">
        <f t="shared" si="49"/>
        <v>0</v>
      </c>
      <c r="GZ8" s="4">
        <f t="shared" si="50"/>
        <v>0</v>
      </c>
      <c r="HA8" s="4">
        <f t="shared" si="51"/>
        <v>0</v>
      </c>
      <c r="HB8" s="4">
        <f t="shared" si="52"/>
        <v>0</v>
      </c>
      <c r="HC8" s="4">
        <f t="shared" si="53"/>
        <v>0</v>
      </c>
    </row>
    <row r="9" spans="1:211">
      <c r="A9" t="s">
        <v>8</v>
      </c>
      <c r="B9" s="4">
        <f t="shared" ref="B9:BM9" si="74">C9</f>
        <v>0</v>
      </c>
      <c r="C9" s="4">
        <f t="shared" si="74"/>
        <v>0</v>
      </c>
      <c r="D9" s="4">
        <f t="shared" si="74"/>
        <v>0</v>
      </c>
      <c r="E9" s="4">
        <f t="shared" si="74"/>
        <v>0</v>
      </c>
      <c r="F9" s="4">
        <f t="shared" si="74"/>
        <v>0</v>
      </c>
      <c r="G9" s="4">
        <f t="shared" si="74"/>
        <v>0</v>
      </c>
      <c r="H9" s="4">
        <f t="shared" si="74"/>
        <v>0</v>
      </c>
      <c r="I9" s="4">
        <f t="shared" si="74"/>
        <v>0</v>
      </c>
      <c r="J9" s="4">
        <f t="shared" si="74"/>
        <v>0</v>
      </c>
      <c r="K9" s="4">
        <f t="shared" si="74"/>
        <v>0</v>
      </c>
      <c r="L9" s="4">
        <f t="shared" si="74"/>
        <v>0</v>
      </c>
      <c r="M9" s="4">
        <f t="shared" si="74"/>
        <v>0</v>
      </c>
      <c r="N9" s="4">
        <f t="shared" si="74"/>
        <v>0</v>
      </c>
      <c r="O9" s="4">
        <f t="shared" si="74"/>
        <v>0</v>
      </c>
      <c r="P9" s="4">
        <f t="shared" si="74"/>
        <v>0</v>
      </c>
      <c r="Q9" s="4">
        <f t="shared" si="74"/>
        <v>0</v>
      </c>
      <c r="R9" s="4">
        <f t="shared" si="74"/>
        <v>0</v>
      </c>
      <c r="S9" s="4">
        <f t="shared" si="74"/>
        <v>0</v>
      </c>
      <c r="T9" s="4">
        <f t="shared" si="74"/>
        <v>0</v>
      </c>
      <c r="U9" s="4">
        <f t="shared" si="74"/>
        <v>0</v>
      </c>
      <c r="V9" s="4">
        <f t="shared" si="74"/>
        <v>0</v>
      </c>
      <c r="W9" s="4">
        <f t="shared" si="74"/>
        <v>0</v>
      </c>
      <c r="X9" s="4">
        <f t="shared" si="74"/>
        <v>0</v>
      </c>
      <c r="Y9" s="4">
        <f t="shared" si="74"/>
        <v>0</v>
      </c>
      <c r="Z9" s="4">
        <f t="shared" si="74"/>
        <v>0</v>
      </c>
      <c r="AA9" s="4">
        <f t="shared" si="74"/>
        <v>0</v>
      </c>
      <c r="AB9" s="4">
        <f t="shared" si="74"/>
        <v>0</v>
      </c>
      <c r="AC9" s="4">
        <f t="shared" si="74"/>
        <v>0</v>
      </c>
      <c r="AD9" s="4">
        <f t="shared" si="74"/>
        <v>0</v>
      </c>
      <c r="AE9" s="4">
        <f t="shared" si="74"/>
        <v>0</v>
      </c>
      <c r="AF9" s="4">
        <f t="shared" si="74"/>
        <v>0</v>
      </c>
      <c r="AG9" s="4">
        <f t="shared" si="74"/>
        <v>0</v>
      </c>
      <c r="AH9" s="4">
        <f t="shared" si="74"/>
        <v>0</v>
      </c>
      <c r="AI9" s="4">
        <f t="shared" si="74"/>
        <v>0</v>
      </c>
      <c r="AJ9" s="4">
        <f t="shared" si="74"/>
        <v>0</v>
      </c>
      <c r="AK9" s="4">
        <f t="shared" si="74"/>
        <v>0</v>
      </c>
      <c r="AL9" s="4">
        <f t="shared" si="74"/>
        <v>0</v>
      </c>
      <c r="AM9" s="4">
        <f t="shared" si="74"/>
        <v>0</v>
      </c>
      <c r="AN9" s="4">
        <f t="shared" si="74"/>
        <v>0</v>
      </c>
      <c r="AO9" s="4">
        <f t="shared" si="74"/>
        <v>0</v>
      </c>
      <c r="AP9" s="4">
        <f t="shared" si="74"/>
        <v>0</v>
      </c>
      <c r="AQ9" s="4">
        <f t="shared" si="74"/>
        <v>0</v>
      </c>
      <c r="AR9" s="4">
        <f t="shared" si="74"/>
        <v>0</v>
      </c>
      <c r="AS9" s="4">
        <f t="shared" si="74"/>
        <v>0</v>
      </c>
      <c r="AT9" s="4">
        <f t="shared" si="74"/>
        <v>0</v>
      </c>
      <c r="AU9" s="4">
        <f t="shared" si="74"/>
        <v>0</v>
      </c>
      <c r="AV9" s="4">
        <f t="shared" si="74"/>
        <v>0</v>
      </c>
      <c r="AW9" s="4">
        <f t="shared" si="74"/>
        <v>0</v>
      </c>
      <c r="AX9" s="4">
        <f t="shared" si="74"/>
        <v>0</v>
      </c>
      <c r="AY9" s="4">
        <f t="shared" si="74"/>
        <v>0</v>
      </c>
      <c r="AZ9" s="4">
        <f t="shared" si="74"/>
        <v>0</v>
      </c>
      <c r="BA9" s="4">
        <f t="shared" si="74"/>
        <v>0</v>
      </c>
      <c r="BB9" s="4">
        <f t="shared" si="74"/>
        <v>0</v>
      </c>
      <c r="BC9" s="4">
        <f t="shared" si="74"/>
        <v>0</v>
      </c>
      <c r="BD9" s="4">
        <f t="shared" si="74"/>
        <v>0</v>
      </c>
      <c r="BE9" s="4">
        <f t="shared" si="74"/>
        <v>0</v>
      </c>
      <c r="BF9" s="4">
        <f t="shared" si="74"/>
        <v>0</v>
      </c>
      <c r="BG9" s="4">
        <f t="shared" si="74"/>
        <v>0</v>
      </c>
      <c r="BH9" s="4">
        <f t="shared" si="74"/>
        <v>0</v>
      </c>
      <c r="BI9" s="4">
        <f t="shared" si="74"/>
        <v>0</v>
      </c>
      <c r="BJ9" s="4">
        <f t="shared" si="74"/>
        <v>0</v>
      </c>
      <c r="BK9" s="4">
        <f t="shared" si="74"/>
        <v>0</v>
      </c>
      <c r="BL9" s="4">
        <f t="shared" si="74"/>
        <v>0</v>
      </c>
      <c r="BM9" s="4">
        <f t="shared" si="74"/>
        <v>0</v>
      </c>
      <c r="BN9" s="4">
        <f t="shared" ref="BN9:DY9" si="75">BO9</f>
        <v>0</v>
      </c>
      <c r="BO9" s="4">
        <f t="shared" si="75"/>
        <v>0</v>
      </c>
      <c r="BP9" s="4">
        <f t="shared" si="75"/>
        <v>0</v>
      </c>
      <c r="BQ9" s="4">
        <f t="shared" si="75"/>
        <v>0</v>
      </c>
      <c r="BR9" s="4">
        <f t="shared" si="75"/>
        <v>0</v>
      </c>
      <c r="BS9" s="4">
        <f t="shared" si="75"/>
        <v>0</v>
      </c>
      <c r="BT9" s="4">
        <f t="shared" si="75"/>
        <v>0</v>
      </c>
      <c r="BU9" s="4">
        <f t="shared" si="75"/>
        <v>0</v>
      </c>
      <c r="BV9" s="4">
        <f t="shared" si="75"/>
        <v>0</v>
      </c>
      <c r="BW9" s="4">
        <f t="shared" si="75"/>
        <v>0</v>
      </c>
      <c r="BX9" s="4">
        <f t="shared" si="75"/>
        <v>0</v>
      </c>
      <c r="BY9" s="4">
        <f t="shared" si="75"/>
        <v>0</v>
      </c>
      <c r="BZ9" s="4">
        <f t="shared" si="75"/>
        <v>0</v>
      </c>
      <c r="CA9" s="4">
        <f t="shared" si="75"/>
        <v>0</v>
      </c>
      <c r="CB9" s="4">
        <f t="shared" si="75"/>
        <v>0</v>
      </c>
      <c r="CC9" s="4">
        <f t="shared" si="75"/>
        <v>0</v>
      </c>
      <c r="CD9" s="4">
        <f t="shared" si="75"/>
        <v>0</v>
      </c>
      <c r="CE9" s="4">
        <f t="shared" si="75"/>
        <v>0</v>
      </c>
      <c r="CF9" s="4">
        <f t="shared" si="75"/>
        <v>0</v>
      </c>
      <c r="CG9" s="4">
        <f t="shared" si="75"/>
        <v>0</v>
      </c>
      <c r="CH9" s="4">
        <f t="shared" si="75"/>
        <v>0</v>
      </c>
      <c r="CI9" s="4">
        <f t="shared" si="75"/>
        <v>0</v>
      </c>
      <c r="CJ9" s="4">
        <f t="shared" si="75"/>
        <v>0</v>
      </c>
      <c r="CK9" s="4">
        <f t="shared" si="75"/>
        <v>0</v>
      </c>
      <c r="CL9" s="4">
        <f t="shared" si="75"/>
        <v>0</v>
      </c>
      <c r="CM9" s="4">
        <f t="shared" si="75"/>
        <v>0</v>
      </c>
      <c r="CN9" s="4">
        <f t="shared" si="75"/>
        <v>0</v>
      </c>
      <c r="CO9" s="4">
        <f t="shared" si="75"/>
        <v>0</v>
      </c>
      <c r="CP9" s="4">
        <f t="shared" si="75"/>
        <v>0</v>
      </c>
      <c r="CQ9" s="4">
        <f t="shared" si="75"/>
        <v>0</v>
      </c>
      <c r="CR9" s="4">
        <f t="shared" si="75"/>
        <v>0</v>
      </c>
      <c r="CS9" s="4">
        <f t="shared" si="75"/>
        <v>0</v>
      </c>
      <c r="CT9" s="4">
        <f t="shared" si="75"/>
        <v>0</v>
      </c>
      <c r="CU9" s="4">
        <f t="shared" si="75"/>
        <v>0</v>
      </c>
      <c r="CV9" s="4">
        <f t="shared" si="75"/>
        <v>0</v>
      </c>
      <c r="CW9" s="4">
        <f t="shared" si="75"/>
        <v>0</v>
      </c>
      <c r="CX9" s="4">
        <f t="shared" si="75"/>
        <v>0</v>
      </c>
      <c r="CY9" s="4">
        <f t="shared" si="75"/>
        <v>0</v>
      </c>
      <c r="CZ9" s="4">
        <f t="shared" si="75"/>
        <v>0</v>
      </c>
      <c r="DA9" s="4">
        <f t="shared" si="75"/>
        <v>0</v>
      </c>
      <c r="DB9" s="4">
        <f t="shared" si="75"/>
        <v>0</v>
      </c>
      <c r="DC9" s="4">
        <f t="shared" si="75"/>
        <v>0</v>
      </c>
      <c r="DD9" s="4">
        <f t="shared" si="75"/>
        <v>0</v>
      </c>
      <c r="DE9" s="4">
        <f t="shared" si="75"/>
        <v>0</v>
      </c>
      <c r="DF9" s="4">
        <f t="shared" si="75"/>
        <v>0</v>
      </c>
      <c r="DG9" s="4">
        <f t="shared" si="75"/>
        <v>0</v>
      </c>
      <c r="DH9" s="4">
        <f t="shared" si="75"/>
        <v>0</v>
      </c>
      <c r="DI9" s="4">
        <f t="shared" si="75"/>
        <v>0</v>
      </c>
      <c r="DJ9" s="4">
        <f t="shared" si="75"/>
        <v>0</v>
      </c>
      <c r="DK9" s="4">
        <f t="shared" si="75"/>
        <v>0</v>
      </c>
      <c r="DL9" s="4">
        <f t="shared" si="75"/>
        <v>0</v>
      </c>
      <c r="DM9" s="4">
        <f t="shared" si="75"/>
        <v>0</v>
      </c>
      <c r="DN9" s="4">
        <f t="shared" si="75"/>
        <v>0</v>
      </c>
      <c r="DO9" s="4">
        <f t="shared" si="75"/>
        <v>0</v>
      </c>
      <c r="DP9" s="4">
        <f t="shared" si="75"/>
        <v>0</v>
      </c>
      <c r="DQ9" s="4">
        <f t="shared" si="75"/>
        <v>0</v>
      </c>
      <c r="DR9" s="4">
        <f t="shared" si="75"/>
        <v>0</v>
      </c>
      <c r="DS9" s="4">
        <f t="shared" si="75"/>
        <v>0</v>
      </c>
      <c r="DT9" s="4">
        <f t="shared" si="75"/>
        <v>0</v>
      </c>
      <c r="DU9" s="4">
        <f t="shared" si="75"/>
        <v>0</v>
      </c>
      <c r="DV9" s="4">
        <f t="shared" si="75"/>
        <v>0</v>
      </c>
      <c r="DW9" s="4">
        <f t="shared" si="75"/>
        <v>0</v>
      </c>
      <c r="DX9" s="4">
        <f t="shared" si="75"/>
        <v>0</v>
      </c>
      <c r="DY9" s="4">
        <f t="shared" si="75"/>
        <v>0</v>
      </c>
      <c r="DZ9" s="4">
        <f t="shared" si="56"/>
        <v>0</v>
      </c>
      <c r="EA9" s="4">
        <f t="shared" si="56"/>
        <v>0</v>
      </c>
      <c r="EB9" s="4">
        <f>'CCaMC-ACAPEXpUC US'!D9/'CCaMC-BCCpUC US'!B9*'CCaMC-BCCpUC'!B9</f>
        <v>0</v>
      </c>
      <c r="EC9" s="4">
        <f t="shared" si="57"/>
        <v>0</v>
      </c>
      <c r="ED9" s="4">
        <f t="shared" si="57"/>
        <v>0</v>
      </c>
      <c r="EE9" s="4">
        <f t="shared" si="57"/>
        <v>0</v>
      </c>
      <c r="EF9" s="4">
        <f t="shared" si="57"/>
        <v>0</v>
      </c>
      <c r="EG9" s="4">
        <f t="shared" si="57"/>
        <v>0</v>
      </c>
      <c r="EH9" s="4">
        <f t="shared" si="57"/>
        <v>0</v>
      </c>
      <c r="EI9" s="4">
        <f t="shared" si="57"/>
        <v>0</v>
      </c>
      <c r="EJ9" s="4">
        <f t="shared" si="57"/>
        <v>0</v>
      </c>
      <c r="EK9" s="4">
        <f t="shared" si="57"/>
        <v>0</v>
      </c>
      <c r="EL9" s="4">
        <f t="shared" si="57"/>
        <v>0</v>
      </c>
      <c r="EM9" s="4">
        <f t="shared" ref="EM9:FE9" si="76">EL9</f>
        <v>0</v>
      </c>
      <c r="EN9" s="4">
        <f t="shared" si="76"/>
        <v>0</v>
      </c>
      <c r="EO9" s="4">
        <f t="shared" si="76"/>
        <v>0</v>
      </c>
      <c r="EP9" s="4">
        <f t="shared" si="76"/>
        <v>0</v>
      </c>
      <c r="EQ9" s="4">
        <f t="shared" si="76"/>
        <v>0</v>
      </c>
      <c r="ER9" s="4">
        <f t="shared" si="76"/>
        <v>0</v>
      </c>
      <c r="ES9" s="4">
        <f t="shared" si="76"/>
        <v>0</v>
      </c>
      <c r="ET9" s="4">
        <f t="shared" si="76"/>
        <v>0</v>
      </c>
      <c r="EU9" s="4">
        <f t="shared" si="76"/>
        <v>0</v>
      </c>
      <c r="EV9" s="4">
        <f t="shared" si="76"/>
        <v>0</v>
      </c>
      <c r="EW9" s="4">
        <f t="shared" si="76"/>
        <v>0</v>
      </c>
      <c r="EX9" s="4">
        <f t="shared" si="76"/>
        <v>0</v>
      </c>
      <c r="EY9" s="4">
        <f t="shared" si="76"/>
        <v>0</v>
      </c>
      <c r="EZ9" s="4">
        <f t="shared" si="76"/>
        <v>0</v>
      </c>
      <c r="FA9" s="4">
        <f t="shared" si="76"/>
        <v>0</v>
      </c>
      <c r="FB9" s="4">
        <f t="shared" si="76"/>
        <v>0</v>
      </c>
      <c r="FC9" s="4">
        <f t="shared" si="76"/>
        <v>0</v>
      </c>
      <c r="FD9" s="4">
        <f t="shared" si="76"/>
        <v>0</v>
      </c>
      <c r="FE9" s="4">
        <f t="shared" si="76"/>
        <v>0</v>
      </c>
      <c r="FF9" s="4">
        <f t="shared" si="4"/>
        <v>0</v>
      </c>
      <c r="FG9" s="4">
        <f t="shared" si="5"/>
        <v>0</v>
      </c>
      <c r="FH9" s="4">
        <f t="shared" si="6"/>
        <v>0</v>
      </c>
      <c r="FI9" s="4">
        <f t="shared" si="7"/>
        <v>0</v>
      </c>
      <c r="FJ9" s="4">
        <f t="shared" si="8"/>
        <v>0</v>
      </c>
      <c r="FK9" s="4">
        <f t="shared" si="9"/>
        <v>0</v>
      </c>
      <c r="FL9" s="4">
        <f t="shared" si="10"/>
        <v>0</v>
      </c>
      <c r="FM9" s="4">
        <f t="shared" si="11"/>
        <v>0</v>
      </c>
      <c r="FN9" s="4">
        <f t="shared" si="12"/>
        <v>0</v>
      </c>
      <c r="FO9" s="4">
        <f t="shared" si="13"/>
        <v>0</v>
      </c>
      <c r="FP9" s="4">
        <f t="shared" si="14"/>
        <v>0</v>
      </c>
      <c r="FQ9" s="4">
        <f t="shared" si="15"/>
        <v>0</v>
      </c>
      <c r="FR9" s="4">
        <f t="shared" si="16"/>
        <v>0</v>
      </c>
      <c r="FS9" s="4">
        <f t="shared" si="17"/>
        <v>0</v>
      </c>
      <c r="FT9" s="4">
        <f t="shared" si="18"/>
        <v>0</v>
      </c>
      <c r="FU9" s="4">
        <f t="shared" si="19"/>
        <v>0</v>
      </c>
      <c r="FV9" s="4">
        <f t="shared" si="20"/>
        <v>0</v>
      </c>
      <c r="FW9" s="4">
        <f t="shared" si="21"/>
        <v>0</v>
      </c>
      <c r="FX9" s="4">
        <f t="shared" si="22"/>
        <v>0</v>
      </c>
      <c r="FY9" s="4">
        <f t="shared" si="23"/>
        <v>0</v>
      </c>
      <c r="FZ9" s="4">
        <f t="shared" si="24"/>
        <v>0</v>
      </c>
      <c r="GA9" s="4">
        <f t="shared" si="25"/>
        <v>0</v>
      </c>
      <c r="GB9" s="4">
        <f t="shared" si="26"/>
        <v>0</v>
      </c>
      <c r="GC9" s="4">
        <f t="shared" si="27"/>
        <v>0</v>
      </c>
      <c r="GD9" s="4">
        <f t="shared" si="28"/>
        <v>0</v>
      </c>
      <c r="GE9" s="4">
        <f t="shared" si="29"/>
        <v>0</v>
      </c>
      <c r="GF9" s="4">
        <f t="shared" si="30"/>
        <v>0</v>
      </c>
      <c r="GG9" s="4">
        <f t="shared" si="31"/>
        <v>0</v>
      </c>
      <c r="GH9" s="4">
        <f t="shared" si="32"/>
        <v>0</v>
      </c>
      <c r="GI9" s="4">
        <f t="shared" si="33"/>
        <v>0</v>
      </c>
      <c r="GJ9" s="4">
        <f t="shared" si="34"/>
        <v>0</v>
      </c>
      <c r="GK9" s="4">
        <f t="shared" si="35"/>
        <v>0</v>
      </c>
      <c r="GL9" s="4">
        <f t="shared" si="36"/>
        <v>0</v>
      </c>
      <c r="GM9" s="4">
        <f t="shared" si="37"/>
        <v>0</v>
      </c>
      <c r="GN9" s="4">
        <f t="shared" si="38"/>
        <v>0</v>
      </c>
      <c r="GO9" s="4">
        <f t="shared" si="39"/>
        <v>0</v>
      </c>
      <c r="GP9" s="4">
        <f t="shared" si="40"/>
        <v>0</v>
      </c>
      <c r="GQ9" s="4">
        <f t="shared" si="41"/>
        <v>0</v>
      </c>
      <c r="GR9" s="4">
        <f t="shared" si="42"/>
        <v>0</v>
      </c>
      <c r="GS9" s="4">
        <f t="shared" si="43"/>
        <v>0</v>
      </c>
      <c r="GT9" s="4">
        <f t="shared" si="44"/>
        <v>0</v>
      </c>
      <c r="GU9" s="4">
        <f t="shared" si="45"/>
        <v>0</v>
      </c>
      <c r="GV9" s="4">
        <f t="shared" si="46"/>
        <v>0</v>
      </c>
      <c r="GW9" s="4">
        <f t="shared" si="47"/>
        <v>0</v>
      </c>
      <c r="GX9" s="4">
        <f t="shared" si="48"/>
        <v>0</v>
      </c>
      <c r="GY9" s="4">
        <f t="shared" si="49"/>
        <v>0</v>
      </c>
      <c r="GZ9" s="4">
        <f t="shared" si="50"/>
        <v>0</v>
      </c>
      <c r="HA9" s="4">
        <f t="shared" si="51"/>
        <v>0</v>
      </c>
      <c r="HB9" s="4">
        <f t="shared" si="52"/>
        <v>0</v>
      </c>
      <c r="HC9" s="4">
        <f t="shared" si="53"/>
        <v>0</v>
      </c>
    </row>
    <row r="10" spans="1:211">
      <c r="A10" t="s">
        <v>9</v>
      </c>
      <c r="B10" s="4">
        <f t="shared" ref="B10:BM10" si="77">C10</f>
        <v>6596.0311252590263</v>
      </c>
      <c r="C10" s="4">
        <f t="shared" si="77"/>
        <v>6596.0311252590263</v>
      </c>
      <c r="D10" s="4">
        <f t="shared" si="77"/>
        <v>6596.0311252590263</v>
      </c>
      <c r="E10" s="4">
        <f t="shared" si="77"/>
        <v>6596.0311252590263</v>
      </c>
      <c r="F10" s="4">
        <f t="shared" si="77"/>
        <v>6596.0311252590263</v>
      </c>
      <c r="G10" s="4">
        <f t="shared" si="77"/>
        <v>6596.0311252590263</v>
      </c>
      <c r="H10" s="4">
        <f t="shared" si="77"/>
        <v>6596.0311252590263</v>
      </c>
      <c r="I10" s="4">
        <f t="shared" si="77"/>
        <v>6596.0311252590263</v>
      </c>
      <c r="J10" s="4">
        <f t="shared" si="77"/>
        <v>6596.0311252590263</v>
      </c>
      <c r="K10" s="4">
        <f t="shared" si="77"/>
        <v>6596.0311252590263</v>
      </c>
      <c r="L10" s="4">
        <f t="shared" si="77"/>
        <v>6596.0311252590263</v>
      </c>
      <c r="M10" s="4">
        <f t="shared" si="77"/>
        <v>6596.0311252590263</v>
      </c>
      <c r="N10" s="4">
        <f t="shared" si="77"/>
        <v>6596.0311252590263</v>
      </c>
      <c r="O10" s="4">
        <f t="shared" si="77"/>
        <v>6596.0311252590263</v>
      </c>
      <c r="P10" s="4">
        <f t="shared" si="77"/>
        <v>6596.0311252590263</v>
      </c>
      <c r="Q10" s="4">
        <f t="shared" si="77"/>
        <v>6596.0311252590263</v>
      </c>
      <c r="R10" s="4">
        <f t="shared" si="77"/>
        <v>6596.0311252590263</v>
      </c>
      <c r="S10" s="4">
        <f t="shared" si="77"/>
        <v>6596.0311252590263</v>
      </c>
      <c r="T10" s="4">
        <f t="shared" si="77"/>
        <v>6596.0311252590263</v>
      </c>
      <c r="U10" s="4">
        <f t="shared" si="77"/>
        <v>6596.0311252590263</v>
      </c>
      <c r="V10" s="4">
        <f t="shared" si="77"/>
        <v>6596.0311252590263</v>
      </c>
      <c r="W10" s="4">
        <f t="shared" si="77"/>
        <v>6596.0311252590263</v>
      </c>
      <c r="X10" s="4">
        <f t="shared" si="77"/>
        <v>6596.0311252590263</v>
      </c>
      <c r="Y10" s="4">
        <f t="shared" si="77"/>
        <v>6596.0311252590263</v>
      </c>
      <c r="Z10" s="4">
        <f t="shared" si="77"/>
        <v>6596.0311252590263</v>
      </c>
      <c r="AA10" s="4">
        <f t="shared" si="77"/>
        <v>6596.0311252590263</v>
      </c>
      <c r="AB10" s="4">
        <f t="shared" si="77"/>
        <v>6596.0311252590263</v>
      </c>
      <c r="AC10" s="4">
        <f t="shared" si="77"/>
        <v>6596.0311252590263</v>
      </c>
      <c r="AD10" s="4">
        <f t="shared" si="77"/>
        <v>6596.0311252590263</v>
      </c>
      <c r="AE10" s="4">
        <f t="shared" si="77"/>
        <v>6596.0311252590263</v>
      </c>
      <c r="AF10" s="4">
        <f t="shared" si="77"/>
        <v>6596.0311252590263</v>
      </c>
      <c r="AG10" s="4">
        <f t="shared" si="77"/>
        <v>6596.0311252590263</v>
      </c>
      <c r="AH10" s="4">
        <f t="shared" si="77"/>
        <v>6596.0311252590263</v>
      </c>
      <c r="AI10" s="4">
        <f t="shared" si="77"/>
        <v>6596.0311252590263</v>
      </c>
      <c r="AJ10" s="4">
        <f t="shared" si="77"/>
        <v>6596.0311252590263</v>
      </c>
      <c r="AK10" s="4">
        <f t="shared" si="77"/>
        <v>6596.0311252590263</v>
      </c>
      <c r="AL10" s="4">
        <f t="shared" si="77"/>
        <v>6596.0311252590263</v>
      </c>
      <c r="AM10" s="4">
        <f t="shared" si="77"/>
        <v>6596.0311252590263</v>
      </c>
      <c r="AN10" s="4">
        <f t="shared" si="77"/>
        <v>6596.0311252590263</v>
      </c>
      <c r="AO10" s="4">
        <f t="shared" si="77"/>
        <v>6596.0311252590263</v>
      </c>
      <c r="AP10" s="4">
        <f t="shared" si="77"/>
        <v>6596.0311252590263</v>
      </c>
      <c r="AQ10" s="4">
        <f t="shared" si="77"/>
        <v>6596.0311252590263</v>
      </c>
      <c r="AR10" s="4">
        <f t="shared" si="77"/>
        <v>6596.0311252590263</v>
      </c>
      <c r="AS10" s="4">
        <f t="shared" si="77"/>
        <v>6596.0311252590263</v>
      </c>
      <c r="AT10" s="4">
        <f t="shared" si="77"/>
        <v>6596.0311252590263</v>
      </c>
      <c r="AU10" s="4">
        <f t="shared" si="77"/>
        <v>6596.0311252590263</v>
      </c>
      <c r="AV10" s="4">
        <f t="shared" si="77"/>
        <v>6596.0311252590263</v>
      </c>
      <c r="AW10" s="4">
        <f t="shared" si="77"/>
        <v>6596.0311252590263</v>
      </c>
      <c r="AX10" s="4">
        <f t="shared" si="77"/>
        <v>6596.0311252590263</v>
      </c>
      <c r="AY10" s="4">
        <f t="shared" si="77"/>
        <v>6596.0311252590263</v>
      </c>
      <c r="AZ10" s="4">
        <f t="shared" si="77"/>
        <v>6596.0311252590263</v>
      </c>
      <c r="BA10" s="4">
        <f t="shared" si="77"/>
        <v>6596.0311252590263</v>
      </c>
      <c r="BB10" s="4">
        <f t="shared" si="77"/>
        <v>6596.0311252590263</v>
      </c>
      <c r="BC10" s="4">
        <f t="shared" si="77"/>
        <v>6596.0311252590263</v>
      </c>
      <c r="BD10" s="4">
        <f t="shared" si="77"/>
        <v>6596.0311252590263</v>
      </c>
      <c r="BE10" s="4">
        <f t="shared" si="77"/>
        <v>6596.0311252590263</v>
      </c>
      <c r="BF10" s="4">
        <f t="shared" si="77"/>
        <v>6596.0311252590263</v>
      </c>
      <c r="BG10" s="4">
        <f t="shared" si="77"/>
        <v>6596.0311252590263</v>
      </c>
      <c r="BH10" s="4">
        <f t="shared" si="77"/>
        <v>6596.0311252590263</v>
      </c>
      <c r="BI10" s="4">
        <f t="shared" si="77"/>
        <v>6596.0311252590263</v>
      </c>
      <c r="BJ10" s="4">
        <f t="shared" si="77"/>
        <v>6596.0311252590263</v>
      </c>
      <c r="BK10" s="4">
        <f t="shared" si="77"/>
        <v>6596.0311252590263</v>
      </c>
      <c r="BL10" s="4">
        <f t="shared" si="77"/>
        <v>6596.0311252590263</v>
      </c>
      <c r="BM10" s="4">
        <f t="shared" si="77"/>
        <v>6596.0311252590263</v>
      </c>
      <c r="BN10" s="4">
        <f t="shared" ref="BN10:DY10" si="78">BO10</f>
        <v>6596.0311252590263</v>
      </c>
      <c r="BO10" s="4">
        <f t="shared" si="78"/>
        <v>6596.0311252590263</v>
      </c>
      <c r="BP10" s="4">
        <f t="shared" si="78"/>
        <v>6596.0311252590263</v>
      </c>
      <c r="BQ10" s="4">
        <f t="shared" si="78"/>
        <v>6596.0311252590263</v>
      </c>
      <c r="BR10" s="4">
        <f t="shared" si="78"/>
        <v>6596.0311252590263</v>
      </c>
      <c r="BS10" s="4">
        <f t="shared" si="78"/>
        <v>6596.0311252590263</v>
      </c>
      <c r="BT10" s="4">
        <f t="shared" si="78"/>
        <v>6596.0311252590263</v>
      </c>
      <c r="BU10" s="4">
        <f t="shared" si="78"/>
        <v>6596.0311252590263</v>
      </c>
      <c r="BV10" s="4">
        <f t="shared" si="78"/>
        <v>6596.0311252590263</v>
      </c>
      <c r="BW10" s="4">
        <f t="shared" si="78"/>
        <v>6596.0311252590263</v>
      </c>
      <c r="BX10" s="4">
        <f t="shared" si="78"/>
        <v>6596.0311252590263</v>
      </c>
      <c r="BY10" s="4">
        <f t="shared" si="78"/>
        <v>6596.0311252590263</v>
      </c>
      <c r="BZ10" s="4">
        <f t="shared" si="78"/>
        <v>6596.0311252590263</v>
      </c>
      <c r="CA10" s="4">
        <f t="shared" si="78"/>
        <v>6596.0311252590263</v>
      </c>
      <c r="CB10" s="4">
        <f t="shared" si="78"/>
        <v>6596.0311252590263</v>
      </c>
      <c r="CC10" s="4">
        <f t="shared" si="78"/>
        <v>6596.0311252590263</v>
      </c>
      <c r="CD10" s="4">
        <f t="shared" si="78"/>
        <v>6596.0311252590263</v>
      </c>
      <c r="CE10" s="4">
        <f t="shared" si="78"/>
        <v>6596.0311252590263</v>
      </c>
      <c r="CF10" s="4">
        <f t="shared" si="78"/>
        <v>6596.0311252590263</v>
      </c>
      <c r="CG10" s="4">
        <f t="shared" si="78"/>
        <v>6596.0311252590263</v>
      </c>
      <c r="CH10" s="4">
        <f t="shared" si="78"/>
        <v>6596.0311252590263</v>
      </c>
      <c r="CI10" s="4">
        <f t="shared" si="78"/>
        <v>6596.0311252590263</v>
      </c>
      <c r="CJ10" s="4">
        <f t="shared" si="78"/>
        <v>6596.0311252590263</v>
      </c>
      <c r="CK10" s="4">
        <f t="shared" si="78"/>
        <v>6596.0311252590263</v>
      </c>
      <c r="CL10" s="4">
        <f t="shared" si="78"/>
        <v>6596.0311252590263</v>
      </c>
      <c r="CM10" s="4">
        <f t="shared" si="78"/>
        <v>6596.0311252590263</v>
      </c>
      <c r="CN10" s="4">
        <f t="shared" si="78"/>
        <v>6596.0311252590263</v>
      </c>
      <c r="CO10" s="4">
        <f t="shared" si="78"/>
        <v>6596.0311252590263</v>
      </c>
      <c r="CP10" s="4">
        <f t="shared" si="78"/>
        <v>6596.0311252590263</v>
      </c>
      <c r="CQ10" s="4">
        <f t="shared" si="78"/>
        <v>6596.0311252590263</v>
      </c>
      <c r="CR10" s="4">
        <f t="shared" si="78"/>
        <v>6596.0311252590263</v>
      </c>
      <c r="CS10" s="4">
        <f t="shared" si="78"/>
        <v>6596.0311252590263</v>
      </c>
      <c r="CT10" s="4">
        <f t="shared" si="78"/>
        <v>6596.0311252590263</v>
      </c>
      <c r="CU10" s="4">
        <f t="shared" si="78"/>
        <v>6596.0311252590263</v>
      </c>
      <c r="CV10" s="4">
        <f t="shared" si="78"/>
        <v>6596.0311252590263</v>
      </c>
      <c r="CW10" s="4">
        <f t="shared" si="78"/>
        <v>6596.0311252590263</v>
      </c>
      <c r="CX10" s="4">
        <f t="shared" si="78"/>
        <v>6596.0311252590263</v>
      </c>
      <c r="CY10" s="4">
        <f t="shared" si="78"/>
        <v>6596.0311252590263</v>
      </c>
      <c r="CZ10" s="4">
        <f t="shared" si="78"/>
        <v>6596.0311252590263</v>
      </c>
      <c r="DA10" s="4">
        <f t="shared" si="78"/>
        <v>6596.0311252590263</v>
      </c>
      <c r="DB10" s="4">
        <f t="shared" si="78"/>
        <v>6596.0311252590263</v>
      </c>
      <c r="DC10" s="4">
        <f t="shared" si="78"/>
        <v>6596.0311252590263</v>
      </c>
      <c r="DD10" s="4">
        <f t="shared" si="78"/>
        <v>6596.0311252590263</v>
      </c>
      <c r="DE10" s="4">
        <f t="shared" si="78"/>
        <v>6596.0311252590263</v>
      </c>
      <c r="DF10" s="4">
        <f t="shared" si="78"/>
        <v>6596.0311252590263</v>
      </c>
      <c r="DG10" s="4">
        <f t="shared" si="78"/>
        <v>6596.0311252590263</v>
      </c>
      <c r="DH10" s="4">
        <f t="shared" si="78"/>
        <v>6596.0311252590263</v>
      </c>
      <c r="DI10" s="4">
        <f t="shared" si="78"/>
        <v>6596.0311252590263</v>
      </c>
      <c r="DJ10" s="4">
        <f t="shared" si="78"/>
        <v>6596.0311252590263</v>
      </c>
      <c r="DK10" s="4">
        <f t="shared" si="78"/>
        <v>6596.0311252590263</v>
      </c>
      <c r="DL10" s="4">
        <f t="shared" si="78"/>
        <v>6596.0311252590263</v>
      </c>
      <c r="DM10" s="4">
        <f t="shared" si="78"/>
        <v>6596.0311252590263</v>
      </c>
      <c r="DN10" s="4">
        <f t="shared" si="78"/>
        <v>6596.0311252590263</v>
      </c>
      <c r="DO10" s="4">
        <f t="shared" si="78"/>
        <v>6596.0311252590263</v>
      </c>
      <c r="DP10" s="4">
        <f t="shared" si="78"/>
        <v>6596.0311252590263</v>
      </c>
      <c r="DQ10" s="4">
        <f t="shared" si="78"/>
        <v>6596.0311252590263</v>
      </c>
      <c r="DR10" s="4">
        <f t="shared" si="78"/>
        <v>6596.0311252590263</v>
      </c>
      <c r="DS10" s="4">
        <f t="shared" si="78"/>
        <v>6596.0311252590263</v>
      </c>
      <c r="DT10" s="4">
        <f t="shared" si="78"/>
        <v>6596.0311252590263</v>
      </c>
      <c r="DU10" s="4">
        <f t="shared" si="78"/>
        <v>6596.0311252590263</v>
      </c>
      <c r="DV10" s="4">
        <f t="shared" si="78"/>
        <v>6596.0311252590263</v>
      </c>
      <c r="DW10" s="4">
        <f t="shared" si="78"/>
        <v>6596.0311252590263</v>
      </c>
      <c r="DX10" s="4">
        <f t="shared" si="78"/>
        <v>6596.0311252590263</v>
      </c>
      <c r="DY10" s="4">
        <f t="shared" si="78"/>
        <v>6596.0311252590263</v>
      </c>
      <c r="DZ10" s="4">
        <f t="shared" si="56"/>
        <v>6596.0311252590263</v>
      </c>
      <c r="EA10" s="4">
        <f t="shared" si="56"/>
        <v>6596.0311252590263</v>
      </c>
      <c r="EB10" s="4">
        <f>'CCaMC-ACAPEXpUC US'!D10/'CCaMC-BCCpUC US'!B10*'CCaMC-BCCpUC'!B10</f>
        <v>6596.0311252590263</v>
      </c>
      <c r="EC10" s="4">
        <f t="shared" si="57"/>
        <v>6596.0311252590263</v>
      </c>
      <c r="ED10" s="4">
        <f t="shared" si="57"/>
        <v>6596.0311252590263</v>
      </c>
      <c r="EE10" s="4">
        <f t="shared" si="57"/>
        <v>6596.0311252590263</v>
      </c>
      <c r="EF10" s="4">
        <f t="shared" si="57"/>
        <v>6596.0311252590263</v>
      </c>
      <c r="EG10" s="4">
        <f t="shared" si="57"/>
        <v>6596.0311252590263</v>
      </c>
      <c r="EH10" s="4">
        <f t="shared" si="57"/>
        <v>6596.0311252590263</v>
      </c>
      <c r="EI10" s="4">
        <f t="shared" si="57"/>
        <v>6596.0311252590263</v>
      </c>
      <c r="EJ10" s="4">
        <f t="shared" si="57"/>
        <v>6596.0311252590263</v>
      </c>
      <c r="EK10" s="4">
        <f t="shared" si="57"/>
        <v>6596.0311252590263</v>
      </c>
      <c r="EL10" s="4">
        <f t="shared" si="57"/>
        <v>6596.0311252590263</v>
      </c>
      <c r="EM10" s="4">
        <f t="shared" ref="EM10:FE10" si="79">EL10</f>
        <v>6596.0311252590263</v>
      </c>
      <c r="EN10" s="4">
        <f t="shared" si="79"/>
        <v>6596.0311252590263</v>
      </c>
      <c r="EO10" s="4">
        <f t="shared" si="79"/>
        <v>6596.0311252590263</v>
      </c>
      <c r="EP10" s="4">
        <f t="shared" si="79"/>
        <v>6596.0311252590263</v>
      </c>
      <c r="EQ10" s="4">
        <f t="shared" si="79"/>
        <v>6596.0311252590263</v>
      </c>
      <c r="ER10" s="4">
        <f t="shared" si="79"/>
        <v>6596.0311252590263</v>
      </c>
      <c r="ES10" s="4">
        <f t="shared" si="79"/>
        <v>6596.0311252590263</v>
      </c>
      <c r="ET10" s="4">
        <f t="shared" si="79"/>
        <v>6596.0311252590263</v>
      </c>
      <c r="EU10" s="4">
        <f t="shared" si="79"/>
        <v>6596.0311252590263</v>
      </c>
      <c r="EV10" s="4">
        <f t="shared" si="79"/>
        <v>6596.0311252590263</v>
      </c>
      <c r="EW10" s="4">
        <f t="shared" si="79"/>
        <v>6596.0311252590263</v>
      </c>
      <c r="EX10" s="4">
        <f t="shared" si="79"/>
        <v>6596.0311252590263</v>
      </c>
      <c r="EY10" s="4">
        <f t="shared" si="79"/>
        <v>6596.0311252590263</v>
      </c>
      <c r="EZ10" s="4">
        <f t="shared" si="79"/>
        <v>6596.0311252590263</v>
      </c>
      <c r="FA10" s="4">
        <f t="shared" si="79"/>
        <v>6596.0311252590263</v>
      </c>
      <c r="FB10" s="4">
        <f t="shared" si="79"/>
        <v>6596.0311252590263</v>
      </c>
      <c r="FC10" s="4">
        <f t="shared" si="79"/>
        <v>6596.0311252590263</v>
      </c>
      <c r="FD10" s="4">
        <f t="shared" si="79"/>
        <v>6596.0311252590263</v>
      </c>
      <c r="FE10" s="4">
        <f t="shared" si="79"/>
        <v>6596.0311252590263</v>
      </c>
      <c r="FF10" s="4">
        <f t="shared" si="4"/>
        <v>6596.0311252590263</v>
      </c>
      <c r="FG10" s="4">
        <f t="shared" si="5"/>
        <v>6596.0311252590263</v>
      </c>
      <c r="FH10" s="4">
        <f t="shared" si="6"/>
        <v>6596.0311252590263</v>
      </c>
      <c r="FI10" s="4">
        <f t="shared" si="7"/>
        <v>6596.0311252590263</v>
      </c>
      <c r="FJ10" s="4">
        <f t="shared" si="8"/>
        <v>6596.0311252590263</v>
      </c>
      <c r="FK10" s="4">
        <f t="shared" si="9"/>
        <v>6596.0311252590263</v>
      </c>
      <c r="FL10" s="4">
        <f t="shared" si="10"/>
        <v>6596.0311252590263</v>
      </c>
      <c r="FM10" s="4">
        <f t="shared" si="11"/>
        <v>6596.0311252590263</v>
      </c>
      <c r="FN10" s="4">
        <f t="shared" si="12"/>
        <v>6596.0311252590263</v>
      </c>
      <c r="FO10" s="4">
        <f t="shared" si="13"/>
        <v>6596.0311252590263</v>
      </c>
      <c r="FP10" s="4">
        <f t="shared" si="14"/>
        <v>6596.0311252590263</v>
      </c>
      <c r="FQ10" s="4">
        <f t="shared" si="15"/>
        <v>6596.0311252590263</v>
      </c>
      <c r="FR10" s="4">
        <f t="shared" si="16"/>
        <v>6596.0311252590263</v>
      </c>
      <c r="FS10" s="4">
        <f t="shared" si="17"/>
        <v>6596.0311252590263</v>
      </c>
      <c r="FT10" s="4">
        <f t="shared" si="18"/>
        <v>6596.0311252590263</v>
      </c>
      <c r="FU10" s="4">
        <f t="shared" si="19"/>
        <v>6596.0311252590263</v>
      </c>
      <c r="FV10" s="4">
        <f t="shared" si="20"/>
        <v>6596.0311252590263</v>
      </c>
      <c r="FW10" s="4">
        <f t="shared" si="21"/>
        <v>6596.0311252590263</v>
      </c>
      <c r="FX10" s="4">
        <f t="shared" si="22"/>
        <v>6596.0311252590263</v>
      </c>
      <c r="FY10" s="4">
        <f t="shared" si="23"/>
        <v>6596.0311252590263</v>
      </c>
      <c r="FZ10" s="4">
        <f t="shared" si="24"/>
        <v>6596.0311252590263</v>
      </c>
      <c r="GA10" s="4">
        <f t="shared" si="25"/>
        <v>6596.0311252590263</v>
      </c>
      <c r="GB10" s="4">
        <f t="shared" si="26"/>
        <v>6596.0311252590263</v>
      </c>
      <c r="GC10" s="4">
        <f t="shared" si="27"/>
        <v>6596.0311252590263</v>
      </c>
      <c r="GD10" s="4">
        <f t="shared" si="28"/>
        <v>6596.0311252590263</v>
      </c>
      <c r="GE10" s="4">
        <f t="shared" si="29"/>
        <v>6596.0311252590263</v>
      </c>
      <c r="GF10" s="4">
        <f t="shared" si="30"/>
        <v>6596.0311252590263</v>
      </c>
      <c r="GG10" s="4">
        <f t="shared" si="31"/>
        <v>6596.0311252590263</v>
      </c>
      <c r="GH10" s="4">
        <f t="shared" si="32"/>
        <v>6596.0311252590263</v>
      </c>
      <c r="GI10" s="4">
        <f t="shared" si="33"/>
        <v>6596.0311252590263</v>
      </c>
      <c r="GJ10" s="4">
        <f t="shared" si="34"/>
        <v>6596.0311252590263</v>
      </c>
      <c r="GK10" s="4">
        <f t="shared" si="35"/>
        <v>6596.0311252590263</v>
      </c>
      <c r="GL10" s="4">
        <f t="shared" si="36"/>
        <v>6596.0311252590263</v>
      </c>
      <c r="GM10" s="4">
        <f t="shared" si="37"/>
        <v>6596.0311252590263</v>
      </c>
      <c r="GN10" s="4">
        <f t="shared" si="38"/>
        <v>6596.0311252590263</v>
      </c>
      <c r="GO10" s="4">
        <f t="shared" si="39"/>
        <v>6596.0311252590263</v>
      </c>
      <c r="GP10" s="4">
        <f t="shared" si="40"/>
        <v>6596.0311252590263</v>
      </c>
      <c r="GQ10" s="4">
        <f t="shared" si="41"/>
        <v>6596.0311252590263</v>
      </c>
      <c r="GR10" s="4">
        <f t="shared" si="42"/>
        <v>6596.0311252590263</v>
      </c>
      <c r="GS10" s="4">
        <f t="shared" si="43"/>
        <v>6596.0311252590263</v>
      </c>
      <c r="GT10" s="4">
        <f t="shared" si="44"/>
        <v>6596.0311252590263</v>
      </c>
      <c r="GU10" s="4">
        <f t="shared" si="45"/>
        <v>6596.0311252590263</v>
      </c>
      <c r="GV10" s="4">
        <f t="shared" si="46"/>
        <v>6596.0311252590263</v>
      </c>
      <c r="GW10" s="4">
        <f t="shared" si="47"/>
        <v>6596.0311252590263</v>
      </c>
      <c r="GX10" s="4">
        <f t="shared" si="48"/>
        <v>6596.0311252590263</v>
      </c>
      <c r="GY10" s="4">
        <f t="shared" si="49"/>
        <v>6596.0311252590263</v>
      </c>
      <c r="GZ10" s="4">
        <f t="shared" si="50"/>
        <v>6596.0311252590263</v>
      </c>
      <c r="HA10" s="4">
        <f t="shared" si="51"/>
        <v>6596.0311252590263</v>
      </c>
      <c r="HB10" s="4">
        <f t="shared" si="52"/>
        <v>6596.0311252590263</v>
      </c>
      <c r="HC10" s="4">
        <f t="shared" si="53"/>
        <v>6596.0311252590263</v>
      </c>
    </row>
    <row r="11" spans="1:211">
      <c r="A11" t="s">
        <v>12</v>
      </c>
      <c r="B11" s="4">
        <f t="shared" ref="B11:BM11" si="80">C11</f>
        <v>0</v>
      </c>
      <c r="C11" s="4">
        <f t="shared" si="80"/>
        <v>0</v>
      </c>
      <c r="D11" s="4">
        <f t="shared" si="80"/>
        <v>0</v>
      </c>
      <c r="E11" s="4">
        <f t="shared" si="80"/>
        <v>0</v>
      </c>
      <c r="F11" s="4">
        <f t="shared" si="80"/>
        <v>0</v>
      </c>
      <c r="G11" s="4">
        <f t="shared" si="80"/>
        <v>0</v>
      </c>
      <c r="H11" s="4">
        <f t="shared" si="80"/>
        <v>0</v>
      </c>
      <c r="I11" s="4">
        <f t="shared" si="80"/>
        <v>0</v>
      </c>
      <c r="J11" s="4">
        <f t="shared" si="80"/>
        <v>0</v>
      </c>
      <c r="K11" s="4">
        <f t="shared" si="80"/>
        <v>0</v>
      </c>
      <c r="L11" s="4">
        <f t="shared" si="80"/>
        <v>0</v>
      </c>
      <c r="M11" s="4">
        <f t="shared" si="80"/>
        <v>0</v>
      </c>
      <c r="N11" s="4">
        <f t="shared" si="80"/>
        <v>0</v>
      </c>
      <c r="O11" s="4">
        <f t="shared" si="80"/>
        <v>0</v>
      </c>
      <c r="P11" s="4">
        <f t="shared" si="80"/>
        <v>0</v>
      </c>
      <c r="Q11" s="4">
        <f t="shared" si="80"/>
        <v>0</v>
      </c>
      <c r="R11" s="4">
        <f t="shared" si="80"/>
        <v>0</v>
      </c>
      <c r="S11" s="4">
        <f t="shared" si="80"/>
        <v>0</v>
      </c>
      <c r="T11" s="4">
        <f t="shared" si="80"/>
        <v>0</v>
      </c>
      <c r="U11" s="4">
        <f t="shared" si="80"/>
        <v>0</v>
      </c>
      <c r="V11" s="4">
        <f t="shared" si="80"/>
        <v>0</v>
      </c>
      <c r="W11" s="4">
        <f t="shared" si="80"/>
        <v>0</v>
      </c>
      <c r="X11" s="4">
        <f t="shared" si="80"/>
        <v>0</v>
      </c>
      <c r="Y11" s="4">
        <f t="shared" si="80"/>
        <v>0</v>
      </c>
      <c r="Z11" s="4">
        <f t="shared" si="80"/>
        <v>0</v>
      </c>
      <c r="AA11" s="4">
        <f t="shared" si="80"/>
        <v>0</v>
      </c>
      <c r="AB11" s="4">
        <f t="shared" si="80"/>
        <v>0</v>
      </c>
      <c r="AC11" s="4">
        <f t="shared" si="80"/>
        <v>0</v>
      </c>
      <c r="AD11" s="4">
        <f t="shared" si="80"/>
        <v>0</v>
      </c>
      <c r="AE11" s="4">
        <f t="shared" si="80"/>
        <v>0</v>
      </c>
      <c r="AF11" s="4">
        <f t="shared" si="80"/>
        <v>0</v>
      </c>
      <c r="AG11" s="4">
        <f t="shared" si="80"/>
        <v>0</v>
      </c>
      <c r="AH11" s="4">
        <f t="shared" si="80"/>
        <v>0</v>
      </c>
      <c r="AI11" s="4">
        <f t="shared" si="80"/>
        <v>0</v>
      </c>
      <c r="AJ11" s="4">
        <f t="shared" si="80"/>
        <v>0</v>
      </c>
      <c r="AK11" s="4">
        <f t="shared" si="80"/>
        <v>0</v>
      </c>
      <c r="AL11" s="4">
        <f t="shared" si="80"/>
        <v>0</v>
      </c>
      <c r="AM11" s="4">
        <f t="shared" si="80"/>
        <v>0</v>
      </c>
      <c r="AN11" s="4">
        <f t="shared" si="80"/>
        <v>0</v>
      </c>
      <c r="AO11" s="4">
        <f t="shared" si="80"/>
        <v>0</v>
      </c>
      <c r="AP11" s="4">
        <f t="shared" si="80"/>
        <v>0</v>
      </c>
      <c r="AQ11" s="4">
        <f t="shared" si="80"/>
        <v>0</v>
      </c>
      <c r="AR11" s="4">
        <f t="shared" si="80"/>
        <v>0</v>
      </c>
      <c r="AS11" s="4">
        <f t="shared" si="80"/>
        <v>0</v>
      </c>
      <c r="AT11" s="4">
        <f t="shared" si="80"/>
        <v>0</v>
      </c>
      <c r="AU11" s="4">
        <f t="shared" si="80"/>
        <v>0</v>
      </c>
      <c r="AV11" s="4">
        <f t="shared" si="80"/>
        <v>0</v>
      </c>
      <c r="AW11" s="4">
        <f t="shared" si="80"/>
        <v>0</v>
      </c>
      <c r="AX11" s="4">
        <f t="shared" si="80"/>
        <v>0</v>
      </c>
      <c r="AY11" s="4">
        <f t="shared" si="80"/>
        <v>0</v>
      </c>
      <c r="AZ11" s="4">
        <f t="shared" si="80"/>
        <v>0</v>
      </c>
      <c r="BA11" s="4">
        <f t="shared" si="80"/>
        <v>0</v>
      </c>
      <c r="BB11" s="4">
        <f t="shared" si="80"/>
        <v>0</v>
      </c>
      <c r="BC11" s="4">
        <f t="shared" si="80"/>
        <v>0</v>
      </c>
      <c r="BD11" s="4">
        <f t="shared" si="80"/>
        <v>0</v>
      </c>
      <c r="BE11" s="4">
        <f t="shared" si="80"/>
        <v>0</v>
      </c>
      <c r="BF11" s="4">
        <f t="shared" si="80"/>
        <v>0</v>
      </c>
      <c r="BG11" s="4">
        <f t="shared" si="80"/>
        <v>0</v>
      </c>
      <c r="BH11" s="4">
        <f t="shared" si="80"/>
        <v>0</v>
      </c>
      <c r="BI11" s="4">
        <f t="shared" si="80"/>
        <v>0</v>
      </c>
      <c r="BJ11" s="4">
        <f t="shared" si="80"/>
        <v>0</v>
      </c>
      <c r="BK11" s="4">
        <f t="shared" si="80"/>
        <v>0</v>
      </c>
      <c r="BL11" s="4">
        <f t="shared" si="80"/>
        <v>0</v>
      </c>
      <c r="BM11" s="4">
        <f t="shared" si="80"/>
        <v>0</v>
      </c>
      <c r="BN11" s="4">
        <f t="shared" ref="BN11:DY11" si="81">BO11</f>
        <v>0</v>
      </c>
      <c r="BO11" s="4">
        <f t="shared" si="81"/>
        <v>0</v>
      </c>
      <c r="BP11" s="4">
        <f t="shared" si="81"/>
        <v>0</v>
      </c>
      <c r="BQ11" s="4">
        <f t="shared" si="81"/>
        <v>0</v>
      </c>
      <c r="BR11" s="4">
        <f t="shared" si="81"/>
        <v>0</v>
      </c>
      <c r="BS11" s="4">
        <f t="shared" si="81"/>
        <v>0</v>
      </c>
      <c r="BT11" s="4">
        <f t="shared" si="81"/>
        <v>0</v>
      </c>
      <c r="BU11" s="4">
        <f t="shared" si="81"/>
        <v>0</v>
      </c>
      <c r="BV11" s="4">
        <f t="shared" si="81"/>
        <v>0</v>
      </c>
      <c r="BW11" s="4">
        <f t="shared" si="81"/>
        <v>0</v>
      </c>
      <c r="BX11" s="4">
        <f t="shared" si="81"/>
        <v>0</v>
      </c>
      <c r="BY11" s="4">
        <f t="shared" si="81"/>
        <v>0</v>
      </c>
      <c r="BZ11" s="4">
        <f t="shared" si="81"/>
        <v>0</v>
      </c>
      <c r="CA11" s="4">
        <f t="shared" si="81"/>
        <v>0</v>
      </c>
      <c r="CB11" s="4">
        <f t="shared" si="81"/>
        <v>0</v>
      </c>
      <c r="CC11" s="4">
        <f t="shared" si="81"/>
        <v>0</v>
      </c>
      <c r="CD11" s="4">
        <f t="shared" si="81"/>
        <v>0</v>
      </c>
      <c r="CE11" s="4">
        <f t="shared" si="81"/>
        <v>0</v>
      </c>
      <c r="CF11" s="4">
        <f t="shared" si="81"/>
        <v>0</v>
      </c>
      <c r="CG11" s="4">
        <f t="shared" si="81"/>
        <v>0</v>
      </c>
      <c r="CH11" s="4">
        <f t="shared" si="81"/>
        <v>0</v>
      </c>
      <c r="CI11" s="4">
        <f t="shared" si="81"/>
        <v>0</v>
      </c>
      <c r="CJ11" s="4">
        <f t="shared" si="81"/>
        <v>0</v>
      </c>
      <c r="CK11" s="4">
        <f t="shared" si="81"/>
        <v>0</v>
      </c>
      <c r="CL11" s="4">
        <f t="shared" si="81"/>
        <v>0</v>
      </c>
      <c r="CM11" s="4">
        <f t="shared" si="81"/>
        <v>0</v>
      </c>
      <c r="CN11" s="4">
        <f t="shared" si="81"/>
        <v>0</v>
      </c>
      <c r="CO11" s="4">
        <f t="shared" si="81"/>
        <v>0</v>
      </c>
      <c r="CP11" s="4">
        <f t="shared" si="81"/>
        <v>0</v>
      </c>
      <c r="CQ11" s="4">
        <f t="shared" si="81"/>
        <v>0</v>
      </c>
      <c r="CR11" s="4">
        <f t="shared" si="81"/>
        <v>0</v>
      </c>
      <c r="CS11" s="4">
        <f t="shared" si="81"/>
        <v>0</v>
      </c>
      <c r="CT11" s="4">
        <f t="shared" si="81"/>
        <v>0</v>
      </c>
      <c r="CU11" s="4">
        <f t="shared" si="81"/>
        <v>0</v>
      </c>
      <c r="CV11" s="4">
        <f t="shared" si="81"/>
        <v>0</v>
      </c>
      <c r="CW11" s="4">
        <f t="shared" si="81"/>
        <v>0</v>
      </c>
      <c r="CX11" s="4">
        <f t="shared" si="81"/>
        <v>0</v>
      </c>
      <c r="CY11" s="4">
        <f t="shared" si="81"/>
        <v>0</v>
      </c>
      <c r="CZ11" s="4">
        <f t="shared" si="81"/>
        <v>0</v>
      </c>
      <c r="DA11" s="4">
        <f t="shared" si="81"/>
        <v>0</v>
      </c>
      <c r="DB11" s="4">
        <f t="shared" si="81"/>
        <v>0</v>
      </c>
      <c r="DC11" s="4">
        <f t="shared" si="81"/>
        <v>0</v>
      </c>
      <c r="DD11" s="4">
        <f t="shared" si="81"/>
        <v>0</v>
      </c>
      <c r="DE11" s="4">
        <f t="shared" si="81"/>
        <v>0</v>
      </c>
      <c r="DF11" s="4">
        <f t="shared" si="81"/>
        <v>0</v>
      </c>
      <c r="DG11" s="4">
        <f t="shared" si="81"/>
        <v>0</v>
      </c>
      <c r="DH11" s="4">
        <f t="shared" si="81"/>
        <v>0</v>
      </c>
      <c r="DI11" s="4">
        <f t="shared" si="81"/>
        <v>0</v>
      </c>
      <c r="DJ11" s="4">
        <f t="shared" si="81"/>
        <v>0</v>
      </c>
      <c r="DK11" s="4">
        <f t="shared" si="81"/>
        <v>0</v>
      </c>
      <c r="DL11" s="4">
        <f t="shared" si="81"/>
        <v>0</v>
      </c>
      <c r="DM11" s="4">
        <f t="shared" si="81"/>
        <v>0</v>
      </c>
      <c r="DN11" s="4">
        <f t="shared" si="81"/>
        <v>0</v>
      </c>
      <c r="DO11" s="4">
        <f t="shared" si="81"/>
        <v>0</v>
      </c>
      <c r="DP11" s="4">
        <f t="shared" si="81"/>
        <v>0</v>
      </c>
      <c r="DQ11" s="4">
        <f t="shared" si="81"/>
        <v>0</v>
      </c>
      <c r="DR11" s="4">
        <f t="shared" si="81"/>
        <v>0</v>
      </c>
      <c r="DS11" s="4">
        <f t="shared" si="81"/>
        <v>0</v>
      </c>
      <c r="DT11" s="4">
        <f t="shared" si="81"/>
        <v>0</v>
      </c>
      <c r="DU11" s="4">
        <f t="shared" si="81"/>
        <v>0</v>
      </c>
      <c r="DV11" s="4">
        <f t="shared" si="81"/>
        <v>0</v>
      </c>
      <c r="DW11" s="4">
        <f t="shared" si="81"/>
        <v>0</v>
      </c>
      <c r="DX11" s="4">
        <f t="shared" si="81"/>
        <v>0</v>
      </c>
      <c r="DY11" s="4">
        <f t="shared" si="81"/>
        <v>0</v>
      </c>
      <c r="DZ11" s="4">
        <f t="shared" si="56"/>
        <v>0</v>
      </c>
      <c r="EA11" s="4">
        <f t="shared" si="56"/>
        <v>0</v>
      </c>
      <c r="EB11" s="4">
        <f>'CCaMC-ACAPEXpUC US'!D11/'CCaMC-BCCpUC US'!B11*'CCaMC-BCCpUC'!B11</f>
        <v>0</v>
      </c>
      <c r="EC11" s="4">
        <f t="shared" si="57"/>
        <v>0</v>
      </c>
      <c r="ED11" s="4">
        <f t="shared" si="57"/>
        <v>0</v>
      </c>
      <c r="EE11" s="4">
        <f t="shared" si="57"/>
        <v>0</v>
      </c>
      <c r="EF11" s="4">
        <f t="shared" si="57"/>
        <v>0</v>
      </c>
      <c r="EG11" s="4">
        <f t="shared" si="57"/>
        <v>0</v>
      </c>
      <c r="EH11" s="4">
        <f t="shared" si="57"/>
        <v>0</v>
      </c>
      <c r="EI11" s="4">
        <f t="shared" si="57"/>
        <v>0</v>
      </c>
      <c r="EJ11" s="4">
        <f t="shared" si="57"/>
        <v>0</v>
      </c>
      <c r="EK11" s="4">
        <f t="shared" si="57"/>
        <v>0</v>
      </c>
      <c r="EL11" s="4">
        <f t="shared" si="57"/>
        <v>0</v>
      </c>
      <c r="EM11" s="4">
        <f t="shared" ref="EM11:FE11" si="82">EL11</f>
        <v>0</v>
      </c>
      <c r="EN11" s="4">
        <f t="shared" si="82"/>
        <v>0</v>
      </c>
      <c r="EO11" s="4">
        <f t="shared" si="82"/>
        <v>0</v>
      </c>
      <c r="EP11" s="4">
        <f t="shared" si="82"/>
        <v>0</v>
      </c>
      <c r="EQ11" s="4">
        <f t="shared" si="82"/>
        <v>0</v>
      </c>
      <c r="ER11" s="4">
        <f t="shared" si="82"/>
        <v>0</v>
      </c>
      <c r="ES11" s="4">
        <f t="shared" si="82"/>
        <v>0</v>
      </c>
      <c r="ET11" s="4">
        <f t="shared" si="82"/>
        <v>0</v>
      </c>
      <c r="EU11" s="4">
        <f t="shared" si="82"/>
        <v>0</v>
      </c>
      <c r="EV11" s="4">
        <f t="shared" si="82"/>
        <v>0</v>
      </c>
      <c r="EW11" s="4">
        <f t="shared" si="82"/>
        <v>0</v>
      </c>
      <c r="EX11" s="4">
        <f t="shared" si="82"/>
        <v>0</v>
      </c>
      <c r="EY11" s="4">
        <f t="shared" si="82"/>
        <v>0</v>
      </c>
      <c r="EZ11" s="4">
        <f t="shared" si="82"/>
        <v>0</v>
      </c>
      <c r="FA11" s="4">
        <f t="shared" si="82"/>
        <v>0</v>
      </c>
      <c r="FB11" s="4">
        <f t="shared" si="82"/>
        <v>0</v>
      </c>
      <c r="FC11" s="4">
        <f t="shared" si="82"/>
        <v>0</v>
      </c>
      <c r="FD11" s="4">
        <f t="shared" si="82"/>
        <v>0</v>
      </c>
      <c r="FE11" s="4">
        <f t="shared" si="82"/>
        <v>0</v>
      </c>
      <c r="FF11" s="4">
        <f t="shared" si="4"/>
        <v>0</v>
      </c>
      <c r="FG11" s="4">
        <f t="shared" si="5"/>
        <v>0</v>
      </c>
      <c r="FH11" s="4">
        <f t="shared" si="6"/>
        <v>0</v>
      </c>
      <c r="FI11" s="4">
        <f t="shared" si="7"/>
        <v>0</v>
      </c>
      <c r="FJ11" s="4">
        <f t="shared" si="8"/>
        <v>0</v>
      </c>
      <c r="FK11" s="4">
        <f t="shared" si="9"/>
        <v>0</v>
      </c>
      <c r="FL11" s="4">
        <f t="shared" si="10"/>
        <v>0</v>
      </c>
      <c r="FM11" s="4">
        <f t="shared" si="11"/>
        <v>0</v>
      </c>
      <c r="FN11" s="4">
        <f t="shared" si="12"/>
        <v>0</v>
      </c>
      <c r="FO11" s="4">
        <f t="shared" si="13"/>
        <v>0</v>
      </c>
      <c r="FP11" s="4">
        <f t="shared" si="14"/>
        <v>0</v>
      </c>
      <c r="FQ11" s="4">
        <f t="shared" si="15"/>
        <v>0</v>
      </c>
      <c r="FR11" s="4">
        <f t="shared" si="16"/>
        <v>0</v>
      </c>
      <c r="FS11" s="4">
        <f t="shared" si="17"/>
        <v>0</v>
      </c>
      <c r="FT11" s="4">
        <f t="shared" si="18"/>
        <v>0</v>
      </c>
      <c r="FU11" s="4">
        <f t="shared" si="19"/>
        <v>0</v>
      </c>
      <c r="FV11" s="4">
        <f t="shared" si="20"/>
        <v>0</v>
      </c>
      <c r="FW11" s="4">
        <f t="shared" si="21"/>
        <v>0</v>
      </c>
      <c r="FX11" s="4">
        <f t="shared" si="22"/>
        <v>0</v>
      </c>
      <c r="FY11" s="4">
        <f t="shared" si="23"/>
        <v>0</v>
      </c>
      <c r="FZ11" s="4">
        <f t="shared" si="24"/>
        <v>0</v>
      </c>
      <c r="GA11" s="4">
        <f t="shared" si="25"/>
        <v>0</v>
      </c>
      <c r="GB11" s="4">
        <f t="shared" si="26"/>
        <v>0</v>
      </c>
      <c r="GC11" s="4">
        <f t="shared" si="27"/>
        <v>0</v>
      </c>
      <c r="GD11" s="4">
        <f t="shared" si="28"/>
        <v>0</v>
      </c>
      <c r="GE11" s="4">
        <f t="shared" si="29"/>
        <v>0</v>
      </c>
      <c r="GF11" s="4">
        <f t="shared" si="30"/>
        <v>0</v>
      </c>
      <c r="GG11" s="4">
        <f t="shared" si="31"/>
        <v>0</v>
      </c>
      <c r="GH11" s="4">
        <f t="shared" si="32"/>
        <v>0</v>
      </c>
      <c r="GI11" s="4">
        <f t="shared" si="33"/>
        <v>0</v>
      </c>
      <c r="GJ11" s="4">
        <f t="shared" si="34"/>
        <v>0</v>
      </c>
      <c r="GK11" s="4">
        <f t="shared" si="35"/>
        <v>0</v>
      </c>
      <c r="GL11" s="4">
        <f t="shared" si="36"/>
        <v>0</v>
      </c>
      <c r="GM11" s="4">
        <f t="shared" si="37"/>
        <v>0</v>
      </c>
      <c r="GN11" s="4">
        <f t="shared" si="38"/>
        <v>0</v>
      </c>
      <c r="GO11" s="4">
        <f t="shared" si="39"/>
        <v>0</v>
      </c>
      <c r="GP11" s="4">
        <f t="shared" si="40"/>
        <v>0</v>
      </c>
      <c r="GQ11" s="4">
        <f t="shared" si="41"/>
        <v>0</v>
      </c>
      <c r="GR11" s="4">
        <f t="shared" si="42"/>
        <v>0</v>
      </c>
      <c r="GS11" s="4">
        <f t="shared" si="43"/>
        <v>0</v>
      </c>
      <c r="GT11" s="4">
        <f t="shared" si="44"/>
        <v>0</v>
      </c>
      <c r="GU11" s="4">
        <f t="shared" si="45"/>
        <v>0</v>
      </c>
      <c r="GV11" s="4">
        <f t="shared" si="46"/>
        <v>0</v>
      </c>
      <c r="GW11" s="4">
        <f t="shared" si="47"/>
        <v>0</v>
      </c>
      <c r="GX11" s="4">
        <f t="shared" si="48"/>
        <v>0</v>
      </c>
      <c r="GY11" s="4">
        <f t="shared" si="49"/>
        <v>0</v>
      </c>
      <c r="GZ11" s="4">
        <f t="shared" si="50"/>
        <v>0</v>
      </c>
      <c r="HA11" s="4">
        <f t="shared" si="51"/>
        <v>0</v>
      </c>
      <c r="HB11" s="4">
        <f t="shared" si="52"/>
        <v>0</v>
      </c>
      <c r="HC11" s="4">
        <f t="shared" si="53"/>
        <v>0</v>
      </c>
    </row>
    <row r="12" spans="1:211">
      <c r="A12" t="s">
        <v>13</v>
      </c>
      <c r="B12" s="4">
        <f t="shared" ref="B12:BM12" si="83">C12</f>
        <v>15735.110955102704</v>
      </c>
      <c r="C12" s="4">
        <f t="shared" si="83"/>
        <v>15735.110955102704</v>
      </c>
      <c r="D12" s="4">
        <f t="shared" si="83"/>
        <v>15735.110955102704</v>
      </c>
      <c r="E12" s="4">
        <f t="shared" si="83"/>
        <v>15735.110955102704</v>
      </c>
      <c r="F12" s="4">
        <f t="shared" si="83"/>
        <v>15735.110955102704</v>
      </c>
      <c r="G12" s="4">
        <f t="shared" si="83"/>
        <v>15735.110955102704</v>
      </c>
      <c r="H12" s="4">
        <f t="shared" si="83"/>
        <v>15735.110955102704</v>
      </c>
      <c r="I12" s="4">
        <f t="shared" si="83"/>
        <v>15735.110955102704</v>
      </c>
      <c r="J12" s="4">
        <f t="shared" si="83"/>
        <v>15735.110955102704</v>
      </c>
      <c r="K12" s="4">
        <f t="shared" si="83"/>
        <v>15735.110955102704</v>
      </c>
      <c r="L12" s="4">
        <f t="shared" si="83"/>
        <v>15735.110955102704</v>
      </c>
      <c r="M12" s="4">
        <f t="shared" si="83"/>
        <v>15735.110955102704</v>
      </c>
      <c r="N12" s="4">
        <f t="shared" si="83"/>
        <v>15735.110955102704</v>
      </c>
      <c r="O12" s="4">
        <f t="shared" si="83"/>
        <v>15735.110955102704</v>
      </c>
      <c r="P12" s="4">
        <f t="shared" si="83"/>
        <v>15735.110955102704</v>
      </c>
      <c r="Q12" s="4">
        <f t="shared" si="83"/>
        <v>15735.110955102704</v>
      </c>
      <c r="R12" s="4">
        <f t="shared" si="83"/>
        <v>15735.110955102704</v>
      </c>
      <c r="S12" s="4">
        <f t="shared" si="83"/>
        <v>15735.110955102704</v>
      </c>
      <c r="T12" s="4">
        <f t="shared" si="83"/>
        <v>15735.110955102704</v>
      </c>
      <c r="U12" s="4">
        <f t="shared" si="83"/>
        <v>15735.110955102704</v>
      </c>
      <c r="V12" s="4">
        <f t="shared" si="83"/>
        <v>15735.110955102704</v>
      </c>
      <c r="W12" s="4">
        <f t="shared" si="83"/>
        <v>15735.110955102704</v>
      </c>
      <c r="X12" s="4">
        <f t="shared" si="83"/>
        <v>15735.110955102704</v>
      </c>
      <c r="Y12" s="4">
        <f t="shared" si="83"/>
        <v>15735.110955102704</v>
      </c>
      <c r="Z12" s="4">
        <f t="shared" si="83"/>
        <v>15735.110955102704</v>
      </c>
      <c r="AA12" s="4">
        <f t="shared" si="83"/>
        <v>15735.110955102704</v>
      </c>
      <c r="AB12" s="4">
        <f t="shared" si="83"/>
        <v>15735.110955102704</v>
      </c>
      <c r="AC12" s="4">
        <f t="shared" si="83"/>
        <v>15735.110955102704</v>
      </c>
      <c r="AD12" s="4">
        <f t="shared" si="83"/>
        <v>15735.110955102704</v>
      </c>
      <c r="AE12" s="4">
        <f t="shared" si="83"/>
        <v>15735.110955102704</v>
      </c>
      <c r="AF12" s="4">
        <f t="shared" si="83"/>
        <v>15735.110955102704</v>
      </c>
      <c r="AG12" s="4">
        <f t="shared" si="83"/>
        <v>15735.110955102704</v>
      </c>
      <c r="AH12" s="4">
        <f t="shared" si="83"/>
        <v>15735.110955102704</v>
      </c>
      <c r="AI12" s="4">
        <f t="shared" si="83"/>
        <v>15735.110955102704</v>
      </c>
      <c r="AJ12" s="4">
        <f t="shared" si="83"/>
        <v>15735.110955102704</v>
      </c>
      <c r="AK12" s="4">
        <f t="shared" si="83"/>
        <v>15735.110955102704</v>
      </c>
      <c r="AL12" s="4">
        <f t="shared" si="83"/>
        <v>15735.110955102704</v>
      </c>
      <c r="AM12" s="4">
        <f t="shared" si="83"/>
        <v>15735.110955102704</v>
      </c>
      <c r="AN12" s="4">
        <f t="shared" si="83"/>
        <v>15735.110955102704</v>
      </c>
      <c r="AO12" s="4">
        <f t="shared" si="83"/>
        <v>15735.110955102704</v>
      </c>
      <c r="AP12" s="4">
        <f t="shared" si="83"/>
        <v>15735.110955102704</v>
      </c>
      <c r="AQ12" s="4">
        <f t="shared" si="83"/>
        <v>15735.110955102704</v>
      </c>
      <c r="AR12" s="4">
        <f t="shared" si="83"/>
        <v>15735.110955102704</v>
      </c>
      <c r="AS12" s="4">
        <f t="shared" si="83"/>
        <v>15735.110955102704</v>
      </c>
      <c r="AT12" s="4">
        <f t="shared" si="83"/>
        <v>15735.110955102704</v>
      </c>
      <c r="AU12" s="4">
        <f t="shared" si="83"/>
        <v>15735.110955102704</v>
      </c>
      <c r="AV12" s="4">
        <f t="shared" si="83"/>
        <v>15735.110955102704</v>
      </c>
      <c r="AW12" s="4">
        <f t="shared" si="83"/>
        <v>15735.110955102704</v>
      </c>
      <c r="AX12" s="4">
        <f t="shared" si="83"/>
        <v>15735.110955102704</v>
      </c>
      <c r="AY12" s="4">
        <f t="shared" si="83"/>
        <v>15735.110955102704</v>
      </c>
      <c r="AZ12" s="4">
        <f t="shared" si="83"/>
        <v>15735.110955102704</v>
      </c>
      <c r="BA12" s="4">
        <f t="shared" si="83"/>
        <v>15735.110955102704</v>
      </c>
      <c r="BB12" s="4">
        <f t="shared" si="83"/>
        <v>15735.110955102704</v>
      </c>
      <c r="BC12" s="4">
        <f t="shared" si="83"/>
        <v>15735.110955102704</v>
      </c>
      <c r="BD12" s="4">
        <f t="shared" si="83"/>
        <v>15735.110955102704</v>
      </c>
      <c r="BE12" s="4">
        <f t="shared" si="83"/>
        <v>15735.110955102704</v>
      </c>
      <c r="BF12" s="4">
        <f t="shared" si="83"/>
        <v>15735.110955102704</v>
      </c>
      <c r="BG12" s="4">
        <f t="shared" si="83"/>
        <v>15735.110955102704</v>
      </c>
      <c r="BH12" s="4">
        <f t="shared" si="83"/>
        <v>15735.110955102704</v>
      </c>
      <c r="BI12" s="4">
        <f t="shared" si="83"/>
        <v>15735.110955102704</v>
      </c>
      <c r="BJ12" s="4">
        <f t="shared" si="83"/>
        <v>15735.110955102704</v>
      </c>
      <c r="BK12" s="4">
        <f t="shared" si="83"/>
        <v>15735.110955102704</v>
      </c>
      <c r="BL12" s="4">
        <f t="shared" si="83"/>
        <v>15735.110955102704</v>
      </c>
      <c r="BM12" s="4">
        <f t="shared" si="83"/>
        <v>15735.110955102704</v>
      </c>
      <c r="BN12" s="4">
        <f t="shared" ref="BN12:DY12" si="84">BO12</f>
        <v>15735.110955102704</v>
      </c>
      <c r="BO12" s="4">
        <f t="shared" si="84"/>
        <v>15735.110955102704</v>
      </c>
      <c r="BP12" s="4">
        <f t="shared" si="84"/>
        <v>15735.110955102704</v>
      </c>
      <c r="BQ12" s="4">
        <f t="shared" si="84"/>
        <v>15735.110955102704</v>
      </c>
      <c r="BR12" s="4">
        <f t="shared" si="84"/>
        <v>15735.110955102704</v>
      </c>
      <c r="BS12" s="4">
        <f t="shared" si="84"/>
        <v>15735.110955102704</v>
      </c>
      <c r="BT12" s="4">
        <f t="shared" si="84"/>
        <v>15735.110955102704</v>
      </c>
      <c r="BU12" s="4">
        <f t="shared" si="84"/>
        <v>15735.110955102704</v>
      </c>
      <c r="BV12" s="4">
        <f t="shared" si="84"/>
        <v>15735.110955102704</v>
      </c>
      <c r="BW12" s="4">
        <f t="shared" si="84"/>
        <v>15735.110955102704</v>
      </c>
      <c r="BX12" s="4">
        <f t="shared" si="84"/>
        <v>15735.110955102704</v>
      </c>
      <c r="BY12" s="4">
        <f t="shared" si="84"/>
        <v>15735.110955102704</v>
      </c>
      <c r="BZ12" s="4">
        <f t="shared" si="84"/>
        <v>15735.110955102704</v>
      </c>
      <c r="CA12" s="4">
        <f t="shared" si="84"/>
        <v>15735.110955102704</v>
      </c>
      <c r="CB12" s="4">
        <f t="shared" si="84"/>
        <v>15735.110955102704</v>
      </c>
      <c r="CC12" s="4">
        <f t="shared" si="84"/>
        <v>15735.110955102704</v>
      </c>
      <c r="CD12" s="4">
        <f t="shared" si="84"/>
        <v>15735.110955102704</v>
      </c>
      <c r="CE12" s="4">
        <f t="shared" si="84"/>
        <v>15735.110955102704</v>
      </c>
      <c r="CF12" s="4">
        <f t="shared" si="84"/>
        <v>15735.110955102704</v>
      </c>
      <c r="CG12" s="4">
        <f t="shared" si="84"/>
        <v>15735.110955102704</v>
      </c>
      <c r="CH12" s="4">
        <f t="shared" si="84"/>
        <v>15735.110955102704</v>
      </c>
      <c r="CI12" s="4">
        <f t="shared" si="84"/>
        <v>15735.110955102704</v>
      </c>
      <c r="CJ12" s="4">
        <f t="shared" si="84"/>
        <v>15735.110955102704</v>
      </c>
      <c r="CK12" s="4">
        <f t="shared" si="84"/>
        <v>15735.110955102704</v>
      </c>
      <c r="CL12" s="4">
        <f t="shared" si="84"/>
        <v>15735.110955102704</v>
      </c>
      <c r="CM12" s="4">
        <f t="shared" si="84"/>
        <v>15735.110955102704</v>
      </c>
      <c r="CN12" s="4">
        <f t="shared" si="84"/>
        <v>15735.110955102704</v>
      </c>
      <c r="CO12" s="4">
        <f t="shared" si="84"/>
        <v>15735.110955102704</v>
      </c>
      <c r="CP12" s="4">
        <f t="shared" si="84"/>
        <v>15735.110955102704</v>
      </c>
      <c r="CQ12" s="4">
        <f t="shared" si="84"/>
        <v>15735.110955102704</v>
      </c>
      <c r="CR12" s="4">
        <f t="shared" si="84"/>
        <v>15735.110955102704</v>
      </c>
      <c r="CS12" s="4">
        <f t="shared" si="84"/>
        <v>15735.110955102704</v>
      </c>
      <c r="CT12" s="4">
        <f t="shared" si="84"/>
        <v>15735.110955102704</v>
      </c>
      <c r="CU12" s="4">
        <f t="shared" si="84"/>
        <v>15735.110955102704</v>
      </c>
      <c r="CV12" s="4">
        <f t="shared" si="84"/>
        <v>15735.110955102704</v>
      </c>
      <c r="CW12" s="4">
        <f t="shared" si="84"/>
        <v>15735.110955102704</v>
      </c>
      <c r="CX12" s="4">
        <f t="shared" si="84"/>
        <v>15735.110955102704</v>
      </c>
      <c r="CY12" s="4">
        <f t="shared" si="84"/>
        <v>15735.110955102704</v>
      </c>
      <c r="CZ12" s="4">
        <f t="shared" si="84"/>
        <v>15735.110955102704</v>
      </c>
      <c r="DA12" s="4">
        <f t="shared" si="84"/>
        <v>15735.110955102704</v>
      </c>
      <c r="DB12" s="4">
        <f t="shared" si="84"/>
        <v>15735.110955102704</v>
      </c>
      <c r="DC12" s="4">
        <f t="shared" si="84"/>
        <v>15735.110955102704</v>
      </c>
      <c r="DD12" s="4">
        <f t="shared" si="84"/>
        <v>15735.110955102704</v>
      </c>
      <c r="DE12" s="4">
        <f t="shared" si="84"/>
        <v>15735.110955102704</v>
      </c>
      <c r="DF12" s="4">
        <f t="shared" si="84"/>
        <v>15735.110955102704</v>
      </c>
      <c r="DG12" s="4">
        <f t="shared" si="84"/>
        <v>15735.110955102704</v>
      </c>
      <c r="DH12" s="4">
        <f t="shared" si="84"/>
        <v>15735.110955102704</v>
      </c>
      <c r="DI12" s="4">
        <f t="shared" si="84"/>
        <v>15735.110955102704</v>
      </c>
      <c r="DJ12" s="4">
        <f t="shared" si="84"/>
        <v>15735.110955102704</v>
      </c>
      <c r="DK12" s="4">
        <f t="shared" si="84"/>
        <v>15735.110955102704</v>
      </c>
      <c r="DL12" s="4">
        <f t="shared" si="84"/>
        <v>15735.110955102704</v>
      </c>
      <c r="DM12" s="4">
        <f t="shared" si="84"/>
        <v>15735.110955102704</v>
      </c>
      <c r="DN12" s="4">
        <f t="shared" si="84"/>
        <v>15735.110955102704</v>
      </c>
      <c r="DO12" s="4">
        <f t="shared" si="84"/>
        <v>15735.110955102704</v>
      </c>
      <c r="DP12" s="4">
        <f t="shared" si="84"/>
        <v>15735.110955102704</v>
      </c>
      <c r="DQ12" s="4">
        <f t="shared" si="84"/>
        <v>15735.110955102704</v>
      </c>
      <c r="DR12" s="4">
        <f t="shared" si="84"/>
        <v>15735.110955102704</v>
      </c>
      <c r="DS12" s="4">
        <f t="shared" si="84"/>
        <v>15735.110955102704</v>
      </c>
      <c r="DT12" s="4">
        <f t="shared" si="84"/>
        <v>15735.110955102704</v>
      </c>
      <c r="DU12" s="4">
        <f t="shared" si="84"/>
        <v>15735.110955102704</v>
      </c>
      <c r="DV12" s="4">
        <f t="shared" si="84"/>
        <v>15735.110955102704</v>
      </c>
      <c r="DW12" s="4">
        <f t="shared" si="84"/>
        <v>15735.110955102704</v>
      </c>
      <c r="DX12" s="4">
        <f t="shared" si="84"/>
        <v>15735.110955102704</v>
      </c>
      <c r="DY12" s="4">
        <f t="shared" si="84"/>
        <v>15735.110955102704</v>
      </c>
      <c r="DZ12" s="4">
        <f t="shared" si="56"/>
        <v>15735.110955102704</v>
      </c>
      <c r="EA12" s="4">
        <f t="shared" si="56"/>
        <v>15735.110955102704</v>
      </c>
      <c r="EB12" s="4">
        <f>'CCaMC-ACAPEXpUC US'!D12/'CCaMC-BCCpUC US'!B12*'CCaMC-BCCpUC'!B12</f>
        <v>15735.110955102704</v>
      </c>
      <c r="EC12" s="4">
        <f t="shared" si="57"/>
        <v>15735.110955102704</v>
      </c>
      <c r="ED12" s="4">
        <f t="shared" si="57"/>
        <v>15735.110955102704</v>
      </c>
      <c r="EE12" s="4">
        <f t="shared" si="57"/>
        <v>15735.110955102704</v>
      </c>
      <c r="EF12" s="4">
        <f t="shared" si="57"/>
        <v>15735.110955102704</v>
      </c>
      <c r="EG12" s="4">
        <f t="shared" si="57"/>
        <v>15735.110955102704</v>
      </c>
      <c r="EH12" s="4">
        <f t="shared" si="57"/>
        <v>15735.110955102704</v>
      </c>
      <c r="EI12" s="4">
        <f t="shared" si="57"/>
        <v>15735.110955102704</v>
      </c>
      <c r="EJ12" s="4">
        <f t="shared" si="57"/>
        <v>15735.110955102704</v>
      </c>
      <c r="EK12" s="4">
        <f t="shared" si="57"/>
        <v>15735.110955102704</v>
      </c>
      <c r="EL12" s="4">
        <f t="shared" si="57"/>
        <v>15735.110955102704</v>
      </c>
      <c r="EM12" s="4">
        <f t="shared" ref="EM12:FE12" si="85">EL12</f>
        <v>15735.110955102704</v>
      </c>
      <c r="EN12" s="4">
        <f t="shared" si="85"/>
        <v>15735.110955102704</v>
      </c>
      <c r="EO12" s="4">
        <f t="shared" si="85"/>
        <v>15735.110955102704</v>
      </c>
      <c r="EP12" s="4">
        <f t="shared" si="85"/>
        <v>15735.110955102704</v>
      </c>
      <c r="EQ12" s="4">
        <f t="shared" si="85"/>
        <v>15735.110955102704</v>
      </c>
      <c r="ER12" s="4">
        <f t="shared" si="85"/>
        <v>15735.110955102704</v>
      </c>
      <c r="ES12" s="4">
        <f t="shared" si="85"/>
        <v>15735.110955102704</v>
      </c>
      <c r="ET12" s="4">
        <f t="shared" si="85"/>
        <v>15735.110955102704</v>
      </c>
      <c r="EU12" s="4">
        <f t="shared" si="85"/>
        <v>15735.110955102704</v>
      </c>
      <c r="EV12" s="4">
        <f t="shared" si="85"/>
        <v>15735.110955102704</v>
      </c>
      <c r="EW12" s="4">
        <f t="shared" si="85"/>
        <v>15735.110955102704</v>
      </c>
      <c r="EX12" s="4">
        <f t="shared" si="85"/>
        <v>15735.110955102704</v>
      </c>
      <c r="EY12" s="4">
        <f t="shared" si="85"/>
        <v>15735.110955102704</v>
      </c>
      <c r="EZ12" s="4">
        <f t="shared" si="85"/>
        <v>15735.110955102704</v>
      </c>
      <c r="FA12" s="4">
        <f t="shared" si="85"/>
        <v>15735.110955102704</v>
      </c>
      <c r="FB12" s="4">
        <f t="shared" si="85"/>
        <v>15735.110955102704</v>
      </c>
      <c r="FC12" s="4">
        <f t="shared" si="85"/>
        <v>15735.110955102704</v>
      </c>
      <c r="FD12" s="4">
        <f t="shared" si="85"/>
        <v>15735.110955102704</v>
      </c>
      <c r="FE12" s="4">
        <f t="shared" si="85"/>
        <v>15735.110955102704</v>
      </c>
      <c r="FF12" s="4">
        <f t="shared" si="4"/>
        <v>15735.110955102704</v>
      </c>
      <c r="FG12" s="4">
        <f t="shared" si="5"/>
        <v>15735.110955102704</v>
      </c>
      <c r="FH12" s="4">
        <f t="shared" si="6"/>
        <v>15735.110955102704</v>
      </c>
      <c r="FI12" s="4">
        <f t="shared" si="7"/>
        <v>15735.110955102704</v>
      </c>
      <c r="FJ12" s="4">
        <f t="shared" si="8"/>
        <v>15735.110955102704</v>
      </c>
      <c r="FK12" s="4">
        <f t="shared" si="9"/>
        <v>15735.110955102704</v>
      </c>
      <c r="FL12" s="4">
        <f t="shared" si="10"/>
        <v>15735.110955102704</v>
      </c>
      <c r="FM12" s="4">
        <f t="shared" si="11"/>
        <v>15735.110955102704</v>
      </c>
      <c r="FN12" s="4">
        <f t="shared" si="12"/>
        <v>15735.110955102704</v>
      </c>
      <c r="FO12" s="4">
        <f t="shared" si="13"/>
        <v>15735.110955102704</v>
      </c>
      <c r="FP12" s="4">
        <f t="shared" si="14"/>
        <v>15735.110955102704</v>
      </c>
      <c r="FQ12" s="4">
        <f t="shared" si="15"/>
        <v>15735.110955102704</v>
      </c>
      <c r="FR12" s="4">
        <f t="shared" si="16"/>
        <v>15735.110955102704</v>
      </c>
      <c r="FS12" s="4">
        <f t="shared" si="17"/>
        <v>15735.110955102704</v>
      </c>
      <c r="FT12" s="4">
        <f t="shared" si="18"/>
        <v>15735.110955102704</v>
      </c>
      <c r="FU12" s="4">
        <f t="shared" si="19"/>
        <v>15735.110955102704</v>
      </c>
      <c r="FV12" s="4">
        <f t="shared" si="20"/>
        <v>15735.110955102704</v>
      </c>
      <c r="FW12" s="4">
        <f t="shared" si="21"/>
        <v>15735.110955102704</v>
      </c>
      <c r="FX12" s="4">
        <f t="shared" si="22"/>
        <v>15735.110955102704</v>
      </c>
      <c r="FY12" s="4">
        <f t="shared" si="23"/>
        <v>15735.110955102704</v>
      </c>
      <c r="FZ12" s="4">
        <f t="shared" si="24"/>
        <v>15735.110955102704</v>
      </c>
      <c r="GA12" s="4">
        <f t="shared" si="25"/>
        <v>15735.110955102704</v>
      </c>
      <c r="GB12" s="4">
        <f t="shared" si="26"/>
        <v>15735.110955102704</v>
      </c>
      <c r="GC12" s="4">
        <f t="shared" si="27"/>
        <v>15735.110955102704</v>
      </c>
      <c r="GD12" s="4">
        <f t="shared" si="28"/>
        <v>15735.110955102704</v>
      </c>
      <c r="GE12" s="4">
        <f t="shared" si="29"/>
        <v>15735.110955102704</v>
      </c>
      <c r="GF12" s="4">
        <f t="shared" si="30"/>
        <v>15735.110955102704</v>
      </c>
      <c r="GG12" s="4">
        <f t="shared" si="31"/>
        <v>15735.110955102704</v>
      </c>
      <c r="GH12" s="4">
        <f t="shared" si="32"/>
        <v>15735.110955102704</v>
      </c>
      <c r="GI12" s="4">
        <f t="shared" si="33"/>
        <v>15735.110955102704</v>
      </c>
      <c r="GJ12" s="4">
        <f t="shared" si="34"/>
        <v>15735.110955102704</v>
      </c>
      <c r="GK12" s="4">
        <f t="shared" si="35"/>
        <v>15735.110955102704</v>
      </c>
      <c r="GL12" s="4">
        <f t="shared" si="36"/>
        <v>15735.110955102704</v>
      </c>
      <c r="GM12" s="4">
        <f t="shared" si="37"/>
        <v>15735.110955102704</v>
      </c>
      <c r="GN12" s="4">
        <f t="shared" si="38"/>
        <v>15735.110955102704</v>
      </c>
      <c r="GO12" s="4">
        <f t="shared" si="39"/>
        <v>15735.110955102704</v>
      </c>
      <c r="GP12" s="4">
        <f t="shared" si="40"/>
        <v>15735.110955102704</v>
      </c>
      <c r="GQ12" s="4">
        <f t="shared" si="41"/>
        <v>15735.110955102704</v>
      </c>
      <c r="GR12" s="4">
        <f t="shared" si="42"/>
        <v>15735.110955102704</v>
      </c>
      <c r="GS12" s="4">
        <f t="shared" si="43"/>
        <v>15735.110955102704</v>
      </c>
      <c r="GT12" s="4">
        <f t="shared" si="44"/>
        <v>15735.110955102704</v>
      </c>
      <c r="GU12" s="4">
        <f t="shared" si="45"/>
        <v>15735.110955102704</v>
      </c>
      <c r="GV12" s="4">
        <f t="shared" si="46"/>
        <v>15735.110955102704</v>
      </c>
      <c r="GW12" s="4">
        <f t="shared" si="47"/>
        <v>15735.110955102704</v>
      </c>
      <c r="GX12" s="4">
        <f t="shared" si="48"/>
        <v>15735.110955102704</v>
      </c>
      <c r="GY12" s="4">
        <f t="shared" si="49"/>
        <v>15735.110955102704</v>
      </c>
      <c r="GZ12" s="4">
        <f t="shared" si="50"/>
        <v>15735.110955102704</v>
      </c>
      <c r="HA12" s="4">
        <f t="shared" si="51"/>
        <v>15735.110955102704</v>
      </c>
      <c r="HB12" s="4">
        <f t="shared" si="52"/>
        <v>15735.110955102704</v>
      </c>
      <c r="HC12" s="4">
        <f t="shared" si="53"/>
        <v>15735.110955102704</v>
      </c>
    </row>
    <row r="13" spans="1:211">
      <c r="A13" t="s">
        <v>14</v>
      </c>
      <c r="B13" s="4">
        <f t="shared" ref="B13:BM13" si="86">C13</f>
        <v>0</v>
      </c>
      <c r="C13" s="4">
        <f t="shared" si="86"/>
        <v>0</v>
      </c>
      <c r="D13" s="4">
        <f t="shared" si="86"/>
        <v>0</v>
      </c>
      <c r="E13" s="4">
        <f t="shared" si="86"/>
        <v>0</v>
      </c>
      <c r="F13" s="4">
        <f t="shared" si="86"/>
        <v>0</v>
      </c>
      <c r="G13" s="4">
        <f t="shared" si="86"/>
        <v>0</v>
      </c>
      <c r="H13" s="4">
        <f t="shared" si="86"/>
        <v>0</v>
      </c>
      <c r="I13" s="4">
        <f t="shared" si="86"/>
        <v>0</v>
      </c>
      <c r="J13" s="4">
        <f t="shared" si="86"/>
        <v>0</v>
      </c>
      <c r="K13" s="4">
        <f t="shared" si="86"/>
        <v>0</v>
      </c>
      <c r="L13" s="4">
        <f t="shared" si="86"/>
        <v>0</v>
      </c>
      <c r="M13" s="4">
        <f t="shared" si="86"/>
        <v>0</v>
      </c>
      <c r="N13" s="4">
        <f t="shared" si="86"/>
        <v>0</v>
      </c>
      <c r="O13" s="4">
        <f t="shared" si="86"/>
        <v>0</v>
      </c>
      <c r="P13" s="4">
        <f t="shared" si="86"/>
        <v>0</v>
      </c>
      <c r="Q13" s="4">
        <f t="shared" si="86"/>
        <v>0</v>
      </c>
      <c r="R13" s="4">
        <f t="shared" si="86"/>
        <v>0</v>
      </c>
      <c r="S13" s="4">
        <f t="shared" si="86"/>
        <v>0</v>
      </c>
      <c r="T13" s="4">
        <f t="shared" si="86"/>
        <v>0</v>
      </c>
      <c r="U13" s="4">
        <f t="shared" si="86"/>
        <v>0</v>
      </c>
      <c r="V13" s="4">
        <f t="shared" si="86"/>
        <v>0</v>
      </c>
      <c r="W13" s="4">
        <f t="shared" si="86"/>
        <v>0</v>
      </c>
      <c r="X13" s="4">
        <f t="shared" si="86"/>
        <v>0</v>
      </c>
      <c r="Y13" s="4">
        <f t="shared" si="86"/>
        <v>0</v>
      </c>
      <c r="Z13" s="4">
        <f t="shared" si="86"/>
        <v>0</v>
      </c>
      <c r="AA13" s="4">
        <f t="shared" si="86"/>
        <v>0</v>
      </c>
      <c r="AB13" s="4">
        <f t="shared" si="86"/>
        <v>0</v>
      </c>
      <c r="AC13" s="4">
        <f t="shared" si="86"/>
        <v>0</v>
      </c>
      <c r="AD13" s="4">
        <f t="shared" si="86"/>
        <v>0</v>
      </c>
      <c r="AE13" s="4">
        <f t="shared" si="86"/>
        <v>0</v>
      </c>
      <c r="AF13" s="4">
        <f t="shared" si="86"/>
        <v>0</v>
      </c>
      <c r="AG13" s="4">
        <f t="shared" si="86"/>
        <v>0</v>
      </c>
      <c r="AH13" s="4">
        <f t="shared" si="86"/>
        <v>0</v>
      </c>
      <c r="AI13" s="4">
        <f t="shared" si="86"/>
        <v>0</v>
      </c>
      <c r="AJ13" s="4">
        <f t="shared" si="86"/>
        <v>0</v>
      </c>
      <c r="AK13" s="4">
        <f t="shared" si="86"/>
        <v>0</v>
      </c>
      <c r="AL13" s="4">
        <f t="shared" si="86"/>
        <v>0</v>
      </c>
      <c r="AM13" s="4">
        <f t="shared" si="86"/>
        <v>0</v>
      </c>
      <c r="AN13" s="4">
        <f t="shared" si="86"/>
        <v>0</v>
      </c>
      <c r="AO13" s="4">
        <f t="shared" si="86"/>
        <v>0</v>
      </c>
      <c r="AP13" s="4">
        <f t="shared" si="86"/>
        <v>0</v>
      </c>
      <c r="AQ13" s="4">
        <f t="shared" si="86"/>
        <v>0</v>
      </c>
      <c r="AR13" s="4">
        <f t="shared" si="86"/>
        <v>0</v>
      </c>
      <c r="AS13" s="4">
        <f t="shared" si="86"/>
        <v>0</v>
      </c>
      <c r="AT13" s="4">
        <f t="shared" si="86"/>
        <v>0</v>
      </c>
      <c r="AU13" s="4">
        <f t="shared" si="86"/>
        <v>0</v>
      </c>
      <c r="AV13" s="4">
        <f t="shared" si="86"/>
        <v>0</v>
      </c>
      <c r="AW13" s="4">
        <f t="shared" si="86"/>
        <v>0</v>
      </c>
      <c r="AX13" s="4">
        <f t="shared" si="86"/>
        <v>0</v>
      </c>
      <c r="AY13" s="4">
        <f t="shared" si="86"/>
        <v>0</v>
      </c>
      <c r="AZ13" s="4">
        <f t="shared" si="86"/>
        <v>0</v>
      </c>
      <c r="BA13" s="4">
        <f t="shared" si="86"/>
        <v>0</v>
      </c>
      <c r="BB13" s="4">
        <f t="shared" si="86"/>
        <v>0</v>
      </c>
      <c r="BC13" s="4">
        <f t="shared" si="86"/>
        <v>0</v>
      </c>
      <c r="BD13" s="4">
        <f t="shared" si="86"/>
        <v>0</v>
      </c>
      <c r="BE13" s="4">
        <f t="shared" si="86"/>
        <v>0</v>
      </c>
      <c r="BF13" s="4">
        <f t="shared" si="86"/>
        <v>0</v>
      </c>
      <c r="BG13" s="4">
        <f t="shared" si="86"/>
        <v>0</v>
      </c>
      <c r="BH13" s="4">
        <f t="shared" si="86"/>
        <v>0</v>
      </c>
      <c r="BI13" s="4">
        <f t="shared" si="86"/>
        <v>0</v>
      </c>
      <c r="BJ13" s="4">
        <f t="shared" si="86"/>
        <v>0</v>
      </c>
      <c r="BK13" s="4">
        <f t="shared" si="86"/>
        <v>0</v>
      </c>
      <c r="BL13" s="4">
        <f t="shared" si="86"/>
        <v>0</v>
      </c>
      <c r="BM13" s="4">
        <f t="shared" si="86"/>
        <v>0</v>
      </c>
      <c r="BN13" s="4">
        <f t="shared" ref="BN13:DY13" si="87">BO13</f>
        <v>0</v>
      </c>
      <c r="BO13" s="4">
        <f t="shared" si="87"/>
        <v>0</v>
      </c>
      <c r="BP13" s="4">
        <f t="shared" si="87"/>
        <v>0</v>
      </c>
      <c r="BQ13" s="4">
        <f t="shared" si="87"/>
        <v>0</v>
      </c>
      <c r="BR13" s="4">
        <f t="shared" si="87"/>
        <v>0</v>
      </c>
      <c r="BS13" s="4">
        <f t="shared" si="87"/>
        <v>0</v>
      </c>
      <c r="BT13" s="4">
        <f t="shared" si="87"/>
        <v>0</v>
      </c>
      <c r="BU13" s="4">
        <f t="shared" si="87"/>
        <v>0</v>
      </c>
      <c r="BV13" s="4">
        <f t="shared" si="87"/>
        <v>0</v>
      </c>
      <c r="BW13" s="4">
        <f t="shared" si="87"/>
        <v>0</v>
      </c>
      <c r="BX13" s="4">
        <f t="shared" si="87"/>
        <v>0</v>
      </c>
      <c r="BY13" s="4">
        <f t="shared" si="87"/>
        <v>0</v>
      </c>
      <c r="BZ13" s="4">
        <f t="shared" si="87"/>
        <v>0</v>
      </c>
      <c r="CA13" s="4">
        <f t="shared" si="87"/>
        <v>0</v>
      </c>
      <c r="CB13" s="4">
        <f t="shared" si="87"/>
        <v>0</v>
      </c>
      <c r="CC13" s="4">
        <f t="shared" si="87"/>
        <v>0</v>
      </c>
      <c r="CD13" s="4">
        <f t="shared" si="87"/>
        <v>0</v>
      </c>
      <c r="CE13" s="4">
        <f t="shared" si="87"/>
        <v>0</v>
      </c>
      <c r="CF13" s="4">
        <f t="shared" si="87"/>
        <v>0</v>
      </c>
      <c r="CG13" s="4">
        <f t="shared" si="87"/>
        <v>0</v>
      </c>
      <c r="CH13" s="4">
        <f t="shared" si="87"/>
        <v>0</v>
      </c>
      <c r="CI13" s="4">
        <f t="shared" si="87"/>
        <v>0</v>
      </c>
      <c r="CJ13" s="4">
        <f t="shared" si="87"/>
        <v>0</v>
      </c>
      <c r="CK13" s="4">
        <f t="shared" si="87"/>
        <v>0</v>
      </c>
      <c r="CL13" s="4">
        <f t="shared" si="87"/>
        <v>0</v>
      </c>
      <c r="CM13" s="4">
        <f t="shared" si="87"/>
        <v>0</v>
      </c>
      <c r="CN13" s="4">
        <f t="shared" si="87"/>
        <v>0</v>
      </c>
      <c r="CO13" s="4">
        <f t="shared" si="87"/>
        <v>0</v>
      </c>
      <c r="CP13" s="4">
        <f t="shared" si="87"/>
        <v>0</v>
      </c>
      <c r="CQ13" s="4">
        <f t="shared" si="87"/>
        <v>0</v>
      </c>
      <c r="CR13" s="4">
        <f t="shared" si="87"/>
        <v>0</v>
      </c>
      <c r="CS13" s="4">
        <f t="shared" si="87"/>
        <v>0</v>
      </c>
      <c r="CT13" s="4">
        <f t="shared" si="87"/>
        <v>0</v>
      </c>
      <c r="CU13" s="4">
        <f t="shared" si="87"/>
        <v>0</v>
      </c>
      <c r="CV13" s="4">
        <f t="shared" si="87"/>
        <v>0</v>
      </c>
      <c r="CW13" s="4">
        <f t="shared" si="87"/>
        <v>0</v>
      </c>
      <c r="CX13" s="4">
        <f t="shared" si="87"/>
        <v>0</v>
      </c>
      <c r="CY13" s="4">
        <f t="shared" si="87"/>
        <v>0</v>
      </c>
      <c r="CZ13" s="4">
        <f t="shared" si="87"/>
        <v>0</v>
      </c>
      <c r="DA13" s="4">
        <f t="shared" si="87"/>
        <v>0</v>
      </c>
      <c r="DB13" s="4">
        <f t="shared" si="87"/>
        <v>0</v>
      </c>
      <c r="DC13" s="4">
        <f t="shared" si="87"/>
        <v>0</v>
      </c>
      <c r="DD13" s="4">
        <f t="shared" si="87"/>
        <v>0</v>
      </c>
      <c r="DE13" s="4">
        <f t="shared" si="87"/>
        <v>0</v>
      </c>
      <c r="DF13" s="4">
        <f t="shared" si="87"/>
        <v>0</v>
      </c>
      <c r="DG13" s="4">
        <f t="shared" si="87"/>
        <v>0</v>
      </c>
      <c r="DH13" s="4">
        <f t="shared" si="87"/>
        <v>0</v>
      </c>
      <c r="DI13" s="4">
        <f t="shared" si="87"/>
        <v>0</v>
      </c>
      <c r="DJ13" s="4">
        <f t="shared" si="87"/>
        <v>0</v>
      </c>
      <c r="DK13" s="4">
        <f t="shared" si="87"/>
        <v>0</v>
      </c>
      <c r="DL13" s="4">
        <f t="shared" si="87"/>
        <v>0</v>
      </c>
      <c r="DM13" s="4">
        <f t="shared" si="87"/>
        <v>0</v>
      </c>
      <c r="DN13" s="4">
        <f t="shared" si="87"/>
        <v>0</v>
      </c>
      <c r="DO13" s="4">
        <f t="shared" si="87"/>
        <v>0</v>
      </c>
      <c r="DP13" s="4">
        <f t="shared" si="87"/>
        <v>0</v>
      </c>
      <c r="DQ13" s="4">
        <f t="shared" si="87"/>
        <v>0</v>
      </c>
      <c r="DR13" s="4">
        <f t="shared" si="87"/>
        <v>0</v>
      </c>
      <c r="DS13" s="4">
        <f t="shared" si="87"/>
        <v>0</v>
      </c>
      <c r="DT13" s="4">
        <f t="shared" si="87"/>
        <v>0</v>
      </c>
      <c r="DU13" s="4">
        <f t="shared" si="87"/>
        <v>0</v>
      </c>
      <c r="DV13" s="4">
        <f t="shared" si="87"/>
        <v>0</v>
      </c>
      <c r="DW13" s="4">
        <f t="shared" si="87"/>
        <v>0</v>
      </c>
      <c r="DX13" s="4">
        <f t="shared" si="87"/>
        <v>0</v>
      </c>
      <c r="DY13" s="4">
        <f t="shared" si="87"/>
        <v>0</v>
      </c>
      <c r="DZ13" s="4">
        <f t="shared" si="56"/>
        <v>0</v>
      </c>
      <c r="EA13" s="4">
        <f t="shared" si="56"/>
        <v>0</v>
      </c>
      <c r="EB13" s="4">
        <f>'CCaMC-ACAPEXpUC US'!D13/'CCaMC-BCCpUC US'!B13*'CCaMC-BCCpUC'!B13</f>
        <v>0</v>
      </c>
      <c r="EC13" s="4">
        <f t="shared" si="57"/>
        <v>0</v>
      </c>
      <c r="ED13" s="4">
        <f t="shared" si="57"/>
        <v>0</v>
      </c>
      <c r="EE13" s="4">
        <f t="shared" si="57"/>
        <v>0</v>
      </c>
      <c r="EF13" s="4">
        <f t="shared" si="57"/>
        <v>0</v>
      </c>
      <c r="EG13" s="4">
        <f t="shared" si="57"/>
        <v>0</v>
      </c>
      <c r="EH13" s="4">
        <f t="shared" si="57"/>
        <v>0</v>
      </c>
      <c r="EI13" s="4">
        <f t="shared" si="57"/>
        <v>0</v>
      </c>
      <c r="EJ13" s="4">
        <f t="shared" si="57"/>
        <v>0</v>
      </c>
      <c r="EK13" s="4">
        <f t="shared" si="57"/>
        <v>0</v>
      </c>
      <c r="EL13" s="4">
        <f t="shared" si="57"/>
        <v>0</v>
      </c>
      <c r="EM13" s="4">
        <f t="shared" ref="EM13:FE13" si="88">EL13</f>
        <v>0</v>
      </c>
      <c r="EN13" s="4">
        <f t="shared" si="88"/>
        <v>0</v>
      </c>
      <c r="EO13" s="4">
        <f t="shared" si="88"/>
        <v>0</v>
      </c>
      <c r="EP13" s="4">
        <f t="shared" si="88"/>
        <v>0</v>
      </c>
      <c r="EQ13" s="4">
        <f t="shared" si="88"/>
        <v>0</v>
      </c>
      <c r="ER13" s="4">
        <f t="shared" si="88"/>
        <v>0</v>
      </c>
      <c r="ES13" s="4">
        <f t="shared" si="88"/>
        <v>0</v>
      </c>
      <c r="ET13" s="4">
        <f t="shared" si="88"/>
        <v>0</v>
      </c>
      <c r="EU13" s="4">
        <f t="shared" si="88"/>
        <v>0</v>
      </c>
      <c r="EV13" s="4">
        <f t="shared" si="88"/>
        <v>0</v>
      </c>
      <c r="EW13" s="4">
        <f t="shared" si="88"/>
        <v>0</v>
      </c>
      <c r="EX13" s="4">
        <f t="shared" si="88"/>
        <v>0</v>
      </c>
      <c r="EY13" s="4">
        <f t="shared" si="88"/>
        <v>0</v>
      </c>
      <c r="EZ13" s="4">
        <f t="shared" si="88"/>
        <v>0</v>
      </c>
      <c r="FA13" s="4">
        <f t="shared" si="88"/>
        <v>0</v>
      </c>
      <c r="FB13" s="4">
        <f t="shared" si="88"/>
        <v>0</v>
      </c>
      <c r="FC13" s="4">
        <f t="shared" si="88"/>
        <v>0</v>
      </c>
      <c r="FD13" s="4">
        <f t="shared" si="88"/>
        <v>0</v>
      </c>
      <c r="FE13" s="4">
        <f t="shared" si="88"/>
        <v>0</v>
      </c>
      <c r="FF13" s="4">
        <f t="shared" si="4"/>
        <v>0</v>
      </c>
      <c r="FG13" s="4">
        <f t="shared" si="5"/>
        <v>0</v>
      </c>
      <c r="FH13" s="4">
        <f t="shared" si="6"/>
        <v>0</v>
      </c>
      <c r="FI13" s="4">
        <f t="shared" si="7"/>
        <v>0</v>
      </c>
      <c r="FJ13" s="4">
        <f t="shared" si="8"/>
        <v>0</v>
      </c>
      <c r="FK13" s="4">
        <f t="shared" si="9"/>
        <v>0</v>
      </c>
      <c r="FL13" s="4">
        <f t="shared" si="10"/>
        <v>0</v>
      </c>
      <c r="FM13" s="4">
        <f t="shared" si="11"/>
        <v>0</v>
      </c>
      <c r="FN13" s="4">
        <f t="shared" si="12"/>
        <v>0</v>
      </c>
      <c r="FO13" s="4">
        <f t="shared" si="13"/>
        <v>0</v>
      </c>
      <c r="FP13" s="4">
        <f t="shared" si="14"/>
        <v>0</v>
      </c>
      <c r="FQ13" s="4">
        <f t="shared" si="15"/>
        <v>0</v>
      </c>
      <c r="FR13" s="4">
        <f t="shared" si="16"/>
        <v>0</v>
      </c>
      <c r="FS13" s="4">
        <f t="shared" si="17"/>
        <v>0</v>
      </c>
      <c r="FT13" s="4">
        <f t="shared" si="18"/>
        <v>0</v>
      </c>
      <c r="FU13" s="4">
        <f t="shared" si="19"/>
        <v>0</v>
      </c>
      <c r="FV13" s="4">
        <f t="shared" si="20"/>
        <v>0</v>
      </c>
      <c r="FW13" s="4">
        <f t="shared" si="21"/>
        <v>0</v>
      </c>
      <c r="FX13" s="4">
        <f t="shared" si="22"/>
        <v>0</v>
      </c>
      <c r="FY13" s="4">
        <f t="shared" si="23"/>
        <v>0</v>
      </c>
      <c r="FZ13" s="4">
        <f t="shared" si="24"/>
        <v>0</v>
      </c>
      <c r="GA13" s="4">
        <f t="shared" si="25"/>
        <v>0</v>
      </c>
      <c r="GB13" s="4">
        <f t="shared" si="26"/>
        <v>0</v>
      </c>
      <c r="GC13" s="4">
        <f t="shared" si="27"/>
        <v>0</v>
      </c>
      <c r="GD13" s="4">
        <f t="shared" si="28"/>
        <v>0</v>
      </c>
      <c r="GE13" s="4">
        <f t="shared" si="29"/>
        <v>0</v>
      </c>
      <c r="GF13" s="4">
        <f t="shared" si="30"/>
        <v>0</v>
      </c>
      <c r="GG13" s="4">
        <f t="shared" si="31"/>
        <v>0</v>
      </c>
      <c r="GH13" s="4">
        <f t="shared" si="32"/>
        <v>0</v>
      </c>
      <c r="GI13" s="4">
        <f t="shared" si="33"/>
        <v>0</v>
      </c>
      <c r="GJ13" s="4">
        <f t="shared" si="34"/>
        <v>0</v>
      </c>
      <c r="GK13" s="4">
        <f t="shared" si="35"/>
        <v>0</v>
      </c>
      <c r="GL13" s="4">
        <f t="shared" si="36"/>
        <v>0</v>
      </c>
      <c r="GM13" s="4">
        <f t="shared" si="37"/>
        <v>0</v>
      </c>
      <c r="GN13" s="4">
        <f t="shared" si="38"/>
        <v>0</v>
      </c>
      <c r="GO13" s="4">
        <f t="shared" si="39"/>
        <v>0</v>
      </c>
      <c r="GP13" s="4">
        <f t="shared" si="40"/>
        <v>0</v>
      </c>
      <c r="GQ13" s="4">
        <f t="shared" si="41"/>
        <v>0</v>
      </c>
      <c r="GR13" s="4">
        <f t="shared" si="42"/>
        <v>0</v>
      </c>
      <c r="GS13" s="4">
        <f t="shared" si="43"/>
        <v>0</v>
      </c>
      <c r="GT13" s="4">
        <f t="shared" si="44"/>
        <v>0</v>
      </c>
      <c r="GU13" s="4">
        <f t="shared" si="45"/>
        <v>0</v>
      </c>
      <c r="GV13" s="4">
        <f t="shared" si="46"/>
        <v>0</v>
      </c>
      <c r="GW13" s="4">
        <f t="shared" si="47"/>
        <v>0</v>
      </c>
      <c r="GX13" s="4">
        <f t="shared" si="48"/>
        <v>0</v>
      </c>
      <c r="GY13" s="4">
        <f t="shared" si="49"/>
        <v>0</v>
      </c>
      <c r="GZ13" s="4">
        <f t="shared" si="50"/>
        <v>0</v>
      </c>
      <c r="HA13" s="4">
        <f t="shared" si="51"/>
        <v>0</v>
      </c>
      <c r="HB13" s="4">
        <f t="shared" si="52"/>
        <v>0</v>
      </c>
      <c r="HC13" s="4">
        <f t="shared" si="53"/>
        <v>0</v>
      </c>
    </row>
    <row r="14" spans="1:211">
      <c r="A14" t="s">
        <v>19</v>
      </c>
      <c r="B14" s="4">
        <f t="shared" ref="B14:BM14" si="89">C14</f>
        <v>9553.0492354023409</v>
      </c>
      <c r="C14" s="4">
        <f t="shared" si="89"/>
        <v>9553.0492354023409</v>
      </c>
      <c r="D14" s="4">
        <f t="shared" si="89"/>
        <v>9553.0492354023409</v>
      </c>
      <c r="E14" s="4">
        <f t="shared" si="89"/>
        <v>9553.0492354023409</v>
      </c>
      <c r="F14" s="4">
        <f t="shared" si="89"/>
        <v>9553.0492354023409</v>
      </c>
      <c r="G14" s="4">
        <f t="shared" si="89"/>
        <v>9553.0492354023409</v>
      </c>
      <c r="H14" s="4">
        <f t="shared" si="89"/>
        <v>9553.0492354023409</v>
      </c>
      <c r="I14" s="4">
        <f t="shared" si="89"/>
        <v>9553.0492354023409</v>
      </c>
      <c r="J14" s="4">
        <f t="shared" si="89"/>
        <v>9553.0492354023409</v>
      </c>
      <c r="K14" s="4">
        <f t="shared" si="89"/>
        <v>9553.0492354023409</v>
      </c>
      <c r="L14" s="4">
        <f t="shared" si="89"/>
        <v>9553.0492354023409</v>
      </c>
      <c r="M14" s="4">
        <f t="shared" si="89"/>
        <v>9553.0492354023409</v>
      </c>
      <c r="N14" s="4">
        <f t="shared" si="89"/>
        <v>9553.0492354023409</v>
      </c>
      <c r="O14" s="4">
        <f t="shared" si="89"/>
        <v>9553.0492354023409</v>
      </c>
      <c r="P14" s="4">
        <f t="shared" si="89"/>
        <v>9553.0492354023409</v>
      </c>
      <c r="Q14" s="4">
        <f t="shared" si="89"/>
        <v>9553.0492354023409</v>
      </c>
      <c r="R14" s="4">
        <f t="shared" si="89"/>
        <v>9553.0492354023409</v>
      </c>
      <c r="S14" s="4">
        <f t="shared" si="89"/>
        <v>9553.0492354023409</v>
      </c>
      <c r="T14" s="4">
        <f t="shared" si="89"/>
        <v>9553.0492354023409</v>
      </c>
      <c r="U14" s="4">
        <f t="shared" si="89"/>
        <v>9553.0492354023409</v>
      </c>
      <c r="V14" s="4">
        <f t="shared" si="89"/>
        <v>9553.0492354023409</v>
      </c>
      <c r="W14" s="4">
        <f t="shared" si="89"/>
        <v>9553.0492354023409</v>
      </c>
      <c r="X14" s="4">
        <f t="shared" si="89"/>
        <v>9553.0492354023409</v>
      </c>
      <c r="Y14" s="4">
        <f t="shared" si="89"/>
        <v>9553.0492354023409</v>
      </c>
      <c r="Z14" s="4">
        <f t="shared" si="89"/>
        <v>9553.0492354023409</v>
      </c>
      <c r="AA14" s="4">
        <f t="shared" si="89"/>
        <v>9553.0492354023409</v>
      </c>
      <c r="AB14" s="4">
        <f t="shared" si="89"/>
        <v>9553.0492354023409</v>
      </c>
      <c r="AC14" s="4">
        <f t="shared" si="89"/>
        <v>9553.0492354023409</v>
      </c>
      <c r="AD14" s="4">
        <f t="shared" si="89"/>
        <v>9553.0492354023409</v>
      </c>
      <c r="AE14" s="4">
        <f t="shared" si="89"/>
        <v>9553.0492354023409</v>
      </c>
      <c r="AF14" s="4">
        <f t="shared" si="89"/>
        <v>9553.0492354023409</v>
      </c>
      <c r="AG14" s="4">
        <f t="shared" si="89"/>
        <v>9553.0492354023409</v>
      </c>
      <c r="AH14" s="4">
        <f t="shared" si="89"/>
        <v>9553.0492354023409</v>
      </c>
      <c r="AI14" s="4">
        <f t="shared" si="89"/>
        <v>9553.0492354023409</v>
      </c>
      <c r="AJ14" s="4">
        <f t="shared" si="89"/>
        <v>9553.0492354023409</v>
      </c>
      <c r="AK14" s="4">
        <f t="shared" si="89"/>
        <v>9553.0492354023409</v>
      </c>
      <c r="AL14" s="4">
        <f t="shared" si="89"/>
        <v>9553.0492354023409</v>
      </c>
      <c r="AM14" s="4">
        <f t="shared" si="89"/>
        <v>9553.0492354023409</v>
      </c>
      <c r="AN14" s="4">
        <f t="shared" si="89"/>
        <v>9553.0492354023409</v>
      </c>
      <c r="AO14" s="4">
        <f t="shared" si="89"/>
        <v>9553.0492354023409</v>
      </c>
      <c r="AP14" s="4">
        <f t="shared" si="89"/>
        <v>9553.0492354023409</v>
      </c>
      <c r="AQ14" s="4">
        <f t="shared" si="89"/>
        <v>9553.0492354023409</v>
      </c>
      <c r="AR14" s="4">
        <f t="shared" si="89"/>
        <v>9553.0492354023409</v>
      </c>
      <c r="AS14" s="4">
        <f t="shared" si="89"/>
        <v>9553.0492354023409</v>
      </c>
      <c r="AT14" s="4">
        <f t="shared" si="89"/>
        <v>9553.0492354023409</v>
      </c>
      <c r="AU14" s="4">
        <f t="shared" si="89"/>
        <v>9553.0492354023409</v>
      </c>
      <c r="AV14" s="4">
        <f t="shared" si="89"/>
        <v>9553.0492354023409</v>
      </c>
      <c r="AW14" s="4">
        <f t="shared" si="89"/>
        <v>9553.0492354023409</v>
      </c>
      <c r="AX14" s="4">
        <f t="shared" si="89"/>
        <v>9553.0492354023409</v>
      </c>
      <c r="AY14" s="4">
        <f t="shared" si="89"/>
        <v>9553.0492354023409</v>
      </c>
      <c r="AZ14" s="4">
        <f t="shared" si="89"/>
        <v>9553.0492354023409</v>
      </c>
      <c r="BA14" s="4">
        <f t="shared" si="89"/>
        <v>9553.0492354023409</v>
      </c>
      <c r="BB14" s="4">
        <f t="shared" si="89"/>
        <v>9553.0492354023409</v>
      </c>
      <c r="BC14" s="4">
        <f t="shared" si="89"/>
        <v>9553.0492354023409</v>
      </c>
      <c r="BD14" s="4">
        <f t="shared" si="89"/>
        <v>9553.0492354023409</v>
      </c>
      <c r="BE14" s="4">
        <f t="shared" si="89"/>
        <v>9553.0492354023409</v>
      </c>
      <c r="BF14" s="4">
        <f t="shared" si="89"/>
        <v>9553.0492354023409</v>
      </c>
      <c r="BG14" s="4">
        <f t="shared" si="89"/>
        <v>9553.0492354023409</v>
      </c>
      <c r="BH14" s="4">
        <f t="shared" si="89"/>
        <v>9553.0492354023409</v>
      </c>
      <c r="BI14" s="4">
        <f t="shared" si="89"/>
        <v>9553.0492354023409</v>
      </c>
      <c r="BJ14" s="4">
        <f t="shared" si="89"/>
        <v>9553.0492354023409</v>
      </c>
      <c r="BK14" s="4">
        <f t="shared" si="89"/>
        <v>9553.0492354023409</v>
      </c>
      <c r="BL14" s="4">
        <f t="shared" si="89"/>
        <v>9553.0492354023409</v>
      </c>
      <c r="BM14" s="4">
        <f t="shared" si="89"/>
        <v>9553.0492354023409</v>
      </c>
      <c r="BN14" s="4">
        <f t="shared" ref="BN14:DY14" si="90">BO14</f>
        <v>9553.0492354023409</v>
      </c>
      <c r="BO14" s="4">
        <f t="shared" si="90"/>
        <v>9553.0492354023409</v>
      </c>
      <c r="BP14" s="4">
        <f t="shared" si="90"/>
        <v>9553.0492354023409</v>
      </c>
      <c r="BQ14" s="4">
        <f t="shared" si="90"/>
        <v>9553.0492354023409</v>
      </c>
      <c r="BR14" s="4">
        <f t="shared" si="90"/>
        <v>9553.0492354023409</v>
      </c>
      <c r="BS14" s="4">
        <f t="shared" si="90"/>
        <v>9553.0492354023409</v>
      </c>
      <c r="BT14" s="4">
        <f t="shared" si="90"/>
        <v>9553.0492354023409</v>
      </c>
      <c r="BU14" s="4">
        <f t="shared" si="90"/>
        <v>9553.0492354023409</v>
      </c>
      <c r="BV14" s="4">
        <f t="shared" si="90"/>
        <v>9553.0492354023409</v>
      </c>
      <c r="BW14" s="4">
        <f t="shared" si="90"/>
        <v>9553.0492354023409</v>
      </c>
      <c r="BX14" s="4">
        <f t="shared" si="90"/>
        <v>9553.0492354023409</v>
      </c>
      <c r="BY14" s="4">
        <f t="shared" si="90"/>
        <v>9553.0492354023409</v>
      </c>
      <c r="BZ14" s="4">
        <f t="shared" si="90"/>
        <v>9553.0492354023409</v>
      </c>
      <c r="CA14" s="4">
        <f t="shared" si="90"/>
        <v>9553.0492354023409</v>
      </c>
      <c r="CB14" s="4">
        <f t="shared" si="90"/>
        <v>9553.0492354023409</v>
      </c>
      <c r="CC14" s="4">
        <f t="shared" si="90"/>
        <v>9553.0492354023409</v>
      </c>
      <c r="CD14" s="4">
        <f t="shared" si="90"/>
        <v>9553.0492354023409</v>
      </c>
      <c r="CE14" s="4">
        <f t="shared" si="90"/>
        <v>9553.0492354023409</v>
      </c>
      <c r="CF14" s="4">
        <f t="shared" si="90"/>
        <v>9553.0492354023409</v>
      </c>
      <c r="CG14" s="4">
        <f t="shared" si="90"/>
        <v>9553.0492354023409</v>
      </c>
      <c r="CH14" s="4">
        <f t="shared" si="90"/>
        <v>9553.0492354023409</v>
      </c>
      <c r="CI14" s="4">
        <f t="shared" si="90"/>
        <v>9553.0492354023409</v>
      </c>
      <c r="CJ14" s="4">
        <f t="shared" si="90"/>
        <v>9553.0492354023409</v>
      </c>
      <c r="CK14" s="4">
        <f t="shared" si="90"/>
        <v>9553.0492354023409</v>
      </c>
      <c r="CL14" s="4">
        <f t="shared" si="90"/>
        <v>9553.0492354023409</v>
      </c>
      <c r="CM14" s="4">
        <f t="shared" si="90"/>
        <v>9553.0492354023409</v>
      </c>
      <c r="CN14" s="4">
        <f t="shared" si="90"/>
        <v>9553.0492354023409</v>
      </c>
      <c r="CO14" s="4">
        <f t="shared" si="90"/>
        <v>9553.0492354023409</v>
      </c>
      <c r="CP14" s="4">
        <f t="shared" si="90"/>
        <v>9553.0492354023409</v>
      </c>
      <c r="CQ14" s="4">
        <f t="shared" si="90"/>
        <v>9553.0492354023409</v>
      </c>
      <c r="CR14" s="4">
        <f t="shared" si="90"/>
        <v>9553.0492354023409</v>
      </c>
      <c r="CS14" s="4">
        <f t="shared" si="90"/>
        <v>9553.0492354023409</v>
      </c>
      <c r="CT14" s="4">
        <f t="shared" si="90"/>
        <v>9553.0492354023409</v>
      </c>
      <c r="CU14" s="4">
        <f t="shared" si="90"/>
        <v>9553.0492354023409</v>
      </c>
      <c r="CV14" s="4">
        <f t="shared" si="90"/>
        <v>9553.0492354023409</v>
      </c>
      <c r="CW14" s="4">
        <f t="shared" si="90"/>
        <v>9553.0492354023409</v>
      </c>
      <c r="CX14" s="4">
        <f t="shared" si="90"/>
        <v>9553.0492354023409</v>
      </c>
      <c r="CY14" s="4">
        <f t="shared" si="90"/>
        <v>9553.0492354023409</v>
      </c>
      <c r="CZ14" s="4">
        <f t="shared" si="90"/>
        <v>9553.0492354023409</v>
      </c>
      <c r="DA14" s="4">
        <f t="shared" si="90"/>
        <v>9553.0492354023409</v>
      </c>
      <c r="DB14" s="4">
        <f t="shared" si="90"/>
        <v>9553.0492354023409</v>
      </c>
      <c r="DC14" s="4">
        <f t="shared" si="90"/>
        <v>9553.0492354023409</v>
      </c>
      <c r="DD14" s="4">
        <f t="shared" si="90"/>
        <v>9553.0492354023409</v>
      </c>
      <c r="DE14" s="4">
        <f t="shared" si="90"/>
        <v>9553.0492354023409</v>
      </c>
      <c r="DF14" s="4">
        <f t="shared" si="90"/>
        <v>9553.0492354023409</v>
      </c>
      <c r="DG14" s="4">
        <f t="shared" si="90"/>
        <v>9553.0492354023409</v>
      </c>
      <c r="DH14" s="4">
        <f t="shared" si="90"/>
        <v>9553.0492354023409</v>
      </c>
      <c r="DI14" s="4">
        <f t="shared" si="90"/>
        <v>9553.0492354023409</v>
      </c>
      <c r="DJ14" s="4">
        <f t="shared" si="90"/>
        <v>9553.0492354023409</v>
      </c>
      <c r="DK14" s="4">
        <f t="shared" si="90"/>
        <v>9553.0492354023409</v>
      </c>
      <c r="DL14" s="4">
        <f t="shared" si="90"/>
        <v>9553.0492354023409</v>
      </c>
      <c r="DM14" s="4">
        <f t="shared" si="90"/>
        <v>9553.0492354023409</v>
      </c>
      <c r="DN14" s="4">
        <f t="shared" si="90"/>
        <v>9553.0492354023409</v>
      </c>
      <c r="DO14" s="4">
        <f t="shared" si="90"/>
        <v>9553.0492354023409</v>
      </c>
      <c r="DP14" s="4">
        <f t="shared" si="90"/>
        <v>9553.0492354023409</v>
      </c>
      <c r="DQ14" s="4">
        <f t="shared" si="90"/>
        <v>9553.0492354023409</v>
      </c>
      <c r="DR14" s="4">
        <f t="shared" si="90"/>
        <v>9553.0492354023409</v>
      </c>
      <c r="DS14" s="4">
        <f t="shared" si="90"/>
        <v>9553.0492354023409</v>
      </c>
      <c r="DT14" s="4">
        <f t="shared" si="90"/>
        <v>9553.0492354023409</v>
      </c>
      <c r="DU14" s="4">
        <f t="shared" si="90"/>
        <v>9553.0492354023409</v>
      </c>
      <c r="DV14" s="4">
        <f t="shared" si="90"/>
        <v>9553.0492354023409</v>
      </c>
      <c r="DW14" s="4">
        <f t="shared" si="90"/>
        <v>9553.0492354023409</v>
      </c>
      <c r="DX14" s="4">
        <f t="shared" si="90"/>
        <v>9553.0492354023409</v>
      </c>
      <c r="DY14" s="4">
        <f t="shared" si="90"/>
        <v>9553.0492354023409</v>
      </c>
      <c r="DZ14" s="4">
        <f t="shared" si="56"/>
        <v>9553.0492354023409</v>
      </c>
      <c r="EA14" s="4">
        <f t="shared" si="56"/>
        <v>9553.0492354023409</v>
      </c>
      <c r="EB14" s="4">
        <f>'CCaMC-ACAPEXpUC US'!D14/'CCaMC-BCCpUC US'!B14*'CCaMC-BCCpUC'!B14</f>
        <v>9553.0492354023409</v>
      </c>
      <c r="EC14" s="4">
        <f t="shared" si="57"/>
        <v>9553.0492354023409</v>
      </c>
      <c r="ED14" s="4">
        <f t="shared" si="57"/>
        <v>9553.0492354023409</v>
      </c>
      <c r="EE14" s="4">
        <f t="shared" si="57"/>
        <v>9553.0492354023409</v>
      </c>
      <c r="EF14" s="4">
        <f t="shared" si="57"/>
        <v>9553.0492354023409</v>
      </c>
      <c r="EG14" s="4">
        <f t="shared" si="57"/>
        <v>9553.0492354023409</v>
      </c>
      <c r="EH14" s="4">
        <f t="shared" si="57"/>
        <v>9553.0492354023409</v>
      </c>
      <c r="EI14" s="4">
        <f t="shared" si="57"/>
        <v>9553.0492354023409</v>
      </c>
      <c r="EJ14" s="4">
        <f t="shared" si="57"/>
        <v>9553.0492354023409</v>
      </c>
      <c r="EK14" s="4">
        <f t="shared" si="57"/>
        <v>9553.0492354023409</v>
      </c>
      <c r="EL14" s="4">
        <f t="shared" si="57"/>
        <v>9553.0492354023409</v>
      </c>
      <c r="EM14" s="4">
        <f t="shared" ref="EM14:FE14" si="91">EL14</f>
        <v>9553.0492354023409</v>
      </c>
      <c r="EN14" s="4">
        <f t="shared" si="91"/>
        <v>9553.0492354023409</v>
      </c>
      <c r="EO14" s="4">
        <f t="shared" si="91"/>
        <v>9553.0492354023409</v>
      </c>
      <c r="EP14" s="4">
        <f t="shared" si="91"/>
        <v>9553.0492354023409</v>
      </c>
      <c r="EQ14" s="4">
        <f t="shared" si="91"/>
        <v>9553.0492354023409</v>
      </c>
      <c r="ER14" s="4">
        <f t="shared" si="91"/>
        <v>9553.0492354023409</v>
      </c>
      <c r="ES14" s="4">
        <f t="shared" si="91"/>
        <v>9553.0492354023409</v>
      </c>
      <c r="ET14" s="4">
        <f t="shared" si="91"/>
        <v>9553.0492354023409</v>
      </c>
      <c r="EU14" s="4">
        <f t="shared" si="91"/>
        <v>9553.0492354023409</v>
      </c>
      <c r="EV14" s="4">
        <f t="shared" si="91"/>
        <v>9553.0492354023409</v>
      </c>
      <c r="EW14" s="4">
        <f t="shared" si="91"/>
        <v>9553.0492354023409</v>
      </c>
      <c r="EX14" s="4">
        <f t="shared" si="91"/>
        <v>9553.0492354023409</v>
      </c>
      <c r="EY14" s="4">
        <f t="shared" si="91"/>
        <v>9553.0492354023409</v>
      </c>
      <c r="EZ14" s="4">
        <f t="shared" si="91"/>
        <v>9553.0492354023409</v>
      </c>
      <c r="FA14" s="4">
        <f t="shared" si="91"/>
        <v>9553.0492354023409</v>
      </c>
      <c r="FB14" s="4">
        <f t="shared" si="91"/>
        <v>9553.0492354023409</v>
      </c>
      <c r="FC14" s="4">
        <f t="shared" si="91"/>
        <v>9553.0492354023409</v>
      </c>
      <c r="FD14" s="4">
        <f t="shared" si="91"/>
        <v>9553.0492354023409</v>
      </c>
      <c r="FE14" s="4">
        <f t="shared" si="91"/>
        <v>9553.0492354023409</v>
      </c>
      <c r="FF14" s="4">
        <f t="shared" si="4"/>
        <v>9553.0492354023409</v>
      </c>
      <c r="FG14" s="4">
        <f t="shared" si="5"/>
        <v>9553.0492354023409</v>
      </c>
      <c r="FH14" s="4">
        <f t="shared" si="6"/>
        <v>9553.0492354023409</v>
      </c>
      <c r="FI14" s="4">
        <f t="shared" si="7"/>
        <v>9553.0492354023409</v>
      </c>
      <c r="FJ14" s="4">
        <f t="shared" si="8"/>
        <v>9553.0492354023409</v>
      </c>
      <c r="FK14" s="4">
        <f t="shared" si="9"/>
        <v>9553.0492354023409</v>
      </c>
      <c r="FL14" s="4">
        <f t="shared" si="10"/>
        <v>9553.0492354023409</v>
      </c>
      <c r="FM14" s="4">
        <f t="shared" si="11"/>
        <v>9553.0492354023409</v>
      </c>
      <c r="FN14" s="4">
        <f t="shared" si="12"/>
        <v>9553.0492354023409</v>
      </c>
      <c r="FO14" s="4">
        <f t="shared" si="13"/>
        <v>9553.0492354023409</v>
      </c>
      <c r="FP14" s="4">
        <f t="shared" si="14"/>
        <v>9553.0492354023409</v>
      </c>
      <c r="FQ14" s="4">
        <f t="shared" si="15"/>
        <v>9553.0492354023409</v>
      </c>
      <c r="FR14" s="4">
        <f t="shared" si="16"/>
        <v>9553.0492354023409</v>
      </c>
      <c r="FS14" s="4">
        <f t="shared" si="17"/>
        <v>9553.0492354023409</v>
      </c>
      <c r="FT14" s="4">
        <f t="shared" si="18"/>
        <v>9553.0492354023409</v>
      </c>
      <c r="FU14" s="4">
        <f t="shared" si="19"/>
        <v>9553.0492354023409</v>
      </c>
      <c r="FV14" s="4">
        <f t="shared" si="20"/>
        <v>9553.0492354023409</v>
      </c>
      <c r="FW14" s="4">
        <f t="shared" si="21"/>
        <v>9553.0492354023409</v>
      </c>
      <c r="FX14" s="4">
        <f t="shared" si="22"/>
        <v>9553.0492354023409</v>
      </c>
      <c r="FY14" s="4">
        <f t="shared" si="23"/>
        <v>9553.0492354023409</v>
      </c>
      <c r="FZ14" s="4">
        <f t="shared" si="24"/>
        <v>9553.0492354023409</v>
      </c>
      <c r="GA14" s="4">
        <f t="shared" si="25"/>
        <v>9553.0492354023409</v>
      </c>
      <c r="GB14" s="4">
        <f t="shared" si="26"/>
        <v>9553.0492354023409</v>
      </c>
      <c r="GC14" s="4">
        <f t="shared" si="27"/>
        <v>9553.0492354023409</v>
      </c>
      <c r="GD14" s="4">
        <f t="shared" si="28"/>
        <v>9553.0492354023409</v>
      </c>
      <c r="GE14" s="4">
        <f t="shared" si="29"/>
        <v>9553.0492354023409</v>
      </c>
      <c r="GF14" s="4">
        <f t="shared" si="30"/>
        <v>9553.0492354023409</v>
      </c>
      <c r="GG14" s="4">
        <f t="shared" si="31"/>
        <v>9553.0492354023409</v>
      </c>
      <c r="GH14" s="4">
        <f t="shared" si="32"/>
        <v>9553.0492354023409</v>
      </c>
      <c r="GI14" s="4">
        <f t="shared" si="33"/>
        <v>9553.0492354023409</v>
      </c>
      <c r="GJ14" s="4">
        <f t="shared" si="34"/>
        <v>9553.0492354023409</v>
      </c>
      <c r="GK14" s="4">
        <f t="shared" si="35"/>
        <v>9553.0492354023409</v>
      </c>
      <c r="GL14" s="4">
        <f t="shared" si="36"/>
        <v>9553.0492354023409</v>
      </c>
      <c r="GM14" s="4">
        <f t="shared" si="37"/>
        <v>9553.0492354023409</v>
      </c>
      <c r="GN14" s="4">
        <f t="shared" si="38"/>
        <v>9553.0492354023409</v>
      </c>
      <c r="GO14" s="4">
        <f t="shared" si="39"/>
        <v>9553.0492354023409</v>
      </c>
      <c r="GP14" s="4">
        <f t="shared" si="40"/>
        <v>9553.0492354023409</v>
      </c>
      <c r="GQ14" s="4">
        <f t="shared" si="41"/>
        <v>9553.0492354023409</v>
      </c>
      <c r="GR14" s="4">
        <f t="shared" si="42"/>
        <v>9553.0492354023409</v>
      </c>
      <c r="GS14" s="4">
        <f t="shared" si="43"/>
        <v>9553.0492354023409</v>
      </c>
      <c r="GT14" s="4">
        <f t="shared" si="44"/>
        <v>9553.0492354023409</v>
      </c>
      <c r="GU14" s="4">
        <f t="shared" si="45"/>
        <v>9553.0492354023409</v>
      </c>
      <c r="GV14" s="4">
        <f t="shared" si="46"/>
        <v>9553.0492354023409</v>
      </c>
      <c r="GW14" s="4">
        <f t="shared" si="47"/>
        <v>9553.0492354023409</v>
      </c>
      <c r="GX14" s="4">
        <f t="shared" si="48"/>
        <v>9553.0492354023409</v>
      </c>
      <c r="GY14" s="4">
        <f t="shared" si="49"/>
        <v>9553.0492354023409</v>
      </c>
      <c r="GZ14" s="4">
        <f t="shared" si="50"/>
        <v>9553.0492354023409</v>
      </c>
      <c r="HA14" s="4">
        <f t="shared" si="51"/>
        <v>9553.0492354023409</v>
      </c>
      <c r="HB14" s="4">
        <f t="shared" si="52"/>
        <v>9553.0492354023409</v>
      </c>
      <c r="HC14" s="4">
        <f t="shared" si="53"/>
        <v>9553.0492354023409</v>
      </c>
    </row>
    <row r="15" spans="1:211">
      <c r="A15" t="s">
        <v>17</v>
      </c>
      <c r="B15" s="4">
        <f t="shared" ref="B15:BM15" si="92">C15</f>
        <v>0</v>
      </c>
      <c r="C15" s="4">
        <f t="shared" si="92"/>
        <v>0</v>
      </c>
      <c r="D15" s="4">
        <f t="shared" si="92"/>
        <v>0</v>
      </c>
      <c r="E15" s="4">
        <f t="shared" si="92"/>
        <v>0</v>
      </c>
      <c r="F15" s="4">
        <f t="shared" si="92"/>
        <v>0</v>
      </c>
      <c r="G15" s="4">
        <f t="shared" si="92"/>
        <v>0</v>
      </c>
      <c r="H15" s="4">
        <f t="shared" si="92"/>
        <v>0</v>
      </c>
      <c r="I15" s="4">
        <f t="shared" si="92"/>
        <v>0</v>
      </c>
      <c r="J15" s="4">
        <f t="shared" si="92"/>
        <v>0</v>
      </c>
      <c r="K15" s="4">
        <f t="shared" si="92"/>
        <v>0</v>
      </c>
      <c r="L15" s="4">
        <f t="shared" si="92"/>
        <v>0</v>
      </c>
      <c r="M15" s="4">
        <f t="shared" si="92"/>
        <v>0</v>
      </c>
      <c r="N15" s="4">
        <f t="shared" si="92"/>
        <v>0</v>
      </c>
      <c r="O15" s="4">
        <f t="shared" si="92"/>
        <v>0</v>
      </c>
      <c r="P15" s="4">
        <f t="shared" si="92"/>
        <v>0</v>
      </c>
      <c r="Q15" s="4">
        <f t="shared" si="92"/>
        <v>0</v>
      </c>
      <c r="R15" s="4">
        <f t="shared" si="92"/>
        <v>0</v>
      </c>
      <c r="S15" s="4">
        <f t="shared" si="92"/>
        <v>0</v>
      </c>
      <c r="T15" s="4">
        <f t="shared" si="92"/>
        <v>0</v>
      </c>
      <c r="U15" s="4">
        <f t="shared" si="92"/>
        <v>0</v>
      </c>
      <c r="V15" s="4">
        <f t="shared" si="92"/>
        <v>0</v>
      </c>
      <c r="W15" s="4">
        <f t="shared" si="92"/>
        <v>0</v>
      </c>
      <c r="X15" s="4">
        <f t="shared" si="92"/>
        <v>0</v>
      </c>
      <c r="Y15" s="4">
        <f t="shared" si="92"/>
        <v>0</v>
      </c>
      <c r="Z15" s="4">
        <f t="shared" si="92"/>
        <v>0</v>
      </c>
      <c r="AA15" s="4">
        <f t="shared" si="92"/>
        <v>0</v>
      </c>
      <c r="AB15" s="4">
        <f t="shared" si="92"/>
        <v>0</v>
      </c>
      <c r="AC15" s="4">
        <f t="shared" si="92"/>
        <v>0</v>
      </c>
      <c r="AD15" s="4">
        <f t="shared" si="92"/>
        <v>0</v>
      </c>
      <c r="AE15" s="4">
        <f t="shared" si="92"/>
        <v>0</v>
      </c>
      <c r="AF15" s="4">
        <f t="shared" si="92"/>
        <v>0</v>
      </c>
      <c r="AG15" s="4">
        <f t="shared" si="92"/>
        <v>0</v>
      </c>
      <c r="AH15" s="4">
        <f t="shared" si="92"/>
        <v>0</v>
      </c>
      <c r="AI15" s="4">
        <f t="shared" si="92"/>
        <v>0</v>
      </c>
      <c r="AJ15" s="4">
        <f t="shared" si="92"/>
        <v>0</v>
      </c>
      <c r="AK15" s="4">
        <f t="shared" si="92"/>
        <v>0</v>
      </c>
      <c r="AL15" s="4">
        <f t="shared" si="92"/>
        <v>0</v>
      </c>
      <c r="AM15" s="4">
        <f t="shared" si="92"/>
        <v>0</v>
      </c>
      <c r="AN15" s="4">
        <f t="shared" si="92"/>
        <v>0</v>
      </c>
      <c r="AO15" s="4">
        <f t="shared" si="92"/>
        <v>0</v>
      </c>
      <c r="AP15" s="4">
        <f t="shared" si="92"/>
        <v>0</v>
      </c>
      <c r="AQ15" s="4">
        <f t="shared" si="92"/>
        <v>0</v>
      </c>
      <c r="AR15" s="4">
        <f t="shared" si="92"/>
        <v>0</v>
      </c>
      <c r="AS15" s="4">
        <f t="shared" si="92"/>
        <v>0</v>
      </c>
      <c r="AT15" s="4">
        <f t="shared" si="92"/>
        <v>0</v>
      </c>
      <c r="AU15" s="4">
        <f t="shared" si="92"/>
        <v>0</v>
      </c>
      <c r="AV15" s="4">
        <f t="shared" si="92"/>
        <v>0</v>
      </c>
      <c r="AW15" s="4">
        <f t="shared" si="92"/>
        <v>0</v>
      </c>
      <c r="AX15" s="4">
        <f t="shared" si="92"/>
        <v>0</v>
      </c>
      <c r="AY15" s="4">
        <f t="shared" si="92"/>
        <v>0</v>
      </c>
      <c r="AZ15" s="4">
        <f t="shared" si="92"/>
        <v>0</v>
      </c>
      <c r="BA15" s="4">
        <f t="shared" si="92"/>
        <v>0</v>
      </c>
      <c r="BB15" s="4">
        <f t="shared" si="92"/>
        <v>0</v>
      </c>
      <c r="BC15" s="4">
        <f t="shared" si="92"/>
        <v>0</v>
      </c>
      <c r="BD15" s="4">
        <f t="shared" si="92"/>
        <v>0</v>
      </c>
      <c r="BE15" s="4">
        <f t="shared" si="92"/>
        <v>0</v>
      </c>
      <c r="BF15" s="4">
        <f t="shared" si="92"/>
        <v>0</v>
      </c>
      <c r="BG15" s="4">
        <f t="shared" si="92"/>
        <v>0</v>
      </c>
      <c r="BH15" s="4">
        <f t="shared" si="92"/>
        <v>0</v>
      </c>
      <c r="BI15" s="4">
        <f t="shared" si="92"/>
        <v>0</v>
      </c>
      <c r="BJ15" s="4">
        <f t="shared" si="92"/>
        <v>0</v>
      </c>
      <c r="BK15" s="4">
        <f t="shared" si="92"/>
        <v>0</v>
      </c>
      <c r="BL15" s="4">
        <f t="shared" si="92"/>
        <v>0</v>
      </c>
      <c r="BM15" s="4">
        <f t="shared" si="92"/>
        <v>0</v>
      </c>
      <c r="BN15" s="4">
        <f t="shared" ref="BN15:DY15" si="93">BO15</f>
        <v>0</v>
      </c>
      <c r="BO15" s="4">
        <f t="shared" si="93"/>
        <v>0</v>
      </c>
      <c r="BP15" s="4">
        <f t="shared" si="93"/>
        <v>0</v>
      </c>
      <c r="BQ15" s="4">
        <f t="shared" si="93"/>
        <v>0</v>
      </c>
      <c r="BR15" s="4">
        <f t="shared" si="93"/>
        <v>0</v>
      </c>
      <c r="BS15" s="4">
        <f t="shared" si="93"/>
        <v>0</v>
      </c>
      <c r="BT15" s="4">
        <f t="shared" si="93"/>
        <v>0</v>
      </c>
      <c r="BU15" s="4">
        <f t="shared" si="93"/>
        <v>0</v>
      </c>
      <c r="BV15" s="4">
        <f t="shared" si="93"/>
        <v>0</v>
      </c>
      <c r="BW15" s="4">
        <f t="shared" si="93"/>
        <v>0</v>
      </c>
      <c r="BX15" s="4">
        <f t="shared" si="93"/>
        <v>0</v>
      </c>
      <c r="BY15" s="4">
        <f t="shared" si="93"/>
        <v>0</v>
      </c>
      <c r="BZ15" s="4">
        <f t="shared" si="93"/>
        <v>0</v>
      </c>
      <c r="CA15" s="4">
        <f t="shared" si="93"/>
        <v>0</v>
      </c>
      <c r="CB15" s="4">
        <f t="shared" si="93"/>
        <v>0</v>
      </c>
      <c r="CC15" s="4">
        <f t="shared" si="93"/>
        <v>0</v>
      </c>
      <c r="CD15" s="4">
        <f t="shared" si="93"/>
        <v>0</v>
      </c>
      <c r="CE15" s="4">
        <f t="shared" si="93"/>
        <v>0</v>
      </c>
      <c r="CF15" s="4">
        <f t="shared" si="93"/>
        <v>0</v>
      </c>
      <c r="CG15" s="4">
        <f t="shared" si="93"/>
        <v>0</v>
      </c>
      <c r="CH15" s="4">
        <f t="shared" si="93"/>
        <v>0</v>
      </c>
      <c r="CI15" s="4">
        <f t="shared" si="93"/>
        <v>0</v>
      </c>
      <c r="CJ15" s="4">
        <f t="shared" si="93"/>
        <v>0</v>
      </c>
      <c r="CK15" s="4">
        <f t="shared" si="93"/>
        <v>0</v>
      </c>
      <c r="CL15" s="4">
        <f t="shared" si="93"/>
        <v>0</v>
      </c>
      <c r="CM15" s="4">
        <f t="shared" si="93"/>
        <v>0</v>
      </c>
      <c r="CN15" s="4">
        <f t="shared" si="93"/>
        <v>0</v>
      </c>
      <c r="CO15" s="4">
        <f t="shared" si="93"/>
        <v>0</v>
      </c>
      <c r="CP15" s="4">
        <f t="shared" si="93"/>
        <v>0</v>
      </c>
      <c r="CQ15" s="4">
        <f t="shared" si="93"/>
        <v>0</v>
      </c>
      <c r="CR15" s="4">
        <f t="shared" si="93"/>
        <v>0</v>
      </c>
      <c r="CS15" s="4">
        <f t="shared" si="93"/>
        <v>0</v>
      </c>
      <c r="CT15" s="4">
        <f t="shared" si="93"/>
        <v>0</v>
      </c>
      <c r="CU15" s="4">
        <f t="shared" si="93"/>
        <v>0</v>
      </c>
      <c r="CV15" s="4">
        <f t="shared" si="93"/>
        <v>0</v>
      </c>
      <c r="CW15" s="4">
        <f t="shared" si="93"/>
        <v>0</v>
      </c>
      <c r="CX15" s="4">
        <f t="shared" si="93"/>
        <v>0</v>
      </c>
      <c r="CY15" s="4">
        <f t="shared" si="93"/>
        <v>0</v>
      </c>
      <c r="CZ15" s="4">
        <f t="shared" si="93"/>
        <v>0</v>
      </c>
      <c r="DA15" s="4">
        <f t="shared" si="93"/>
        <v>0</v>
      </c>
      <c r="DB15" s="4">
        <f t="shared" si="93"/>
        <v>0</v>
      </c>
      <c r="DC15" s="4">
        <f t="shared" si="93"/>
        <v>0</v>
      </c>
      <c r="DD15" s="4">
        <f t="shared" si="93"/>
        <v>0</v>
      </c>
      <c r="DE15" s="4">
        <f t="shared" si="93"/>
        <v>0</v>
      </c>
      <c r="DF15" s="4">
        <f t="shared" si="93"/>
        <v>0</v>
      </c>
      <c r="DG15" s="4">
        <f t="shared" si="93"/>
        <v>0</v>
      </c>
      <c r="DH15" s="4">
        <f t="shared" si="93"/>
        <v>0</v>
      </c>
      <c r="DI15" s="4">
        <f t="shared" si="93"/>
        <v>0</v>
      </c>
      <c r="DJ15" s="4">
        <f t="shared" si="93"/>
        <v>0</v>
      </c>
      <c r="DK15" s="4">
        <f t="shared" si="93"/>
        <v>0</v>
      </c>
      <c r="DL15" s="4">
        <f t="shared" si="93"/>
        <v>0</v>
      </c>
      <c r="DM15" s="4">
        <f t="shared" si="93"/>
        <v>0</v>
      </c>
      <c r="DN15" s="4">
        <f t="shared" si="93"/>
        <v>0</v>
      </c>
      <c r="DO15" s="4">
        <f t="shared" si="93"/>
        <v>0</v>
      </c>
      <c r="DP15" s="4">
        <f t="shared" si="93"/>
        <v>0</v>
      </c>
      <c r="DQ15" s="4">
        <f t="shared" si="93"/>
        <v>0</v>
      </c>
      <c r="DR15" s="4">
        <f t="shared" si="93"/>
        <v>0</v>
      </c>
      <c r="DS15" s="4">
        <f t="shared" si="93"/>
        <v>0</v>
      </c>
      <c r="DT15" s="4">
        <f t="shared" si="93"/>
        <v>0</v>
      </c>
      <c r="DU15" s="4">
        <f t="shared" si="93"/>
        <v>0</v>
      </c>
      <c r="DV15" s="4">
        <f t="shared" si="93"/>
        <v>0</v>
      </c>
      <c r="DW15" s="4">
        <f t="shared" si="93"/>
        <v>0</v>
      </c>
      <c r="DX15" s="4">
        <f t="shared" si="93"/>
        <v>0</v>
      </c>
      <c r="DY15" s="4">
        <f t="shared" si="93"/>
        <v>0</v>
      </c>
      <c r="DZ15" s="4">
        <f t="shared" si="56"/>
        <v>0</v>
      </c>
      <c r="EA15" s="4">
        <f t="shared" si="56"/>
        <v>0</v>
      </c>
      <c r="EB15" s="4">
        <f>'CCaMC-ACAPEXpUC US'!D15/'CCaMC-BCCpUC US'!B15*'CCaMC-BCCpUC'!B15</f>
        <v>0</v>
      </c>
      <c r="EC15" s="4">
        <f t="shared" si="57"/>
        <v>0</v>
      </c>
      <c r="ED15" s="4">
        <f t="shared" si="57"/>
        <v>0</v>
      </c>
      <c r="EE15" s="4">
        <f t="shared" si="57"/>
        <v>0</v>
      </c>
      <c r="EF15" s="4">
        <f t="shared" si="57"/>
        <v>0</v>
      </c>
      <c r="EG15" s="4">
        <f t="shared" si="57"/>
        <v>0</v>
      </c>
      <c r="EH15" s="4">
        <f t="shared" si="57"/>
        <v>0</v>
      </c>
      <c r="EI15" s="4">
        <f t="shared" si="57"/>
        <v>0</v>
      </c>
      <c r="EJ15" s="4">
        <f t="shared" si="57"/>
        <v>0</v>
      </c>
      <c r="EK15" s="4">
        <f t="shared" si="57"/>
        <v>0</v>
      </c>
      <c r="EL15" s="4">
        <f t="shared" si="57"/>
        <v>0</v>
      </c>
      <c r="EM15" s="4">
        <f t="shared" ref="EM15:FE15" si="94">EL15</f>
        <v>0</v>
      </c>
      <c r="EN15" s="4">
        <f t="shared" si="94"/>
        <v>0</v>
      </c>
      <c r="EO15" s="4">
        <f t="shared" si="94"/>
        <v>0</v>
      </c>
      <c r="EP15" s="4">
        <f t="shared" si="94"/>
        <v>0</v>
      </c>
      <c r="EQ15" s="4">
        <f t="shared" si="94"/>
        <v>0</v>
      </c>
      <c r="ER15" s="4">
        <f t="shared" si="94"/>
        <v>0</v>
      </c>
      <c r="ES15" s="4">
        <f t="shared" si="94"/>
        <v>0</v>
      </c>
      <c r="ET15" s="4">
        <f t="shared" si="94"/>
        <v>0</v>
      </c>
      <c r="EU15" s="4">
        <f t="shared" si="94"/>
        <v>0</v>
      </c>
      <c r="EV15" s="4">
        <f t="shared" si="94"/>
        <v>0</v>
      </c>
      <c r="EW15" s="4">
        <f t="shared" si="94"/>
        <v>0</v>
      </c>
      <c r="EX15" s="4">
        <f t="shared" si="94"/>
        <v>0</v>
      </c>
      <c r="EY15" s="4">
        <f t="shared" si="94"/>
        <v>0</v>
      </c>
      <c r="EZ15" s="4">
        <f t="shared" si="94"/>
        <v>0</v>
      </c>
      <c r="FA15" s="4">
        <f t="shared" si="94"/>
        <v>0</v>
      </c>
      <c r="FB15" s="4">
        <f t="shared" si="94"/>
        <v>0</v>
      </c>
      <c r="FC15" s="4">
        <f t="shared" si="94"/>
        <v>0</v>
      </c>
      <c r="FD15" s="4">
        <f t="shared" si="94"/>
        <v>0</v>
      </c>
      <c r="FE15" s="4">
        <f t="shared" si="94"/>
        <v>0</v>
      </c>
      <c r="FF15" s="4">
        <f t="shared" si="4"/>
        <v>0</v>
      </c>
      <c r="FG15" s="4">
        <f t="shared" si="5"/>
        <v>0</v>
      </c>
      <c r="FH15" s="4">
        <f t="shared" si="6"/>
        <v>0</v>
      </c>
      <c r="FI15" s="4">
        <f t="shared" si="7"/>
        <v>0</v>
      </c>
      <c r="FJ15" s="4">
        <f t="shared" si="8"/>
        <v>0</v>
      </c>
      <c r="FK15" s="4">
        <f t="shared" si="9"/>
        <v>0</v>
      </c>
      <c r="FL15" s="4">
        <f t="shared" si="10"/>
        <v>0</v>
      </c>
      <c r="FM15" s="4">
        <f t="shared" si="11"/>
        <v>0</v>
      </c>
      <c r="FN15" s="4">
        <f t="shared" si="12"/>
        <v>0</v>
      </c>
      <c r="FO15" s="4">
        <f t="shared" si="13"/>
        <v>0</v>
      </c>
      <c r="FP15" s="4">
        <f t="shared" si="14"/>
        <v>0</v>
      </c>
      <c r="FQ15" s="4">
        <f t="shared" si="15"/>
        <v>0</v>
      </c>
      <c r="FR15" s="4">
        <f t="shared" si="16"/>
        <v>0</v>
      </c>
      <c r="FS15" s="4">
        <f t="shared" si="17"/>
        <v>0</v>
      </c>
      <c r="FT15" s="4">
        <f t="shared" si="18"/>
        <v>0</v>
      </c>
      <c r="FU15" s="4">
        <f t="shared" si="19"/>
        <v>0</v>
      </c>
      <c r="FV15" s="4">
        <f t="shared" si="20"/>
        <v>0</v>
      </c>
      <c r="FW15" s="4">
        <f t="shared" si="21"/>
        <v>0</v>
      </c>
      <c r="FX15" s="4">
        <f t="shared" si="22"/>
        <v>0</v>
      </c>
      <c r="FY15" s="4">
        <f t="shared" si="23"/>
        <v>0</v>
      </c>
      <c r="FZ15" s="4">
        <f t="shared" si="24"/>
        <v>0</v>
      </c>
      <c r="GA15" s="4">
        <f t="shared" si="25"/>
        <v>0</v>
      </c>
      <c r="GB15" s="4">
        <f t="shared" si="26"/>
        <v>0</v>
      </c>
      <c r="GC15" s="4">
        <f t="shared" si="27"/>
        <v>0</v>
      </c>
      <c r="GD15" s="4">
        <f t="shared" si="28"/>
        <v>0</v>
      </c>
      <c r="GE15" s="4">
        <f t="shared" si="29"/>
        <v>0</v>
      </c>
      <c r="GF15" s="4">
        <f t="shared" si="30"/>
        <v>0</v>
      </c>
      <c r="GG15" s="4">
        <f t="shared" si="31"/>
        <v>0</v>
      </c>
      <c r="GH15" s="4">
        <f t="shared" si="32"/>
        <v>0</v>
      </c>
      <c r="GI15" s="4">
        <f t="shared" si="33"/>
        <v>0</v>
      </c>
      <c r="GJ15" s="4">
        <f t="shared" si="34"/>
        <v>0</v>
      </c>
      <c r="GK15" s="4">
        <f t="shared" si="35"/>
        <v>0</v>
      </c>
      <c r="GL15" s="4">
        <f t="shared" si="36"/>
        <v>0</v>
      </c>
      <c r="GM15" s="4">
        <f t="shared" si="37"/>
        <v>0</v>
      </c>
      <c r="GN15" s="4">
        <f t="shared" si="38"/>
        <v>0</v>
      </c>
      <c r="GO15" s="4">
        <f t="shared" si="39"/>
        <v>0</v>
      </c>
      <c r="GP15" s="4">
        <f t="shared" si="40"/>
        <v>0</v>
      </c>
      <c r="GQ15" s="4">
        <f t="shared" si="41"/>
        <v>0</v>
      </c>
      <c r="GR15" s="4">
        <f t="shared" si="42"/>
        <v>0</v>
      </c>
      <c r="GS15" s="4">
        <f t="shared" si="43"/>
        <v>0</v>
      </c>
      <c r="GT15" s="4">
        <f t="shared" si="44"/>
        <v>0</v>
      </c>
      <c r="GU15" s="4">
        <f t="shared" si="45"/>
        <v>0</v>
      </c>
      <c r="GV15" s="4">
        <f t="shared" si="46"/>
        <v>0</v>
      </c>
      <c r="GW15" s="4">
        <f t="shared" si="47"/>
        <v>0</v>
      </c>
      <c r="GX15" s="4">
        <f t="shared" si="48"/>
        <v>0</v>
      </c>
      <c r="GY15" s="4">
        <f t="shared" si="49"/>
        <v>0</v>
      </c>
      <c r="GZ15" s="4">
        <f t="shared" si="50"/>
        <v>0</v>
      </c>
      <c r="HA15" s="4">
        <f t="shared" si="51"/>
        <v>0</v>
      </c>
      <c r="HB15" s="4">
        <f t="shared" si="52"/>
        <v>0</v>
      </c>
      <c r="HC15" s="4">
        <f t="shared" si="53"/>
        <v>0</v>
      </c>
    </row>
    <row r="16" spans="1:211">
      <c r="A16" t="s">
        <v>20</v>
      </c>
      <c r="B16" s="4">
        <f t="shared" ref="B16:BM16" si="95">C16</f>
        <v>0</v>
      </c>
      <c r="C16" s="4">
        <f t="shared" si="95"/>
        <v>0</v>
      </c>
      <c r="D16" s="4">
        <f t="shared" si="95"/>
        <v>0</v>
      </c>
      <c r="E16" s="4">
        <f t="shared" si="95"/>
        <v>0</v>
      </c>
      <c r="F16" s="4">
        <f t="shared" si="95"/>
        <v>0</v>
      </c>
      <c r="G16" s="4">
        <f t="shared" si="95"/>
        <v>0</v>
      </c>
      <c r="H16" s="4">
        <f t="shared" si="95"/>
        <v>0</v>
      </c>
      <c r="I16" s="4">
        <f t="shared" si="95"/>
        <v>0</v>
      </c>
      <c r="J16" s="4">
        <f t="shared" si="95"/>
        <v>0</v>
      </c>
      <c r="K16" s="4">
        <f t="shared" si="95"/>
        <v>0</v>
      </c>
      <c r="L16" s="4">
        <f t="shared" si="95"/>
        <v>0</v>
      </c>
      <c r="M16" s="4">
        <f t="shared" si="95"/>
        <v>0</v>
      </c>
      <c r="N16" s="4">
        <f t="shared" si="95"/>
        <v>0</v>
      </c>
      <c r="O16" s="4">
        <f t="shared" si="95"/>
        <v>0</v>
      </c>
      <c r="P16" s="4">
        <f t="shared" si="95"/>
        <v>0</v>
      </c>
      <c r="Q16" s="4">
        <f t="shared" si="95"/>
        <v>0</v>
      </c>
      <c r="R16" s="4">
        <f t="shared" si="95"/>
        <v>0</v>
      </c>
      <c r="S16" s="4">
        <f t="shared" si="95"/>
        <v>0</v>
      </c>
      <c r="T16" s="4">
        <f t="shared" si="95"/>
        <v>0</v>
      </c>
      <c r="U16" s="4">
        <f t="shared" si="95"/>
        <v>0</v>
      </c>
      <c r="V16" s="4">
        <f t="shared" si="95"/>
        <v>0</v>
      </c>
      <c r="W16" s="4">
        <f t="shared" si="95"/>
        <v>0</v>
      </c>
      <c r="X16" s="4">
        <f t="shared" si="95"/>
        <v>0</v>
      </c>
      <c r="Y16" s="4">
        <f t="shared" si="95"/>
        <v>0</v>
      </c>
      <c r="Z16" s="4">
        <f t="shared" si="95"/>
        <v>0</v>
      </c>
      <c r="AA16" s="4">
        <f t="shared" si="95"/>
        <v>0</v>
      </c>
      <c r="AB16" s="4">
        <f t="shared" si="95"/>
        <v>0</v>
      </c>
      <c r="AC16" s="4">
        <f t="shared" si="95"/>
        <v>0</v>
      </c>
      <c r="AD16" s="4">
        <f t="shared" si="95"/>
        <v>0</v>
      </c>
      <c r="AE16" s="4">
        <f t="shared" si="95"/>
        <v>0</v>
      </c>
      <c r="AF16" s="4">
        <f t="shared" si="95"/>
        <v>0</v>
      </c>
      <c r="AG16" s="4">
        <f t="shared" si="95"/>
        <v>0</v>
      </c>
      <c r="AH16" s="4">
        <f t="shared" si="95"/>
        <v>0</v>
      </c>
      <c r="AI16" s="4">
        <f t="shared" si="95"/>
        <v>0</v>
      </c>
      <c r="AJ16" s="4">
        <f t="shared" si="95"/>
        <v>0</v>
      </c>
      <c r="AK16" s="4">
        <f t="shared" si="95"/>
        <v>0</v>
      </c>
      <c r="AL16" s="4">
        <f t="shared" si="95"/>
        <v>0</v>
      </c>
      <c r="AM16" s="4">
        <f t="shared" si="95"/>
        <v>0</v>
      </c>
      <c r="AN16" s="4">
        <f t="shared" si="95"/>
        <v>0</v>
      </c>
      <c r="AO16" s="4">
        <f t="shared" si="95"/>
        <v>0</v>
      </c>
      <c r="AP16" s="4">
        <f t="shared" si="95"/>
        <v>0</v>
      </c>
      <c r="AQ16" s="4">
        <f t="shared" si="95"/>
        <v>0</v>
      </c>
      <c r="AR16" s="4">
        <f t="shared" si="95"/>
        <v>0</v>
      </c>
      <c r="AS16" s="4">
        <f t="shared" si="95"/>
        <v>0</v>
      </c>
      <c r="AT16" s="4">
        <f t="shared" si="95"/>
        <v>0</v>
      </c>
      <c r="AU16" s="4">
        <f t="shared" si="95"/>
        <v>0</v>
      </c>
      <c r="AV16" s="4">
        <f t="shared" si="95"/>
        <v>0</v>
      </c>
      <c r="AW16" s="4">
        <f t="shared" si="95"/>
        <v>0</v>
      </c>
      <c r="AX16" s="4">
        <f t="shared" si="95"/>
        <v>0</v>
      </c>
      <c r="AY16" s="4">
        <f t="shared" si="95"/>
        <v>0</v>
      </c>
      <c r="AZ16" s="4">
        <f t="shared" si="95"/>
        <v>0</v>
      </c>
      <c r="BA16" s="4">
        <f t="shared" si="95"/>
        <v>0</v>
      </c>
      <c r="BB16" s="4">
        <f t="shared" si="95"/>
        <v>0</v>
      </c>
      <c r="BC16" s="4">
        <f t="shared" si="95"/>
        <v>0</v>
      </c>
      <c r="BD16" s="4">
        <f t="shared" si="95"/>
        <v>0</v>
      </c>
      <c r="BE16" s="4">
        <f t="shared" si="95"/>
        <v>0</v>
      </c>
      <c r="BF16" s="4">
        <f t="shared" si="95"/>
        <v>0</v>
      </c>
      <c r="BG16" s="4">
        <f t="shared" si="95"/>
        <v>0</v>
      </c>
      <c r="BH16" s="4">
        <f t="shared" si="95"/>
        <v>0</v>
      </c>
      <c r="BI16" s="4">
        <f t="shared" si="95"/>
        <v>0</v>
      </c>
      <c r="BJ16" s="4">
        <f t="shared" si="95"/>
        <v>0</v>
      </c>
      <c r="BK16" s="4">
        <f t="shared" si="95"/>
        <v>0</v>
      </c>
      <c r="BL16" s="4">
        <f t="shared" si="95"/>
        <v>0</v>
      </c>
      <c r="BM16" s="4">
        <f t="shared" si="95"/>
        <v>0</v>
      </c>
      <c r="BN16" s="4">
        <f t="shared" ref="BN16:DY16" si="96">BO16</f>
        <v>0</v>
      </c>
      <c r="BO16" s="4">
        <f t="shared" si="96"/>
        <v>0</v>
      </c>
      <c r="BP16" s="4">
        <f t="shared" si="96"/>
        <v>0</v>
      </c>
      <c r="BQ16" s="4">
        <f t="shared" si="96"/>
        <v>0</v>
      </c>
      <c r="BR16" s="4">
        <f t="shared" si="96"/>
        <v>0</v>
      </c>
      <c r="BS16" s="4">
        <f t="shared" si="96"/>
        <v>0</v>
      </c>
      <c r="BT16" s="4">
        <f t="shared" si="96"/>
        <v>0</v>
      </c>
      <c r="BU16" s="4">
        <f t="shared" si="96"/>
        <v>0</v>
      </c>
      <c r="BV16" s="4">
        <f t="shared" si="96"/>
        <v>0</v>
      </c>
      <c r="BW16" s="4">
        <f t="shared" si="96"/>
        <v>0</v>
      </c>
      <c r="BX16" s="4">
        <f t="shared" si="96"/>
        <v>0</v>
      </c>
      <c r="BY16" s="4">
        <f t="shared" si="96"/>
        <v>0</v>
      </c>
      <c r="BZ16" s="4">
        <f t="shared" si="96"/>
        <v>0</v>
      </c>
      <c r="CA16" s="4">
        <f t="shared" si="96"/>
        <v>0</v>
      </c>
      <c r="CB16" s="4">
        <f t="shared" si="96"/>
        <v>0</v>
      </c>
      <c r="CC16" s="4">
        <f t="shared" si="96"/>
        <v>0</v>
      </c>
      <c r="CD16" s="4">
        <f t="shared" si="96"/>
        <v>0</v>
      </c>
      <c r="CE16" s="4">
        <f t="shared" si="96"/>
        <v>0</v>
      </c>
      <c r="CF16" s="4">
        <f t="shared" si="96"/>
        <v>0</v>
      </c>
      <c r="CG16" s="4">
        <f t="shared" si="96"/>
        <v>0</v>
      </c>
      <c r="CH16" s="4">
        <f t="shared" si="96"/>
        <v>0</v>
      </c>
      <c r="CI16" s="4">
        <f t="shared" si="96"/>
        <v>0</v>
      </c>
      <c r="CJ16" s="4">
        <f t="shared" si="96"/>
        <v>0</v>
      </c>
      <c r="CK16" s="4">
        <f t="shared" si="96"/>
        <v>0</v>
      </c>
      <c r="CL16" s="4">
        <f t="shared" si="96"/>
        <v>0</v>
      </c>
      <c r="CM16" s="4">
        <f t="shared" si="96"/>
        <v>0</v>
      </c>
      <c r="CN16" s="4">
        <f t="shared" si="96"/>
        <v>0</v>
      </c>
      <c r="CO16" s="4">
        <f t="shared" si="96"/>
        <v>0</v>
      </c>
      <c r="CP16" s="4">
        <f t="shared" si="96"/>
        <v>0</v>
      </c>
      <c r="CQ16" s="4">
        <f t="shared" si="96"/>
        <v>0</v>
      </c>
      <c r="CR16" s="4">
        <f t="shared" si="96"/>
        <v>0</v>
      </c>
      <c r="CS16" s="4">
        <f t="shared" si="96"/>
        <v>0</v>
      </c>
      <c r="CT16" s="4">
        <f t="shared" si="96"/>
        <v>0</v>
      </c>
      <c r="CU16" s="4">
        <f t="shared" si="96"/>
        <v>0</v>
      </c>
      <c r="CV16" s="4">
        <f t="shared" si="96"/>
        <v>0</v>
      </c>
      <c r="CW16" s="4">
        <f t="shared" si="96"/>
        <v>0</v>
      </c>
      <c r="CX16" s="4">
        <f t="shared" si="96"/>
        <v>0</v>
      </c>
      <c r="CY16" s="4">
        <f t="shared" si="96"/>
        <v>0</v>
      </c>
      <c r="CZ16" s="4">
        <f t="shared" si="96"/>
        <v>0</v>
      </c>
      <c r="DA16" s="4">
        <f t="shared" si="96"/>
        <v>0</v>
      </c>
      <c r="DB16" s="4">
        <f t="shared" si="96"/>
        <v>0</v>
      </c>
      <c r="DC16" s="4">
        <f t="shared" si="96"/>
        <v>0</v>
      </c>
      <c r="DD16" s="4">
        <f t="shared" si="96"/>
        <v>0</v>
      </c>
      <c r="DE16" s="4">
        <f t="shared" si="96"/>
        <v>0</v>
      </c>
      <c r="DF16" s="4">
        <f t="shared" si="96"/>
        <v>0</v>
      </c>
      <c r="DG16" s="4">
        <f t="shared" si="96"/>
        <v>0</v>
      </c>
      <c r="DH16" s="4">
        <f t="shared" si="96"/>
        <v>0</v>
      </c>
      <c r="DI16" s="4">
        <f t="shared" si="96"/>
        <v>0</v>
      </c>
      <c r="DJ16" s="4">
        <f t="shared" si="96"/>
        <v>0</v>
      </c>
      <c r="DK16" s="4">
        <f t="shared" si="96"/>
        <v>0</v>
      </c>
      <c r="DL16" s="4">
        <f t="shared" si="96"/>
        <v>0</v>
      </c>
      <c r="DM16" s="4">
        <f t="shared" si="96"/>
        <v>0</v>
      </c>
      <c r="DN16" s="4">
        <f t="shared" si="96"/>
        <v>0</v>
      </c>
      <c r="DO16" s="4">
        <f t="shared" si="96"/>
        <v>0</v>
      </c>
      <c r="DP16" s="4">
        <f t="shared" si="96"/>
        <v>0</v>
      </c>
      <c r="DQ16" s="4">
        <f t="shared" si="96"/>
        <v>0</v>
      </c>
      <c r="DR16" s="4">
        <f t="shared" si="96"/>
        <v>0</v>
      </c>
      <c r="DS16" s="4">
        <f t="shared" si="96"/>
        <v>0</v>
      </c>
      <c r="DT16" s="4">
        <f t="shared" si="96"/>
        <v>0</v>
      </c>
      <c r="DU16" s="4">
        <f t="shared" si="96"/>
        <v>0</v>
      </c>
      <c r="DV16" s="4">
        <f t="shared" si="96"/>
        <v>0</v>
      </c>
      <c r="DW16" s="4">
        <f t="shared" si="96"/>
        <v>0</v>
      </c>
      <c r="DX16" s="4">
        <f t="shared" si="96"/>
        <v>0</v>
      </c>
      <c r="DY16" s="4">
        <f t="shared" si="96"/>
        <v>0</v>
      </c>
      <c r="DZ16" s="4">
        <f t="shared" si="56"/>
        <v>0</v>
      </c>
      <c r="EA16" s="4">
        <f t="shared" si="56"/>
        <v>0</v>
      </c>
      <c r="EB16" s="4">
        <f>'CCaMC-ACAPEXpUC US'!D16/'CCaMC-BCCpUC US'!B16*'CCaMC-BCCpUC'!B16</f>
        <v>0</v>
      </c>
      <c r="EC16" s="4">
        <f t="shared" si="57"/>
        <v>0</v>
      </c>
      <c r="ED16" s="4">
        <f t="shared" si="57"/>
        <v>0</v>
      </c>
      <c r="EE16" s="4">
        <f t="shared" si="57"/>
        <v>0</v>
      </c>
      <c r="EF16" s="4">
        <f t="shared" si="57"/>
        <v>0</v>
      </c>
      <c r="EG16" s="4">
        <f t="shared" si="57"/>
        <v>0</v>
      </c>
      <c r="EH16" s="4">
        <f t="shared" si="57"/>
        <v>0</v>
      </c>
      <c r="EI16" s="4">
        <f t="shared" si="57"/>
        <v>0</v>
      </c>
      <c r="EJ16" s="4">
        <f t="shared" si="57"/>
        <v>0</v>
      </c>
      <c r="EK16" s="4">
        <f t="shared" si="57"/>
        <v>0</v>
      </c>
      <c r="EL16" s="4">
        <f t="shared" si="57"/>
        <v>0</v>
      </c>
      <c r="EM16" s="4">
        <f t="shared" ref="EM16:FE16" si="97">EL16</f>
        <v>0</v>
      </c>
      <c r="EN16" s="4">
        <f t="shared" si="97"/>
        <v>0</v>
      </c>
      <c r="EO16" s="4">
        <f t="shared" si="97"/>
        <v>0</v>
      </c>
      <c r="EP16" s="4">
        <f t="shared" si="97"/>
        <v>0</v>
      </c>
      <c r="EQ16" s="4">
        <f t="shared" si="97"/>
        <v>0</v>
      </c>
      <c r="ER16" s="4">
        <f t="shared" si="97"/>
        <v>0</v>
      </c>
      <c r="ES16" s="4">
        <f t="shared" si="97"/>
        <v>0</v>
      </c>
      <c r="ET16" s="4">
        <f t="shared" si="97"/>
        <v>0</v>
      </c>
      <c r="EU16" s="4">
        <f t="shared" si="97"/>
        <v>0</v>
      </c>
      <c r="EV16" s="4">
        <f t="shared" si="97"/>
        <v>0</v>
      </c>
      <c r="EW16" s="4">
        <f t="shared" si="97"/>
        <v>0</v>
      </c>
      <c r="EX16" s="4">
        <f t="shared" si="97"/>
        <v>0</v>
      </c>
      <c r="EY16" s="4">
        <f t="shared" si="97"/>
        <v>0</v>
      </c>
      <c r="EZ16" s="4">
        <f t="shared" si="97"/>
        <v>0</v>
      </c>
      <c r="FA16" s="4">
        <f t="shared" si="97"/>
        <v>0</v>
      </c>
      <c r="FB16" s="4">
        <f t="shared" si="97"/>
        <v>0</v>
      </c>
      <c r="FC16" s="4">
        <f t="shared" si="97"/>
        <v>0</v>
      </c>
      <c r="FD16" s="4">
        <f t="shared" si="97"/>
        <v>0</v>
      </c>
      <c r="FE16" s="4">
        <f t="shared" si="97"/>
        <v>0</v>
      </c>
      <c r="FF16" s="4">
        <f t="shared" si="4"/>
        <v>0</v>
      </c>
      <c r="FG16" s="4">
        <f t="shared" si="5"/>
        <v>0</v>
      </c>
      <c r="FH16" s="4">
        <f t="shared" si="6"/>
        <v>0</v>
      </c>
      <c r="FI16" s="4">
        <f t="shared" si="7"/>
        <v>0</v>
      </c>
      <c r="FJ16" s="4">
        <f t="shared" si="8"/>
        <v>0</v>
      </c>
      <c r="FK16" s="4">
        <f t="shared" si="9"/>
        <v>0</v>
      </c>
      <c r="FL16" s="4">
        <f t="shared" si="10"/>
        <v>0</v>
      </c>
      <c r="FM16" s="4">
        <f t="shared" si="11"/>
        <v>0</v>
      </c>
      <c r="FN16" s="4">
        <f t="shared" si="12"/>
        <v>0</v>
      </c>
      <c r="FO16" s="4">
        <f t="shared" si="13"/>
        <v>0</v>
      </c>
      <c r="FP16" s="4">
        <f t="shared" si="14"/>
        <v>0</v>
      </c>
      <c r="FQ16" s="4">
        <f t="shared" si="15"/>
        <v>0</v>
      </c>
      <c r="FR16" s="4">
        <f t="shared" si="16"/>
        <v>0</v>
      </c>
      <c r="FS16" s="4">
        <f t="shared" si="17"/>
        <v>0</v>
      </c>
      <c r="FT16" s="4">
        <f t="shared" si="18"/>
        <v>0</v>
      </c>
      <c r="FU16" s="4">
        <f t="shared" si="19"/>
        <v>0</v>
      </c>
      <c r="FV16" s="4">
        <f t="shared" si="20"/>
        <v>0</v>
      </c>
      <c r="FW16" s="4">
        <f t="shared" si="21"/>
        <v>0</v>
      </c>
      <c r="FX16" s="4">
        <f t="shared" si="22"/>
        <v>0</v>
      </c>
      <c r="FY16" s="4">
        <f t="shared" si="23"/>
        <v>0</v>
      </c>
      <c r="FZ16" s="4">
        <f t="shared" si="24"/>
        <v>0</v>
      </c>
      <c r="GA16" s="4">
        <f t="shared" si="25"/>
        <v>0</v>
      </c>
      <c r="GB16" s="4">
        <f t="shared" si="26"/>
        <v>0</v>
      </c>
      <c r="GC16" s="4">
        <f t="shared" si="27"/>
        <v>0</v>
      </c>
      <c r="GD16" s="4">
        <f t="shared" si="28"/>
        <v>0</v>
      </c>
      <c r="GE16" s="4">
        <f t="shared" si="29"/>
        <v>0</v>
      </c>
      <c r="GF16" s="4">
        <f t="shared" si="30"/>
        <v>0</v>
      </c>
      <c r="GG16" s="4">
        <f t="shared" si="31"/>
        <v>0</v>
      </c>
      <c r="GH16" s="4">
        <f t="shared" si="32"/>
        <v>0</v>
      </c>
      <c r="GI16" s="4">
        <f t="shared" si="33"/>
        <v>0</v>
      </c>
      <c r="GJ16" s="4">
        <f t="shared" si="34"/>
        <v>0</v>
      </c>
      <c r="GK16" s="4">
        <f t="shared" si="35"/>
        <v>0</v>
      </c>
      <c r="GL16" s="4">
        <f t="shared" si="36"/>
        <v>0</v>
      </c>
      <c r="GM16" s="4">
        <f t="shared" si="37"/>
        <v>0</v>
      </c>
      <c r="GN16" s="4">
        <f t="shared" si="38"/>
        <v>0</v>
      </c>
      <c r="GO16" s="4">
        <f t="shared" si="39"/>
        <v>0</v>
      </c>
      <c r="GP16" s="4">
        <f t="shared" si="40"/>
        <v>0</v>
      </c>
      <c r="GQ16" s="4">
        <f t="shared" si="41"/>
        <v>0</v>
      </c>
      <c r="GR16" s="4">
        <f t="shared" si="42"/>
        <v>0</v>
      </c>
      <c r="GS16" s="4">
        <f t="shared" si="43"/>
        <v>0</v>
      </c>
      <c r="GT16" s="4">
        <f t="shared" si="44"/>
        <v>0</v>
      </c>
      <c r="GU16" s="4">
        <f t="shared" si="45"/>
        <v>0</v>
      </c>
      <c r="GV16" s="4">
        <f t="shared" si="46"/>
        <v>0</v>
      </c>
      <c r="GW16" s="4">
        <f t="shared" si="47"/>
        <v>0</v>
      </c>
      <c r="GX16" s="4">
        <f t="shared" si="48"/>
        <v>0</v>
      </c>
      <c r="GY16" s="4">
        <f t="shared" si="49"/>
        <v>0</v>
      </c>
      <c r="GZ16" s="4">
        <f t="shared" si="50"/>
        <v>0</v>
      </c>
      <c r="HA16" s="4">
        <f t="shared" si="51"/>
        <v>0</v>
      </c>
      <c r="HB16" s="4">
        <f t="shared" si="52"/>
        <v>0</v>
      </c>
      <c r="HC16" s="4">
        <f t="shared" si="53"/>
        <v>0</v>
      </c>
    </row>
    <row r="17" spans="1:211">
      <c r="A17" t="s">
        <v>21</v>
      </c>
      <c r="B17" s="4">
        <f t="shared" ref="B17:BM17" si="98">C17</f>
        <v>15735.110955102704</v>
      </c>
      <c r="C17" s="4">
        <f t="shared" si="98"/>
        <v>15735.110955102704</v>
      </c>
      <c r="D17" s="4">
        <f t="shared" si="98"/>
        <v>15735.110955102704</v>
      </c>
      <c r="E17" s="4">
        <f t="shared" si="98"/>
        <v>15735.110955102704</v>
      </c>
      <c r="F17" s="4">
        <f t="shared" si="98"/>
        <v>15735.110955102704</v>
      </c>
      <c r="G17" s="4">
        <f t="shared" si="98"/>
        <v>15735.110955102704</v>
      </c>
      <c r="H17" s="4">
        <f t="shared" si="98"/>
        <v>15735.110955102704</v>
      </c>
      <c r="I17" s="4">
        <f t="shared" si="98"/>
        <v>15735.110955102704</v>
      </c>
      <c r="J17" s="4">
        <f t="shared" si="98"/>
        <v>15735.110955102704</v>
      </c>
      <c r="K17" s="4">
        <f t="shared" si="98"/>
        <v>15735.110955102704</v>
      </c>
      <c r="L17" s="4">
        <f t="shared" si="98"/>
        <v>15735.110955102704</v>
      </c>
      <c r="M17" s="4">
        <f t="shared" si="98"/>
        <v>15735.110955102704</v>
      </c>
      <c r="N17" s="4">
        <f t="shared" si="98"/>
        <v>15735.110955102704</v>
      </c>
      <c r="O17" s="4">
        <f t="shared" si="98"/>
        <v>15735.110955102704</v>
      </c>
      <c r="P17" s="4">
        <f t="shared" si="98"/>
        <v>15735.110955102704</v>
      </c>
      <c r="Q17" s="4">
        <f t="shared" si="98"/>
        <v>15735.110955102704</v>
      </c>
      <c r="R17" s="4">
        <f t="shared" si="98"/>
        <v>15735.110955102704</v>
      </c>
      <c r="S17" s="4">
        <f t="shared" si="98"/>
        <v>15735.110955102704</v>
      </c>
      <c r="T17" s="4">
        <f t="shared" si="98"/>
        <v>15735.110955102704</v>
      </c>
      <c r="U17" s="4">
        <f t="shared" si="98"/>
        <v>15735.110955102704</v>
      </c>
      <c r="V17" s="4">
        <f t="shared" si="98"/>
        <v>15735.110955102704</v>
      </c>
      <c r="W17" s="4">
        <f t="shared" si="98"/>
        <v>15735.110955102704</v>
      </c>
      <c r="X17" s="4">
        <f t="shared" si="98"/>
        <v>15735.110955102704</v>
      </c>
      <c r="Y17" s="4">
        <f t="shared" si="98"/>
        <v>15735.110955102704</v>
      </c>
      <c r="Z17" s="4">
        <f t="shared" si="98"/>
        <v>15735.110955102704</v>
      </c>
      <c r="AA17" s="4">
        <f t="shared" si="98"/>
        <v>15735.110955102704</v>
      </c>
      <c r="AB17" s="4">
        <f t="shared" si="98"/>
        <v>15735.110955102704</v>
      </c>
      <c r="AC17" s="4">
        <f t="shared" si="98"/>
        <v>15735.110955102704</v>
      </c>
      <c r="AD17" s="4">
        <f t="shared" si="98"/>
        <v>15735.110955102704</v>
      </c>
      <c r="AE17" s="4">
        <f t="shared" si="98"/>
        <v>15735.110955102704</v>
      </c>
      <c r="AF17" s="4">
        <f t="shared" si="98"/>
        <v>15735.110955102704</v>
      </c>
      <c r="AG17" s="4">
        <f t="shared" si="98"/>
        <v>15735.110955102704</v>
      </c>
      <c r="AH17" s="4">
        <f t="shared" si="98"/>
        <v>15735.110955102704</v>
      </c>
      <c r="AI17" s="4">
        <f t="shared" si="98"/>
        <v>15735.110955102704</v>
      </c>
      <c r="AJ17" s="4">
        <f t="shared" si="98"/>
        <v>15735.110955102704</v>
      </c>
      <c r="AK17" s="4">
        <f t="shared" si="98"/>
        <v>15735.110955102704</v>
      </c>
      <c r="AL17" s="4">
        <f t="shared" si="98"/>
        <v>15735.110955102704</v>
      </c>
      <c r="AM17" s="4">
        <f t="shared" si="98"/>
        <v>15735.110955102704</v>
      </c>
      <c r="AN17" s="4">
        <f t="shared" si="98"/>
        <v>15735.110955102704</v>
      </c>
      <c r="AO17" s="4">
        <f t="shared" si="98"/>
        <v>15735.110955102704</v>
      </c>
      <c r="AP17" s="4">
        <f t="shared" si="98"/>
        <v>15735.110955102704</v>
      </c>
      <c r="AQ17" s="4">
        <f t="shared" si="98"/>
        <v>15735.110955102704</v>
      </c>
      <c r="AR17" s="4">
        <f t="shared" si="98"/>
        <v>15735.110955102704</v>
      </c>
      <c r="AS17" s="4">
        <f t="shared" si="98"/>
        <v>15735.110955102704</v>
      </c>
      <c r="AT17" s="4">
        <f t="shared" si="98"/>
        <v>15735.110955102704</v>
      </c>
      <c r="AU17" s="4">
        <f t="shared" si="98"/>
        <v>15735.110955102704</v>
      </c>
      <c r="AV17" s="4">
        <f t="shared" si="98"/>
        <v>15735.110955102704</v>
      </c>
      <c r="AW17" s="4">
        <f t="shared" si="98"/>
        <v>15735.110955102704</v>
      </c>
      <c r="AX17" s="4">
        <f t="shared" si="98"/>
        <v>15735.110955102704</v>
      </c>
      <c r="AY17" s="4">
        <f t="shared" si="98"/>
        <v>15735.110955102704</v>
      </c>
      <c r="AZ17" s="4">
        <f t="shared" si="98"/>
        <v>15735.110955102704</v>
      </c>
      <c r="BA17" s="4">
        <f t="shared" si="98"/>
        <v>15735.110955102704</v>
      </c>
      <c r="BB17" s="4">
        <f t="shared" si="98"/>
        <v>15735.110955102704</v>
      </c>
      <c r="BC17" s="4">
        <f t="shared" si="98"/>
        <v>15735.110955102704</v>
      </c>
      <c r="BD17" s="4">
        <f t="shared" si="98"/>
        <v>15735.110955102704</v>
      </c>
      <c r="BE17" s="4">
        <f t="shared" si="98"/>
        <v>15735.110955102704</v>
      </c>
      <c r="BF17" s="4">
        <f t="shared" si="98"/>
        <v>15735.110955102704</v>
      </c>
      <c r="BG17" s="4">
        <f t="shared" si="98"/>
        <v>15735.110955102704</v>
      </c>
      <c r="BH17" s="4">
        <f t="shared" si="98"/>
        <v>15735.110955102704</v>
      </c>
      <c r="BI17" s="4">
        <f t="shared" si="98"/>
        <v>15735.110955102704</v>
      </c>
      <c r="BJ17" s="4">
        <f t="shared" si="98"/>
        <v>15735.110955102704</v>
      </c>
      <c r="BK17" s="4">
        <f t="shared" si="98"/>
        <v>15735.110955102704</v>
      </c>
      <c r="BL17" s="4">
        <f t="shared" si="98"/>
        <v>15735.110955102704</v>
      </c>
      <c r="BM17" s="4">
        <f t="shared" si="98"/>
        <v>15735.110955102704</v>
      </c>
      <c r="BN17" s="4">
        <f t="shared" ref="BN17:DY17" si="99">BO17</f>
        <v>15735.110955102704</v>
      </c>
      <c r="BO17" s="4">
        <f t="shared" si="99"/>
        <v>15735.110955102704</v>
      </c>
      <c r="BP17" s="4">
        <f t="shared" si="99"/>
        <v>15735.110955102704</v>
      </c>
      <c r="BQ17" s="4">
        <f t="shared" si="99"/>
        <v>15735.110955102704</v>
      </c>
      <c r="BR17" s="4">
        <f t="shared" si="99"/>
        <v>15735.110955102704</v>
      </c>
      <c r="BS17" s="4">
        <f t="shared" si="99"/>
        <v>15735.110955102704</v>
      </c>
      <c r="BT17" s="4">
        <f t="shared" si="99"/>
        <v>15735.110955102704</v>
      </c>
      <c r="BU17" s="4">
        <f t="shared" si="99"/>
        <v>15735.110955102704</v>
      </c>
      <c r="BV17" s="4">
        <f t="shared" si="99"/>
        <v>15735.110955102704</v>
      </c>
      <c r="BW17" s="4">
        <f t="shared" si="99"/>
        <v>15735.110955102704</v>
      </c>
      <c r="BX17" s="4">
        <f t="shared" si="99"/>
        <v>15735.110955102704</v>
      </c>
      <c r="BY17" s="4">
        <f t="shared" si="99"/>
        <v>15735.110955102704</v>
      </c>
      <c r="BZ17" s="4">
        <f t="shared" si="99"/>
        <v>15735.110955102704</v>
      </c>
      <c r="CA17" s="4">
        <f t="shared" si="99"/>
        <v>15735.110955102704</v>
      </c>
      <c r="CB17" s="4">
        <f t="shared" si="99"/>
        <v>15735.110955102704</v>
      </c>
      <c r="CC17" s="4">
        <f t="shared" si="99"/>
        <v>15735.110955102704</v>
      </c>
      <c r="CD17" s="4">
        <f t="shared" si="99"/>
        <v>15735.110955102704</v>
      </c>
      <c r="CE17" s="4">
        <f t="shared" si="99"/>
        <v>15735.110955102704</v>
      </c>
      <c r="CF17" s="4">
        <f t="shared" si="99"/>
        <v>15735.110955102704</v>
      </c>
      <c r="CG17" s="4">
        <f t="shared" si="99"/>
        <v>15735.110955102704</v>
      </c>
      <c r="CH17" s="4">
        <f t="shared" si="99"/>
        <v>15735.110955102704</v>
      </c>
      <c r="CI17" s="4">
        <f t="shared" si="99"/>
        <v>15735.110955102704</v>
      </c>
      <c r="CJ17" s="4">
        <f t="shared" si="99"/>
        <v>15735.110955102704</v>
      </c>
      <c r="CK17" s="4">
        <f t="shared" si="99"/>
        <v>15735.110955102704</v>
      </c>
      <c r="CL17" s="4">
        <f t="shared" si="99"/>
        <v>15735.110955102704</v>
      </c>
      <c r="CM17" s="4">
        <f t="shared" si="99"/>
        <v>15735.110955102704</v>
      </c>
      <c r="CN17" s="4">
        <f t="shared" si="99"/>
        <v>15735.110955102704</v>
      </c>
      <c r="CO17" s="4">
        <f t="shared" si="99"/>
        <v>15735.110955102704</v>
      </c>
      <c r="CP17" s="4">
        <f t="shared" si="99"/>
        <v>15735.110955102704</v>
      </c>
      <c r="CQ17" s="4">
        <f t="shared" si="99"/>
        <v>15735.110955102704</v>
      </c>
      <c r="CR17" s="4">
        <f t="shared" si="99"/>
        <v>15735.110955102704</v>
      </c>
      <c r="CS17" s="4">
        <f t="shared" si="99"/>
        <v>15735.110955102704</v>
      </c>
      <c r="CT17" s="4">
        <f t="shared" si="99"/>
        <v>15735.110955102704</v>
      </c>
      <c r="CU17" s="4">
        <f t="shared" si="99"/>
        <v>15735.110955102704</v>
      </c>
      <c r="CV17" s="4">
        <f t="shared" si="99"/>
        <v>15735.110955102704</v>
      </c>
      <c r="CW17" s="4">
        <f t="shared" si="99"/>
        <v>15735.110955102704</v>
      </c>
      <c r="CX17" s="4">
        <f t="shared" si="99"/>
        <v>15735.110955102704</v>
      </c>
      <c r="CY17" s="4">
        <f t="shared" si="99"/>
        <v>15735.110955102704</v>
      </c>
      <c r="CZ17" s="4">
        <f t="shared" si="99"/>
        <v>15735.110955102704</v>
      </c>
      <c r="DA17" s="4">
        <f t="shared" si="99"/>
        <v>15735.110955102704</v>
      </c>
      <c r="DB17" s="4">
        <f t="shared" si="99"/>
        <v>15735.110955102704</v>
      </c>
      <c r="DC17" s="4">
        <f t="shared" si="99"/>
        <v>15735.110955102704</v>
      </c>
      <c r="DD17" s="4">
        <f t="shared" si="99"/>
        <v>15735.110955102704</v>
      </c>
      <c r="DE17" s="4">
        <f t="shared" si="99"/>
        <v>15735.110955102704</v>
      </c>
      <c r="DF17" s="4">
        <f t="shared" si="99"/>
        <v>15735.110955102704</v>
      </c>
      <c r="DG17" s="4">
        <f t="shared" si="99"/>
        <v>15735.110955102704</v>
      </c>
      <c r="DH17" s="4">
        <f t="shared" si="99"/>
        <v>15735.110955102704</v>
      </c>
      <c r="DI17" s="4">
        <f t="shared" si="99"/>
        <v>15735.110955102704</v>
      </c>
      <c r="DJ17" s="4">
        <f t="shared" si="99"/>
        <v>15735.110955102704</v>
      </c>
      <c r="DK17" s="4">
        <f t="shared" si="99"/>
        <v>15735.110955102704</v>
      </c>
      <c r="DL17" s="4">
        <f t="shared" si="99"/>
        <v>15735.110955102704</v>
      </c>
      <c r="DM17" s="4">
        <f t="shared" si="99"/>
        <v>15735.110955102704</v>
      </c>
      <c r="DN17" s="4">
        <f t="shared" si="99"/>
        <v>15735.110955102704</v>
      </c>
      <c r="DO17" s="4">
        <f t="shared" si="99"/>
        <v>15735.110955102704</v>
      </c>
      <c r="DP17" s="4">
        <f t="shared" si="99"/>
        <v>15735.110955102704</v>
      </c>
      <c r="DQ17" s="4">
        <f t="shared" si="99"/>
        <v>15735.110955102704</v>
      </c>
      <c r="DR17" s="4">
        <f t="shared" si="99"/>
        <v>15735.110955102704</v>
      </c>
      <c r="DS17" s="4">
        <f t="shared" si="99"/>
        <v>15735.110955102704</v>
      </c>
      <c r="DT17" s="4">
        <f t="shared" si="99"/>
        <v>15735.110955102704</v>
      </c>
      <c r="DU17" s="4">
        <f t="shared" si="99"/>
        <v>15735.110955102704</v>
      </c>
      <c r="DV17" s="4">
        <f t="shared" si="99"/>
        <v>15735.110955102704</v>
      </c>
      <c r="DW17" s="4">
        <f t="shared" si="99"/>
        <v>15735.110955102704</v>
      </c>
      <c r="DX17" s="4">
        <f t="shared" si="99"/>
        <v>15735.110955102704</v>
      </c>
      <c r="DY17" s="4">
        <f t="shared" si="99"/>
        <v>15735.110955102704</v>
      </c>
      <c r="DZ17" s="4">
        <f t="shared" si="56"/>
        <v>15735.110955102704</v>
      </c>
      <c r="EA17" s="4">
        <f t="shared" si="56"/>
        <v>15735.110955102704</v>
      </c>
      <c r="EB17" s="4">
        <f>'CCaMC-ACAPEXpUC US'!D17/'CCaMC-BCCpUC US'!B17*'CCaMC-BCCpUC'!B17</f>
        <v>15735.110955102704</v>
      </c>
      <c r="EC17" s="4">
        <f t="shared" si="57"/>
        <v>15735.110955102704</v>
      </c>
      <c r="ED17" s="4">
        <f t="shared" si="57"/>
        <v>15735.110955102704</v>
      </c>
      <c r="EE17" s="4">
        <f t="shared" si="57"/>
        <v>15735.110955102704</v>
      </c>
      <c r="EF17" s="4">
        <f t="shared" si="57"/>
        <v>15735.110955102704</v>
      </c>
      <c r="EG17" s="4">
        <f t="shared" si="57"/>
        <v>15735.110955102704</v>
      </c>
      <c r="EH17" s="4">
        <f t="shared" si="57"/>
        <v>15735.110955102704</v>
      </c>
      <c r="EI17" s="4">
        <f t="shared" si="57"/>
        <v>15735.110955102704</v>
      </c>
      <c r="EJ17" s="4">
        <f t="shared" si="57"/>
        <v>15735.110955102704</v>
      </c>
      <c r="EK17" s="4">
        <f t="shared" si="57"/>
        <v>15735.110955102704</v>
      </c>
      <c r="EL17" s="4">
        <f t="shared" si="57"/>
        <v>15735.110955102704</v>
      </c>
      <c r="EM17" s="4">
        <f t="shared" ref="EM17:FE17" si="100">EL17</f>
        <v>15735.110955102704</v>
      </c>
      <c r="EN17" s="4">
        <f t="shared" si="100"/>
        <v>15735.110955102704</v>
      </c>
      <c r="EO17" s="4">
        <f t="shared" si="100"/>
        <v>15735.110955102704</v>
      </c>
      <c r="EP17" s="4">
        <f t="shared" si="100"/>
        <v>15735.110955102704</v>
      </c>
      <c r="EQ17" s="4">
        <f t="shared" si="100"/>
        <v>15735.110955102704</v>
      </c>
      <c r="ER17" s="4">
        <f t="shared" si="100"/>
        <v>15735.110955102704</v>
      </c>
      <c r="ES17" s="4">
        <f t="shared" si="100"/>
        <v>15735.110955102704</v>
      </c>
      <c r="ET17" s="4">
        <f t="shared" si="100"/>
        <v>15735.110955102704</v>
      </c>
      <c r="EU17" s="4">
        <f t="shared" si="100"/>
        <v>15735.110955102704</v>
      </c>
      <c r="EV17" s="4">
        <f t="shared" si="100"/>
        <v>15735.110955102704</v>
      </c>
      <c r="EW17" s="4">
        <f t="shared" si="100"/>
        <v>15735.110955102704</v>
      </c>
      <c r="EX17" s="4">
        <f t="shared" si="100"/>
        <v>15735.110955102704</v>
      </c>
      <c r="EY17" s="4">
        <f t="shared" si="100"/>
        <v>15735.110955102704</v>
      </c>
      <c r="EZ17" s="4">
        <f t="shared" si="100"/>
        <v>15735.110955102704</v>
      </c>
      <c r="FA17" s="4">
        <f t="shared" si="100"/>
        <v>15735.110955102704</v>
      </c>
      <c r="FB17" s="4">
        <f t="shared" si="100"/>
        <v>15735.110955102704</v>
      </c>
      <c r="FC17" s="4">
        <f t="shared" si="100"/>
        <v>15735.110955102704</v>
      </c>
      <c r="FD17" s="4">
        <f t="shared" si="100"/>
        <v>15735.110955102704</v>
      </c>
      <c r="FE17" s="4">
        <f t="shared" si="100"/>
        <v>15735.110955102704</v>
      </c>
      <c r="FF17" s="4">
        <f t="shared" si="4"/>
        <v>15735.110955102704</v>
      </c>
      <c r="FG17" s="4">
        <f t="shared" si="5"/>
        <v>15735.110955102704</v>
      </c>
      <c r="FH17" s="4">
        <f t="shared" si="6"/>
        <v>15735.110955102704</v>
      </c>
      <c r="FI17" s="4">
        <f t="shared" si="7"/>
        <v>15735.110955102704</v>
      </c>
      <c r="FJ17" s="4">
        <f t="shared" si="8"/>
        <v>15735.110955102704</v>
      </c>
      <c r="FK17" s="4">
        <f t="shared" si="9"/>
        <v>15735.110955102704</v>
      </c>
      <c r="FL17" s="4">
        <f t="shared" si="10"/>
        <v>15735.110955102704</v>
      </c>
      <c r="FM17" s="4">
        <f t="shared" si="11"/>
        <v>15735.110955102704</v>
      </c>
      <c r="FN17" s="4">
        <f t="shared" si="12"/>
        <v>15735.110955102704</v>
      </c>
      <c r="FO17" s="4">
        <f t="shared" si="13"/>
        <v>15735.110955102704</v>
      </c>
      <c r="FP17" s="4">
        <f t="shared" si="14"/>
        <v>15735.110955102704</v>
      </c>
      <c r="FQ17" s="4">
        <f t="shared" si="15"/>
        <v>15735.110955102704</v>
      </c>
      <c r="FR17" s="4">
        <f t="shared" si="16"/>
        <v>15735.110955102704</v>
      </c>
      <c r="FS17" s="4">
        <f t="shared" si="17"/>
        <v>15735.110955102704</v>
      </c>
      <c r="FT17" s="4">
        <f t="shared" si="18"/>
        <v>15735.110955102704</v>
      </c>
      <c r="FU17" s="4">
        <f t="shared" si="19"/>
        <v>15735.110955102704</v>
      </c>
      <c r="FV17" s="4">
        <f t="shared" si="20"/>
        <v>15735.110955102704</v>
      </c>
      <c r="FW17" s="4">
        <f t="shared" si="21"/>
        <v>15735.110955102704</v>
      </c>
      <c r="FX17" s="4">
        <f t="shared" si="22"/>
        <v>15735.110955102704</v>
      </c>
      <c r="FY17" s="4">
        <f t="shared" si="23"/>
        <v>15735.110955102704</v>
      </c>
      <c r="FZ17" s="4">
        <f t="shared" si="24"/>
        <v>15735.110955102704</v>
      </c>
      <c r="GA17" s="4">
        <f t="shared" si="25"/>
        <v>15735.110955102704</v>
      </c>
      <c r="GB17" s="4">
        <f t="shared" si="26"/>
        <v>15735.110955102704</v>
      </c>
      <c r="GC17" s="4">
        <f t="shared" si="27"/>
        <v>15735.110955102704</v>
      </c>
      <c r="GD17" s="4">
        <f t="shared" si="28"/>
        <v>15735.110955102704</v>
      </c>
      <c r="GE17" s="4">
        <f t="shared" si="29"/>
        <v>15735.110955102704</v>
      </c>
      <c r="GF17" s="4">
        <f t="shared" si="30"/>
        <v>15735.110955102704</v>
      </c>
      <c r="GG17" s="4">
        <f t="shared" si="31"/>
        <v>15735.110955102704</v>
      </c>
      <c r="GH17" s="4">
        <f t="shared" si="32"/>
        <v>15735.110955102704</v>
      </c>
      <c r="GI17" s="4">
        <f t="shared" si="33"/>
        <v>15735.110955102704</v>
      </c>
      <c r="GJ17" s="4">
        <f t="shared" si="34"/>
        <v>15735.110955102704</v>
      </c>
      <c r="GK17" s="4">
        <f t="shared" si="35"/>
        <v>15735.110955102704</v>
      </c>
      <c r="GL17" s="4">
        <f t="shared" si="36"/>
        <v>15735.110955102704</v>
      </c>
      <c r="GM17" s="4">
        <f t="shared" si="37"/>
        <v>15735.110955102704</v>
      </c>
      <c r="GN17" s="4">
        <f t="shared" si="38"/>
        <v>15735.110955102704</v>
      </c>
      <c r="GO17" s="4">
        <f t="shared" si="39"/>
        <v>15735.110955102704</v>
      </c>
      <c r="GP17" s="4">
        <f t="shared" si="40"/>
        <v>15735.110955102704</v>
      </c>
      <c r="GQ17" s="4">
        <f t="shared" si="41"/>
        <v>15735.110955102704</v>
      </c>
      <c r="GR17" s="4">
        <f t="shared" si="42"/>
        <v>15735.110955102704</v>
      </c>
      <c r="GS17" s="4">
        <f t="shared" si="43"/>
        <v>15735.110955102704</v>
      </c>
      <c r="GT17" s="4">
        <f t="shared" si="44"/>
        <v>15735.110955102704</v>
      </c>
      <c r="GU17" s="4">
        <f t="shared" si="45"/>
        <v>15735.110955102704</v>
      </c>
      <c r="GV17" s="4">
        <f t="shared" si="46"/>
        <v>15735.110955102704</v>
      </c>
      <c r="GW17" s="4">
        <f t="shared" si="47"/>
        <v>15735.110955102704</v>
      </c>
      <c r="GX17" s="4">
        <f t="shared" si="48"/>
        <v>15735.110955102704</v>
      </c>
      <c r="GY17" s="4">
        <f t="shared" si="49"/>
        <v>15735.110955102704</v>
      </c>
      <c r="GZ17" s="4">
        <f t="shared" si="50"/>
        <v>15735.110955102704</v>
      </c>
      <c r="HA17" s="4">
        <f t="shared" si="51"/>
        <v>15735.110955102704</v>
      </c>
      <c r="HB17" s="4">
        <f t="shared" si="52"/>
        <v>15735.110955102704</v>
      </c>
      <c r="HC17" s="4">
        <f t="shared" si="53"/>
        <v>15735.110955102704</v>
      </c>
    </row>
    <row r="18" spans="1:211">
      <c r="A18" t="s">
        <v>22</v>
      </c>
      <c r="B18" s="4">
        <f t="shared" ref="B18:BM18" si="101">C18</f>
        <v>27068.893775367767</v>
      </c>
      <c r="C18" s="4">
        <f t="shared" si="101"/>
        <v>27068.893775367767</v>
      </c>
      <c r="D18" s="4">
        <f t="shared" si="101"/>
        <v>27068.893775367767</v>
      </c>
      <c r="E18" s="4">
        <f t="shared" si="101"/>
        <v>27068.893775367767</v>
      </c>
      <c r="F18" s="4">
        <f t="shared" si="101"/>
        <v>27068.893775367767</v>
      </c>
      <c r="G18" s="4">
        <f t="shared" si="101"/>
        <v>27068.893775367767</v>
      </c>
      <c r="H18" s="4">
        <f t="shared" si="101"/>
        <v>27068.893775367767</v>
      </c>
      <c r="I18" s="4">
        <f t="shared" si="101"/>
        <v>27068.893775367767</v>
      </c>
      <c r="J18" s="4">
        <f t="shared" si="101"/>
        <v>27068.893775367767</v>
      </c>
      <c r="K18" s="4">
        <f t="shared" si="101"/>
        <v>27068.893775367767</v>
      </c>
      <c r="L18" s="4">
        <f t="shared" si="101"/>
        <v>27068.893775367767</v>
      </c>
      <c r="M18" s="4">
        <f t="shared" si="101"/>
        <v>27068.893775367767</v>
      </c>
      <c r="N18" s="4">
        <f t="shared" si="101"/>
        <v>27068.893775367767</v>
      </c>
      <c r="O18" s="4">
        <f t="shared" si="101"/>
        <v>27068.893775367767</v>
      </c>
      <c r="P18" s="4">
        <f t="shared" si="101"/>
        <v>27068.893775367767</v>
      </c>
      <c r="Q18" s="4">
        <f t="shared" si="101"/>
        <v>27068.893775367767</v>
      </c>
      <c r="R18" s="4">
        <f t="shared" si="101"/>
        <v>27068.893775367767</v>
      </c>
      <c r="S18" s="4">
        <f t="shared" si="101"/>
        <v>27068.893775367767</v>
      </c>
      <c r="T18" s="4">
        <f t="shared" si="101"/>
        <v>27068.893775367767</v>
      </c>
      <c r="U18" s="4">
        <f t="shared" si="101"/>
        <v>27068.893775367767</v>
      </c>
      <c r="V18" s="4">
        <f t="shared" si="101"/>
        <v>27068.893775367767</v>
      </c>
      <c r="W18" s="4">
        <f t="shared" si="101"/>
        <v>27068.893775367767</v>
      </c>
      <c r="X18" s="4">
        <f t="shared" si="101"/>
        <v>27068.893775367767</v>
      </c>
      <c r="Y18" s="4">
        <f t="shared" si="101"/>
        <v>27068.893775367767</v>
      </c>
      <c r="Z18" s="4">
        <f t="shared" si="101"/>
        <v>27068.893775367767</v>
      </c>
      <c r="AA18" s="4">
        <f t="shared" si="101"/>
        <v>27068.893775367767</v>
      </c>
      <c r="AB18" s="4">
        <f t="shared" si="101"/>
        <v>27068.893775367767</v>
      </c>
      <c r="AC18" s="4">
        <f t="shared" si="101"/>
        <v>27068.893775367767</v>
      </c>
      <c r="AD18" s="4">
        <f t="shared" si="101"/>
        <v>27068.893775367767</v>
      </c>
      <c r="AE18" s="4">
        <f t="shared" si="101"/>
        <v>27068.893775367767</v>
      </c>
      <c r="AF18" s="4">
        <f t="shared" si="101"/>
        <v>27068.893775367767</v>
      </c>
      <c r="AG18" s="4">
        <f t="shared" si="101"/>
        <v>27068.893775367767</v>
      </c>
      <c r="AH18" s="4">
        <f t="shared" si="101"/>
        <v>27068.893775367767</v>
      </c>
      <c r="AI18" s="4">
        <f t="shared" si="101"/>
        <v>27068.893775367767</v>
      </c>
      <c r="AJ18" s="4">
        <f t="shared" si="101"/>
        <v>27068.893775367767</v>
      </c>
      <c r="AK18" s="4">
        <f t="shared" si="101"/>
        <v>27068.893775367767</v>
      </c>
      <c r="AL18" s="4">
        <f t="shared" si="101"/>
        <v>27068.893775367767</v>
      </c>
      <c r="AM18" s="4">
        <f t="shared" si="101"/>
        <v>27068.893775367767</v>
      </c>
      <c r="AN18" s="4">
        <f t="shared" si="101"/>
        <v>27068.893775367767</v>
      </c>
      <c r="AO18" s="4">
        <f t="shared" si="101"/>
        <v>27068.893775367767</v>
      </c>
      <c r="AP18" s="4">
        <f t="shared" si="101"/>
        <v>27068.893775367767</v>
      </c>
      <c r="AQ18" s="4">
        <f t="shared" si="101"/>
        <v>27068.893775367767</v>
      </c>
      <c r="AR18" s="4">
        <f t="shared" si="101"/>
        <v>27068.893775367767</v>
      </c>
      <c r="AS18" s="4">
        <f t="shared" si="101"/>
        <v>27068.893775367767</v>
      </c>
      <c r="AT18" s="4">
        <f t="shared" si="101"/>
        <v>27068.893775367767</v>
      </c>
      <c r="AU18" s="4">
        <f t="shared" si="101"/>
        <v>27068.893775367767</v>
      </c>
      <c r="AV18" s="4">
        <f t="shared" si="101"/>
        <v>27068.893775367767</v>
      </c>
      <c r="AW18" s="4">
        <f t="shared" si="101"/>
        <v>27068.893775367767</v>
      </c>
      <c r="AX18" s="4">
        <f t="shared" si="101"/>
        <v>27068.893775367767</v>
      </c>
      <c r="AY18" s="4">
        <f t="shared" si="101"/>
        <v>27068.893775367767</v>
      </c>
      <c r="AZ18" s="4">
        <f t="shared" si="101"/>
        <v>27068.893775367767</v>
      </c>
      <c r="BA18" s="4">
        <f t="shared" si="101"/>
        <v>27068.893775367767</v>
      </c>
      <c r="BB18" s="4">
        <f t="shared" si="101"/>
        <v>27068.893775367767</v>
      </c>
      <c r="BC18" s="4">
        <f t="shared" si="101"/>
        <v>27068.893775367767</v>
      </c>
      <c r="BD18" s="4">
        <f t="shared" si="101"/>
        <v>27068.893775367767</v>
      </c>
      <c r="BE18" s="4">
        <f t="shared" si="101"/>
        <v>27068.893775367767</v>
      </c>
      <c r="BF18" s="4">
        <f t="shared" si="101"/>
        <v>27068.893775367767</v>
      </c>
      <c r="BG18" s="4">
        <f t="shared" si="101"/>
        <v>27068.893775367767</v>
      </c>
      <c r="BH18" s="4">
        <f t="shared" si="101"/>
        <v>27068.893775367767</v>
      </c>
      <c r="BI18" s="4">
        <f t="shared" si="101"/>
        <v>27068.893775367767</v>
      </c>
      <c r="BJ18" s="4">
        <f t="shared" si="101"/>
        <v>27068.893775367767</v>
      </c>
      <c r="BK18" s="4">
        <f t="shared" si="101"/>
        <v>27068.893775367767</v>
      </c>
      <c r="BL18" s="4">
        <f t="shared" si="101"/>
        <v>27068.893775367767</v>
      </c>
      <c r="BM18" s="4">
        <f t="shared" si="101"/>
        <v>27068.893775367767</v>
      </c>
      <c r="BN18" s="4">
        <f t="shared" ref="BN18:DY18" si="102">BO18</f>
        <v>27068.893775367767</v>
      </c>
      <c r="BO18" s="4">
        <f t="shared" si="102"/>
        <v>27068.893775367767</v>
      </c>
      <c r="BP18" s="4">
        <f t="shared" si="102"/>
        <v>27068.893775367767</v>
      </c>
      <c r="BQ18" s="4">
        <f t="shared" si="102"/>
        <v>27068.893775367767</v>
      </c>
      <c r="BR18" s="4">
        <f t="shared" si="102"/>
        <v>27068.893775367767</v>
      </c>
      <c r="BS18" s="4">
        <f t="shared" si="102"/>
        <v>27068.893775367767</v>
      </c>
      <c r="BT18" s="4">
        <f t="shared" si="102"/>
        <v>27068.893775367767</v>
      </c>
      <c r="BU18" s="4">
        <f t="shared" si="102"/>
        <v>27068.893775367767</v>
      </c>
      <c r="BV18" s="4">
        <f t="shared" si="102"/>
        <v>27068.893775367767</v>
      </c>
      <c r="BW18" s="4">
        <f t="shared" si="102"/>
        <v>27068.893775367767</v>
      </c>
      <c r="BX18" s="4">
        <f t="shared" si="102"/>
        <v>27068.893775367767</v>
      </c>
      <c r="BY18" s="4">
        <f t="shared" si="102"/>
        <v>27068.893775367767</v>
      </c>
      <c r="BZ18" s="4">
        <f t="shared" si="102"/>
        <v>27068.893775367767</v>
      </c>
      <c r="CA18" s="4">
        <f t="shared" si="102"/>
        <v>27068.893775367767</v>
      </c>
      <c r="CB18" s="4">
        <f t="shared" si="102"/>
        <v>27068.893775367767</v>
      </c>
      <c r="CC18" s="4">
        <f t="shared" si="102"/>
        <v>27068.893775367767</v>
      </c>
      <c r="CD18" s="4">
        <f t="shared" si="102"/>
        <v>27068.893775367767</v>
      </c>
      <c r="CE18" s="4">
        <f t="shared" si="102"/>
        <v>27068.893775367767</v>
      </c>
      <c r="CF18" s="4">
        <f t="shared" si="102"/>
        <v>27068.893775367767</v>
      </c>
      <c r="CG18" s="4">
        <f t="shared" si="102"/>
        <v>27068.893775367767</v>
      </c>
      <c r="CH18" s="4">
        <f t="shared" si="102"/>
        <v>27068.893775367767</v>
      </c>
      <c r="CI18" s="4">
        <f t="shared" si="102"/>
        <v>27068.893775367767</v>
      </c>
      <c r="CJ18" s="4">
        <f t="shared" si="102"/>
        <v>27068.893775367767</v>
      </c>
      <c r="CK18" s="4">
        <f t="shared" si="102"/>
        <v>27068.893775367767</v>
      </c>
      <c r="CL18" s="4">
        <f t="shared" si="102"/>
        <v>27068.893775367767</v>
      </c>
      <c r="CM18" s="4">
        <f t="shared" si="102"/>
        <v>27068.893775367767</v>
      </c>
      <c r="CN18" s="4">
        <f t="shared" si="102"/>
        <v>27068.893775367767</v>
      </c>
      <c r="CO18" s="4">
        <f t="shared" si="102"/>
        <v>27068.893775367767</v>
      </c>
      <c r="CP18" s="4">
        <f t="shared" si="102"/>
        <v>27068.893775367767</v>
      </c>
      <c r="CQ18" s="4">
        <f t="shared" si="102"/>
        <v>27068.893775367767</v>
      </c>
      <c r="CR18" s="4">
        <f t="shared" si="102"/>
        <v>27068.893775367767</v>
      </c>
      <c r="CS18" s="4">
        <f t="shared" si="102"/>
        <v>27068.893775367767</v>
      </c>
      <c r="CT18" s="4">
        <f t="shared" si="102"/>
        <v>27068.893775367767</v>
      </c>
      <c r="CU18" s="4">
        <f t="shared" si="102"/>
        <v>27068.893775367767</v>
      </c>
      <c r="CV18" s="4">
        <f t="shared" si="102"/>
        <v>27068.893775367767</v>
      </c>
      <c r="CW18" s="4">
        <f t="shared" si="102"/>
        <v>27068.893775367767</v>
      </c>
      <c r="CX18" s="4">
        <f t="shared" si="102"/>
        <v>27068.893775367767</v>
      </c>
      <c r="CY18" s="4">
        <f t="shared" si="102"/>
        <v>27068.893775367767</v>
      </c>
      <c r="CZ18" s="4">
        <f t="shared" si="102"/>
        <v>27068.893775367767</v>
      </c>
      <c r="DA18" s="4">
        <f t="shared" si="102"/>
        <v>27068.893775367767</v>
      </c>
      <c r="DB18" s="4">
        <f t="shared" si="102"/>
        <v>27068.893775367767</v>
      </c>
      <c r="DC18" s="4">
        <f t="shared" si="102"/>
        <v>27068.893775367767</v>
      </c>
      <c r="DD18" s="4">
        <f t="shared" si="102"/>
        <v>27068.893775367767</v>
      </c>
      <c r="DE18" s="4">
        <f t="shared" si="102"/>
        <v>27068.893775367767</v>
      </c>
      <c r="DF18" s="4">
        <f t="shared" si="102"/>
        <v>27068.893775367767</v>
      </c>
      <c r="DG18" s="4">
        <f t="shared" si="102"/>
        <v>27068.893775367767</v>
      </c>
      <c r="DH18" s="4">
        <f t="shared" si="102"/>
        <v>27068.893775367767</v>
      </c>
      <c r="DI18" s="4">
        <f t="shared" si="102"/>
        <v>27068.893775367767</v>
      </c>
      <c r="DJ18" s="4">
        <f t="shared" si="102"/>
        <v>27068.893775367767</v>
      </c>
      <c r="DK18" s="4">
        <f t="shared" si="102"/>
        <v>27068.893775367767</v>
      </c>
      <c r="DL18" s="4">
        <f t="shared" si="102"/>
        <v>27068.893775367767</v>
      </c>
      <c r="DM18" s="4">
        <f t="shared" si="102"/>
        <v>27068.893775367767</v>
      </c>
      <c r="DN18" s="4">
        <f t="shared" si="102"/>
        <v>27068.893775367767</v>
      </c>
      <c r="DO18" s="4">
        <f t="shared" si="102"/>
        <v>27068.893775367767</v>
      </c>
      <c r="DP18" s="4">
        <f t="shared" si="102"/>
        <v>27068.893775367767</v>
      </c>
      <c r="DQ18" s="4">
        <f t="shared" si="102"/>
        <v>27068.893775367767</v>
      </c>
      <c r="DR18" s="4">
        <f t="shared" si="102"/>
        <v>27068.893775367767</v>
      </c>
      <c r="DS18" s="4">
        <f t="shared" si="102"/>
        <v>27068.893775367767</v>
      </c>
      <c r="DT18" s="4">
        <f t="shared" si="102"/>
        <v>27068.893775367767</v>
      </c>
      <c r="DU18" s="4">
        <f t="shared" si="102"/>
        <v>27068.893775367767</v>
      </c>
      <c r="DV18" s="4">
        <f t="shared" si="102"/>
        <v>27068.893775367767</v>
      </c>
      <c r="DW18" s="4">
        <f t="shared" si="102"/>
        <v>27068.893775367767</v>
      </c>
      <c r="DX18" s="4">
        <f t="shared" si="102"/>
        <v>27068.893775367767</v>
      </c>
      <c r="DY18" s="4">
        <f t="shared" si="102"/>
        <v>27068.893775367767</v>
      </c>
      <c r="DZ18" s="4">
        <f t="shared" si="56"/>
        <v>27068.893775367767</v>
      </c>
      <c r="EA18" s="4">
        <f t="shared" si="56"/>
        <v>27068.893775367767</v>
      </c>
      <c r="EB18" s="4">
        <f>'CCaMC-ACAPEXpUC US'!D18/'CCaMC-BCCpUC US'!B18*'CCaMC-BCCpUC'!B18</f>
        <v>27068.893775367767</v>
      </c>
      <c r="EC18" s="4">
        <f t="shared" si="57"/>
        <v>27068.893775367767</v>
      </c>
      <c r="ED18" s="4">
        <f t="shared" si="57"/>
        <v>27068.893775367767</v>
      </c>
      <c r="EE18" s="4">
        <f t="shared" si="57"/>
        <v>27068.893775367767</v>
      </c>
      <c r="EF18" s="4">
        <f t="shared" si="57"/>
        <v>27068.893775367767</v>
      </c>
      <c r="EG18" s="4">
        <f t="shared" si="57"/>
        <v>27068.893775367767</v>
      </c>
      <c r="EH18" s="4">
        <f t="shared" si="57"/>
        <v>27068.893775367767</v>
      </c>
      <c r="EI18" s="4">
        <f t="shared" si="57"/>
        <v>27068.893775367767</v>
      </c>
      <c r="EJ18" s="4">
        <f t="shared" si="57"/>
        <v>27068.893775367767</v>
      </c>
      <c r="EK18" s="4">
        <f t="shared" si="57"/>
        <v>27068.893775367767</v>
      </c>
      <c r="EL18" s="4">
        <f t="shared" si="57"/>
        <v>27068.893775367767</v>
      </c>
      <c r="EM18" s="4">
        <f t="shared" ref="EM18:FE18" si="103">EL18</f>
        <v>27068.893775367767</v>
      </c>
      <c r="EN18" s="4">
        <f t="shared" si="103"/>
        <v>27068.893775367767</v>
      </c>
      <c r="EO18" s="4">
        <f t="shared" si="103"/>
        <v>27068.893775367767</v>
      </c>
      <c r="EP18" s="4">
        <f t="shared" si="103"/>
        <v>27068.893775367767</v>
      </c>
      <c r="EQ18" s="4">
        <f t="shared" si="103"/>
        <v>27068.893775367767</v>
      </c>
      <c r="ER18" s="4">
        <f t="shared" si="103"/>
        <v>27068.893775367767</v>
      </c>
      <c r="ES18" s="4">
        <f t="shared" si="103"/>
        <v>27068.893775367767</v>
      </c>
      <c r="ET18" s="4">
        <f t="shared" si="103"/>
        <v>27068.893775367767</v>
      </c>
      <c r="EU18" s="4">
        <f t="shared" si="103"/>
        <v>27068.893775367767</v>
      </c>
      <c r="EV18" s="4">
        <f t="shared" si="103"/>
        <v>27068.893775367767</v>
      </c>
      <c r="EW18" s="4">
        <f t="shared" si="103"/>
        <v>27068.893775367767</v>
      </c>
      <c r="EX18" s="4">
        <f t="shared" si="103"/>
        <v>27068.893775367767</v>
      </c>
      <c r="EY18" s="4">
        <f t="shared" si="103"/>
        <v>27068.893775367767</v>
      </c>
      <c r="EZ18" s="4">
        <f t="shared" si="103"/>
        <v>27068.893775367767</v>
      </c>
      <c r="FA18" s="4">
        <f t="shared" si="103"/>
        <v>27068.893775367767</v>
      </c>
      <c r="FB18" s="4">
        <f t="shared" si="103"/>
        <v>27068.893775367767</v>
      </c>
      <c r="FC18" s="4">
        <f t="shared" si="103"/>
        <v>27068.893775367767</v>
      </c>
      <c r="FD18" s="4">
        <f t="shared" si="103"/>
        <v>27068.893775367767</v>
      </c>
      <c r="FE18" s="4">
        <f t="shared" si="103"/>
        <v>27068.893775367767</v>
      </c>
      <c r="FF18" s="4">
        <f t="shared" si="4"/>
        <v>27068.893775367767</v>
      </c>
      <c r="FG18" s="4">
        <f t="shared" si="5"/>
        <v>27068.893775367767</v>
      </c>
      <c r="FH18" s="4">
        <f t="shared" si="6"/>
        <v>27068.893775367767</v>
      </c>
      <c r="FI18" s="4">
        <f t="shared" si="7"/>
        <v>27068.893775367767</v>
      </c>
      <c r="FJ18" s="4">
        <f t="shared" si="8"/>
        <v>27068.893775367767</v>
      </c>
      <c r="FK18" s="4">
        <f t="shared" si="9"/>
        <v>27068.893775367767</v>
      </c>
      <c r="FL18" s="4">
        <f t="shared" si="10"/>
        <v>27068.893775367767</v>
      </c>
      <c r="FM18" s="4">
        <f t="shared" si="11"/>
        <v>27068.893775367767</v>
      </c>
      <c r="FN18" s="4">
        <f t="shared" si="12"/>
        <v>27068.893775367767</v>
      </c>
      <c r="FO18" s="4">
        <f t="shared" si="13"/>
        <v>27068.893775367767</v>
      </c>
      <c r="FP18" s="4">
        <f t="shared" si="14"/>
        <v>27068.893775367767</v>
      </c>
      <c r="FQ18" s="4">
        <f t="shared" si="15"/>
        <v>27068.893775367767</v>
      </c>
      <c r="FR18" s="4">
        <f t="shared" si="16"/>
        <v>27068.893775367767</v>
      </c>
      <c r="FS18" s="4">
        <f t="shared" si="17"/>
        <v>27068.893775367767</v>
      </c>
      <c r="FT18" s="4">
        <f t="shared" si="18"/>
        <v>27068.893775367767</v>
      </c>
      <c r="FU18" s="4">
        <f t="shared" si="19"/>
        <v>27068.893775367767</v>
      </c>
      <c r="FV18" s="4">
        <f t="shared" si="20"/>
        <v>27068.893775367767</v>
      </c>
      <c r="FW18" s="4">
        <f t="shared" si="21"/>
        <v>27068.893775367767</v>
      </c>
      <c r="FX18" s="4">
        <f t="shared" si="22"/>
        <v>27068.893775367767</v>
      </c>
      <c r="FY18" s="4">
        <f t="shared" si="23"/>
        <v>27068.893775367767</v>
      </c>
      <c r="FZ18" s="4">
        <f t="shared" si="24"/>
        <v>27068.893775367767</v>
      </c>
      <c r="GA18" s="4">
        <f t="shared" si="25"/>
        <v>27068.893775367767</v>
      </c>
      <c r="GB18" s="4">
        <f t="shared" si="26"/>
        <v>27068.893775367767</v>
      </c>
      <c r="GC18" s="4">
        <f t="shared" si="27"/>
        <v>27068.893775367767</v>
      </c>
      <c r="GD18" s="4">
        <f t="shared" si="28"/>
        <v>27068.893775367767</v>
      </c>
      <c r="GE18" s="4">
        <f t="shared" si="29"/>
        <v>27068.893775367767</v>
      </c>
      <c r="GF18" s="4">
        <f t="shared" si="30"/>
        <v>27068.893775367767</v>
      </c>
      <c r="GG18" s="4">
        <f t="shared" si="31"/>
        <v>27068.893775367767</v>
      </c>
      <c r="GH18" s="4">
        <f t="shared" si="32"/>
        <v>27068.893775367767</v>
      </c>
      <c r="GI18" s="4">
        <f t="shared" si="33"/>
        <v>27068.893775367767</v>
      </c>
      <c r="GJ18" s="4">
        <f t="shared" si="34"/>
        <v>27068.893775367767</v>
      </c>
      <c r="GK18" s="4">
        <f t="shared" si="35"/>
        <v>27068.893775367767</v>
      </c>
      <c r="GL18" s="4">
        <f t="shared" si="36"/>
        <v>27068.893775367767</v>
      </c>
      <c r="GM18" s="4">
        <f t="shared" si="37"/>
        <v>27068.893775367767</v>
      </c>
      <c r="GN18" s="4">
        <f t="shared" si="38"/>
        <v>27068.893775367767</v>
      </c>
      <c r="GO18" s="4">
        <f t="shared" si="39"/>
        <v>27068.893775367767</v>
      </c>
      <c r="GP18" s="4">
        <f t="shared" si="40"/>
        <v>27068.893775367767</v>
      </c>
      <c r="GQ18" s="4">
        <f t="shared" si="41"/>
        <v>27068.893775367767</v>
      </c>
      <c r="GR18" s="4">
        <f t="shared" si="42"/>
        <v>27068.893775367767</v>
      </c>
      <c r="GS18" s="4">
        <f t="shared" si="43"/>
        <v>27068.893775367767</v>
      </c>
      <c r="GT18" s="4">
        <f t="shared" si="44"/>
        <v>27068.893775367767</v>
      </c>
      <c r="GU18" s="4">
        <f t="shared" si="45"/>
        <v>27068.893775367767</v>
      </c>
      <c r="GV18" s="4">
        <f t="shared" si="46"/>
        <v>27068.893775367767</v>
      </c>
      <c r="GW18" s="4">
        <f t="shared" si="47"/>
        <v>27068.893775367767</v>
      </c>
      <c r="GX18" s="4">
        <f t="shared" si="48"/>
        <v>27068.893775367767</v>
      </c>
      <c r="GY18" s="4">
        <f t="shared" si="49"/>
        <v>27068.893775367767</v>
      </c>
      <c r="GZ18" s="4">
        <f t="shared" si="50"/>
        <v>27068.893775367767</v>
      </c>
      <c r="HA18" s="4">
        <f t="shared" si="51"/>
        <v>27068.893775367767</v>
      </c>
      <c r="HB18" s="4">
        <f t="shared" si="52"/>
        <v>27068.893775367767</v>
      </c>
      <c r="HC18" s="4">
        <f t="shared" si="53"/>
        <v>27068.893775367767</v>
      </c>
    </row>
    <row r="19" spans="1:211">
      <c r="A19" t="s">
        <v>77</v>
      </c>
      <c r="B19" s="4">
        <f t="shared" ref="B19:BM19" si="104">C19</f>
        <v>24015.21</v>
      </c>
      <c r="C19" s="4">
        <f t="shared" si="104"/>
        <v>24015.21</v>
      </c>
      <c r="D19" s="4">
        <f t="shared" si="104"/>
        <v>24015.21</v>
      </c>
      <c r="E19" s="4">
        <f t="shared" si="104"/>
        <v>24015.21</v>
      </c>
      <c r="F19" s="4">
        <f t="shared" si="104"/>
        <v>24015.21</v>
      </c>
      <c r="G19" s="4">
        <f t="shared" si="104"/>
        <v>24015.21</v>
      </c>
      <c r="H19" s="4">
        <f t="shared" si="104"/>
        <v>24015.21</v>
      </c>
      <c r="I19" s="4">
        <f t="shared" si="104"/>
        <v>24015.21</v>
      </c>
      <c r="J19" s="4">
        <f t="shared" si="104"/>
        <v>24015.21</v>
      </c>
      <c r="K19" s="4">
        <f t="shared" si="104"/>
        <v>24015.21</v>
      </c>
      <c r="L19" s="4">
        <f t="shared" si="104"/>
        <v>24015.21</v>
      </c>
      <c r="M19" s="4">
        <f t="shared" si="104"/>
        <v>24015.21</v>
      </c>
      <c r="N19" s="4">
        <f t="shared" si="104"/>
        <v>24015.21</v>
      </c>
      <c r="O19" s="4">
        <f t="shared" si="104"/>
        <v>24015.21</v>
      </c>
      <c r="P19" s="4">
        <f t="shared" si="104"/>
        <v>24015.21</v>
      </c>
      <c r="Q19" s="4">
        <f t="shared" si="104"/>
        <v>24015.21</v>
      </c>
      <c r="R19" s="4">
        <f t="shared" si="104"/>
        <v>24015.21</v>
      </c>
      <c r="S19" s="4">
        <f t="shared" si="104"/>
        <v>24015.21</v>
      </c>
      <c r="T19" s="4">
        <f t="shared" si="104"/>
        <v>24015.21</v>
      </c>
      <c r="U19" s="4">
        <f t="shared" si="104"/>
        <v>24015.21</v>
      </c>
      <c r="V19" s="4">
        <f t="shared" si="104"/>
        <v>24015.21</v>
      </c>
      <c r="W19" s="4">
        <f t="shared" si="104"/>
        <v>24015.21</v>
      </c>
      <c r="X19" s="4">
        <f t="shared" si="104"/>
        <v>24015.21</v>
      </c>
      <c r="Y19" s="4">
        <f t="shared" si="104"/>
        <v>24015.21</v>
      </c>
      <c r="Z19" s="4">
        <f t="shared" si="104"/>
        <v>24015.21</v>
      </c>
      <c r="AA19" s="4">
        <f t="shared" si="104"/>
        <v>24015.21</v>
      </c>
      <c r="AB19" s="4">
        <f t="shared" si="104"/>
        <v>24015.21</v>
      </c>
      <c r="AC19" s="4">
        <f t="shared" si="104"/>
        <v>24015.21</v>
      </c>
      <c r="AD19" s="4">
        <f t="shared" si="104"/>
        <v>24015.21</v>
      </c>
      <c r="AE19" s="4">
        <f t="shared" si="104"/>
        <v>24015.21</v>
      </c>
      <c r="AF19" s="4">
        <f t="shared" si="104"/>
        <v>24015.21</v>
      </c>
      <c r="AG19" s="4">
        <f t="shared" si="104"/>
        <v>24015.21</v>
      </c>
      <c r="AH19" s="4">
        <f t="shared" si="104"/>
        <v>24015.21</v>
      </c>
      <c r="AI19" s="4">
        <f t="shared" si="104"/>
        <v>24015.21</v>
      </c>
      <c r="AJ19" s="4">
        <f t="shared" si="104"/>
        <v>24015.21</v>
      </c>
      <c r="AK19" s="4">
        <f t="shared" si="104"/>
        <v>24015.21</v>
      </c>
      <c r="AL19" s="4">
        <f t="shared" si="104"/>
        <v>24015.21</v>
      </c>
      <c r="AM19" s="4">
        <f t="shared" si="104"/>
        <v>24015.21</v>
      </c>
      <c r="AN19" s="4">
        <f t="shared" si="104"/>
        <v>24015.21</v>
      </c>
      <c r="AO19" s="4">
        <f t="shared" si="104"/>
        <v>24015.21</v>
      </c>
      <c r="AP19" s="4">
        <f t="shared" si="104"/>
        <v>24015.21</v>
      </c>
      <c r="AQ19" s="4">
        <f t="shared" si="104"/>
        <v>24015.21</v>
      </c>
      <c r="AR19" s="4">
        <f t="shared" si="104"/>
        <v>24015.21</v>
      </c>
      <c r="AS19" s="4">
        <f t="shared" si="104"/>
        <v>24015.21</v>
      </c>
      <c r="AT19" s="4">
        <f t="shared" si="104"/>
        <v>24015.21</v>
      </c>
      <c r="AU19" s="4">
        <f t="shared" si="104"/>
        <v>24015.21</v>
      </c>
      <c r="AV19" s="4">
        <f t="shared" si="104"/>
        <v>24015.21</v>
      </c>
      <c r="AW19" s="4">
        <f t="shared" si="104"/>
        <v>24015.21</v>
      </c>
      <c r="AX19" s="4">
        <f t="shared" si="104"/>
        <v>24015.21</v>
      </c>
      <c r="AY19" s="4">
        <f t="shared" si="104"/>
        <v>24015.21</v>
      </c>
      <c r="AZ19" s="4">
        <f t="shared" si="104"/>
        <v>24015.21</v>
      </c>
      <c r="BA19" s="4">
        <f t="shared" si="104"/>
        <v>24015.21</v>
      </c>
      <c r="BB19" s="4">
        <f t="shared" si="104"/>
        <v>24015.21</v>
      </c>
      <c r="BC19" s="4">
        <f t="shared" si="104"/>
        <v>24015.21</v>
      </c>
      <c r="BD19" s="4">
        <f t="shared" si="104"/>
        <v>24015.21</v>
      </c>
      <c r="BE19" s="4">
        <f t="shared" si="104"/>
        <v>24015.21</v>
      </c>
      <c r="BF19" s="4">
        <f t="shared" si="104"/>
        <v>24015.21</v>
      </c>
      <c r="BG19" s="4">
        <f t="shared" si="104"/>
        <v>24015.21</v>
      </c>
      <c r="BH19" s="4">
        <f t="shared" si="104"/>
        <v>24015.21</v>
      </c>
      <c r="BI19" s="4">
        <f t="shared" si="104"/>
        <v>24015.21</v>
      </c>
      <c r="BJ19" s="4">
        <f t="shared" si="104"/>
        <v>24015.21</v>
      </c>
      <c r="BK19" s="4">
        <f t="shared" si="104"/>
        <v>24015.21</v>
      </c>
      <c r="BL19" s="4">
        <f t="shared" si="104"/>
        <v>24015.21</v>
      </c>
      <c r="BM19" s="4">
        <f t="shared" si="104"/>
        <v>24015.21</v>
      </c>
      <c r="BN19" s="4">
        <f t="shared" ref="BN19:DY19" si="105">BO19</f>
        <v>24015.21</v>
      </c>
      <c r="BO19" s="4">
        <f t="shared" si="105"/>
        <v>24015.21</v>
      </c>
      <c r="BP19" s="4">
        <f t="shared" si="105"/>
        <v>24015.21</v>
      </c>
      <c r="BQ19" s="4">
        <f t="shared" si="105"/>
        <v>24015.21</v>
      </c>
      <c r="BR19" s="4">
        <f t="shared" si="105"/>
        <v>24015.21</v>
      </c>
      <c r="BS19" s="4">
        <f t="shared" si="105"/>
        <v>24015.21</v>
      </c>
      <c r="BT19" s="4">
        <f t="shared" si="105"/>
        <v>24015.21</v>
      </c>
      <c r="BU19" s="4">
        <f t="shared" si="105"/>
        <v>24015.21</v>
      </c>
      <c r="BV19" s="4">
        <f t="shared" si="105"/>
        <v>24015.21</v>
      </c>
      <c r="BW19" s="4">
        <f t="shared" si="105"/>
        <v>24015.21</v>
      </c>
      <c r="BX19" s="4">
        <f t="shared" si="105"/>
        <v>24015.21</v>
      </c>
      <c r="BY19" s="4">
        <f t="shared" si="105"/>
        <v>24015.21</v>
      </c>
      <c r="BZ19" s="4">
        <f t="shared" si="105"/>
        <v>24015.21</v>
      </c>
      <c r="CA19" s="4">
        <f t="shared" si="105"/>
        <v>24015.21</v>
      </c>
      <c r="CB19" s="4">
        <f t="shared" si="105"/>
        <v>24015.21</v>
      </c>
      <c r="CC19" s="4">
        <f t="shared" si="105"/>
        <v>24015.21</v>
      </c>
      <c r="CD19" s="4">
        <f t="shared" si="105"/>
        <v>24015.21</v>
      </c>
      <c r="CE19" s="4">
        <f t="shared" si="105"/>
        <v>24015.21</v>
      </c>
      <c r="CF19" s="4">
        <f t="shared" si="105"/>
        <v>24015.21</v>
      </c>
      <c r="CG19" s="4">
        <f t="shared" si="105"/>
        <v>24015.21</v>
      </c>
      <c r="CH19" s="4">
        <f t="shared" si="105"/>
        <v>24015.21</v>
      </c>
      <c r="CI19" s="4">
        <f t="shared" si="105"/>
        <v>24015.21</v>
      </c>
      <c r="CJ19" s="4">
        <f t="shared" si="105"/>
        <v>24015.21</v>
      </c>
      <c r="CK19" s="4">
        <f t="shared" si="105"/>
        <v>24015.21</v>
      </c>
      <c r="CL19" s="4">
        <f t="shared" si="105"/>
        <v>24015.21</v>
      </c>
      <c r="CM19" s="4">
        <f t="shared" si="105"/>
        <v>24015.21</v>
      </c>
      <c r="CN19" s="4">
        <f t="shared" si="105"/>
        <v>24015.21</v>
      </c>
      <c r="CO19" s="4">
        <f t="shared" si="105"/>
        <v>24015.21</v>
      </c>
      <c r="CP19" s="4">
        <f t="shared" si="105"/>
        <v>24015.21</v>
      </c>
      <c r="CQ19" s="4">
        <f t="shared" si="105"/>
        <v>24015.21</v>
      </c>
      <c r="CR19" s="4">
        <f t="shared" si="105"/>
        <v>24015.21</v>
      </c>
      <c r="CS19" s="4">
        <f t="shared" si="105"/>
        <v>24015.21</v>
      </c>
      <c r="CT19" s="4">
        <f t="shared" si="105"/>
        <v>24015.21</v>
      </c>
      <c r="CU19" s="4">
        <f t="shared" si="105"/>
        <v>24015.21</v>
      </c>
      <c r="CV19" s="4">
        <f t="shared" si="105"/>
        <v>24015.21</v>
      </c>
      <c r="CW19" s="4">
        <f t="shared" si="105"/>
        <v>24015.21</v>
      </c>
      <c r="CX19" s="4">
        <f t="shared" si="105"/>
        <v>24015.21</v>
      </c>
      <c r="CY19" s="4">
        <f t="shared" si="105"/>
        <v>24015.21</v>
      </c>
      <c r="CZ19" s="4">
        <f t="shared" si="105"/>
        <v>24015.21</v>
      </c>
      <c r="DA19" s="4">
        <f t="shared" si="105"/>
        <v>24015.21</v>
      </c>
      <c r="DB19" s="4">
        <f t="shared" si="105"/>
        <v>24015.21</v>
      </c>
      <c r="DC19" s="4">
        <f t="shared" si="105"/>
        <v>24015.21</v>
      </c>
      <c r="DD19" s="4">
        <f t="shared" si="105"/>
        <v>24015.21</v>
      </c>
      <c r="DE19" s="4">
        <f t="shared" si="105"/>
        <v>24015.21</v>
      </c>
      <c r="DF19" s="4">
        <f t="shared" si="105"/>
        <v>24015.21</v>
      </c>
      <c r="DG19" s="4">
        <f t="shared" si="105"/>
        <v>24015.21</v>
      </c>
      <c r="DH19" s="4">
        <f t="shared" si="105"/>
        <v>24015.21</v>
      </c>
      <c r="DI19" s="4">
        <f t="shared" si="105"/>
        <v>24015.21</v>
      </c>
      <c r="DJ19" s="4">
        <f t="shared" si="105"/>
        <v>24015.21</v>
      </c>
      <c r="DK19" s="4">
        <f t="shared" si="105"/>
        <v>24015.21</v>
      </c>
      <c r="DL19" s="4">
        <f t="shared" si="105"/>
        <v>24015.21</v>
      </c>
      <c r="DM19" s="4">
        <f t="shared" si="105"/>
        <v>24015.21</v>
      </c>
      <c r="DN19" s="4">
        <f t="shared" si="105"/>
        <v>24015.21</v>
      </c>
      <c r="DO19" s="4">
        <f t="shared" si="105"/>
        <v>24015.21</v>
      </c>
      <c r="DP19" s="4">
        <f t="shared" si="105"/>
        <v>24015.21</v>
      </c>
      <c r="DQ19" s="4">
        <f t="shared" si="105"/>
        <v>24015.21</v>
      </c>
      <c r="DR19" s="4">
        <f t="shared" si="105"/>
        <v>24015.21</v>
      </c>
      <c r="DS19" s="4">
        <f t="shared" si="105"/>
        <v>24015.21</v>
      </c>
      <c r="DT19" s="4">
        <f t="shared" si="105"/>
        <v>24015.21</v>
      </c>
      <c r="DU19" s="4">
        <f t="shared" si="105"/>
        <v>24015.21</v>
      </c>
      <c r="DV19" s="4">
        <f t="shared" si="105"/>
        <v>24015.21</v>
      </c>
      <c r="DW19" s="4">
        <f t="shared" si="105"/>
        <v>24015.21</v>
      </c>
      <c r="DX19" s="4">
        <f t="shared" si="105"/>
        <v>24015.21</v>
      </c>
      <c r="DY19" s="4">
        <f t="shared" si="105"/>
        <v>24015.21</v>
      </c>
      <c r="DZ19" s="4">
        <f t="shared" si="56"/>
        <v>24015.21</v>
      </c>
      <c r="EA19" s="4">
        <f t="shared" si="56"/>
        <v>24015.21</v>
      </c>
      <c r="EB19" s="4">
        <f>'CCaMC-ACAPEXpUC US'!D19/'CCaMC-BCCpUC US'!B19*'CCaMC-BCCpUC'!B19</f>
        <v>24015.21</v>
      </c>
      <c r="EC19" s="4">
        <f t="shared" si="57"/>
        <v>24015.21</v>
      </c>
      <c r="ED19" s="4">
        <f t="shared" si="57"/>
        <v>24015.21</v>
      </c>
      <c r="EE19" s="4">
        <f t="shared" si="57"/>
        <v>24015.21</v>
      </c>
      <c r="EF19" s="4">
        <f t="shared" si="57"/>
        <v>24015.21</v>
      </c>
      <c r="EG19" s="4">
        <f t="shared" si="57"/>
        <v>24015.21</v>
      </c>
      <c r="EH19" s="4">
        <f t="shared" si="57"/>
        <v>24015.21</v>
      </c>
      <c r="EI19" s="4">
        <f t="shared" si="57"/>
        <v>24015.21</v>
      </c>
      <c r="EJ19" s="4">
        <f t="shared" si="57"/>
        <v>24015.21</v>
      </c>
      <c r="EK19" s="4">
        <f t="shared" si="57"/>
        <v>24015.21</v>
      </c>
      <c r="EL19" s="4">
        <f t="shared" si="57"/>
        <v>24015.21</v>
      </c>
      <c r="EM19" s="4">
        <f t="shared" ref="EM19:FE19" si="106">EL19</f>
        <v>24015.21</v>
      </c>
      <c r="EN19" s="4">
        <f t="shared" si="106"/>
        <v>24015.21</v>
      </c>
      <c r="EO19" s="4">
        <f t="shared" si="106"/>
        <v>24015.21</v>
      </c>
      <c r="EP19" s="4">
        <f t="shared" si="106"/>
        <v>24015.21</v>
      </c>
      <c r="EQ19" s="4">
        <f t="shared" si="106"/>
        <v>24015.21</v>
      </c>
      <c r="ER19" s="4">
        <f t="shared" si="106"/>
        <v>24015.21</v>
      </c>
      <c r="ES19" s="4">
        <f t="shared" si="106"/>
        <v>24015.21</v>
      </c>
      <c r="ET19" s="4">
        <f t="shared" si="106"/>
        <v>24015.21</v>
      </c>
      <c r="EU19" s="4">
        <f t="shared" si="106"/>
        <v>24015.21</v>
      </c>
      <c r="EV19" s="4">
        <f t="shared" si="106"/>
        <v>24015.21</v>
      </c>
      <c r="EW19" s="4">
        <f t="shared" si="106"/>
        <v>24015.21</v>
      </c>
      <c r="EX19" s="4">
        <f t="shared" si="106"/>
        <v>24015.21</v>
      </c>
      <c r="EY19" s="4">
        <f t="shared" si="106"/>
        <v>24015.21</v>
      </c>
      <c r="EZ19" s="4">
        <f t="shared" si="106"/>
        <v>24015.21</v>
      </c>
      <c r="FA19" s="4">
        <f t="shared" si="106"/>
        <v>24015.21</v>
      </c>
      <c r="FB19" s="4">
        <f t="shared" si="106"/>
        <v>24015.21</v>
      </c>
      <c r="FC19" s="4">
        <f t="shared" si="106"/>
        <v>24015.21</v>
      </c>
      <c r="FD19" s="4">
        <f t="shared" si="106"/>
        <v>24015.21</v>
      </c>
      <c r="FE19" s="4">
        <f t="shared" si="106"/>
        <v>24015.21</v>
      </c>
      <c r="FF19" s="4">
        <f t="shared" si="4"/>
        <v>24015.21</v>
      </c>
      <c r="FG19" s="4">
        <f t="shared" si="5"/>
        <v>24015.21</v>
      </c>
      <c r="FH19" s="4">
        <f t="shared" si="6"/>
        <v>24015.21</v>
      </c>
      <c r="FI19" s="4">
        <f t="shared" si="7"/>
        <v>24015.21</v>
      </c>
      <c r="FJ19" s="4">
        <f t="shared" si="8"/>
        <v>24015.21</v>
      </c>
      <c r="FK19" s="4">
        <f t="shared" si="9"/>
        <v>24015.21</v>
      </c>
      <c r="FL19" s="4">
        <f t="shared" si="10"/>
        <v>24015.21</v>
      </c>
      <c r="FM19" s="4">
        <f t="shared" si="11"/>
        <v>24015.21</v>
      </c>
      <c r="FN19" s="4">
        <f t="shared" si="12"/>
        <v>24015.21</v>
      </c>
      <c r="FO19" s="4">
        <f t="shared" si="13"/>
        <v>24015.21</v>
      </c>
      <c r="FP19" s="4">
        <f t="shared" si="14"/>
        <v>24015.21</v>
      </c>
      <c r="FQ19" s="4">
        <f t="shared" si="15"/>
        <v>24015.21</v>
      </c>
      <c r="FR19" s="4">
        <f t="shared" si="16"/>
        <v>24015.21</v>
      </c>
      <c r="FS19" s="4">
        <f t="shared" si="17"/>
        <v>24015.21</v>
      </c>
      <c r="FT19" s="4">
        <f t="shared" si="18"/>
        <v>24015.21</v>
      </c>
      <c r="FU19" s="4">
        <f t="shared" si="19"/>
        <v>24015.21</v>
      </c>
      <c r="FV19" s="4">
        <f t="shared" si="20"/>
        <v>24015.21</v>
      </c>
      <c r="FW19" s="4">
        <f t="shared" si="21"/>
        <v>24015.21</v>
      </c>
      <c r="FX19" s="4">
        <f t="shared" si="22"/>
        <v>24015.21</v>
      </c>
      <c r="FY19" s="4">
        <f t="shared" si="23"/>
        <v>24015.21</v>
      </c>
      <c r="FZ19" s="4">
        <f t="shared" si="24"/>
        <v>24015.21</v>
      </c>
      <c r="GA19" s="4">
        <f t="shared" si="25"/>
        <v>24015.21</v>
      </c>
      <c r="GB19" s="4">
        <f t="shared" si="26"/>
        <v>24015.21</v>
      </c>
      <c r="GC19" s="4">
        <f t="shared" si="27"/>
        <v>24015.21</v>
      </c>
      <c r="GD19" s="4">
        <f t="shared" si="28"/>
        <v>24015.21</v>
      </c>
      <c r="GE19" s="4">
        <f t="shared" si="29"/>
        <v>24015.21</v>
      </c>
      <c r="GF19" s="4">
        <f t="shared" si="30"/>
        <v>24015.21</v>
      </c>
      <c r="GG19" s="4">
        <f t="shared" si="31"/>
        <v>24015.21</v>
      </c>
      <c r="GH19" s="4">
        <f t="shared" si="32"/>
        <v>24015.21</v>
      </c>
      <c r="GI19" s="4">
        <f t="shared" si="33"/>
        <v>24015.21</v>
      </c>
      <c r="GJ19" s="4">
        <f t="shared" si="34"/>
        <v>24015.21</v>
      </c>
      <c r="GK19" s="4">
        <f t="shared" si="35"/>
        <v>24015.21</v>
      </c>
      <c r="GL19" s="4">
        <f t="shared" si="36"/>
        <v>24015.21</v>
      </c>
      <c r="GM19" s="4">
        <f t="shared" si="37"/>
        <v>24015.21</v>
      </c>
      <c r="GN19" s="4">
        <f t="shared" si="38"/>
        <v>24015.21</v>
      </c>
      <c r="GO19" s="4">
        <f t="shared" si="39"/>
        <v>24015.21</v>
      </c>
      <c r="GP19" s="4">
        <f t="shared" si="40"/>
        <v>24015.21</v>
      </c>
      <c r="GQ19" s="4">
        <f t="shared" si="41"/>
        <v>24015.21</v>
      </c>
      <c r="GR19" s="4">
        <f t="shared" si="42"/>
        <v>24015.21</v>
      </c>
      <c r="GS19" s="4">
        <f t="shared" si="43"/>
        <v>24015.21</v>
      </c>
      <c r="GT19" s="4">
        <f t="shared" si="44"/>
        <v>24015.21</v>
      </c>
      <c r="GU19" s="4">
        <f t="shared" si="45"/>
        <v>24015.21</v>
      </c>
      <c r="GV19" s="4">
        <f t="shared" si="46"/>
        <v>24015.21</v>
      </c>
      <c r="GW19" s="4">
        <f t="shared" si="47"/>
        <v>24015.21</v>
      </c>
      <c r="GX19" s="4">
        <f t="shared" si="48"/>
        <v>24015.21</v>
      </c>
      <c r="GY19" s="4">
        <f t="shared" si="49"/>
        <v>24015.21</v>
      </c>
      <c r="GZ19" s="4">
        <f t="shared" si="50"/>
        <v>24015.21</v>
      </c>
      <c r="HA19" s="4">
        <f t="shared" si="51"/>
        <v>24015.21</v>
      </c>
      <c r="HB19" s="4">
        <f t="shared" si="52"/>
        <v>24015.21</v>
      </c>
      <c r="HC19" s="4">
        <f t="shared" si="53"/>
        <v>24015.21</v>
      </c>
    </row>
    <row r="20" spans="1:211">
      <c r="A20" t="s">
        <v>78</v>
      </c>
      <c r="B20" s="4">
        <f t="shared" ref="B20:BM20" si="107">C20</f>
        <v>0</v>
      </c>
      <c r="C20" s="4">
        <f t="shared" si="107"/>
        <v>0</v>
      </c>
      <c r="D20" s="4">
        <f t="shared" si="107"/>
        <v>0</v>
      </c>
      <c r="E20" s="4">
        <f t="shared" si="107"/>
        <v>0</v>
      </c>
      <c r="F20" s="4">
        <f t="shared" si="107"/>
        <v>0</v>
      </c>
      <c r="G20" s="4">
        <f t="shared" si="107"/>
        <v>0</v>
      </c>
      <c r="H20" s="4">
        <f t="shared" si="107"/>
        <v>0</v>
      </c>
      <c r="I20" s="4">
        <f t="shared" si="107"/>
        <v>0</v>
      </c>
      <c r="J20" s="4">
        <f t="shared" si="107"/>
        <v>0</v>
      </c>
      <c r="K20" s="4">
        <f t="shared" si="107"/>
        <v>0</v>
      </c>
      <c r="L20" s="4">
        <f t="shared" si="107"/>
        <v>0</v>
      </c>
      <c r="M20" s="4">
        <f t="shared" si="107"/>
        <v>0</v>
      </c>
      <c r="N20" s="4">
        <f t="shared" si="107"/>
        <v>0</v>
      </c>
      <c r="O20" s="4">
        <f t="shared" si="107"/>
        <v>0</v>
      </c>
      <c r="P20" s="4">
        <f t="shared" si="107"/>
        <v>0</v>
      </c>
      <c r="Q20" s="4">
        <f t="shared" si="107"/>
        <v>0</v>
      </c>
      <c r="R20" s="4">
        <f t="shared" si="107"/>
        <v>0</v>
      </c>
      <c r="S20" s="4">
        <f t="shared" si="107"/>
        <v>0</v>
      </c>
      <c r="T20" s="4">
        <f t="shared" si="107"/>
        <v>0</v>
      </c>
      <c r="U20" s="4">
        <f t="shared" si="107"/>
        <v>0</v>
      </c>
      <c r="V20" s="4">
        <f t="shared" si="107"/>
        <v>0</v>
      </c>
      <c r="W20" s="4">
        <f t="shared" si="107"/>
        <v>0</v>
      </c>
      <c r="X20" s="4">
        <f t="shared" si="107"/>
        <v>0</v>
      </c>
      <c r="Y20" s="4">
        <f t="shared" si="107"/>
        <v>0</v>
      </c>
      <c r="Z20" s="4">
        <f t="shared" si="107"/>
        <v>0</v>
      </c>
      <c r="AA20" s="4">
        <f t="shared" si="107"/>
        <v>0</v>
      </c>
      <c r="AB20" s="4">
        <f t="shared" si="107"/>
        <v>0</v>
      </c>
      <c r="AC20" s="4">
        <f t="shared" si="107"/>
        <v>0</v>
      </c>
      <c r="AD20" s="4">
        <f t="shared" si="107"/>
        <v>0</v>
      </c>
      <c r="AE20" s="4">
        <f t="shared" si="107"/>
        <v>0</v>
      </c>
      <c r="AF20" s="4">
        <f t="shared" si="107"/>
        <v>0</v>
      </c>
      <c r="AG20" s="4">
        <f t="shared" si="107"/>
        <v>0</v>
      </c>
      <c r="AH20" s="4">
        <f t="shared" si="107"/>
        <v>0</v>
      </c>
      <c r="AI20" s="4">
        <f t="shared" si="107"/>
        <v>0</v>
      </c>
      <c r="AJ20" s="4">
        <f t="shared" si="107"/>
        <v>0</v>
      </c>
      <c r="AK20" s="4">
        <f t="shared" si="107"/>
        <v>0</v>
      </c>
      <c r="AL20" s="4">
        <f t="shared" si="107"/>
        <v>0</v>
      </c>
      <c r="AM20" s="4">
        <f t="shared" si="107"/>
        <v>0</v>
      </c>
      <c r="AN20" s="4">
        <f t="shared" si="107"/>
        <v>0</v>
      </c>
      <c r="AO20" s="4">
        <f t="shared" si="107"/>
        <v>0</v>
      </c>
      <c r="AP20" s="4">
        <f t="shared" si="107"/>
        <v>0</v>
      </c>
      <c r="AQ20" s="4">
        <f t="shared" si="107"/>
        <v>0</v>
      </c>
      <c r="AR20" s="4">
        <f t="shared" si="107"/>
        <v>0</v>
      </c>
      <c r="AS20" s="4">
        <f t="shared" si="107"/>
        <v>0</v>
      </c>
      <c r="AT20" s="4">
        <f t="shared" si="107"/>
        <v>0</v>
      </c>
      <c r="AU20" s="4">
        <f t="shared" si="107"/>
        <v>0</v>
      </c>
      <c r="AV20" s="4">
        <f t="shared" si="107"/>
        <v>0</v>
      </c>
      <c r="AW20" s="4">
        <f t="shared" si="107"/>
        <v>0</v>
      </c>
      <c r="AX20" s="4">
        <f t="shared" si="107"/>
        <v>0</v>
      </c>
      <c r="AY20" s="4">
        <f t="shared" si="107"/>
        <v>0</v>
      </c>
      <c r="AZ20" s="4">
        <f t="shared" si="107"/>
        <v>0</v>
      </c>
      <c r="BA20" s="4">
        <f t="shared" si="107"/>
        <v>0</v>
      </c>
      <c r="BB20" s="4">
        <f t="shared" si="107"/>
        <v>0</v>
      </c>
      <c r="BC20" s="4">
        <f t="shared" si="107"/>
        <v>0</v>
      </c>
      <c r="BD20" s="4">
        <f t="shared" si="107"/>
        <v>0</v>
      </c>
      <c r="BE20" s="4">
        <f t="shared" si="107"/>
        <v>0</v>
      </c>
      <c r="BF20" s="4">
        <f t="shared" si="107"/>
        <v>0</v>
      </c>
      <c r="BG20" s="4">
        <f t="shared" si="107"/>
        <v>0</v>
      </c>
      <c r="BH20" s="4">
        <f t="shared" si="107"/>
        <v>0</v>
      </c>
      <c r="BI20" s="4">
        <f t="shared" si="107"/>
        <v>0</v>
      </c>
      <c r="BJ20" s="4">
        <f t="shared" si="107"/>
        <v>0</v>
      </c>
      <c r="BK20" s="4">
        <f t="shared" si="107"/>
        <v>0</v>
      </c>
      <c r="BL20" s="4">
        <f t="shared" si="107"/>
        <v>0</v>
      </c>
      <c r="BM20" s="4">
        <f t="shared" si="107"/>
        <v>0</v>
      </c>
      <c r="BN20" s="4">
        <f t="shared" ref="BN20:DY20" si="108">BO20</f>
        <v>0</v>
      </c>
      <c r="BO20" s="4">
        <f t="shared" si="108"/>
        <v>0</v>
      </c>
      <c r="BP20" s="4">
        <f t="shared" si="108"/>
        <v>0</v>
      </c>
      <c r="BQ20" s="4">
        <f t="shared" si="108"/>
        <v>0</v>
      </c>
      <c r="BR20" s="4">
        <f t="shared" si="108"/>
        <v>0</v>
      </c>
      <c r="BS20" s="4">
        <f t="shared" si="108"/>
        <v>0</v>
      </c>
      <c r="BT20" s="4">
        <f t="shared" si="108"/>
        <v>0</v>
      </c>
      <c r="BU20" s="4">
        <f t="shared" si="108"/>
        <v>0</v>
      </c>
      <c r="BV20" s="4">
        <f t="shared" si="108"/>
        <v>0</v>
      </c>
      <c r="BW20" s="4">
        <f t="shared" si="108"/>
        <v>0</v>
      </c>
      <c r="BX20" s="4">
        <f t="shared" si="108"/>
        <v>0</v>
      </c>
      <c r="BY20" s="4">
        <f t="shared" si="108"/>
        <v>0</v>
      </c>
      <c r="BZ20" s="4">
        <f t="shared" si="108"/>
        <v>0</v>
      </c>
      <c r="CA20" s="4">
        <f t="shared" si="108"/>
        <v>0</v>
      </c>
      <c r="CB20" s="4">
        <f t="shared" si="108"/>
        <v>0</v>
      </c>
      <c r="CC20" s="4">
        <f t="shared" si="108"/>
        <v>0</v>
      </c>
      <c r="CD20" s="4">
        <f t="shared" si="108"/>
        <v>0</v>
      </c>
      <c r="CE20" s="4">
        <f t="shared" si="108"/>
        <v>0</v>
      </c>
      <c r="CF20" s="4">
        <f t="shared" si="108"/>
        <v>0</v>
      </c>
      <c r="CG20" s="4">
        <f t="shared" si="108"/>
        <v>0</v>
      </c>
      <c r="CH20" s="4">
        <f t="shared" si="108"/>
        <v>0</v>
      </c>
      <c r="CI20" s="4">
        <f t="shared" si="108"/>
        <v>0</v>
      </c>
      <c r="CJ20" s="4">
        <f t="shared" si="108"/>
        <v>0</v>
      </c>
      <c r="CK20" s="4">
        <f t="shared" si="108"/>
        <v>0</v>
      </c>
      <c r="CL20" s="4">
        <f t="shared" si="108"/>
        <v>0</v>
      </c>
      <c r="CM20" s="4">
        <f t="shared" si="108"/>
        <v>0</v>
      </c>
      <c r="CN20" s="4">
        <f t="shared" si="108"/>
        <v>0</v>
      </c>
      <c r="CO20" s="4">
        <f t="shared" si="108"/>
        <v>0</v>
      </c>
      <c r="CP20" s="4">
        <f t="shared" si="108"/>
        <v>0</v>
      </c>
      <c r="CQ20" s="4">
        <f t="shared" si="108"/>
        <v>0</v>
      </c>
      <c r="CR20" s="4">
        <f t="shared" si="108"/>
        <v>0</v>
      </c>
      <c r="CS20" s="4">
        <f t="shared" si="108"/>
        <v>0</v>
      </c>
      <c r="CT20" s="4">
        <f t="shared" si="108"/>
        <v>0</v>
      </c>
      <c r="CU20" s="4">
        <f t="shared" si="108"/>
        <v>0</v>
      </c>
      <c r="CV20" s="4">
        <f t="shared" si="108"/>
        <v>0</v>
      </c>
      <c r="CW20" s="4">
        <f t="shared" si="108"/>
        <v>0</v>
      </c>
      <c r="CX20" s="4">
        <f t="shared" si="108"/>
        <v>0</v>
      </c>
      <c r="CY20" s="4">
        <f t="shared" si="108"/>
        <v>0</v>
      </c>
      <c r="CZ20" s="4">
        <f t="shared" si="108"/>
        <v>0</v>
      </c>
      <c r="DA20" s="4">
        <f t="shared" si="108"/>
        <v>0</v>
      </c>
      <c r="DB20" s="4">
        <f t="shared" si="108"/>
        <v>0</v>
      </c>
      <c r="DC20" s="4">
        <f t="shared" si="108"/>
        <v>0</v>
      </c>
      <c r="DD20" s="4">
        <f t="shared" si="108"/>
        <v>0</v>
      </c>
      <c r="DE20" s="4">
        <f t="shared" si="108"/>
        <v>0</v>
      </c>
      <c r="DF20" s="4">
        <f t="shared" si="108"/>
        <v>0</v>
      </c>
      <c r="DG20" s="4">
        <f t="shared" si="108"/>
        <v>0</v>
      </c>
      <c r="DH20" s="4">
        <f t="shared" si="108"/>
        <v>0</v>
      </c>
      <c r="DI20" s="4">
        <f t="shared" si="108"/>
        <v>0</v>
      </c>
      <c r="DJ20" s="4">
        <f t="shared" si="108"/>
        <v>0</v>
      </c>
      <c r="DK20" s="4">
        <f t="shared" si="108"/>
        <v>0</v>
      </c>
      <c r="DL20" s="4">
        <f t="shared" si="108"/>
        <v>0</v>
      </c>
      <c r="DM20" s="4">
        <f t="shared" si="108"/>
        <v>0</v>
      </c>
      <c r="DN20" s="4">
        <f t="shared" si="108"/>
        <v>0</v>
      </c>
      <c r="DO20" s="4">
        <f t="shared" si="108"/>
        <v>0</v>
      </c>
      <c r="DP20" s="4">
        <f t="shared" si="108"/>
        <v>0</v>
      </c>
      <c r="DQ20" s="4">
        <f t="shared" si="108"/>
        <v>0</v>
      </c>
      <c r="DR20" s="4">
        <f t="shared" si="108"/>
        <v>0</v>
      </c>
      <c r="DS20" s="4">
        <f t="shared" si="108"/>
        <v>0</v>
      </c>
      <c r="DT20" s="4">
        <f t="shared" si="108"/>
        <v>0</v>
      </c>
      <c r="DU20" s="4">
        <f t="shared" si="108"/>
        <v>0</v>
      </c>
      <c r="DV20" s="4">
        <f t="shared" si="108"/>
        <v>0</v>
      </c>
      <c r="DW20" s="4">
        <f t="shared" si="108"/>
        <v>0</v>
      </c>
      <c r="DX20" s="4">
        <f t="shared" si="108"/>
        <v>0</v>
      </c>
      <c r="DY20" s="4">
        <f t="shared" si="108"/>
        <v>0</v>
      </c>
      <c r="DZ20" s="4">
        <f t="shared" si="56"/>
        <v>0</v>
      </c>
      <c r="EA20" s="4">
        <f t="shared" si="56"/>
        <v>0</v>
      </c>
      <c r="EB20" s="4">
        <f>'CCaMC-ACAPEXpUC US'!D20/'CCaMC-BCCpUC US'!B20*'CCaMC-BCCpUC'!B20</f>
        <v>0</v>
      </c>
      <c r="EC20" s="4">
        <f t="shared" si="57"/>
        <v>0</v>
      </c>
      <c r="ED20" s="4">
        <f t="shared" si="57"/>
        <v>0</v>
      </c>
      <c r="EE20" s="4">
        <f t="shared" si="57"/>
        <v>0</v>
      </c>
      <c r="EF20" s="4">
        <f t="shared" si="57"/>
        <v>0</v>
      </c>
      <c r="EG20" s="4">
        <f t="shared" si="57"/>
        <v>0</v>
      </c>
      <c r="EH20" s="4">
        <f t="shared" si="57"/>
        <v>0</v>
      </c>
      <c r="EI20" s="4">
        <f t="shared" si="57"/>
        <v>0</v>
      </c>
      <c r="EJ20" s="4">
        <f t="shared" si="57"/>
        <v>0</v>
      </c>
      <c r="EK20" s="4">
        <f t="shared" si="57"/>
        <v>0</v>
      </c>
      <c r="EL20" s="4">
        <f t="shared" si="57"/>
        <v>0</v>
      </c>
      <c r="EM20" s="4">
        <f t="shared" ref="EM20:FE20" si="109">EL20</f>
        <v>0</v>
      </c>
      <c r="EN20" s="4">
        <f t="shared" si="109"/>
        <v>0</v>
      </c>
      <c r="EO20" s="4">
        <f t="shared" si="109"/>
        <v>0</v>
      </c>
      <c r="EP20" s="4">
        <f t="shared" si="109"/>
        <v>0</v>
      </c>
      <c r="EQ20" s="4">
        <f t="shared" si="109"/>
        <v>0</v>
      </c>
      <c r="ER20" s="4">
        <f t="shared" si="109"/>
        <v>0</v>
      </c>
      <c r="ES20" s="4">
        <f t="shared" si="109"/>
        <v>0</v>
      </c>
      <c r="ET20" s="4">
        <f t="shared" si="109"/>
        <v>0</v>
      </c>
      <c r="EU20" s="4">
        <f t="shared" si="109"/>
        <v>0</v>
      </c>
      <c r="EV20" s="4">
        <f t="shared" si="109"/>
        <v>0</v>
      </c>
      <c r="EW20" s="4">
        <f t="shared" si="109"/>
        <v>0</v>
      </c>
      <c r="EX20" s="4">
        <f t="shared" si="109"/>
        <v>0</v>
      </c>
      <c r="EY20" s="4">
        <f t="shared" si="109"/>
        <v>0</v>
      </c>
      <c r="EZ20" s="4">
        <f t="shared" si="109"/>
        <v>0</v>
      </c>
      <c r="FA20" s="4">
        <f t="shared" si="109"/>
        <v>0</v>
      </c>
      <c r="FB20" s="4">
        <f t="shared" si="109"/>
        <v>0</v>
      </c>
      <c r="FC20" s="4">
        <f t="shared" si="109"/>
        <v>0</v>
      </c>
      <c r="FD20" s="4">
        <f t="shared" si="109"/>
        <v>0</v>
      </c>
      <c r="FE20" s="4">
        <f t="shared" si="109"/>
        <v>0</v>
      </c>
      <c r="FF20" s="4">
        <f t="shared" si="4"/>
        <v>0</v>
      </c>
      <c r="FG20" s="4">
        <f t="shared" si="5"/>
        <v>0</v>
      </c>
      <c r="FH20" s="4">
        <f t="shared" si="6"/>
        <v>0</v>
      </c>
      <c r="FI20" s="4">
        <f t="shared" si="7"/>
        <v>0</v>
      </c>
      <c r="FJ20" s="4">
        <f t="shared" si="8"/>
        <v>0</v>
      </c>
      <c r="FK20" s="4">
        <f t="shared" si="9"/>
        <v>0</v>
      </c>
      <c r="FL20" s="4">
        <f t="shared" si="10"/>
        <v>0</v>
      </c>
      <c r="FM20" s="4">
        <f t="shared" si="11"/>
        <v>0</v>
      </c>
      <c r="FN20" s="4">
        <f t="shared" si="12"/>
        <v>0</v>
      </c>
      <c r="FO20" s="4">
        <f t="shared" si="13"/>
        <v>0</v>
      </c>
      <c r="FP20" s="4">
        <f t="shared" si="14"/>
        <v>0</v>
      </c>
      <c r="FQ20" s="4">
        <f t="shared" si="15"/>
        <v>0</v>
      </c>
      <c r="FR20" s="4">
        <f t="shared" si="16"/>
        <v>0</v>
      </c>
      <c r="FS20" s="4">
        <f t="shared" si="17"/>
        <v>0</v>
      </c>
      <c r="FT20" s="4">
        <f t="shared" si="18"/>
        <v>0</v>
      </c>
      <c r="FU20" s="4">
        <f t="shared" si="19"/>
        <v>0</v>
      </c>
      <c r="FV20" s="4">
        <f t="shared" si="20"/>
        <v>0</v>
      </c>
      <c r="FW20" s="4">
        <f t="shared" si="21"/>
        <v>0</v>
      </c>
      <c r="FX20" s="4">
        <f t="shared" si="22"/>
        <v>0</v>
      </c>
      <c r="FY20" s="4">
        <f t="shared" si="23"/>
        <v>0</v>
      </c>
      <c r="FZ20" s="4">
        <f t="shared" si="24"/>
        <v>0</v>
      </c>
      <c r="GA20" s="4">
        <f t="shared" si="25"/>
        <v>0</v>
      </c>
      <c r="GB20" s="4">
        <f t="shared" si="26"/>
        <v>0</v>
      </c>
      <c r="GC20" s="4">
        <f t="shared" si="27"/>
        <v>0</v>
      </c>
      <c r="GD20" s="4">
        <f t="shared" si="28"/>
        <v>0</v>
      </c>
      <c r="GE20" s="4">
        <f t="shared" si="29"/>
        <v>0</v>
      </c>
      <c r="GF20" s="4">
        <f t="shared" si="30"/>
        <v>0</v>
      </c>
      <c r="GG20" s="4">
        <f t="shared" si="31"/>
        <v>0</v>
      </c>
      <c r="GH20" s="4">
        <f t="shared" si="32"/>
        <v>0</v>
      </c>
      <c r="GI20" s="4">
        <f t="shared" si="33"/>
        <v>0</v>
      </c>
      <c r="GJ20" s="4">
        <f t="shared" si="34"/>
        <v>0</v>
      </c>
      <c r="GK20" s="4">
        <f t="shared" si="35"/>
        <v>0</v>
      </c>
      <c r="GL20" s="4">
        <f t="shared" si="36"/>
        <v>0</v>
      </c>
      <c r="GM20" s="4">
        <f t="shared" si="37"/>
        <v>0</v>
      </c>
      <c r="GN20" s="4">
        <f t="shared" si="38"/>
        <v>0</v>
      </c>
      <c r="GO20" s="4">
        <f t="shared" si="39"/>
        <v>0</v>
      </c>
      <c r="GP20" s="4">
        <f t="shared" si="40"/>
        <v>0</v>
      </c>
      <c r="GQ20" s="4">
        <f t="shared" si="41"/>
        <v>0</v>
      </c>
      <c r="GR20" s="4">
        <f t="shared" si="42"/>
        <v>0</v>
      </c>
      <c r="GS20" s="4">
        <f t="shared" si="43"/>
        <v>0</v>
      </c>
      <c r="GT20" s="4">
        <f t="shared" si="44"/>
        <v>0</v>
      </c>
      <c r="GU20" s="4">
        <f t="shared" si="45"/>
        <v>0</v>
      </c>
      <c r="GV20" s="4">
        <f t="shared" si="46"/>
        <v>0</v>
      </c>
      <c r="GW20" s="4">
        <f t="shared" si="47"/>
        <v>0</v>
      </c>
      <c r="GX20" s="4">
        <f t="shared" si="48"/>
        <v>0</v>
      </c>
      <c r="GY20" s="4">
        <f t="shared" si="49"/>
        <v>0</v>
      </c>
      <c r="GZ20" s="4">
        <f t="shared" si="50"/>
        <v>0</v>
      </c>
      <c r="HA20" s="4">
        <f t="shared" si="51"/>
        <v>0</v>
      </c>
      <c r="HB20" s="4">
        <f t="shared" si="52"/>
        <v>0</v>
      </c>
      <c r="HC20" s="4">
        <f t="shared" si="53"/>
        <v>0</v>
      </c>
    </row>
    <row r="21" spans="1:211">
      <c r="A21" t="s">
        <v>79</v>
      </c>
      <c r="B21" s="4">
        <f t="shared" ref="B21:BM21" si="110">C21</f>
        <v>8473.0412960844351</v>
      </c>
      <c r="C21" s="4">
        <f t="shared" si="110"/>
        <v>8473.0412960844351</v>
      </c>
      <c r="D21" s="4">
        <f t="shared" si="110"/>
        <v>8473.0412960844351</v>
      </c>
      <c r="E21" s="4">
        <f t="shared" si="110"/>
        <v>8473.0412960844351</v>
      </c>
      <c r="F21" s="4">
        <f t="shared" si="110"/>
        <v>8473.0412960844351</v>
      </c>
      <c r="G21" s="4">
        <f t="shared" si="110"/>
        <v>8473.0412960844351</v>
      </c>
      <c r="H21" s="4">
        <f t="shared" si="110"/>
        <v>8473.0412960844351</v>
      </c>
      <c r="I21" s="4">
        <f t="shared" si="110"/>
        <v>8473.0412960844351</v>
      </c>
      <c r="J21" s="4">
        <f t="shared" si="110"/>
        <v>8473.0412960844351</v>
      </c>
      <c r="K21" s="4">
        <f t="shared" si="110"/>
        <v>8473.0412960844351</v>
      </c>
      <c r="L21" s="4">
        <f t="shared" si="110"/>
        <v>8473.0412960844351</v>
      </c>
      <c r="M21" s="4">
        <f t="shared" si="110"/>
        <v>8473.0412960844351</v>
      </c>
      <c r="N21" s="4">
        <f t="shared" si="110"/>
        <v>8473.0412960844351</v>
      </c>
      <c r="O21" s="4">
        <f t="shared" si="110"/>
        <v>8473.0412960844351</v>
      </c>
      <c r="P21" s="4">
        <f t="shared" si="110"/>
        <v>8473.0412960844351</v>
      </c>
      <c r="Q21" s="4">
        <f t="shared" si="110"/>
        <v>8473.0412960844351</v>
      </c>
      <c r="R21" s="4">
        <f t="shared" si="110"/>
        <v>8473.0412960844351</v>
      </c>
      <c r="S21" s="4">
        <f t="shared" si="110"/>
        <v>8473.0412960844351</v>
      </c>
      <c r="T21" s="4">
        <f t="shared" si="110"/>
        <v>8473.0412960844351</v>
      </c>
      <c r="U21" s="4">
        <f t="shared" si="110"/>
        <v>8473.0412960844351</v>
      </c>
      <c r="V21" s="4">
        <f t="shared" si="110"/>
        <v>8473.0412960844351</v>
      </c>
      <c r="W21" s="4">
        <f t="shared" si="110"/>
        <v>8473.0412960844351</v>
      </c>
      <c r="X21" s="4">
        <f t="shared" si="110"/>
        <v>8473.0412960844351</v>
      </c>
      <c r="Y21" s="4">
        <f t="shared" si="110"/>
        <v>8473.0412960844351</v>
      </c>
      <c r="Z21" s="4">
        <f t="shared" si="110"/>
        <v>8473.0412960844351</v>
      </c>
      <c r="AA21" s="4">
        <f t="shared" si="110"/>
        <v>8473.0412960844351</v>
      </c>
      <c r="AB21" s="4">
        <f t="shared" si="110"/>
        <v>8473.0412960844351</v>
      </c>
      <c r="AC21" s="4">
        <f t="shared" si="110"/>
        <v>8473.0412960844351</v>
      </c>
      <c r="AD21" s="4">
        <f t="shared" si="110"/>
        <v>8473.0412960844351</v>
      </c>
      <c r="AE21" s="4">
        <f t="shared" si="110"/>
        <v>8473.0412960844351</v>
      </c>
      <c r="AF21" s="4">
        <f t="shared" si="110"/>
        <v>8473.0412960844351</v>
      </c>
      <c r="AG21" s="4">
        <f t="shared" si="110"/>
        <v>8473.0412960844351</v>
      </c>
      <c r="AH21" s="4">
        <f t="shared" si="110"/>
        <v>8473.0412960844351</v>
      </c>
      <c r="AI21" s="4">
        <f t="shared" si="110"/>
        <v>8473.0412960844351</v>
      </c>
      <c r="AJ21" s="4">
        <f t="shared" si="110"/>
        <v>8473.0412960844351</v>
      </c>
      <c r="AK21" s="4">
        <f t="shared" si="110"/>
        <v>8473.0412960844351</v>
      </c>
      <c r="AL21" s="4">
        <f t="shared" si="110"/>
        <v>8473.0412960844351</v>
      </c>
      <c r="AM21" s="4">
        <f t="shared" si="110"/>
        <v>8473.0412960844351</v>
      </c>
      <c r="AN21" s="4">
        <f t="shared" si="110"/>
        <v>8473.0412960844351</v>
      </c>
      <c r="AO21" s="4">
        <f t="shared" si="110"/>
        <v>8473.0412960844351</v>
      </c>
      <c r="AP21" s="4">
        <f t="shared" si="110"/>
        <v>8473.0412960844351</v>
      </c>
      <c r="AQ21" s="4">
        <f t="shared" si="110"/>
        <v>8473.0412960844351</v>
      </c>
      <c r="AR21" s="4">
        <f t="shared" si="110"/>
        <v>8473.0412960844351</v>
      </c>
      <c r="AS21" s="4">
        <f t="shared" si="110"/>
        <v>8473.0412960844351</v>
      </c>
      <c r="AT21" s="4">
        <f t="shared" si="110"/>
        <v>8473.0412960844351</v>
      </c>
      <c r="AU21" s="4">
        <f t="shared" si="110"/>
        <v>8473.0412960844351</v>
      </c>
      <c r="AV21" s="4">
        <f t="shared" si="110"/>
        <v>8473.0412960844351</v>
      </c>
      <c r="AW21" s="4">
        <f t="shared" si="110"/>
        <v>8473.0412960844351</v>
      </c>
      <c r="AX21" s="4">
        <f t="shared" si="110"/>
        <v>8473.0412960844351</v>
      </c>
      <c r="AY21" s="4">
        <f t="shared" si="110"/>
        <v>8473.0412960844351</v>
      </c>
      <c r="AZ21" s="4">
        <f t="shared" si="110"/>
        <v>8473.0412960844351</v>
      </c>
      <c r="BA21" s="4">
        <f t="shared" si="110"/>
        <v>8473.0412960844351</v>
      </c>
      <c r="BB21" s="4">
        <f t="shared" si="110"/>
        <v>8473.0412960844351</v>
      </c>
      <c r="BC21" s="4">
        <f t="shared" si="110"/>
        <v>8473.0412960844351</v>
      </c>
      <c r="BD21" s="4">
        <f t="shared" si="110"/>
        <v>8473.0412960844351</v>
      </c>
      <c r="BE21" s="4">
        <f t="shared" si="110"/>
        <v>8473.0412960844351</v>
      </c>
      <c r="BF21" s="4">
        <f t="shared" si="110"/>
        <v>8473.0412960844351</v>
      </c>
      <c r="BG21" s="4">
        <f t="shared" si="110"/>
        <v>8473.0412960844351</v>
      </c>
      <c r="BH21" s="4">
        <f t="shared" si="110"/>
        <v>8473.0412960844351</v>
      </c>
      <c r="BI21" s="4">
        <f t="shared" si="110"/>
        <v>8473.0412960844351</v>
      </c>
      <c r="BJ21" s="4">
        <f t="shared" si="110"/>
        <v>8473.0412960844351</v>
      </c>
      <c r="BK21" s="4">
        <f t="shared" si="110"/>
        <v>8473.0412960844351</v>
      </c>
      <c r="BL21" s="4">
        <f t="shared" si="110"/>
        <v>8473.0412960844351</v>
      </c>
      <c r="BM21" s="4">
        <f t="shared" si="110"/>
        <v>8473.0412960844351</v>
      </c>
      <c r="BN21" s="4">
        <f t="shared" ref="BN21:DY21" si="111">BO21</f>
        <v>8473.0412960844351</v>
      </c>
      <c r="BO21" s="4">
        <f t="shared" si="111"/>
        <v>8473.0412960844351</v>
      </c>
      <c r="BP21" s="4">
        <f t="shared" si="111"/>
        <v>8473.0412960844351</v>
      </c>
      <c r="BQ21" s="4">
        <f t="shared" si="111"/>
        <v>8473.0412960844351</v>
      </c>
      <c r="BR21" s="4">
        <f t="shared" si="111"/>
        <v>8473.0412960844351</v>
      </c>
      <c r="BS21" s="4">
        <f t="shared" si="111"/>
        <v>8473.0412960844351</v>
      </c>
      <c r="BT21" s="4">
        <f t="shared" si="111"/>
        <v>8473.0412960844351</v>
      </c>
      <c r="BU21" s="4">
        <f t="shared" si="111"/>
        <v>8473.0412960844351</v>
      </c>
      <c r="BV21" s="4">
        <f t="shared" si="111"/>
        <v>8473.0412960844351</v>
      </c>
      <c r="BW21" s="4">
        <f t="shared" si="111"/>
        <v>8473.0412960844351</v>
      </c>
      <c r="BX21" s="4">
        <f t="shared" si="111"/>
        <v>8473.0412960844351</v>
      </c>
      <c r="BY21" s="4">
        <f t="shared" si="111"/>
        <v>8473.0412960844351</v>
      </c>
      <c r="BZ21" s="4">
        <f t="shared" si="111"/>
        <v>8473.0412960844351</v>
      </c>
      <c r="CA21" s="4">
        <f t="shared" si="111"/>
        <v>8473.0412960844351</v>
      </c>
      <c r="CB21" s="4">
        <f t="shared" si="111"/>
        <v>8473.0412960844351</v>
      </c>
      <c r="CC21" s="4">
        <f t="shared" si="111"/>
        <v>8473.0412960844351</v>
      </c>
      <c r="CD21" s="4">
        <f t="shared" si="111"/>
        <v>8473.0412960844351</v>
      </c>
      <c r="CE21" s="4">
        <f t="shared" si="111"/>
        <v>8473.0412960844351</v>
      </c>
      <c r="CF21" s="4">
        <f t="shared" si="111"/>
        <v>8473.0412960844351</v>
      </c>
      <c r="CG21" s="4">
        <f t="shared" si="111"/>
        <v>8473.0412960844351</v>
      </c>
      <c r="CH21" s="4">
        <f t="shared" si="111"/>
        <v>8473.0412960844351</v>
      </c>
      <c r="CI21" s="4">
        <f t="shared" si="111"/>
        <v>8473.0412960844351</v>
      </c>
      <c r="CJ21" s="4">
        <f t="shared" si="111"/>
        <v>8473.0412960844351</v>
      </c>
      <c r="CK21" s="4">
        <f t="shared" si="111"/>
        <v>8473.0412960844351</v>
      </c>
      <c r="CL21" s="4">
        <f t="shared" si="111"/>
        <v>8473.0412960844351</v>
      </c>
      <c r="CM21" s="4">
        <f t="shared" si="111"/>
        <v>8473.0412960844351</v>
      </c>
      <c r="CN21" s="4">
        <f t="shared" si="111"/>
        <v>8473.0412960844351</v>
      </c>
      <c r="CO21" s="4">
        <f t="shared" si="111"/>
        <v>8473.0412960844351</v>
      </c>
      <c r="CP21" s="4">
        <f t="shared" si="111"/>
        <v>8473.0412960844351</v>
      </c>
      <c r="CQ21" s="4">
        <f t="shared" si="111"/>
        <v>8473.0412960844351</v>
      </c>
      <c r="CR21" s="4">
        <f t="shared" si="111"/>
        <v>8473.0412960844351</v>
      </c>
      <c r="CS21" s="4">
        <f t="shared" si="111"/>
        <v>8473.0412960844351</v>
      </c>
      <c r="CT21" s="4">
        <f t="shared" si="111"/>
        <v>8473.0412960844351</v>
      </c>
      <c r="CU21" s="4">
        <f t="shared" si="111"/>
        <v>8473.0412960844351</v>
      </c>
      <c r="CV21" s="4">
        <f t="shared" si="111"/>
        <v>8473.0412960844351</v>
      </c>
      <c r="CW21" s="4">
        <f t="shared" si="111"/>
        <v>8473.0412960844351</v>
      </c>
      <c r="CX21" s="4">
        <f t="shared" si="111"/>
        <v>8473.0412960844351</v>
      </c>
      <c r="CY21" s="4">
        <f t="shared" si="111"/>
        <v>8473.0412960844351</v>
      </c>
      <c r="CZ21" s="4">
        <f t="shared" si="111"/>
        <v>8473.0412960844351</v>
      </c>
      <c r="DA21" s="4">
        <f t="shared" si="111"/>
        <v>8473.0412960844351</v>
      </c>
      <c r="DB21" s="4">
        <f t="shared" si="111"/>
        <v>8473.0412960844351</v>
      </c>
      <c r="DC21" s="4">
        <f t="shared" si="111"/>
        <v>8473.0412960844351</v>
      </c>
      <c r="DD21" s="4">
        <f t="shared" si="111"/>
        <v>8473.0412960844351</v>
      </c>
      <c r="DE21" s="4">
        <f t="shared" si="111"/>
        <v>8473.0412960844351</v>
      </c>
      <c r="DF21" s="4">
        <f t="shared" si="111"/>
        <v>8473.0412960844351</v>
      </c>
      <c r="DG21" s="4">
        <f t="shared" si="111"/>
        <v>8473.0412960844351</v>
      </c>
      <c r="DH21" s="4">
        <f t="shared" si="111"/>
        <v>8473.0412960844351</v>
      </c>
      <c r="DI21" s="4">
        <f t="shared" si="111"/>
        <v>8473.0412960844351</v>
      </c>
      <c r="DJ21" s="4">
        <f t="shared" si="111"/>
        <v>8473.0412960844351</v>
      </c>
      <c r="DK21" s="4">
        <f t="shared" si="111"/>
        <v>8473.0412960844351</v>
      </c>
      <c r="DL21" s="4">
        <f t="shared" si="111"/>
        <v>8473.0412960844351</v>
      </c>
      <c r="DM21" s="4">
        <f t="shared" si="111"/>
        <v>8473.0412960844351</v>
      </c>
      <c r="DN21" s="4">
        <f t="shared" si="111"/>
        <v>8473.0412960844351</v>
      </c>
      <c r="DO21" s="4">
        <f t="shared" si="111"/>
        <v>8473.0412960844351</v>
      </c>
      <c r="DP21" s="4">
        <f t="shared" si="111"/>
        <v>8473.0412960844351</v>
      </c>
      <c r="DQ21" s="4">
        <f t="shared" si="111"/>
        <v>8473.0412960844351</v>
      </c>
      <c r="DR21" s="4">
        <f t="shared" si="111"/>
        <v>8473.0412960844351</v>
      </c>
      <c r="DS21" s="4">
        <f t="shared" si="111"/>
        <v>8473.0412960844351</v>
      </c>
      <c r="DT21" s="4">
        <f t="shared" si="111"/>
        <v>8473.0412960844351</v>
      </c>
      <c r="DU21" s="4">
        <f t="shared" si="111"/>
        <v>8473.0412960844351</v>
      </c>
      <c r="DV21" s="4">
        <f t="shared" si="111"/>
        <v>8473.0412960844351</v>
      </c>
      <c r="DW21" s="4">
        <f t="shared" si="111"/>
        <v>8473.0412960844351</v>
      </c>
      <c r="DX21" s="4">
        <f t="shared" si="111"/>
        <v>8473.0412960844351</v>
      </c>
      <c r="DY21" s="4">
        <f t="shared" si="111"/>
        <v>8473.0412960844351</v>
      </c>
      <c r="DZ21" s="4">
        <f t="shared" si="56"/>
        <v>8473.0412960844351</v>
      </c>
      <c r="EA21" s="4">
        <f t="shared" si="56"/>
        <v>8473.0412960844351</v>
      </c>
      <c r="EB21" s="4">
        <f>'CCaMC-ACAPEXpUC US'!D21/'CCaMC-BCCpUC US'!B21*'CCaMC-BCCpUC'!B21</f>
        <v>8473.0412960844351</v>
      </c>
      <c r="EC21" s="4">
        <f t="shared" si="57"/>
        <v>8473.0412960844351</v>
      </c>
      <c r="ED21" s="4">
        <f t="shared" si="57"/>
        <v>8473.0412960844351</v>
      </c>
      <c r="EE21" s="4">
        <f t="shared" si="57"/>
        <v>8473.0412960844351</v>
      </c>
      <c r="EF21" s="4">
        <f t="shared" si="57"/>
        <v>8473.0412960844351</v>
      </c>
      <c r="EG21" s="4">
        <f t="shared" si="57"/>
        <v>8473.0412960844351</v>
      </c>
      <c r="EH21" s="4">
        <f t="shared" si="57"/>
        <v>8473.0412960844351</v>
      </c>
      <c r="EI21" s="4">
        <f t="shared" si="57"/>
        <v>8473.0412960844351</v>
      </c>
      <c r="EJ21" s="4">
        <f t="shared" si="57"/>
        <v>8473.0412960844351</v>
      </c>
      <c r="EK21" s="4">
        <f t="shared" si="57"/>
        <v>8473.0412960844351</v>
      </c>
      <c r="EL21" s="4">
        <f t="shared" si="57"/>
        <v>8473.0412960844351</v>
      </c>
      <c r="EM21" s="4">
        <f t="shared" ref="EM21:FE21" si="112">EL21</f>
        <v>8473.0412960844351</v>
      </c>
      <c r="EN21" s="4">
        <f t="shared" si="112"/>
        <v>8473.0412960844351</v>
      </c>
      <c r="EO21" s="4">
        <f t="shared" si="112"/>
        <v>8473.0412960844351</v>
      </c>
      <c r="EP21" s="4">
        <f t="shared" si="112"/>
        <v>8473.0412960844351</v>
      </c>
      <c r="EQ21" s="4">
        <f t="shared" si="112"/>
        <v>8473.0412960844351</v>
      </c>
      <c r="ER21" s="4">
        <f t="shared" si="112"/>
        <v>8473.0412960844351</v>
      </c>
      <c r="ES21" s="4">
        <f t="shared" si="112"/>
        <v>8473.0412960844351</v>
      </c>
      <c r="ET21" s="4">
        <f t="shared" si="112"/>
        <v>8473.0412960844351</v>
      </c>
      <c r="EU21" s="4">
        <f t="shared" si="112"/>
        <v>8473.0412960844351</v>
      </c>
      <c r="EV21" s="4">
        <f t="shared" si="112"/>
        <v>8473.0412960844351</v>
      </c>
      <c r="EW21" s="4">
        <f t="shared" si="112"/>
        <v>8473.0412960844351</v>
      </c>
      <c r="EX21" s="4">
        <f t="shared" si="112"/>
        <v>8473.0412960844351</v>
      </c>
      <c r="EY21" s="4">
        <f t="shared" si="112"/>
        <v>8473.0412960844351</v>
      </c>
      <c r="EZ21" s="4">
        <f t="shared" si="112"/>
        <v>8473.0412960844351</v>
      </c>
      <c r="FA21" s="4">
        <f t="shared" si="112"/>
        <v>8473.0412960844351</v>
      </c>
      <c r="FB21" s="4">
        <f t="shared" si="112"/>
        <v>8473.0412960844351</v>
      </c>
      <c r="FC21" s="4">
        <f t="shared" si="112"/>
        <v>8473.0412960844351</v>
      </c>
      <c r="FD21" s="4">
        <f t="shared" si="112"/>
        <v>8473.0412960844351</v>
      </c>
      <c r="FE21" s="4">
        <f t="shared" si="112"/>
        <v>8473.0412960844351</v>
      </c>
      <c r="FF21" s="4">
        <f t="shared" si="4"/>
        <v>8473.0412960844351</v>
      </c>
      <c r="FG21" s="4">
        <f t="shared" si="5"/>
        <v>8473.0412960844351</v>
      </c>
      <c r="FH21" s="4">
        <f t="shared" si="6"/>
        <v>8473.0412960844351</v>
      </c>
      <c r="FI21" s="4">
        <f t="shared" si="7"/>
        <v>8473.0412960844351</v>
      </c>
      <c r="FJ21" s="4">
        <f t="shared" si="8"/>
        <v>8473.0412960844351</v>
      </c>
      <c r="FK21" s="4">
        <f t="shared" si="9"/>
        <v>8473.0412960844351</v>
      </c>
      <c r="FL21" s="4">
        <f t="shared" si="10"/>
        <v>8473.0412960844351</v>
      </c>
      <c r="FM21" s="4">
        <f t="shared" si="11"/>
        <v>8473.0412960844351</v>
      </c>
      <c r="FN21" s="4">
        <f t="shared" si="12"/>
        <v>8473.0412960844351</v>
      </c>
      <c r="FO21" s="4">
        <f t="shared" si="13"/>
        <v>8473.0412960844351</v>
      </c>
      <c r="FP21" s="4">
        <f t="shared" si="14"/>
        <v>8473.0412960844351</v>
      </c>
      <c r="FQ21" s="4">
        <f t="shared" si="15"/>
        <v>8473.0412960844351</v>
      </c>
      <c r="FR21" s="4">
        <f t="shared" si="16"/>
        <v>8473.0412960844351</v>
      </c>
      <c r="FS21" s="4">
        <f t="shared" si="17"/>
        <v>8473.0412960844351</v>
      </c>
      <c r="FT21" s="4">
        <f t="shared" si="18"/>
        <v>8473.0412960844351</v>
      </c>
      <c r="FU21" s="4">
        <f t="shared" si="19"/>
        <v>8473.0412960844351</v>
      </c>
      <c r="FV21" s="4">
        <f t="shared" si="20"/>
        <v>8473.0412960844351</v>
      </c>
      <c r="FW21" s="4">
        <f t="shared" si="21"/>
        <v>8473.0412960844351</v>
      </c>
      <c r="FX21" s="4">
        <f t="shared" si="22"/>
        <v>8473.0412960844351</v>
      </c>
      <c r="FY21" s="4">
        <f t="shared" si="23"/>
        <v>8473.0412960844351</v>
      </c>
      <c r="FZ21" s="4">
        <f t="shared" si="24"/>
        <v>8473.0412960844351</v>
      </c>
      <c r="GA21" s="4">
        <f t="shared" si="25"/>
        <v>8473.0412960844351</v>
      </c>
      <c r="GB21" s="4">
        <f t="shared" si="26"/>
        <v>8473.0412960844351</v>
      </c>
      <c r="GC21" s="4">
        <f t="shared" si="27"/>
        <v>8473.0412960844351</v>
      </c>
      <c r="GD21" s="4">
        <f t="shared" si="28"/>
        <v>8473.0412960844351</v>
      </c>
      <c r="GE21" s="4">
        <f t="shared" si="29"/>
        <v>8473.0412960844351</v>
      </c>
      <c r="GF21" s="4">
        <f t="shared" si="30"/>
        <v>8473.0412960844351</v>
      </c>
      <c r="GG21" s="4">
        <f t="shared" si="31"/>
        <v>8473.0412960844351</v>
      </c>
      <c r="GH21" s="4">
        <f t="shared" si="32"/>
        <v>8473.0412960844351</v>
      </c>
      <c r="GI21" s="4">
        <f t="shared" si="33"/>
        <v>8473.0412960844351</v>
      </c>
      <c r="GJ21" s="4">
        <f t="shared" si="34"/>
        <v>8473.0412960844351</v>
      </c>
      <c r="GK21" s="4">
        <f t="shared" si="35"/>
        <v>8473.0412960844351</v>
      </c>
      <c r="GL21" s="4">
        <f t="shared" si="36"/>
        <v>8473.0412960844351</v>
      </c>
      <c r="GM21" s="4">
        <f t="shared" si="37"/>
        <v>8473.0412960844351</v>
      </c>
      <c r="GN21" s="4">
        <f t="shared" si="38"/>
        <v>8473.0412960844351</v>
      </c>
      <c r="GO21" s="4">
        <f t="shared" si="39"/>
        <v>8473.0412960844351</v>
      </c>
      <c r="GP21" s="4">
        <f t="shared" si="40"/>
        <v>8473.0412960844351</v>
      </c>
      <c r="GQ21" s="4">
        <f t="shared" si="41"/>
        <v>8473.0412960844351</v>
      </c>
      <c r="GR21" s="4">
        <f t="shared" si="42"/>
        <v>8473.0412960844351</v>
      </c>
      <c r="GS21" s="4">
        <f t="shared" si="43"/>
        <v>8473.0412960844351</v>
      </c>
      <c r="GT21" s="4">
        <f t="shared" si="44"/>
        <v>8473.0412960844351</v>
      </c>
      <c r="GU21" s="4">
        <f t="shared" si="45"/>
        <v>8473.0412960844351</v>
      </c>
      <c r="GV21" s="4">
        <f t="shared" si="46"/>
        <v>8473.0412960844351</v>
      </c>
      <c r="GW21" s="4">
        <f t="shared" si="47"/>
        <v>8473.0412960844351</v>
      </c>
      <c r="GX21" s="4">
        <f t="shared" si="48"/>
        <v>8473.0412960844351</v>
      </c>
      <c r="GY21" s="4">
        <f t="shared" si="49"/>
        <v>8473.0412960844351</v>
      </c>
      <c r="GZ21" s="4">
        <f t="shared" si="50"/>
        <v>8473.0412960844351</v>
      </c>
      <c r="HA21" s="4">
        <f t="shared" si="51"/>
        <v>8473.0412960844351</v>
      </c>
      <c r="HB21" s="4">
        <f t="shared" si="52"/>
        <v>8473.0412960844351</v>
      </c>
      <c r="HC21" s="4">
        <f t="shared" si="53"/>
        <v>8473.0412960844351</v>
      </c>
    </row>
    <row r="22" spans="1:211">
      <c r="A22" t="s">
        <v>80</v>
      </c>
      <c r="B22" s="4">
        <f t="shared" ref="B22:BM22" si="113">C22</f>
        <v>24015.21</v>
      </c>
      <c r="C22" s="4">
        <f t="shared" si="113"/>
        <v>24015.21</v>
      </c>
      <c r="D22" s="4">
        <f t="shared" si="113"/>
        <v>24015.21</v>
      </c>
      <c r="E22" s="4">
        <f t="shared" si="113"/>
        <v>24015.21</v>
      </c>
      <c r="F22" s="4">
        <f t="shared" si="113"/>
        <v>24015.21</v>
      </c>
      <c r="G22" s="4">
        <f t="shared" si="113"/>
        <v>24015.21</v>
      </c>
      <c r="H22" s="4">
        <f t="shared" si="113"/>
        <v>24015.21</v>
      </c>
      <c r="I22" s="4">
        <f t="shared" si="113"/>
        <v>24015.21</v>
      </c>
      <c r="J22" s="4">
        <f t="shared" si="113"/>
        <v>24015.21</v>
      </c>
      <c r="K22" s="4">
        <f t="shared" si="113"/>
        <v>24015.21</v>
      </c>
      <c r="L22" s="4">
        <f t="shared" si="113"/>
        <v>24015.21</v>
      </c>
      <c r="M22" s="4">
        <f t="shared" si="113"/>
        <v>24015.21</v>
      </c>
      <c r="N22" s="4">
        <f t="shared" si="113"/>
        <v>24015.21</v>
      </c>
      <c r="O22" s="4">
        <f t="shared" si="113"/>
        <v>24015.21</v>
      </c>
      <c r="P22" s="4">
        <f t="shared" si="113"/>
        <v>24015.21</v>
      </c>
      <c r="Q22" s="4">
        <f t="shared" si="113"/>
        <v>24015.21</v>
      </c>
      <c r="R22" s="4">
        <f t="shared" si="113"/>
        <v>24015.21</v>
      </c>
      <c r="S22" s="4">
        <f t="shared" si="113"/>
        <v>24015.21</v>
      </c>
      <c r="T22" s="4">
        <f t="shared" si="113"/>
        <v>24015.21</v>
      </c>
      <c r="U22" s="4">
        <f t="shared" si="113"/>
        <v>24015.21</v>
      </c>
      <c r="V22" s="4">
        <f t="shared" si="113"/>
        <v>24015.21</v>
      </c>
      <c r="W22" s="4">
        <f t="shared" si="113"/>
        <v>24015.21</v>
      </c>
      <c r="X22" s="4">
        <f t="shared" si="113"/>
        <v>24015.21</v>
      </c>
      <c r="Y22" s="4">
        <f t="shared" si="113"/>
        <v>24015.21</v>
      </c>
      <c r="Z22" s="4">
        <f t="shared" si="113"/>
        <v>24015.21</v>
      </c>
      <c r="AA22" s="4">
        <f t="shared" si="113"/>
        <v>24015.21</v>
      </c>
      <c r="AB22" s="4">
        <f t="shared" si="113"/>
        <v>24015.21</v>
      </c>
      <c r="AC22" s="4">
        <f t="shared" si="113"/>
        <v>24015.21</v>
      </c>
      <c r="AD22" s="4">
        <f t="shared" si="113"/>
        <v>24015.21</v>
      </c>
      <c r="AE22" s="4">
        <f t="shared" si="113"/>
        <v>24015.21</v>
      </c>
      <c r="AF22" s="4">
        <f t="shared" si="113"/>
        <v>24015.21</v>
      </c>
      <c r="AG22" s="4">
        <f t="shared" si="113"/>
        <v>24015.21</v>
      </c>
      <c r="AH22" s="4">
        <f t="shared" si="113"/>
        <v>24015.21</v>
      </c>
      <c r="AI22" s="4">
        <f t="shared" si="113"/>
        <v>24015.21</v>
      </c>
      <c r="AJ22" s="4">
        <f t="shared" si="113"/>
        <v>24015.21</v>
      </c>
      <c r="AK22" s="4">
        <f t="shared" si="113"/>
        <v>24015.21</v>
      </c>
      <c r="AL22" s="4">
        <f t="shared" si="113"/>
        <v>24015.21</v>
      </c>
      <c r="AM22" s="4">
        <f t="shared" si="113"/>
        <v>24015.21</v>
      </c>
      <c r="AN22" s="4">
        <f t="shared" si="113"/>
        <v>24015.21</v>
      </c>
      <c r="AO22" s="4">
        <f t="shared" si="113"/>
        <v>24015.21</v>
      </c>
      <c r="AP22" s="4">
        <f t="shared" si="113"/>
        <v>24015.21</v>
      </c>
      <c r="AQ22" s="4">
        <f t="shared" si="113"/>
        <v>24015.21</v>
      </c>
      <c r="AR22" s="4">
        <f t="shared" si="113"/>
        <v>24015.21</v>
      </c>
      <c r="AS22" s="4">
        <f t="shared" si="113"/>
        <v>24015.21</v>
      </c>
      <c r="AT22" s="4">
        <f t="shared" si="113"/>
        <v>24015.21</v>
      </c>
      <c r="AU22" s="4">
        <f t="shared" si="113"/>
        <v>24015.21</v>
      </c>
      <c r="AV22" s="4">
        <f t="shared" si="113"/>
        <v>24015.21</v>
      </c>
      <c r="AW22" s="4">
        <f t="shared" si="113"/>
        <v>24015.21</v>
      </c>
      <c r="AX22" s="4">
        <f t="shared" si="113"/>
        <v>24015.21</v>
      </c>
      <c r="AY22" s="4">
        <f t="shared" si="113"/>
        <v>24015.21</v>
      </c>
      <c r="AZ22" s="4">
        <f t="shared" si="113"/>
        <v>24015.21</v>
      </c>
      <c r="BA22" s="4">
        <f t="shared" si="113"/>
        <v>24015.21</v>
      </c>
      <c r="BB22" s="4">
        <f t="shared" si="113"/>
        <v>24015.21</v>
      </c>
      <c r="BC22" s="4">
        <f t="shared" si="113"/>
        <v>24015.21</v>
      </c>
      <c r="BD22" s="4">
        <f t="shared" si="113"/>
        <v>24015.21</v>
      </c>
      <c r="BE22" s="4">
        <f t="shared" si="113"/>
        <v>24015.21</v>
      </c>
      <c r="BF22" s="4">
        <f t="shared" si="113"/>
        <v>24015.21</v>
      </c>
      <c r="BG22" s="4">
        <f t="shared" si="113"/>
        <v>24015.21</v>
      </c>
      <c r="BH22" s="4">
        <f t="shared" si="113"/>
        <v>24015.21</v>
      </c>
      <c r="BI22" s="4">
        <f t="shared" si="113"/>
        <v>24015.21</v>
      </c>
      <c r="BJ22" s="4">
        <f t="shared" si="113"/>
        <v>24015.21</v>
      </c>
      <c r="BK22" s="4">
        <f t="shared" si="113"/>
        <v>24015.21</v>
      </c>
      <c r="BL22" s="4">
        <f t="shared" si="113"/>
        <v>24015.21</v>
      </c>
      <c r="BM22" s="4">
        <f t="shared" si="113"/>
        <v>24015.21</v>
      </c>
      <c r="BN22" s="4">
        <f t="shared" ref="BN22:DY22" si="114">BO22</f>
        <v>24015.21</v>
      </c>
      <c r="BO22" s="4">
        <f t="shared" si="114"/>
        <v>24015.21</v>
      </c>
      <c r="BP22" s="4">
        <f t="shared" si="114"/>
        <v>24015.21</v>
      </c>
      <c r="BQ22" s="4">
        <f t="shared" si="114"/>
        <v>24015.21</v>
      </c>
      <c r="BR22" s="4">
        <f t="shared" si="114"/>
        <v>24015.21</v>
      </c>
      <c r="BS22" s="4">
        <f t="shared" si="114"/>
        <v>24015.21</v>
      </c>
      <c r="BT22" s="4">
        <f t="shared" si="114"/>
        <v>24015.21</v>
      </c>
      <c r="BU22" s="4">
        <f t="shared" si="114"/>
        <v>24015.21</v>
      </c>
      <c r="BV22" s="4">
        <f t="shared" si="114"/>
        <v>24015.21</v>
      </c>
      <c r="BW22" s="4">
        <f t="shared" si="114"/>
        <v>24015.21</v>
      </c>
      <c r="BX22" s="4">
        <f t="shared" si="114"/>
        <v>24015.21</v>
      </c>
      <c r="BY22" s="4">
        <f t="shared" si="114"/>
        <v>24015.21</v>
      </c>
      <c r="BZ22" s="4">
        <f t="shared" si="114"/>
        <v>24015.21</v>
      </c>
      <c r="CA22" s="4">
        <f t="shared" si="114"/>
        <v>24015.21</v>
      </c>
      <c r="CB22" s="4">
        <f t="shared" si="114"/>
        <v>24015.21</v>
      </c>
      <c r="CC22" s="4">
        <f t="shared" si="114"/>
        <v>24015.21</v>
      </c>
      <c r="CD22" s="4">
        <f t="shared" si="114"/>
        <v>24015.21</v>
      </c>
      <c r="CE22" s="4">
        <f t="shared" si="114"/>
        <v>24015.21</v>
      </c>
      <c r="CF22" s="4">
        <f t="shared" si="114"/>
        <v>24015.21</v>
      </c>
      <c r="CG22" s="4">
        <f t="shared" si="114"/>
        <v>24015.21</v>
      </c>
      <c r="CH22" s="4">
        <f t="shared" si="114"/>
        <v>24015.21</v>
      </c>
      <c r="CI22" s="4">
        <f t="shared" si="114"/>
        <v>24015.21</v>
      </c>
      <c r="CJ22" s="4">
        <f t="shared" si="114"/>
        <v>24015.21</v>
      </c>
      <c r="CK22" s="4">
        <f t="shared" si="114"/>
        <v>24015.21</v>
      </c>
      <c r="CL22" s="4">
        <f t="shared" si="114"/>
        <v>24015.21</v>
      </c>
      <c r="CM22" s="4">
        <f t="shared" si="114"/>
        <v>24015.21</v>
      </c>
      <c r="CN22" s="4">
        <f t="shared" si="114"/>
        <v>24015.21</v>
      </c>
      <c r="CO22" s="4">
        <f t="shared" si="114"/>
        <v>24015.21</v>
      </c>
      <c r="CP22" s="4">
        <f t="shared" si="114"/>
        <v>24015.21</v>
      </c>
      <c r="CQ22" s="4">
        <f t="shared" si="114"/>
        <v>24015.21</v>
      </c>
      <c r="CR22" s="4">
        <f t="shared" si="114"/>
        <v>24015.21</v>
      </c>
      <c r="CS22" s="4">
        <f t="shared" si="114"/>
        <v>24015.21</v>
      </c>
      <c r="CT22" s="4">
        <f t="shared" si="114"/>
        <v>24015.21</v>
      </c>
      <c r="CU22" s="4">
        <f t="shared" si="114"/>
        <v>24015.21</v>
      </c>
      <c r="CV22" s="4">
        <f t="shared" si="114"/>
        <v>24015.21</v>
      </c>
      <c r="CW22" s="4">
        <f t="shared" si="114"/>
        <v>24015.21</v>
      </c>
      <c r="CX22" s="4">
        <f t="shared" si="114"/>
        <v>24015.21</v>
      </c>
      <c r="CY22" s="4">
        <f t="shared" si="114"/>
        <v>24015.21</v>
      </c>
      <c r="CZ22" s="4">
        <f t="shared" si="114"/>
        <v>24015.21</v>
      </c>
      <c r="DA22" s="4">
        <f t="shared" si="114"/>
        <v>24015.21</v>
      </c>
      <c r="DB22" s="4">
        <f t="shared" si="114"/>
        <v>24015.21</v>
      </c>
      <c r="DC22" s="4">
        <f t="shared" si="114"/>
        <v>24015.21</v>
      </c>
      <c r="DD22" s="4">
        <f t="shared" si="114"/>
        <v>24015.21</v>
      </c>
      <c r="DE22" s="4">
        <f t="shared" si="114"/>
        <v>24015.21</v>
      </c>
      <c r="DF22" s="4">
        <f t="shared" si="114"/>
        <v>24015.21</v>
      </c>
      <c r="DG22" s="4">
        <f t="shared" si="114"/>
        <v>24015.21</v>
      </c>
      <c r="DH22" s="4">
        <f t="shared" si="114"/>
        <v>24015.21</v>
      </c>
      <c r="DI22" s="4">
        <f t="shared" si="114"/>
        <v>24015.21</v>
      </c>
      <c r="DJ22" s="4">
        <f t="shared" si="114"/>
        <v>24015.21</v>
      </c>
      <c r="DK22" s="4">
        <f t="shared" si="114"/>
        <v>24015.21</v>
      </c>
      <c r="DL22" s="4">
        <f t="shared" si="114"/>
        <v>24015.21</v>
      </c>
      <c r="DM22" s="4">
        <f t="shared" si="114"/>
        <v>24015.21</v>
      </c>
      <c r="DN22" s="4">
        <f t="shared" si="114"/>
        <v>24015.21</v>
      </c>
      <c r="DO22" s="4">
        <f t="shared" si="114"/>
        <v>24015.21</v>
      </c>
      <c r="DP22" s="4">
        <f t="shared" si="114"/>
        <v>24015.21</v>
      </c>
      <c r="DQ22" s="4">
        <f t="shared" si="114"/>
        <v>24015.21</v>
      </c>
      <c r="DR22" s="4">
        <f t="shared" si="114"/>
        <v>24015.21</v>
      </c>
      <c r="DS22" s="4">
        <f t="shared" si="114"/>
        <v>24015.21</v>
      </c>
      <c r="DT22" s="4">
        <f t="shared" si="114"/>
        <v>24015.21</v>
      </c>
      <c r="DU22" s="4">
        <f t="shared" si="114"/>
        <v>24015.21</v>
      </c>
      <c r="DV22" s="4">
        <f t="shared" si="114"/>
        <v>24015.21</v>
      </c>
      <c r="DW22" s="4">
        <f t="shared" si="114"/>
        <v>24015.21</v>
      </c>
      <c r="DX22" s="4">
        <f t="shared" si="114"/>
        <v>24015.21</v>
      </c>
      <c r="DY22" s="4">
        <f t="shared" si="114"/>
        <v>24015.21</v>
      </c>
      <c r="DZ22" s="4">
        <f t="shared" si="56"/>
        <v>24015.21</v>
      </c>
      <c r="EA22" s="4">
        <f t="shared" si="56"/>
        <v>24015.21</v>
      </c>
      <c r="EB22" s="4">
        <f>'CCaMC-ACAPEXpUC US'!D22/'CCaMC-BCCpUC US'!B22*'CCaMC-BCCpUC'!B22</f>
        <v>24015.21</v>
      </c>
      <c r="EC22" s="4">
        <f t="shared" si="57"/>
        <v>24015.21</v>
      </c>
      <c r="ED22" s="4">
        <f t="shared" si="57"/>
        <v>24015.21</v>
      </c>
      <c r="EE22" s="4">
        <f t="shared" si="57"/>
        <v>24015.21</v>
      </c>
      <c r="EF22" s="4">
        <f t="shared" si="57"/>
        <v>24015.21</v>
      </c>
      <c r="EG22" s="4">
        <f t="shared" si="57"/>
        <v>24015.21</v>
      </c>
      <c r="EH22" s="4">
        <f t="shared" si="57"/>
        <v>24015.21</v>
      </c>
      <c r="EI22" s="4">
        <f t="shared" si="57"/>
        <v>24015.21</v>
      </c>
      <c r="EJ22" s="4">
        <f t="shared" si="57"/>
        <v>24015.21</v>
      </c>
      <c r="EK22" s="4">
        <f t="shared" si="57"/>
        <v>24015.21</v>
      </c>
      <c r="EL22" s="4">
        <f t="shared" si="57"/>
        <v>24015.21</v>
      </c>
      <c r="EM22" s="4">
        <f t="shared" ref="EM22:FE22" si="115">EL22</f>
        <v>24015.21</v>
      </c>
      <c r="EN22" s="4">
        <f t="shared" si="115"/>
        <v>24015.21</v>
      </c>
      <c r="EO22" s="4">
        <f t="shared" si="115"/>
        <v>24015.21</v>
      </c>
      <c r="EP22" s="4">
        <f t="shared" si="115"/>
        <v>24015.21</v>
      </c>
      <c r="EQ22" s="4">
        <f t="shared" si="115"/>
        <v>24015.21</v>
      </c>
      <c r="ER22" s="4">
        <f t="shared" si="115"/>
        <v>24015.21</v>
      </c>
      <c r="ES22" s="4">
        <f t="shared" si="115"/>
        <v>24015.21</v>
      </c>
      <c r="ET22" s="4">
        <f t="shared" si="115"/>
        <v>24015.21</v>
      </c>
      <c r="EU22" s="4">
        <f t="shared" si="115"/>
        <v>24015.21</v>
      </c>
      <c r="EV22" s="4">
        <f t="shared" si="115"/>
        <v>24015.21</v>
      </c>
      <c r="EW22" s="4">
        <f t="shared" si="115"/>
        <v>24015.21</v>
      </c>
      <c r="EX22" s="4">
        <f t="shared" si="115"/>
        <v>24015.21</v>
      </c>
      <c r="EY22" s="4">
        <f t="shared" si="115"/>
        <v>24015.21</v>
      </c>
      <c r="EZ22" s="4">
        <f t="shared" si="115"/>
        <v>24015.21</v>
      </c>
      <c r="FA22" s="4">
        <f t="shared" si="115"/>
        <v>24015.21</v>
      </c>
      <c r="FB22" s="4">
        <f t="shared" si="115"/>
        <v>24015.21</v>
      </c>
      <c r="FC22" s="4">
        <f t="shared" si="115"/>
        <v>24015.21</v>
      </c>
      <c r="FD22" s="4">
        <f t="shared" si="115"/>
        <v>24015.21</v>
      </c>
      <c r="FE22" s="4">
        <f t="shared" si="115"/>
        <v>24015.21</v>
      </c>
      <c r="FF22" s="4">
        <f t="shared" si="4"/>
        <v>24015.21</v>
      </c>
      <c r="FG22" s="4">
        <f t="shared" si="5"/>
        <v>24015.21</v>
      </c>
      <c r="FH22" s="4">
        <f t="shared" si="6"/>
        <v>24015.21</v>
      </c>
      <c r="FI22" s="4">
        <f t="shared" si="7"/>
        <v>24015.21</v>
      </c>
      <c r="FJ22" s="4">
        <f t="shared" si="8"/>
        <v>24015.21</v>
      </c>
      <c r="FK22" s="4">
        <f t="shared" si="9"/>
        <v>24015.21</v>
      </c>
      <c r="FL22" s="4">
        <f t="shared" si="10"/>
        <v>24015.21</v>
      </c>
      <c r="FM22" s="4">
        <f t="shared" si="11"/>
        <v>24015.21</v>
      </c>
      <c r="FN22" s="4">
        <f t="shared" si="12"/>
        <v>24015.21</v>
      </c>
      <c r="FO22" s="4">
        <f t="shared" si="13"/>
        <v>24015.21</v>
      </c>
      <c r="FP22" s="4">
        <f t="shared" si="14"/>
        <v>24015.21</v>
      </c>
      <c r="FQ22" s="4">
        <f t="shared" si="15"/>
        <v>24015.21</v>
      </c>
      <c r="FR22" s="4">
        <f t="shared" si="16"/>
        <v>24015.21</v>
      </c>
      <c r="FS22" s="4">
        <f t="shared" si="17"/>
        <v>24015.21</v>
      </c>
      <c r="FT22" s="4">
        <f t="shared" si="18"/>
        <v>24015.21</v>
      </c>
      <c r="FU22" s="4">
        <f t="shared" si="19"/>
        <v>24015.21</v>
      </c>
      <c r="FV22" s="4">
        <f t="shared" si="20"/>
        <v>24015.21</v>
      </c>
      <c r="FW22" s="4">
        <f t="shared" si="21"/>
        <v>24015.21</v>
      </c>
      <c r="FX22" s="4">
        <f t="shared" si="22"/>
        <v>24015.21</v>
      </c>
      <c r="FY22" s="4">
        <f t="shared" si="23"/>
        <v>24015.21</v>
      </c>
      <c r="FZ22" s="4">
        <f t="shared" si="24"/>
        <v>24015.21</v>
      </c>
      <c r="GA22" s="4">
        <f t="shared" si="25"/>
        <v>24015.21</v>
      </c>
      <c r="GB22" s="4">
        <f t="shared" si="26"/>
        <v>24015.21</v>
      </c>
      <c r="GC22" s="4">
        <f t="shared" si="27"/>
        <v>24015.21</v>
      </c>
      <c r="GD22" s="4">
        <f t="shared" si="28"/>
        <v>24015.21</v>
      </c>
      <c r="GE22" s="4">
        <f t="shared" si="29"/>
        <v>24015.21</v>
      </c>
      <c r="GF22" s="4">
        <f t="shared" si="30"/>
        <v>24015.21</v>
      </c>
      <c r="GG22" s="4">
        <f t="shared" si="31"/>
        <v>24015.21</v>
      </c>
      <c r="GH22" s="4">
        <f t="shared" si="32"/>
        <v>24015.21</v>
      </c>
      <c r="GI22" s="4">
        <f t="shared" si="33"/>
        <v>24015.21</v>
      </c>
      <c r="GJ22" s="4">
        <f t="shared" si="34"/>
        <v>24015.21</v>
      </c>
      <c r="GK22" s="4">
        <f t="shared" si="35"/>
        <v>24015.21</v>
      </c>
      <c r="GL22" s="4">
        <f t="shared" si="36"/>
        <v>24015.21</v>
      </c>
      <c r="GM22" s="4">
        <f t="shared" si="37"/>
        <v>24015.21</v>
      </c>
      <c r="GN22" s="4">
        <f t="shared" si="38"/>
        <v>24015.21</v>
      </c>
      <c r="GO22" s="4">
        <f t="shared" si="39"/>
        <v>24015.21</v>
      </c>
      <c r="GP22" s="4">
        <f t="shared" si="40"/>
        <v>24015.21</v>
      </c>
      <c r="GQ22" s="4">
        <f t="shared" si="41"/>
        <v>24015.21</v>
      </c>
      <c r="GR22" s="4">
        <f t="shared" si="42"/>
        <v>24015.21</v>
      </c>
      <c r="GS22" s="4">
        <f t="shared" si="43"/>
        <v>24015.21</v>
      </c>
      <c r="GT22" s="4">
        <f t="shared" si="44"/>
        <v>24015.21</v>
      </c>
      <c r="GU22" s="4">
        <f t="shared" si="45"/>
        <v>24015.21</v>
      </c>
      <c r="GV22" s="4">
        <f t="shared" si="46"/>
        <v>24015.21</v>
      </c>
      <c r="GW22" s="4">
        <f t="shared" si="47"/>
        <v>24015.21</v>
      </c>
      <c r="GX22" s="4">
        <f t="shared" si="48"/>
        <v>24015.21</v>
      </c>
      <c r="GY22" s="4">
        <f t="shared" si="49"/>
        <v>24015.21</v>
      </c>
      <c r="GZ22" s="4">
        <f t="shared" si="50"/>
        <v>24015.21</v>
      </c>
      <c r="HA22" s="4">
        <f t="shared" si="51"/>
        <v>24015.21</v>
      </c>
      <c r="HB22" s="4">
        <f t="shared" si="52"/>
        <v>24015.21</v>
      </c>
      <c r="HC22" s="4">
        <f t="shared" si="53"/>
        <v>24015.21</v>
      </c>
    </row>
    <row r="23" spans="1:211">
      <c r="A23" t="s">
        <v>81</v>
      </c>
      <c r="B23" s="4">
        <f t="shared" ref="B23:BM23" si="116">C23</f>
        <v>55528.115460176989</v>
      </c>
      <c r="C23" s="4">
        <f t="shared" si="116"/>
        <v>55528.115460176989</v>
      </c>
      <c r="D23" s="4">
        <f t="shared" si="116"/>
        <v>55528.115460176989</v>
      </c>
      <c r="E23" s="4">
        <f t="shared" si="116"/>
        <v>55528.115460176989</v>
      </c>
      <c r="F23" s="4">
        <f t="shared" si="116"/>
        <v>55528.115460176989</v>
      </c>
      <c r="G23" s="4">
        <f t="shared" si="116"/>
        <v>55528.115460176989</v>
      </c>
      <c r="H23" s="4">
        <f t="shared" si="116"/>
        <v>55528.115460176989</v>
      </c>
      <c r="I23" s="4">
        <f t="shared" si="116"/>
        <v>55528.115460176989</v>
      </c>
      <c r="J23" s="4">
        <f t="shared" si="116"/>
        <v>55528.115460176989</v>
      </c>
      <c r="K23" s="4">
        <f t="shared" si="116"/>
        <v>55528.115460176989</v>
      </c>
      <c r="L23" s="4">
        <f t="shared" si="116"/>
        <v>55528.115460176989</v>
      </c>
      <c r="M23" s="4">
        <f t="shared" si="116"/>
        <v>55528.115460176989</v>
      </c>
      <c r="N23" s="4">
        <f t="shared" si="116"/>
        <v>55528.115460176989</v>
      </c>
      <c r="O23" s="4">
        <f t="shared" si="116"/>
        <v>55528.115460176989</v>
      </c>
      <c r="P23" s="4">
        <f t="shared" si="116"/>
        <v>55528.115460176989</v>
      </c>
      <c r="Q23" s="4">
        <f t="shared" si="116"/>
        <v>55528.115460176989</v>
      </c>
      <c r="R23" s="4">
        <f t="shared" si="116"/>
        <v>55528.115460176989</v>
      </c>
      <c r="S23" s="4">
        <f t="shared" si="116"/>
        <v>55528.115460176989</v>
      </c>
      <c r="T23" s="4">
        <f t="shared" si="116"/>
        <v>55528.115460176989</v>
      </c>
      <c r="U23" s="4">
        <f t="shared" si="116"/>
        <v>55528.115460176989</v>
      </c>
      <c r="V23" s="4">
        <f t="shared" si="116"/>
        <v>55528.115460176989</v>
      </c>
      <c r="W23" s="4">
        <f t="shared" si="116"/>
        <v>55528.115460176989</v>
      </c>
      <c r="X23" s="4">
        <f t="shared" si="116"/>
        <v>55528.115460176989</v>
      </c>
      <c r="Y23" s="4">
        <f t="shared" si="116"/>
        <v>55528.115460176989</v>
      </c>
      <c r="Z23" s="4">
        <f t="shared" si="116"/>
        <v>55528.115460176989</v>
      </c>
      <c r="AA23" s="4">
        <f t="shared" si="116"/>
        <v>55528.115460176989</v>
      </c>
      <c r="AB23" s="4">
        <f t="shared" si="116"/>
        <v>55528.115460176989</v>
      </c>
      <c r="AC23" s="4">
        <f t="shared" si="116"/>
        <v>55528.115460176989</v>
      </c>
      <c r="AD23" s="4">
        <f t="shared" si="116"/>
        <v>55528.115460176989</v>
      </c>
      <c r="AE23" s="4">
        <f t="shared" si="116"/>
        <v>55528.115460176989</v>
      </c>
      <c r="AF23" s="4">
        <f t="shared" si="116"/>
        <v>55528.115460176989</v>
      </c>
      <c r="AG23" s="4">
        <f t="shared" si="116"/>
        <v>55528.115460176989</v>
      </c>
      <c r="AH23" s="4">
        <f t="shared" si="116"/>
        <v>55528.115460176989</v>
      </c>
      <c r="AI23" s="4">
        <f t="shared" si="116"/>
        <v>55528.115460176989</v>
      </c>
      <c r="AJ23" s="4">
        <f t="shared" si="116"/>
        <v>55528.115460176989</v>
      </c>
      <c r="AK23" s="4">
        <f t="shared" si="116"/>
        <v>55528.115460176989</v>
      </c>
      <c r="AL23" s="4">
        <f t="shared" si="116"/>
        <v>55528.115460176989</v>
      </c>
      <c r="AM23" s="4">
        <f t="shared" si="116"/>
        <v>55528.115460176989</v>
      </c>
      <c r="AN23" s="4">
        <f t="shared" si="116"/>
        <v>55528.115460176989</v>
      </c>
      <c r="AO23" s="4">
        <f t="shared" si="116"/>
        <v>55528.115460176989</v>
      </c>
      <c r="AP23" s="4">
        <f t="shared" si="116"/>
        <v>55528.115460176989</v>
      </c>
      <c r="AQ23" s="4">
        <f t="shared" si="116"/>
        <v>55528.115460176989</v>
      </c>
      <c r="AR23" s="4">
        <f t="shared" si="116"/>
        <v>55528.115460176989</v>
      </c>
      <c r="AS23" s="4">
        <f t="shared" si="116"/>
        <v>55528.115460176989</v>
      </c>
      <c r="AT23" s="4">
        <f t="shared" si="116"/>
        <v>55528.115460176989</v>
      </c>
      <c r="AU23" s="4">
        <f t="shared" si="116"/>
        <v>55528.115460176989</v>
      </c>
      <c r="AV23" s="4">
        <f t="shared" si="116"/>
        <v>55528.115460176989</v>
      </c>
      <c r="AW23" s="4">
        <f t="shared" si="116"/>
        <v>55528.115460176989</v>
      </c>
      <c r="AX23" s="4">
        <f t="shared" si="116"/>
        <v>55528.115460176989</v>
      </c>
      <c r="AY23" s="4">
        <f t="shared" si="116"/>
        <v>55528.115460176989</v>
      </c>
      <c r="AZ23" s="4">
        <f t="shared" si="116"/>
        <v>55528.115460176989</v>
      </c>
      <c r="BA23" s="4">
        <f t="shared" si="116"/>
        <v>55528.115460176989</v>
      </c>
      <c r="BB23" s="4">
        <f t="shared" si="116"/>
        <v>55528.115460176989</v>
      </c>
      <c r="BC23" s="4">
        <f t="shared" si="116"/>
        <v>55528.115460176989</v>
      </c>
      <c r="BD23" s="4">
        <f t="shared" si="116"/>
        <v>55528.115460176989</v>
      </c>
      <c r="BE23" s="4">
        <f t="shared" si="116"/>
        <v>55528.115460176989</v>
      </c>
      <c r="BF23" s="4">
        <f t="shared" si="116"/>
        <v>55528.115460176989</v>
      </c>
      <c r="BG23" s="4">
        <f t="shared" si="116"/>
        <v>55528.115460176989</v>
      </c>
      <c r="BH23" s="4">
        <f t="shared" si="116"/>
        <v>55528.115460176989</v>
      </c>
      <c r="BI23" s="4">
        <f t="shared" si="116"/>
        <v>55528.115460176989</v>
      </c>
      <c r="BJ23" s="4">
        <f t="shared" si="116"/>
        <v>55528.115460176989</v>
      </c>
      <c r="BK23" s="4">
        <f t="shared" si="116"/>
        <v>55528.115460176989</v>
      </c>
      <c r="BL23" s="4">
        <f t="shared" si="116"/>
        <v>55528.115460176989</v>
      </c>
      <c r="BM23" s="4">
        <f t="shared" si="116"/>
        <v>55528.115460176989</v>
      </c>
      <c r="BN23" s="4">
        <f t="shared" ref="BN23:DY23" si="117">BO23</f>
        <v>55528.115460176989</v>
      </c>
      <c r="BO23" s="4">
        <f t="shared" si="117"/>
        <v>55528.115460176989</v>
      </c>
      <c r="BP23" s="4">
        <f t="shared" si="117"/>
        <v>55528.115460176989</v>
      </c>
      <c r="BQ23" s="4">
        <f t="shared" si="117"/>
        <v>55528.115460176989</v>
      </c>
      <c r="BR23" s="4">
        <f t="shared" si="117"/>
        <v>55528.115460176989</v>
      </c>
      <c r="BS23" s="4">
        <f t="shared" si="117"/>
        <v>55528.115460176989</v>
      </c>
      <c r="BT23" s="4">
        <f t="shared" si="117"/>
        <v>55528.115460176989</v>
      </c>
      <c r="BU23" s="4">
        <f t="shared" si="117"/>
        <v>55528.115460176989</v>
      </c>
      <c r="BV23" s="4">
        <f t="shared" si="117"/>
        <v>55528.115460176989</v>
      </c>
      <c r="BW23" s="4">
        <f t="shared" si="117"/>
        <v>55528.115460176989</v>
      </c>
      <c r="BX23" s="4">
        <f t="shared" si="117"/>
        <v>55528.115460176989</v>
      </c>
      <c r="BY23" s="4">
        <f t="shared" si="117"/>
        <v>55528.115460176989</v>
      </c>
      <c r="BZ23" s="4">
        <f t="shared" si="117"/>
        <v>55528.115460176989</v>
      </c>
      <c r="CA23" s="4">
        <f t="shared" si="117"/>
        <v>55528.115460176989</v>
      </c>
      <c r="CB23" s="4">
        <f t="shared" si="117"/>
        <v>55528.115460176989</v>
      </c>
      <c r="CC23" s="4">
        <f t="shared" si="117"/>
        <v>55528.115460176989</v>
      </c>
      <c r="CD23" s="4">
        <f t="shared" si="117"/>
        <v>55528.115460176989</v>
      </c>
      <c r="CE23" s="4">
        <f t="shared" si="117"/>
        <v>55528.115460176989</v>
      </c>
      <c r="CF23" s="4">
        <f t="shared" si="117"/>
        <v>55528.115460176989</v>
      </c>
      <c r="CG23" s="4">
        <f t="shared" si="117"/>
        <v>55528.115460176989</v>
      </c>
      <c r="CH23" s="4">
        <f t="shared" si="117"/>
        <v>55528.115460176989</v>
      </c>
      <c r="CI23" s="4">
        <f t="shared" si="117"/>
        <v>55528.115460176989</v>
      </c>
      <c r="CJ23" s="4">
        <f t="shared" si="117"/>
        <v>55528.115460176989</v>
      </c>
      <c r="CK23" s="4">
        <f t="shared" si="117"/>
        <v>55528.115460176989</v>
      </c>
      <c r="CL23" s="4">
        <f t="shared" si="117"/>
        <v>55528.115460176989</v>
      </c>
      <c r="CM23" s="4">
        <f t="shared" si="117"/>
        <v>55528.115460176989</v>
      </c>
      <c r="CN23" s="4">
        <f t="shared" si="117"/>
        <v>55528.115460176989</v>
      </c>
      <c r="CO23" s="4">
        <f t="shared" si="117"/>
        <v>55528.115460176989</v>
      </c>
      <c r="CP23" s="4">
        <f t="shared" si="117"/>
        <v>55528.115460176989</v>
      </c>
      <c r="CQ23" s="4">
        <f t="shared" si="117"/>
        <v>55528.115460176989</v>
      </c>
      <c r="CR23" s="4">
        <f t="shared" si="117"/>
        <v>55528.115460176989</v>
      </c>
      <c r="CS23" s="4">
        <f t="shared" si="117"/>
        <v>55528.115460176989</v>
      </c>
      <c r="CT23" s="4">
        <f t="shared" si="117"/>
        <v>55528.115460176989</v>
      </c>
      <c r="CU23" s="4">
        <f t="shared" si="117"/>
        <v>55528.115460176989</v>
      </c>
      <c r="CV23" s="4">
        <f t="shared" si="117"/>
        <v>55528.115460176989</v>
      </c>
      <c r="CW23" s="4">
        <f t="shared" si="117"/>
        <v>55528.115460176989</v>
      </c>
      <c r="CX23" s="4">
        <f t="shared" si="117"/>
        <v>55528.115460176989</v>
      </c>
      <c r="CY23" s="4">
        <f t="shared" si="117"/>
        <v>55528.115460176989</v>
      </c>
      <c r="CZ23" s="4">
        <f t="shared" si="117"/>
        <v>55528.115460176989</v>
      </c>
      <c r="DA23" s="4">
        <f t="shared" si="117"/>
        <v>55528.115460176989</v>
      </c>
      <c r="DB23" s="4">
        <f t="shared" si="117"/>
        <v>55528.115460176989</v>
      </c>
      <c r="DC23" s="4">
        <f t="shared" si="117"/>
        <v>55528.115460176989</v>
      </c>
      <c r="DD23" s="4">
        <f t="shared" si="117"/>
        <v>55528.115460176989</v>
      </c>
      <c r="DE23" s="4">
        <f t="shared" si="117"/>
        <v>55528.115460176989</v>
      </c>
      <c r="DF23" s="4">
        <f t="shared" si="117"/>
        <v>55528.115460176989</v>
      </c>
      <c r="DG23" s="4">
        <f t="shared" si="117"/>
        <v>55528.115460176989</v>
      </c>
      <c r="DH23" s="4">
        <f t="shared" si="117"/>
        <v>55528.115460176989</v>
      </c>
      <c r="DI23" s="4">
        <f t="shared" si="117"/>
        <v>55528.115460176989</v>
      </c>
      <c r="DJ23" s="4">
        <f t="shared" si="117"/>
        <v>55528.115460176989</v>
      </c>
      <c r="DK23" s="4">
        <f t="shared" si="117"/>
        <v>55528.115460176989</v>
      </c>
      <c r="DL23" s="4">
        <f t="shared" si="117"/>
        <v>55528.115460176989</v>
      </c>
      <c r="DM23" s="4">
        <f t="shared" si="117"/>
        <v>55528.115460176989</v>
      </c>
      <c r="DN23" s="4">
        <f t="shared" si="117"/>
        <v>55528.115460176989</v>
      </c>
      <c r="DO23" s="4">
        <f t="shared" si="117"/>
        <v>55528.115460176989</v>
      </c>
      <c r="DP23" s="4">
        <f t="shared" si="117"/>
        <v>55528.115460176989</v>
      </c>
      <c r="DQ23" s="4">
        <f t="shared" si="117"/>
        <v>55528.115460176989</v>
      </c>
      <c r="DR23" s="4">
        <f t="shared" si="117"/>
        <v>55528.115460176989</v>
      </c>
      <c r="DS23" s="4">
        <f t="shared" si="117"/>
        <v>55528.115460176989</v>
      </c>
      <c r="DT23" s="4">
        <f t="shared" si="117"/>
        <v>55528.115460176989</v>
      </c>
      <c r="DU23" s="4">
        <f t="shared" si="117"/>
        <v>55528.115460176989</v>
      </c>
      <c r="DV23" s="4">
        <f t="shared" si="117"/>
        <v>55528.115460176989</v>
      </c>
      <c r="DW23" s="4">
        <f t="shared" si="117"/>
        <v>55528.115460176989</v>
      </c>
      <c r="DX23" s="4">
        <f t="shared" si="117"/>
        <v>55528.115460176989</v>
      </c>
      <c r="DY23" s="4">
        <f t="shared" si="117"/>
        <v>55528.115460176989</v>
      </c>
      <c r="DZ23" s="4">
        <f t="shared" si="56"/>
        <v>55528.115460176989</v>
      </c>
      <c r="EA23" s="4">
        <f t="shared" si="56"/>
        <v>55528.115460176989</v>
      </c>
      <c r="EB23" s="4">
        <f>'CCaMC-ACAPEXpUC US'!D23/'CCaMC-BCCpUC US'!B23*'CCaMC-BCCpUC'!B23</f>
        <v>55528.115460176989</v>
      </c>
      <c r="EC23" s="4">
        <f t="shared" si="57"/>
        <v>55528.115460176989</v>
      </c>
      <c r="ED23" s="4">
        <f t="shared" si="57"/>
        <v>55528.115460176989</v>
      </c>
      <c r="EE23" s="4">
        <f t="shared" si="57"/>
        <v>55528.115460176989</v>
      </c>
      <c r="EF23" s="4">
        <f t="shared" si="57"/>
        <v>55528.115460176989</v>
      </c>
      <c r="EG23" s="4">
        <f t="shared" si="57"/>
        <v>55528.115460176989</v>
      </c>
      <c r="EH23" s="4">
        <f t="shared" si="57"/>
        <v>55528.115460176989</v>
      </c>
      <c r="EI23" s="4">
        <f t="shared" si="57"/>
        <v>55528.115460176989</v>
      </c>
      <c r="EJ23" s="4">
        <f t="shared" si="57"/>
        <v>55528.115460176989</v>
      </c>
      <c r="EK23" s="4">
        <f t="shared" si="57"/>
        <v>55528.115460176989</v>
      </c>
      <c r="EL23" s="4">
        <f t="shared" si="57"/>
        <v>55528.115460176989</v>
      </c>
      <c r="EM23" s="4">
        <f t="shared" ref="EM23:FE23" si="118">EL23</f>
        <v>55528.115460176989</v>
      </c>
      <c r="EN23" s="4">
        <f t="shared" si="118"/>
        <v>55528.115460176989</v>
      </c>
      <c r="EO23" s="4">
        <f t="shared" si="118"/>
        <v>55528.115460176989</v>
      </c>
      <c r="EP23" s="4">
        <f t="shared" si="118"/>
        <v>55528.115460176989</v>
      </c>
      <c r="EQ23" s="4">
        <f t="shared" si="118"/>
        <v>55528.115460176989</v>
      </c>
      <c r="ER23" s="4">
        <f t="shared" si="118"/>
        <v>55528.115460176989</v>
      </c>
      <c r="ES23" s="4">
        <f t="shared" si="118"/>
        <v>55528.115460176989</v>
      </c>
      <c r="ET23" s="4">
        <f t="shared" si="118"/>
        <v>55528.115460176989</v>
      </c>
      <c r="EU23" s="4">
        <f t="shared" si="118"/>
        <v>55528.115460176989</v>
      </c>
      <c r="EV23" s="4">
        <f t="shared" si="118"/>
        <v>55528.115460176989</v>
      </c>
      <c r="EW23" s="4">
        <f t="shared" si="118"/>
        <v>55528.115460176989</v>
      </c>
      <c r="EX23" s="4">
        <f t="shared" si="118"/>
        <v>55528.115460176989</v>
      </c>
      <c r="EY23" s="4">
        <f t="shared" si="118"/>
        <v>55528.115460176989</v>
      </c>
      <c r="EZ23" s="4">
        <f t="shared" si="118"/>
        <v>55528.115460176989</v>
      </c>
      <c r="FA23" s="4">
        <f t="shared" si="118"/>
        <v>55528.115460176989</v>
      </c>
      <c r="FB23" s="4">
        <f t="shared" si="118"/>
        <v>55528.115460176989</v>
      </c>
      <c r="FC23" s="4">
        <f t="shared" si="118"/>
        <v>55528.115460176989</v>
      </c>
      <c r="FD23" s="4">
        <f t="shared" si="118"/>
        <v>55528.115460176989</v>
      </c>
      <c r="FE23" s="4">
        <f t="shared" si="118"/>
        <v>55528.115460176989</v>
      </c>
      <c r="FF23" s="4">
        <f t="shared" si="4"/>
        <v>55528.115460176989</v>
      </c>
      <c r="FG23" s="4">
        <f t="shared" si="5"/>
        <v>55528.115460176989</v>
      </c>
      <c r="FH23" s="4">
        <f t="shared" si="6"/>
        <v>55528.115460176989</v>
      </c>
      <c r="FI23" s="4">
        <f t="shared" si="7"/>
        <v>55528.115460176989</v>
      </c>
      <c r="FJ23" s="4">
        <f t="shared" si="8"/>
        <v>55528.115460176989</v>
      </c>
      <c r="FK23" s="4">
        <f t="shared" si="9"/>
        <v>55528.115460176989</v>
      </c>
      <c r="FL23" s="4">
        <f t="shared" si="10"/>
        <v>55528.115460176989</v>
      </c>
      <c r="FM23" s="4">
        <f t="shared" si="11"/>
        <v>55528.115460176989</v>
      </c>
      <c r="FN23" s="4">
        <f t="shared" si="12"/>
        <v>55528.115460176989</v>
      </c>
      <c r="FO23" s="4">
        <f t="shared" si="13"/>
        <v>55528.115460176989</v>
      </c>
      <c r="FP23" s="4">
        <f t="shared" si="14"/>
        <v>55528.115460176989</v>
      </c>
      <c r="FQ23" s="4">
        <f t="shared" si="15"/>
        <v>55528.115460176989</v>
      </c>
      <c r="FR23" s="4">
        <f t="shared" si="16"/>
        <v>55528.115460176989</v>
      </c>
      <c r="FS23" s="4">
        <f t="shared" si="17"/>
        <v>55528.115460176989</v>
      </c>
      <c r="FT23" s="4">
        <f t="shared" si="18"/>
        <v>55528.115460176989</v>
      </c>
      <c r="FU23" s="4">
        <f t="shared" si="19"/>
        <v>55528.115460176989</v>
      </c>
      <c r="FV23" s="4">
        <f t="shared" si="20"/>
        <v>55528.115460176989</v>
      </c>
      <c r="FW23" s="4">
        <f t="shared" si="21"/>
        <v>55528.115460176989</v>
      </c>
      <c r="FX23" s="4">
        <f t="shared" si="22"/>
        <v>55528.115460176989</v>
      </c>
      <c r="FY23" s="4">
        <f t="shared" si="23"/>
        <v>55528.115460176989</v>
      </c>
      <c r="FZ23" s="4">
        <f t="shared" si="24"/>
        <v>55528.115460176989</v>
      </c>
      <c r="GA23" s="4">
        <f t="shared" si="25"/>
        <v>55528.115460176989</v>
      </c>
      <c r="GB23" s="4">
        <f t="shared" si="26"/>
        <v>55528.115460176989</v>
      </c>
      <c r="GC23" s="4">
        <f t="shared" si="27"/>
        <v>55528.115460176989</v>
      </c>
      <c r="GD23" s="4">
        <f t="shared" si="28"/>
        <v>55528.115460176989</v>
      </c>
      <c r="GE23" s="4">
        <f t="shared" si="29"/>
        <v>55528.115460176989</v>
      </c>
      <c r="GF23" s="4">
        <f t="shared" si="30"/>
        <v>55528.115460176989</v>
      </c>
      <c r="GG23" s="4">
        <f t="shared" si="31"/>
        <v>55528.115460176989</v>
      </c>
      <c r="GH23" s="4">
        <f t="shared" si="32"/>
        <v>55528.115460176989</v>
      </c>
      <c r="GI23" s="4">
        <f t="shared" si="33"/>
        <v>55528.115460176989</v>
      </c>
      <c r="GJ23" s="4">
        <f t="shared" si="34"/>
        <v>55528.115460176989</v>
      </c>
      <c r="GK23" s="4">
        <f t="shared" si="35"/>
        <v>55528.115460176989</v>
      </c>
      <c r="GL23" s="4">
        <f t="shared" si="36"/>
        <v>55528.115460176989</v>
      </c>
      <c r="GM23" s="4">
        <f t="shared" si="37"/>
        <v>55528.115460176989</v>
      </c>
      <c r="GN23" s="4">
        <f t="shared" si="38"/>
        <v>55528.115460176989</v>
      </c>
      <c r="GO23" s="4">
        <f t="shared" si="39"/>
        <v>55528.115460176989</v>
      </c>
      <c r="GP23" s="4">
        <f t="shared" si="40"/>
        <v>55528.115460176989</v>
      </c>
      <c r="GQ23" s="4">
        <f t="shared" si="41"/>
        <v>55528.115460176989</v>
      </c>
      <c r="GR23" s="4">
        <f t="shared" si="42"/>
        <v>55528.115460176989</v>
      </c>
      <c r="GS23" s="4">
        <f t="shared" si="43"/>
        <v>55528.115460176989</v>
      </c>
      <c r="GT23" s="4">
        <f t="shared" si="44"/>
        <v>55528.115460176989</v>
      </c>
      <c r="GU23" s="4">
        <f t="shared" si="45"/>
        <v>55528.115460176989</v>
      </c>
      <c r="GV23" s="4">
        <f t="shared" si="46"/>
        <v>55528.115460176989</v>
      </c>
      <c r="GW23" s="4">
        <f t="shared" si="47"/>
        <v>55528.115460176989</v>
      </c>
      <c r="GX23" s="4">
        <f t="shared" si="48"/>
        <v>55528.115460176989</v>
      </c>
      <c r="GY23" s="4">
        <f t="shared" si="49"/>
        <v>55528.115460176989</v>
      </c>
      <c r="GZ23" s="4">
        <f t="shared" si="50"/>
        <v>55528.115460176989</v>
      </c>
      <c r="HA23" s="4">
        <f t="shared" si="51"/>
        <v>55528.115460176989</v>
      </c>
      <c r="HB23" s="4">
        <f t="shared" si="52"/>
        <v>55528.115460176989</v>
      </c>
      <c r="HC23" s="4">
        <f t="shared" si="53"/>
        <v>55528.115460176989</v>
      </c>
    </row>
    <row r="24" spans="1:211">
      <c r="A24" s="24" t="s">
        <v>82</v>
      </c>
      <c r="B24" s="4">
        <f t="shared" ref="B24:BM24" si="119">C24</f>
        <v>0</v>
      </c>
      <c r="C24" s="4">
        <f t="shared" si="119"/>
        <v>0</v>
      </c>
      <c r="D24" s="4">
        <f t="shared" si="119"/>
        <v>0</v>
      </c>
      <c r="E24" s="4">
        <f t="shared" si="119"/>
        <v>0</v>
      </c>
      <c r="F24" s="4">
        <f t="shared" si="119"/>
        <v>0</v>
      </c>
      <c r="G24" s="4">
        <f t="shared" si="119"/>
        <v>0</v>
      </c>
      <c r="H24" s="4">
        <f t="shared" si="119"/>
        <v>0</v>
      </c>
      <c r="I24" s="4">
        <f t="shared" si="119"/>
        <v>0</v>
      </c>
      <c r="J24" s="4">
        <f t="shared" si="119"/>
        <v>0</v>
      </c>
      <c r="K24" s="4">
        <f t="shared" si="119"/>
        <v>0</v>
      </c>
      <c r="L24" s="4">
        <f t="shared" si="119"/>
        <v>0</v>
      </c>
      <c r="M24" s="4">
        <f t="shared" si="119"/>
        <v>0</v>
      </c>
      <c r="N24" s="4">
        <f t="shared" si="119"/>
        <v>0</v>
      </c>
      <c r="O24" s="4">
        <f t="shared" si="119"/>
        <v>0</v>
      </c>
      <c r="P24" s="4">
        <f t="shared" si="119"/>
        <v>0</v>
      </c>
      <c r="Q24" s="4">
        <f t="shared" si="119"/>
        <v>0</v>
      </c>
      <c r="R24" s="4">
        <f t="shared" si="119"/>
        <v>0</v>
      </c>
      <c r="S24" s="4">
        <f t="shared" si="119"/>
        <v>0</v>
      </c>
      <c r="T24" s="4">
        <f t="shared" si="119"/>
        <v>0</v>
      </c>
      <c r="U24" s="4">
        <f t="shared" si="119"/>
        <v>0</v>
      </c>
      <c r="V24" s="4">
        <f t="shared" si="119"/>
        <v>0</v>
      </c>
      <c r="W24" s="4">
        <f t="shared" si="119"/>
        <v>0</v>
      </c>
      <c r="X24" s="4">
        <f t="shared" si="119"/>
        <v>0</v>
      </c>
      <c r="Y24" s="4">
        <f t="shared" si="119"/>
        <v>0</v>
      </c>
      <c r="Z24" s="4">
        <f t="shared" si="119"/>
        <v>0</v>
      </c>
      <c r="AA24" s="4">
        <f t="shared" si="119"/>
        <v>0</v>
      </c>
      <c r="AB24" s="4">
        <f t="shared" si="119"/>
        <v>0</v>
      </c>
      <c r="AC24" s="4">
        <f t="shared" si="119"/>
        <v>0</v>
      </c>
      <c r="AD24" s="4">
        <f t="shared" si="119"/>
        <v>0</v>
      </c>
      <c r="AE24" s="4">
        <f t="shared" si="119"/>
        <v>0</v>
      </c>
      <c r="AF24" s="4">
        <f t="shared" si="119"/>
        <v>0</v>
      </c>
      <c r="AG24" s="4">
        <f t="shared" si="119"/>
        <v>0</v>
      </c>
      <c r="AH24" s="4">
        <f t="shared" si="119"/>
        <v>0</v>
      </c>
      <c r="AI24" s="4">
        <f t="shared" si="119"/>
        <v>0</v>
      </c>
      <c r="AJ24" s="4">
        <f t="shared" si="119"/>
        <v>0</v>
      </c>
      <c r="AK24" s="4">
        <f t="shared" si="119"/>
        <v>0</v>
      </c>
      <c r="AL24" s="4">
        <f t="shared" si="119"/>
        <v>0</v>
      </c>
      <c r="AM24" s="4">
        <f t="shared" si="119"/>
        <v>0</v>
      </c>
      <c r="AN24" s="4">
        <f t="shared" si="119"/>
        <v>0</v>
      </c>
      <c r="AO24" s="4">
        <f t="shared" si="119"/>
        <v>0</v>
      </c>
      <c r="AP24" s="4">
        <f t="shared" si="119"/>
        <v>0</v>
      </c>
      <c r="AQ24" s="4">
        <f t="shared" si="119"/>
        <v>0</v>
      </c>
      <c r="AR24" s="4">
        <f t="shared" si="119"/>
        <v>0</v>
      </c>
      <c r="AS24" s="4">
        <f t="shared" si="119"/>
        <v>0</v>
      </c>
      <c r="AT24" s="4">
        <f t="shared" si="119"/>
        <v>0</v>
      </c>
      <c r="AU24" s="4">
        <f t="shared" si="119"/>
        <v>0</v>
      </c>
      <c r="AV24" s="4">
        <f t="shared" si="119"/>
        <v>0</v>
      </c>
      <c r="AW24" s="4">
        <f t="shared" si="119"/>
        <v>0</v>
      </c>
      <c r="AX24" s="4">
        <f t="shared" si="119"/>
        <v>0</v>
      </c>
      <c r="AY24" s="4">
        <f t="shared" si="119"/>
        <v>0</v>
      </c>
      <c r="AZ24" s="4">
        <f t="shared" si="119"/>
        <v>0</v>
      </c>
      <c r="BA24" s="4">
        <f t="shared" si="119"/>
        <v>0</v>
      </c>
      <c r="BB24" s="4">
        <f t="shared" si="119"/>
        <v>0</v>
      </c>
      <c r="BC24" s="4">
        <f t="shared" si="119"/>
        <v>0</v>
      </c>
      <c r="BD24" s="4">
        <f t="shared" si="119"/>
        <v>0</v>
      </c>
      <c r="BE24" s="4">
        <f t="shared" si="119"/>
        <v>0</v>
      </c>
      <c r="BF24" s="4">
        <f t="shared" si="119"/>
        <v>0</v>
      </c>
      <c r="BG24" s="4">
        <f t="shared" si="119"/>
        <v>0</v>
      </c>
      <c r="BH24" s="4">
        <f t="shared" si="119"/>
        <v>0</v>
      </c>
      <c r="BI24" s="4">
        <f t="shared" si="119"/>
        <v>0</v>
      </c>
      <c r="BJ24" s="4">
        <f t="shared" si="119"/>
        <v>0</v>
      </c>
      <c r="BK24" s="4">
        <f t="shared" si="119"/>
        <v>0</v>
      </c>
      <c r="BL24" s="4">
        <f t="shared" si="119"/>
        <v>0</v>
      </c>
      <c r="BM24" s="4">
        <f t="shared" si="119"/>
        <v>0</v>
      </c>
      <c r="BN24" s="4">
        <f t="shared" ref="BN24:DY24" si="120">BO24</f>
        <v>0</v>
      </c>
      <c r="BO24" s="4">
        <f t="shared" si="120"/>
        <v>0</v>
      </c>
      <c r="BP24" s="4">
        <f t="shared" si="120"/>
        <v>0</v>
      </c>
      <c r="BQ24" s="4">
        <f t="shared" si="120"/>
        <v>0</v>
      </c>
      <c r="BR24" s="4">
        <f t="shared" si="120"/>
        <v>0</v>
      </c>
      <c r="BS24" s="4">
        <f t="shared" si="120"/>
        <v>0</v>
      </c>
      <c r="BT24" s="4">
        <f t="shared" si="120"/>
        <v>0</v>
      </c>
      <c r="BU24" s="4">
        <f t="shared" si="120"/>
        <v>0</v>
      </c>
      <c r="BV24" s="4">
        <f t="shared" si="120"/>
        <v>0</v>
      </c>
      <c r="BW24" s="4">
        <f t="shared" si="120"/>
        <v>0</v>
      </c>
      <c r="BX24" s="4">
        <f t="shared" si="120"/>
        <v>0</v>
      </c>
      <c r="BY24" s="4">
        <f t="shared" si="120"/>
        <v>0</v>
      </c>
      <c r="BZ24" s="4">
        <f t="shared" si="120"/>
        <v>0</v>
      </c>
      <c r="CA24" s="4">
        <f t="shared" si="120"/>
        <v>0</v>
      </c>
      <c r="CB24" s="4">
        <f t="shared" si="120"/>
        <v>0</v>
      </c>
      <c r="CC24" s="4">
        <f t="shared" si="120"/>
        <v>0</v>
      </c>
      <c r="CD24" s="4">
        <f t="shared" si="120"/>
        <v>0</v>
      </c>
      <c r="CE24" s="4">
        <f t="shared" si="120"/>
        <v>0</v>
      </c>
      <c r="CF24" s="4">
        <f t="shared" si="120"/>
        <v>0</v>
      </c>
      <c r="CG24" s="4">
        <f t="shared" si="120"/>
        <v>0</v>
      </c>
      <c r="CH24" s="4">
        <f t="shared" si="120"/>
        <v>0</v>
      </c>
      <c r="CI24" s="4">
        <f t="shared" si="120"/>
        <v>0</v>
      </c>
      <c r="CJ24" s="4">
        <f t="shared" si="120"/>
        <v>0</v>
      </c>
      <c r="CK24" s="4">
        <f t="shared" si="120"/>
        <v>0</v>
      </c>
      <c r="CL24" s="4">
        <f t="shared" si="120"/>
        <v>0</v>
      </c>
      <c r="CM24" s="4">
        <f t="shared" si="120"/>
        <v>0</v>
      </c>
      <c r="CN24" s="4">
        <f t="shared" si="120"/>
        <v>0</v>
      </c>
      <c r="CO24" s="4">
        <f t="shared" si="120"/>
        <v>0</v>
      </c>
      <c r="CP24" s="4">
        <f t="shared" si="120"/>
        <v>0</v>
      </c>
      <c r="CQ24" s="4">
        <f t="shared" si="120"/>
        <v>0</v>
      </c>
      <c r="CR24" s="4">
        <f t="shared" si="120"/>
        <v>0</v>
      </c>
      <c r="CS24" s="4">
        <f t="shared" si="120"/>
        <v>0</v>
      </c>
      <c r="CT24" s="4">
        <f t="shared" si="120"/>
        <v>0</v>
      </c>
      <c r="CU24" s="4">
        <f t="shared" si="120"/>
        <v>0</v>
      </c>
      <c r="CV24" s="4">
        <f t="shared" si="120"/>
        <v>0</v>
      </c>
      <c r="CW24" s="4">
        <f t="shared" si="120"/>
        <v>0</v>
      </c>
      <c r="CX24" s="4">
        <f t="shared" si="120"/>
        <v>0</v>
      </c>
      <c r="CY24" s="4">
        <f t="shared" si="120"/>
        <v>0</v>
      </c>
      <c r="CZ24" s="4">
        <f t="shared" si="120"/>
        <v>0</v>
      </c>
      <c r="DA24" s="4">
        <f t="shared" si="120"/>
        <v>0</v>
      </c>
      <c r="DB24" s="4">
        <f t="shared" si="120"/>
        <v>0</v>
      </c>
      <c r="DC24" s="4">
        <f t="shared" si="120"/>
        <v>0</v>
      </c>
      <c r="DD24" s="4">
        <f t="shared" si="120"/>
        <v>0</v>
      </c>
      <c r="DE24" s="4">
        <f t="shared" si="120"/>
        <v>0</v>
      </c>
      <c r="DF24" s="4">
        <f t="shared" si="120"/>
        <v>0</v>
      </c>
      <c r="DG24" s="4">
        <f t="shared" si="120"/>
        <v>0</v>
      </c>
      <c r="DH24" s="4">
        <f t="shared" si="120"/>
        <v>0</v>
      </c>
      <c r="DI24" s="4">
        <f t="shared" si="120"/>
        <v>0</v>
      </c>
      <c r="DJ24" s="4">
        <f t="shared" si="120"/>
        <v>0</v>
      </c>
      <c r="DK24" s="4">
        <f t="shared" si="120"/>
        <v>0</v>
      </c>
      <c r="DL24" s="4">
        <f t="shared" si="120"/>
        <v>0</v>
      </c>
      <c r="DM24" s="4">
        <f t="shared" si="120"/>
        <v>0</v>
      </c>
      <c r="DN24" s="4">
        <f t="shared" si="120"/>
        <v>0</v>
      </c>
      <c r="DO24" s="4">
        <f t="shared" si="120"/>
        <v>0</v>
      </c>
      <c r="DP24" s="4">
        <f t="shared" si="120"/>
        <v>0</v>
      </c>
      <c r="DQ24" s="4">
        <f t="shared" si="120"/>
        <v>0</v>
      </c>
      <c r="DR24" s="4">
        <f t="shared" si="120"/>
        <v>0</v>
      </c>
      <c r="DS24" s="4">
        <f t="shared" si="120"/>
        <v>0</v>
      </c>
      <c r="DT24" s="4">
        <f t="shared" si="120"/>
        <v>0</v>
      </c>
      <c r="DU24" s="4">
        <f t="shared" si="120"/>
        <v>0</v>
      </c>
      <c r="DV24" s="4">
        <f t="shared" si="120"/>
        <v>0</v>
      </c>
      <c r="DW24" s="4">
        <f t="shared" si="120"/>
        <v>0</v>
      </c>
      <c r="DX24" s="4">
        <f t="shared" si="120"/>
        <v>0</v>
      </c>
      <c r="DY24" s="4">
        <f t="shared" si="120"/>
        <v>0</v>
      </c>
      <c r="DZ24" s="4">
        <f t="shared" si="56"/>
        <v>0</v>
      </c>
      <c r="EA24" s="4">
        <f t="shared" si="56"/>
        <v>0</v>
      </c>
      <c r="EB24" s="4">
        <f>'CCaMC-ACAPEXpUC US'!D24/'CCaMC-BCCpUC US'!B24*'CCaMC-BCCpUC'!B24</f>
        <v>0</v>
      </c>
      <c r="EC24" s="4">
        <f t="shared" si="57"/>
        <v>0</v>
      </c>
      <c r="ED24" s="4">
        <f t="shared" si="57"/>
        <v>0</v>
      </c>
      <c r="EE24" s="4">
        <f t="shared" si="57"/>
        <v>0</v>
      </c>
      <c r="EF24" s="4">
        <f t="shared" si="57"/>
        <v>0</v>
      </c>
      <c r="EG24" s="4">
        <f t="shared" si="57"/>
        <v>0</v>
      </c>
      <c r="EH24" s="4">
        <f t="shared" si="57"/>
        <v>0</v>
      </c>
      <c r="EI24" s="4">
        <f t="shared" si="57"/>
        <v>0</v>
      </c>
      <c r="EJ24" s="4">
        <f t="shared" si="57"/>
        <v>0</v>
      </c>
      <c r="EK24" s="4">
        <f t="shared" si="57"/>
        <v>0</v>
      </c>
      <c r="EL24" s="4">
        <f t="shared" si="57"/>
        <v>0</v>
      </c>
      <c r="EM24" s="4">
        <f t="shared" ref="EM24:FE24" si="121">EL24</f>
        <v>0</v>
      </c>
      <c r="EN24" s="4">
        <f t="shared" si="121"/>
        <v>0</v>
      </c>
      <c r="EO24" s="4">
        <f t="shared" si="121"/>
        <v>0</v>
      </c>
      <c r="EP24" s="4">
        <f t="shared" si="121"/>
        <v>0</v>
      </c>
      <c r="EQ24" s="4">
        <f t="shared" si="121"/>
        <v>0</v>
      </c>
      <c r="ER24" s="4">
        <f t="shared" si="121"/>
        <v>0</v>
      </c>
      <c r="ES24" s="4">
        <f t="shared" si="121"/>
        <v>0</v>
      </c>
      <c r="ET24" s="4">
        <f t="shared" si="121"/>
        <v>0</v>
      </c>
      <c r="EU24" s="4">
        <f t="shared" si="121"/>
        <v>0</v>
      </c>
      <c r="EV24" s="4">
        <f t="shared" si="121"/>
        <v>0</v>
      </c>
      <c r="EW24" s="4">
        <f t="shared" si="121"/>
        <v>0</v>
      </c>
      <c r="EX24" s="4">
        <f t="shared" si="121"/>
        <v>0</v>
      </c>
      <c r="EY24" s="4">
        <f t="shared" si="121"/>
        <v>0</v>
      </c>
      <c r="EZ24" s="4">
        <f t="shared" si="121"/>
        <v>0</v>
      </c>
      <c r="FA24" s="4">
        <f t="shared" si="121"/>
        <v>0</v>
      </c>
      <c r="FB24" s="4">
        <f t="shared" si="121"/>
        <v>0</v>
      </c>
      <c r="FC24" s="4">
        <f t="shared" si="121"/>
        <v>0</v>
      </c>
      <c r="FD24" s="4">
        <f t="shared" si="121"/>
        <v>0</v>
      </c>
      <c r="FE24" s="4">
        <f t="shared" si="121"/>
        <v>0</v>
      </c>
      <c r="FF24" s="4">
        <f t="shared" si="4"/>
        <v>0</v>
      </c>
      <c r="FG24" s="4">
        <f t="shared" si="5"/>
        <v>0</v>
      </c>
      <c r="FH24" s="4">
        <f t="shared" si="6"/>
        <v>0</v>
      </c>
      <c r="FI24" s="4">
        <f t="shared" si="7"/>
        <v>0</v>
      </c>
      <c r="FJ24" s="4">
        <f t="shared" si="8"/>
        <v>0</v>
      </c>
      <c r="FK24" s="4">
        <f t="shared" si="9"/>
        <v>0</v>
      </c>
      <c r="FL24" s="4">
        <f t="shared" si="10"/>
        <v>0</v>
      </c>
      <c r="FM24" s="4">
        <f t="shared" si="11"/>
        <v>0</v>
      </c>
      <c r="FN24" s="4">
        <f t="shared" si="12"/>
        <v>0</v>
      </c>
      <c r="FO24" s="4">
        <f t="shared" si="13"/>
        <v>0</v>
      </c>
      <c r="FP24" s="4">
        <f t="shared" si="14"/>
        <v>0</v>
      </c>
      <c r="FQ24" s="4">
        <f t="shared" si="15"/>
        <v>0</v>
      </c>
      <c r="FR24" s="4">
        <f t="shared" si="16"/>
        <v>0</v>
      </c>
      <c r="FS24" s="4">
        <f t="shared" si="17"/>
        <v>0</v>
      </c>
      <c r="FT24" s="4">
        <f t="shared" si="18"/>
        <v>0</v>
      </c>
      <c r="FU24" s="4">
        <f t="shared" si="19"/>
        <v>0</v>
      </c>
      <c r="FV24" s="4">
        <f t="shared" si="20"/>
        <v>0</v>
      </c>
      <c r="FW24" s="4">
        <f t="shared" si="21"/>
        <v>0</v>
      </c>
      <c r="FX24" s="4">
        <f t="shared" si="22"/>
        <v>0</v>
      </c>
      <c r="FY24" s="4">
        <f t="shared" si="23"/>
        <v>0</v>
      </c>
      <c r="FZ24" s="4">
        <f t="shared" si="24"/>
        <v>0</v>
      </c>
      <c r="GA24" s="4">
        <f t="shared" si="25"/>
        <v>0</v>
      </c>
      <c r="GB24" s="4">
        <f t="shared" si="26"/>
        <v>0</v>
      </c>
      <c r="GC24" s="4">
        <f t="shared" si="27"/>
        <v>0</v>
      </c>
      <c r="GD24" s="4">
        <f t="shared" si="28"/>
        <v>0</v>
      </c>
      <c r="GE24" s="4">
        <f t="shared" si="29"/>
        <v>0</v>
      </c>
      <c r="GF24" s="4">
        <f t="shared" si="30"/>
        <v>0</v>
      </c>
      <c r="GG24" s="4">
        <f t="shared" si="31"/>
        <v>0</v>
      </c>
      <c r="GH24" s="4">
        <f t="shared" si="32"/>
        <v>0</v>
      </c>
      <c r="GI24" s="4">
        <f t="shared" si="33"/>
        <v>0</v>
      </c>
      <c r="GJ24" s="4">
        <f t="shared" si="34"/>
        <v>0</v>
      </c>
      <c r="GK24" s="4">
        <f t="shared" si="35"/>
        <v>0</v>
      </c>
      <c r="GL24" s="4">
        <f t="shared" si="36"/>
        <v>0</v>
      </c>
      <c r="GM24" s="4">
        <f t="shared" si="37"/>
        <v>0</v>
      </c>
      <c r="GN24" s="4">
        <f t="shared" si="38"/>
        <v>0</v>
      </c>
      <c r="GO24" s="4">
        <f t="shared" si="39"/>
        <v>0</v>
      </c>
      <c r="GP24" s="4">
        <f t="shared" si="40"/>
        <v>0</v>
      </c>
      <c r="GQ24" s="4">
        <f t="shared" si="41"/>
        <v>0</v>
      </c>
      <c r="GR24" s="4">
        <f t="shared" si="42"/>
        <v>0</v>
      </c>
      <c r="GS24" s="4">
        <f t="shared" si="43"/>
        <v>0</v>
      </c>
      <c r="GT24" s="4">
        <f t="shared" si="44"/>
        <v>0</v>
      </c>
      <c r="GU24" s="4">
        <f t="shared" si="45"/>
        <v>0</v>
      </c>
      <c r="GV24" s="4">
        <f t="shared" si="46"/>
        <v>0</v>
      </c>
      <c r="GW24" s="4">
        <f t="shared" si="47"/>
        <v>0</v>
      </c>
      <c r="GX24" s="4">
        <f t="shared" si="48"/>
        <v>0</v>
      </c>
      <c r="GY24" s="4">
        <f t="shared" si="49"/>
        <v>0</v>
      </c>
      <c r="GZ24" s="4">
        <f t="shared" si="50"/>
        <v>0</v>
      </c>
      <c r="HA24" s="4">
        <f t="shared" si="51"/>
        <v>0</v>
      </c>
      <c r="HB24" s="4">
        <f t="shared" si="52"/>
        <v>0</v>
      </c>
      <c r="HC24" s="4">
        <f t="shared" si="53"/>
        <v>0</v>
      </c>
    </row>
    <row r="25" spans="1:211">
      <c r="A25" s="24" t="s">
        <v>83</v>
      </c>
      <c r="B25" s="4">
        <f t="shared" ref="B25:BM25" si="122">C25</f>
        <v>0</v>
      </c>
      <c r="C25" s="4">
        <f t="shared" si="122"/>
        <v>0</v>
      </c>
      <c r="D25" s="4">
        <f t="shared" si="122"/>
        <v>0</v>
      </c>
      <c r="E25" s="4">
        <f t="shared" si="122"/>
        <v>0</v>
      </c>
      <c r="F25" s="4">
        <f t="shared" si="122"/>
        <v>0</v>
      </c>
      <c r="G25" s="4">
        <f t="shared" si="122"/>
        <v>0</v>
      </c>
      <c r="H25" s="4">
        <f t="shared" si="122"/>
        <v>0</v>
      </c>
      <c r="I25" s="4">
        <f t="shared" si="122"/>
        <v>0</v>
      </c>
      <c r="J25" s="4">
        <f t="shared" si="122"/>
        <v>0</v>
      </c>
      <c r="K25" s="4">
        <f t="shared" si="122"/>
        <v>0</v>
      </c>
      <c r="L25" s="4">
        <f t="shared" si="122"/>
        <v>0</v>
      </c>
      <c r="M25" s="4">
        <f t="shared" si="122"/>
        <v>0</v>
      </c>
      <c r="N25" s="4">
        <f t="shared" si="122"/>
        <v>0</v>
      </c>
      <c r="O25" s="4">
        <f t="shared" si="122"/>
        <v>0</v>
      </c>
      <c r="P25" s="4">
        <f t="shared" si="122"/>
        <v>0</v>
      </c>
      <c r="Q25" s="4">
        <f t="shared" si="122"/>
        <v>0</v>
      </c>
      <c r="R25" s="4">
        <f t="shared" si="122"/>
        <v>0</v>
      </c>
      <c r="S25" s="4">
        <f t="shared" si="122"/>
        <v>0</v>
      </c>
      <c r="T25" s="4">
        <f t="shared" si="122"/>
        <v>0</v>
      </c>
      <c r="U25" s="4">
        <f t="shared" si="122"/>
        <v>0</v>
      </c>
      <c r="V25" s="4">
        <f t="shared" si="122"/>
        <v>0</v>
      </c>
      <c r="W25" s="4">
        <f t="shared" si="122"/>
        <v>0</v>
      </c>
      <c r="X25" s="4">
        <f t="shared" si="122"/>
        <v>0</v>
      </c>
      <c r="Y25" s="4">
        <f t="shared" si="122"/>
        <v>0</v>
      </c>
      <c r="Z25" s="4">
        <f t="shared" si="122"/>
        <v>0</v>
      </c>
      <c r="AA25" s="4">
        <f t="shared" si="122"/>
        <v>0</v>
      </c>
      <c r="AB25" s="4">
        <f t="shared" si="122"/>
        <v>0</v>
      </c>
      <c r="AC25" s="4">
        <f t="shared" si="122"/>
        <v>0</v>
      </c>
      <c r="AD25" s="4">
        <f t="shared" si="122"/>
        <v>0</v>
      </c>
      <c r="AE25" s="4">
        <f t="shared" si="122"/>
        <v>0</v>
      </c>
      <c r="AF25" s="4">
        <f t="shared" si="122"/>
        <v>0</v>
      </c>
      <c r="AG25" s="4">
        <f t="shared" si="122"/>
        <v>0</v>
      </c>
      <c r="AH25" s="4">
        <f t="shared" si="122"/>
        <v>0</v>
      </c>
      <c r="AI25" s="4">
        <f t="shared" si="122"/>
        <v>0</v>
      </c>
      <c r="AJ25" s="4">
        <f t="shared" si="122"/>
        <v>0</v>
      </c>
      <c r="AK25" s="4">
        <f t="shared" si="122"/>
        <v>0</v>
      </c>
      <c r="AL25" s="4">
        <f t="shared" si="122"/>
        <v>0</v>
      </c>
      <c r="AM25" s="4">
        <f t="shared" si="122"/>
        <v>0</v>
      </c>
      <c r="AN25" s="4">
        <f t="shared" si="122"/>
        <v>0</v>
      </c>
      <c r="AO25" s="4">
        <f t="shared" si="122"/>
        <v>0</v>
      </c>
      <c r="AP25" s="4">
        <f t="shared" si="122"/>
        <v>0</v>
      </c>
      <c r="AQ25" s="4">
        <f t="shared" si="122"/>
        <v>0</v>
      </c>
      <c r="AR25" s="4">
        <f t="shared" si="122"/>
        <v>0</v>
      </c>
      <c r="AS25" s="4">
        <f t="shared" si="122"/>
        <v>0</v>
      </c>
      <c r="AT25" s="4">
        <f t="shared" si="122"/>
        <v>0</v>
      </c>
      <c r="AU25" s="4">
        <f t="shared" si="122"/>
        <v>0</v>
      </c>
      <c r="AV25" s="4">
        <f t="shared" si="122"/>
        <v>0</v>
      </c>
      <c r="AW25" s="4">
        <f t="shared" si="122"/>
        <v>0</v>
      </c>
      <c r="AX25" s="4">
        <f t="shared" si="122"/>
        <v>0</v>
      </c>
      <c r="AY25" s="4">
        <f t="shared" si="122"/>
        <v>0</v>
      </c>
      <c r="AZ25" s="4">
        <f t="shared" si="122"/>
        <v>0</v>
      </c>
      <c r="BA25" s="4">
        <f t="shared" si="122"/>
        <v>0</v>
      </c>
      <c r="BB25" s="4">
        <f t="shared" si="122"/>
        <v>0</v>
      </c>
      <c r="BC25" s="4">
        <f t="shared" si="122"/>
        <v>0</v>
      </c>
      <c r="BD25" s="4">
        <f t="shared" si="122"/>
        <v>0</v>
      </c>
      <c r="BE25" s="4">
        <f t="shared" si="122"/>
        <v>0</v>
      </c>
      <c r="BF25" s="4">
        <f t="shared" si="122"/>
        <v>0</v>
      </c>
      <c r="BG25" s="4">
        <f t="shared" si="122"/>
        <v>0</v>
      </c>
      <c r="BH25" s="4">
        <f t="shared" si="122"/>
        <v>0</v>
      </c>
      <c r="BI25" s="4">
        <f t="shared" si="122"/>
        <v>0</v>
      </c>
      <c r="BJ25" s="4">
        <f t="shared" si="122"/>
        <v>0</v>
      </c>
      <c r="BK25" s="4">
        <f t="shared" si="122"/>
        <v>0</v>
      </c>
      <c r="BL25" s="4">
        <f t="shared" si="122"/>
        <v>0</v>
      </c>
      <c r="BM25" s="4">
        <f t="shared" si="122"/>
        <v>0</v>
      </c>
      <c r="BN25" s="4">
        <f t="shared" ref="BN25:DY25" si="123">BO25</f>
        <v>0</v>
      </c>
      <c r="BO25" s="4">
        <f t="shared" si="123"/>
        <v>0</v>
      </c>
      <c r="BP25" s="4">
        <f t="shared" si="123"/>
        <v>0</v>
      </c>
      <c r="BQ25" s="4">
        <f t="shared" si="123"/>
        <v>0</v>
      </c>
      <c r="BR25" s="4">
        <f t="shared" si="123"/>
        <v>0</v>
      </c>
      <c r="BS25" s="4">
        <f t="shared" si="123"/>
        <v>0</v>
      </c>
      <c r="BT25" s="4">
        <f t="shared" si="123"/>
        <v>0</v>
      </c>
      <c r="BU25" s="4">
        <f t="shared" si="123"/>
        <v>0</v>
      </c>
      <c r="BV25" s="4">
        <f t="shared" si="123"/>
        <v>0</v>
      </c>
      <c r="BW25" s="4">
        <f t="shared" si="123"/>
        <v>0</v>
      </c>
      <c r="BX25" s="4">
        <f t="shared" si="123"/>
        <v>0</v>
      </c>
      <c r="BY25" s="4">
        <f t="shared" si="123"/>
        <v>0</v>
      </c>
      <c r="BZ25" s="4">
        <f t="shared" si="123"/>
        <v>0</v>
      </c>
      <c r="CA25" s="4">
        <f t="shared" si="123"/>
        <v>0</v>
      </c>
      <c r="CB25" s="4">
        <f t="shared" si="123"/>
        <v>0</v>
      </c>
      <c r="CC25" s="4">
        <f t="shared" si="123"/>
        <v>0</v>
      </c>
      <c r="CD25" s="4">
        <f t="shared" si="123"/>
        <v>0</v>
      </c>
      <c r="CE25" s="4">
        <f t="shared" si="123"/>
        <v>0</v>
      </c>
      <c r="CF25" s="4">
        <f t="shared" si="123"/>
        <v>0</v>
      </c>
      <c r="CG25" s="4">
        <f t="shared" si="123"/>
        <v>0</v>
      </c>
      <c r="CH25" s="4">
        <f t="shared" si="123"/>
        <v>0</v>
      </c>
      <c r="CI25" s="4">
        <f t="shared" si="123"/>
        <v>0</v>
      </c>
      <c r="CJ25" s="4">
        <f t="shared" si="123"/>
        <v>0</v>
      </c>
      <c r="CK25" s="4">
        <f t="shared" si="123"/>
        <v>0</v>
      </c>
      <c r="CL25" s="4">
        <f t="shared" si="123"/>
        <v>0</v>
      </c>
      <c r="CM25" s="4">
        <f t="shared" si="123"/>
        <v>0</v>
      </c>
      <c r="CN25" s="4">
        <f t="shared" si="123"/>
        <v>0</v>
      </c>
      <c r="CO25" s="4">
        <f t="shared" si="123"/>
        <v>0</v>
      </c>
      <c r="CP25" s="4">
        <f t="shared" si="123"/>
        <v>0</v>
      </c>
      <c r="CQ25" s="4">
        <f t="shared" si="123"/>
        <v>0</v>
      </c>
      <c r="CR25" s="4">
        <f t="shared" si="123"/>
        <v>0</v>
      </c>
      <c r="CS25" s="4">
        <f t="shared" si="123"/>
        <v>0</v>
      </c>
      <c r="CT25" s="4">
        <f t="shared" si="123"/>
        <v>0</v>
      </c>
      <c r="CU25" s="4">
        <f t="shared" si="123"/>
        <v>0</v>
      </c>
      <c r="CV25" s="4">
        <f t="shared" si="123"/>
        <v>0</v>
      </c>
      <c r="CW25" s="4">
        <f t="shared" si="123"/>
        <v>0</v>
      </c>
      <c r="CX25" s="4">
        <f t="shared" si="123"/>
        <v>0</v>
      </c>
      <c r="CY25" s="4">
        <f t="shared" si="123"/>
        <v>0</v>
      </c>
      <c r="CZ25" s="4">
        <f t="shared" si="123"/>
        <v>0</v>
      </c>
      <c r="DA25" s="4">
        <f t="shared" si="123"/>
        <v>0</v>
      </c>
      <c r="DB25" s="4">
        <f t="shared" si="123"/>
        <v>0</v>
      </c>
      <c r="DC25" s="4">
        <f t="shared" si="123"/>
        <v>0</v>
      </c>
      <c r="DD25" s="4">
        <f t="shared" si="123"/>
        <v>0</v>
      </c>
      <c r="DE25" s="4">
        <f t="shared" si="123"/>
        <v>0</v>
      </c>
      <c r="DF25" s="4">
        <f t="shared" si="123"/>
        <v>0</v>
      </c>
      <c r="DG25" s="4">
        <f t="shared" si="123"/>
        <v>0</v>
      </c>
      <c r="DH25" s="4">
        <f t="shared" si="123"/>
        <v>0</v>
      </c>
      <c r="DI25" s="4">
        <f t="shared" si="123"/>
        <v>0</v>
      </c>
      <c r="DJ25" s="4">
        <f t="shared" si="123"/>
        <v>0</v>
      </c>
      <c r="DK25" s="4">
        <f t="shared" si="123"/>
        <v>0</v>
      </c>
      <c r="DL25" s="4">
        <f t="shared" si="123"/>
        <v>0</v>
      </c>
      <c r="DM25" s="4">
        <f t="shared" si="123"/>
        <v>0</v>
      </c>
      <c r="DN25" s="4">
        <f t="shared" si="123"/>
        <v>0</v>
      </c>
      <c r="DO25" s="4">
        <f t="shared" si="123"/>
        <v>0</v>
      </c>
      <c r="DP25" s="4">
        <f t="shared" si="123"/>
        <v>0</v>
      </c>
      <c r="DQ25" s="4">
        <f t="shared" si="123"/>
        <v>0</v>
      </c>
      <c r="DR25" s="4">
        <f t="shared" si="123"/>
        <v>0</v>
      </c>
      <c r="DS25" s="4">
        <f t="shared" si="123"/>
        <v>0</v>
      </c>
      <c r="DT25" s="4">
        <f t="shared" si="123"/>
        <v>0</v>
      </c>
      <c r="DU25" s="4">
        <f t="shared" si="123"/>
        <v>0</v>
      </c>
      <c r="DV25" s="4">
        <f t="shared" si="123"/>
        <v>0</v>
      </c>
      <c r="DW25" s="4">
        <f t="shared" si="123"/>
        <v>0</v>
      </c>
      <c r="DX25" s="4">
        <f t="shared" si="123"/>
        <v>0</v>
      </c>
      <c r="DY25" s="4">
        <f t="shared" si="123"/>
        <v>0</v>
      </c>
      <c r="DZ25" s="4">
        <f t="shared" si="56"/>
        <v>0</v>
      </c>
      <c r="EA25" s="4">
        <f t="shared" si="56"/>
        <v>0</v>
      </c>
      <c r="EB25" s="4">
        <f>'CCaMC-ACAPEXpUC US'!D25/'CCaMC-BCCpUC US'!B25*'CCaMC-BCCpUC'!B25</f>
        <v>0</v>
      </c>
      <c r="EC25" s="4">
        <f t="shared" si="57"/>
        <v>0</v>
      </c>
      <c r="ED25" s="4">
        <f t="shared" si="57"/>
        <v>0</v>
      </c>
      <c r="EE25" s="4">
        <f t="shared" si="57"/>
        <v>0</v>
      </c>
      <c r="EF25" s="4">
        <f t="shared" si="57"/>
        <v>0</v>
      </c>
      <c r="EG25" s="4">
        <f t="shared" si="57"/>
        <v>0</v>
      </c>
      <c r="EH25" s="4">
        <f t="shared" si="57"/>
        <v>0</v>
      </c>
      <c r="EI25" s="4">
        <f t="shared" si="57"/>
        <v>0</v>
      </c>
      <c r="EJ25" s="4">
        <f t="shared" si="57"/>
        <v>0</v>
      </c>
      <c r="EK25" s="4">
        <f t="shared" si="57"/>
        <v>0</v>
      </c>
      <c r="EL25" s="4">
        <f t="shared" si="57"/>
        <v>0</v>
      </c>
      <c r="EM25" s="4">
        <f t="shared" ref="EM25:FE25" si="124">EL25</f>
        <v>0</v>
      </c>
      <c r="EN25" s="4">
        <f t="shared" si="124"/>
        <v>0</v>
      </c>
      <c r="EO25" s="4">
        <f t="shared" si="124"/>
        <v>0</v>
      </c>
      <c r="EP25" s="4">
        <f t="shared" si="124"/>
        <v>0</v>
      </c>
      <c r="EQ25" s="4">
        <f t="shared" si="124"/>
        <v>0</v>
      </c>
      <c r="ER25" s="4">
        <f t="shared" si="124"/>
        <v>0</v>
      </c>
      <c r="ES25" s="4">
        <f t="shared" si="124"/>
        <v>0</v>
      </c>
      <c r="ET25" s="4">
        <f t="shared" si="124"/>
        <v>0</v>
      </c>
      <c r="EU25" s="4">
        <f t="shared" si="124"/>
        <v>0</v>
      </c>
      <c r="EV25" s="4">
        <f t="shared" si="124"/>
        <v>0</v>
      </c>
      <c r="EW25" s="4">
        <f t="shared" si="124"/>
        <v>0</v>
      </c>
      <c r="EX25" s="4">
        <f t="shared" si="124"/>
        <v>0</v>
      </c>
      <c r="EY25" s="4">
        <f t="shared" si="124"/>
        <v>0</v>
      </c>
      <c r="EZ25" s="4">
        <f t="shared" si="124"/>
        <v>0</v>
      </c>
      <c r="FA25" s="4">
        <f t="shared" si="124"/>
        <v>0</v>
      </c>
      <c r="FB25" s="4">
        <f t="shared" si="124"/>
        <v>0</v>
      </c>
      <c r="FC25" s="4">
        <f t="shared" si="124"/>
        <v>0</v>
      </c>
      <c r="FD25" s="4">
        <f t="shared" si="124"/>
        <v>0</v>
      </c>
      <c r="FE25" s="4">
        <f t="shared" si="124"/>
        <v>0</v>
      </c>
      <c r="FF25" s="4">
        <f t="shared" si="4"/>
        <v>0</v>
      </c>
      <c r="FG25" s="4">
        <f t="shared" si="5"/>
        <v>0</v>
      </c>
      <c r="FH25" s="4">
        <f t="shared" si="6"/>
        <v>0</v>
      </c>
      <c r="FI25" s="4">
        <f t="shared" si="7"/>
        <v>0</v>
      </c>
      <c r="FJ25" s="4">
        <f t="shared" si="8"/>
        <v>0</v>
      </c>
      <c r="FK25" s="4">
        <f t="shared" si="9"/>
        <v>0</v>
      </c>
      <c r="FL25" s="4">
        <f t="shared" si="10"/>
        <v>0</v>
      </c>
      <c r="FM25" s="4">
        <f t="shared" si="11"/>
        <v>0</v>
      </c>
      <c r="FN25" s="4">
        <f t="shared" si="12"/>
        <v>0</v>
      </c>
      <c r="FO25" s="4">
        <f t="shared" si="13"/>
        <v>0</v>
      </c>
      <c r="FP25" s="4">
        <f t="shared" si="14"/>
        <v>0</v>
      </c>
      <c r="FQ25" s="4">
        <f t="shared" si="15"/>
        <v>0</v>
      </c>
      <c r="FR25" s="4">
        <f t="shared" si="16"/>
        <v>0</v>
      </c>
      <c r="FS25" s="4">
        <f t="shared" si="17"/>
        <v>0</v>
      </c>
      <c r="FT25" s="4">
        <f t="shared" si="18"/>
        <v>0</v>
      </c>
      <c r="FU25" s="4">
        <f t="shared" si="19"/>
        <v>0</v>
      </c>
      <c r="FV25" s="4">
        <f t="shared" si="20"/>
        <v>0</v>
      </c>
      <c r="FW25" s="4">
        <f t="shared" si="21"/>
        <v>0</v>
      </c>
      <c r="FX25" s="4">
        <f t="shared" si="22"/>
        <v>0</v>
      </c>
      <c r="FY25" s="4">
        <f t="shared" si="23"/>
        <v>0</v>
      </c>
      <c r="FZ25" s="4">
        <f t="shared" si="24"/>
        <v>0</v>
      </c>
      <c r="GA25" s="4">
        <f t="shared" si="25"/>
        <v>0</v>
      </c>
      <c r="GB25" s="4">
        <f t="shared" si="26"/>
        <v>0</v>
      </c>
      <c r="GC25" s="4">
        <f t="shared" si="27"/>
        <v>0</v>
      </c>
      <c r="GD25" s="4">
        <f t="shared" si="28"/>
        <v>0</v>
      </c>
      <c r="GE25" s="4">
        <f t="shared" si="29"/>
        <v>0</v>
      </c>
      <c r="GF25" s="4">
        <f t="shared" si="30"/>
        <v>0</v>
      </c>
      <c r="GG25" s="4">
        <f t="shared" si="31"/>
        <v>0</v>
      </c>
      <c r="GH25" s="4">
        <f t="shared" si="32"/>
        <v>0</v>
      </c>
      <c r="GI25" s="4">
        <f t="shared" si="33"/>
        <v>0</v>
      </c>
      <c r="GJ25" s="4">
        <f t="shared" si="34"/>
        <v>0</v>
      </c>
      <c r="GK25" s="4">
        <f t="shared" si="35"/>
        <v>0</v>
      </c>
      <c r="GL25" s="4">
        <f t="shared" si="36"/>
        <v>0</v>
      </c>
      <c r="GM25" s="4">
        <f t="shared" si="37"/>
        <v>0</v>
      </c>
      <c r="GN25" s="4">
        <f t="shared" si="38"/>
        <v>0</v>
      </c>
      <c r="GO25" s="4">
        <f t="shared" si="39"/>
        <v>0</v>
      </c>
      <c r="GP25" s="4">
        <f t="shared" si="40"/>
        <v>0</v>
      </c>
      <c r="GQ25" s="4">
        <f t="shared" si="41"/>
        <v>0</v>
      </c>
      <c r="GR25" s="4">
        <f t="shared" si="42"/>
        <v>0</v>
      </c>
      <c r="GS25" s="4">
        <f t="shared" si="43"/>
        <v>0</v>
      </c>
      <c r="GT25" s="4">
        <f t="shared" si="44"/>
        <v>0</v>
      </c>
      <c r="GU25" s="4">
        <f t="shared" si="45"/>
        <v>0</v>
      </c>
      <c r="GV25" s="4">
        <f t="shared" si="46"/>
        <v>0</v>
      </c>
      <c r="GW25" s="4">
        <f t="shared" si="47"/>
        <v>0</v>
      </c>
      <c r="GX25" s="4">
        <f t="shared" si="48"/>
        <v>0</v>
      </c>
      <c r="GY25" s="4">
        <f t="shared" si="49"/>
        <v>0</v>
      </c>
      <c r="GZ25" s="4">
        <f t="shared" si="50"/>
        <v>0</v>
      </c>
      <c r="HA25" s="4">
        <f t="shared" si="51"/>
        <v>0</v>
      </c>
      <c r="HB25" s="4">
        <f t="shared" si="52"/>
        <v>0</v>
      </c>
      <c r="HC25" s="4">
        <f t="shared" si="53"/>
        <v>0</v>
      </c>
    </row>
  </sheetData>
  <phoneticPr fontId="31" type="noConversion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HC25"/>
  <sheetViews>
    <sheetView tabSelected="1" zoomScale="85" zoomScaleNormal="85" workbookViewId="0">
      <selection sqref="A1:XFD1048576"/>
    </sheetView>
  </sheetViews>
  <sheetFormatPr defaultRowHeight="14.5"/>
  <cols>
    <col min="1" max="1" width="31.08984375" bestFit="1" customWidth="1"/>
    <col min="2" max="3" width="31.08984375" customWidth="1"/>
    <col min="4" max="5" width="9.08984375" customWidth="1"/>
    <col min="8" max="8" width="9.08984375" customWidth="1"/>
    <col min="10" max="10" width="9.08984375" customWidth="1"/>
    <col min="130" max="130" width="30.81640625" customWidth="1"/>
  </cols>
  <sheetData>
    <row r="1" spans="1:211">
      <c r="A1" s="5" t="s">
        <v>85</v>
      </c>
      <c r="B1" s="27" t="s">
        <v>177</v>
      </c>
      <c r="C1" s="27" t="s">
        <v>178</v>
      </c>
      <c r="D1" s="27" t="s">
        <v>179</v>
      </c>
      <c r="E1" s="27" t="s">
        <v>180</v>
      </c>
      <c r="F1" s="27" t="s">
        <v>181</v>
      </c>
      <c r="G1" s="27" t="s">
        <v>182</v>
      </c>
      <c r="H1" s="27" t="s">
        <v>183</v>
      </c>
      <c r="I1" s="27" t="s">
        <v>184</v>
      </c>
      <c r="J1" s="27" t="s">
        <v>185</v>
      </c>
      <c r="K1" s="27" t="s">
        <v>186</v>
      </c>
      <c r="L1" s="27" t="s">
        <v>187</v>
      </c>
      <c r="M1" s="27" t="s">
        <v>188</v>
      </c>
      <c r="N1" s="27" t="s">
        <v>189</v>
      </c>
      <c r="O1" s="27" t="s">
        <v>190</v>
      </c>
      <c r="P1" s="27" t="s">
        <v>191</v>
      </c>
      <c r="Q1" s="27" t="s">
        <v>192</v>
      </c>
      <c r="R1" s="27" t="s">
        <v>193</v>
      </c>
      <c r="S1" s="27" t="s">
        <v>194</v>
      </c>
      <c r="T1" s="27" t="s">
        <v>195</v>
      </c>
      <c r="U1" s="27" t="s">
        <v>196</v>
      </c>
      <c r="V1" s="27" t="s">
        <v>197</v>
      </c>
      <c r="W1" s="27" t="s">
        <v>198</v>
      </c>
      <c r="X1" s="27" t="s">
        <v>199</v>
      </c>
      <c r="Y1" s="27" t="s">
        <v>200</v>
      </c>
      <c r="Z1" s="27" t="s">
        <v>201</v>
      </c>
      <c r="AA1" s="27" t="s">
        <v>202</v>
      </c>
      <c r="AB1" s="27" t="s">
        <v>203</v>
      </c>
      <c r="AC1" s="27" t="s">
        <v>204</v>
      </c>
      <c r="AD1" s="27" t="s">
        <v>205</v>
      </c>
      <c r="AE1" s="27" t="s">
        <v>206</v>
      </c>
      <c r="AF1" s="27" t="s">
        <v>207</v>
      </c>
      <c r="AG1" s="27" t="s">
        <v>208</v>
      </c>
      <c r="AH1" s="27" t="s">
        <v>209</v>
      </c>
      <c r="AI1" s="27" t="s">
        <v>210</v>
      </c>
      <c r="AJ1" s="27" t="s">
        <v>211</v>
      </c>
      <c r="AK1" s="27" t="s">
        <v>212</v>
      </c>
      <c r="AL1" s="27" t="s">
        <v>213</v>
      </c>
      <c r="AM1" s="27" t="s">
        <v>214</v>
      </c>
      <c r="AN1" s="27" t="s">
        <v>215</v>
      </c>
      <c r="AO1" s="27" t="s">
        <v>216</v>
      </c>
      <c r="AP1" s="27" t="s">
        <v>217</v>
      </c>
      <c r="AQ1" s="27" t="s">
        <v>218</v>
      </c>
      <c r="AR1" s="27" t="s">
        <v>219</v>
      </c>
      <c r="AS1" s="27" t="s">
        <v>220</v>
      </c>
      <c r="AT1" s="27" t="s">
        <v>221</v>
      </c>
      <c r="AU1" s="27" t="s">
        <v>222</v>
      </c>
      <c r="AV1" s="27" t="s">
        <v>223</v>
      </c>
      <c r="AW1" s="27" t="s">
        <v>224</v>
      </c>
      <c r="AX1" s="27" t="s">
        <v>225</v>
      </c>
      <c r="AY1" s="27" t="s">
        <v>226</v>
      </c>
      <c r="AZ1" s="27" t="s">
        <v>227</v>
      </c>
      <c r="BA1" s="27" t="s">
        <v>228</v>
      </c>
      <c r="BB1" s="27" t="s">
        <v>229</v>
      </c>
      <c r="BC1" s="27" t="s">
        <v>230</v>
      </c>
      <c r="BD1" s="27" t="s">
        <v>231</v>
      </c>
      <c r="BE1" s="27" t="s">
        <v>232</v>
      </c>
      <c r="BF1" s="27" t="s">
        <v>233</v>
      </c>
      <c r="BG1" s="27" t="s">
        <v>234</v>
      </c>
      <c r="BH1" s="27" t="s">
        <v>235</v>
      </c>
      <c r="BI1" s="27" t="s">
        <v>236</v>
      </c>
      <c r="BJ1" s="27" t="s">
        <v>237</v>
      </c>
      <c r="BK1" s="27" t="s">
        <v>238</v>
      </c>
      <c r="BL1" s="27" t="s">
        <v>239</v>
      </c>
      <c r="BM1" s="27" t="s">
        <v>240</v>
      </c>
      <c r="BN1" s="27" t="s">
        <v>241</v>
      </c>
      <c r="BO1" s="27" t="s">
        <v>242</v>
      </c>
      <c r="BP1" s="27" t="s">
        <v>243</v>
      </c>
      <c r="BQ1" s="27" t="s">
        <v>244</v>
      </c>
      <c r="BR1" s="27" t="s">
        <v>245</v>
      </c>
      <c r="BS1" s="27" t="s">
        <v>246</v>
      </c>
      <c r="BT1" s="27" t="s">
        <v>247</v>
      </c>
      <c r="BU1" s="27" t="s">
        <v>248</v>
      </c>
      <c r="BV1" s="27" t="s">
        <v>249</v>
      </c>
      <c r="BW1" s="27" t="s">
        <v>250</v>
      </c>
      <c r="BX1" s="27" t="s">
        <v>251</v>
      </c>
      <c r="BY1" s="27" t="s">
        <v>252</v>
      </c>
      <c r="BZ1" s="27" t="s">
        <v>253</v>
      </c>
      <c r="CA1" s="27" t="s">
        <v>254</v>
      </c>
      <c r="CB1" s="27" t="s">
        <v>255</v>
      </c>
      <c r="CC1" s="27" t="s">
        <v>256</v>
      </c>
      <c r="CD1" s="27" t="s">
        <v>257</v>
      </c>
      <c r="CE1" s="27" t="s">
        <v>258</v>
      </c>
      <c r="CF1" s="27" t="s">
        <v>259</v>
      </c>
      <c r="CG1" s="27" t="s">
        <v>260</v>
      </c>
      <c r="CH1" s="27" t="s">
        <v>261</v>
      </c>
      <c r="CI1" s="27" t="s">
        <v>262</v>
      </c>
      <c r="CJ1" s="27" t="s">
        <v>263</v>
      </c>
      <c r="CK1" s="27" t="s">
        <v>264</v>
      </c>
      <c r="CL1" s="27" t="s">
        <v>265</v>
      </c>
      <c r="CM1" s="27" t="s">
        <v>266</v>
      </c>
      <c r="CN1" s="27" t="s">
        <v>267</v>
      </c>
      <c r="CO1" s="27" t="s">
        <v>268</v>
      </c>
      <c r="CP1" s="27" t="s">
        <v>269</v>
      </c>
      <c r="CQ1" s="27" t="s">
        <v>270</v>
      </c>
      <c r="CR1" s="27" t="s">
        <v>271</v>
      </c>
      <c r="CS1" s="27" t="s">
        <v>272</v>
      </c>
      <c r="CT1" s="27" t="s">
        <v>273</v>
      </c>
      <c r="CU1" s="27" t="s">
        <v>274</v>
      </c>
      <c r="CV1" s="27" t="s">
        <v>275</v>
      </c>
      <c r="CW1" s="27" t="s">
        <v>276</v>
      </c>
      <c r="CX1" s="27" t="s">
        <v>277</v>
      </c>
      <c r="CY1" s="27" t="s">
        <v>278</v>
      </c>
      <c r="CZ1" s="27" t="s">
        <v>279</v>
      </c>
      <c r="DA1" s="27" t="s">
        <v>280</v>
      </c>
      <c r="DB1" s="27" t="s">
        <v>281</v>
      </c>
      <c r="DC1" s="27" t="s">
        <v>282</v>
      </c>
      <c r="DD1" s="27" t="s">
        <v>283</v>
      </c>
      <c r="DE1" s="27" t="s">
        <v>284</v>
      </c>
      <c r="DF1" s="27" t="s">
        <v>285</v>
      </c>
      <c r="DG1" s="27" t="s">
        <v>286</v>
      </c>
      <c r="DH1" s="27" t="s">
        <v>287</v>
      </c>
      <c r="DI1" s="27" t="s">
        <v>288</v>
      </c>
      <c r="DJ1" s="27" t="s">
        <v>289</v>
      </c>
      <c r="DK1" s="27" t="s">
        <v>290</v>
      </c>
      <c r="DL1" s="27" t="s">
        <v>291</v>
      </c>
      <c r="DM1" s="27" t="s">
        <v>292</v>
      </c>
      <c r="DN1" s="27" t="s">
        <v>293</v>
      </c>
      <c r="DO1" s="27" t="s">
        <v>294</v>
      </c>
      <c r="DP1" s="27" t="s">
        <v>295</v>
      </c>
      <c r="DQ1" s="27" t="s">
        <v>296</v>
      </c>
      <c r="DR1" s="27" t="s">
        <v>297</v>
      </c>
      <c r="DS1" s="27" t="s">
        <v>298</v>
      </c>
      <c r="DT1" s="27" t="s">
        <v>299</v>
      </c>
      <c r="DU1" s="27" t="s">
        <v>300</v>
      </c>
      <c r="DV1" s="27" t="s">
        <v>301</v>
      </c>
      <c r="DW1" s="27" t="s">
        <v>302</v>
      </c>
      <c r="DX1" s="27" t="s">
        <v>303</v>
      </c>
      <c r="DY1" s="27" t="s">
        <v>304</v>
      </c>
      <c r="DZ1" s="27" t="s">
        <v>91</v>
      </c>
      <c r="EA1" s="27" t="s">
        <v>92</v>
      </c>
      <c r="EB1" s="27" t="s">
        <v>93</v>
      </c>
      <c r="EC1" s="27" t="s">
        <v>94</v>
      </c>
      <c r="ED1" s="27" t="s">
        <v>95</v>
      </c>
      <c r="EE1" s="27" t="s">
        <v>96</v>
      </c>
      <c r="EF1" s="27" t="s">
        <v>97</v>
      </c>
      <c r="EG1" s="27" t="s">
        <v>98</v>
      </c>
      <c r="EH1" s="27" t="s">
        <v>99</v>
      </c>
      <c r="EI1" s="27" t="s">
        <v>100</v>
      </c>
      <c r="EJ1" s="27" t="s">
        <v>101</v>
      </c>
      <c r="EK1" s="27" t="s">
        <v>102</v>
      </c>
      <c r="EL1" s="27" t="s">
        <v>103</v>
      </c>
      <c r="EM1" s="27" t="s">
        <v>104</v>
      </c>
      <c r="EN1" s="27" t="s">
        <v>105</v>
      </c>
      <c r="EO1" s="27" t="s">
        <v>106</v>
      </c>
      <c r="EP1" s="27" t="s">
        <v>107</v>
      </c>
      <c r="EQ1" s="27" t="s">
        <v>108</v>
      </c>
      <c r="ER1" s="27" t="s">
        <v>109</v>
      </c>
      <c r="ES1" s="27" t="s">
        <v>110</v>
      </c>
      <c r="ET1" s="27" t="s">
        <v>111</v>
      </c>
      <c r="EU1" s="27" t="s">
        <v>112</v>
      </c>
      <c r="EV1" s="27" t="s">
        <v>113</v>
      </c>
      <c r="EW1" s="27" t="s">
        <v>114</v>
      </c>
      <c r="EX1" s="27" t="s">
        <v>115</v>
      </c>
      <c r="EY1" s="27" t="s">
        <v>116</v>
      </c>
      <c r="EZ1" s="27" t="s">
        <v>117</v>
      </c>
      <c r="FA1" s="27" t="s">
        <v>118</v>
      </c>
      <c r="FB1" s="27" t="s">
        <v>119</v>
      </c>
      <c r="FC1" s="27" t="s">
        <v>120</v>
      </c>
      <c r="FD1" s="27" t="s">
        <v>121</v>
      </c>
      <c r="FE1" s="27" t="s">
        <v>122</v>
      </c>
      <c r="FF1" s="27" t="s">
        <v>305</v>
      </c>
      <c r="FG1" s="27" t="s">
        <v>306</v>
      </c>
      <c r="FH1" s="27" t="s">
        <v>307</v>
      </c>
      <c r="FI1" s="27" t="s">
        <v>308</v>
      </c>
      <c r="FJ1" s="27" t="s">
        <v>309</v>
      </c>
      <c r="FK1" s="27" t="s">
        <v>310</v>
      </c>
      <c r="FL1" s="27" t="s">
        <v>311</v>
      </c>
      <c r="FM1" s="27" t="s">
        <v>312</v>
      </c>
      <c r="FN1" s="27" t="s">
        <v>313</v>
      </c>
      <c r="FO1" s="27" t="s">
        <v>314</v>
      </c>
      <c r="FP1" s="27" t="s">
        <v>315</v>
      </c>
      <c r="FQ1" s="27" t="s">
        <v>316</v>
      </c>
      <c r="FR1" s="27" t="s">
        <v>317</v>
      </c>
      <c r="FS1" s="27" t="s">
        <v>318</v>
      </c>
      <c r="FT1" s="27" t="s">
        <v>319</v>
      </c>
      <c r="FU1" s="27" t="s">
        <v>320</v>
      </c>
      <c r="FV1" s="27" t="s">
        <v>321</v>
      </c>
      <c r="FW1" s="27" t="s">
        <v>322</v>
      </c>
      <c r="FX1" s="27" t="s">
        <v>323</v>
      </c>
      <c r="FY1" s="27" t="s">
        <v>324</v>
      </c>
      <c r="FZ1" s="27" t="s">
        <v>325</v>
      </c>
      <c r="GA1" s="27" t="s">
        <v>326</v>
      </c>
      <c r="GB1" s="27" t="s">
        <v>327</v>
      </c>
      <c r="GC1" s="27" t="s">
        <v>328</v>
      </c>
      <c r="GD1" s="27" t="s">
        <v>329</v>
      </c>
      <c r="GE1" s="27" t="s">
        <v>330</v>
      </c>
      <c r="GF1" s="27" t="s">
        <v>331</v>
      </c>
      <c r="GG1" s="27" t="s">
        <v>332</v>
      </c>
      <c r="GH1" s="27" t="s">
        <v>333</v>
      </c>
      <c r="GI1" s="27" t="s">
        <v>334</v>
      </c>
      <c r="GJ1" s="27" t="s">
        <v>335</v>
      </c>
      <c r="GK1" s="27" t="s">
        <v>336</v>
      </c>
      <c r="GL1" s="27" t="s">
        <v>337</v>
      </c>
      <c r="GM1" s="27" t="s">
        <v>338</v>
      </c>
      <c r="GN1" s="27" t="s">
        <v>339</v>
      </c>
      <c r="GO1" s="27" t="s">
        <v>340</v>
      </c>
      <c r="GP1" s="27" t="s">
        <v>341</v>
      </c>
      <c r="GQ1" s="27" t="s">
        <v>342</v>
      </c>
      <c r="GR1" s="27" t="s">
        <v>343</v>
      </c>
      <c r="GS1" s="27" t="s">
        <v>344</v>
      </c>
      <c r="GT1" s="27" t="s">
        <v>345</v>
      </c>
      <c r="GU1" s="27" t="s">
        <v>346</v>
      </c>
      <c r="GV1" s="27" t="s">
        <v>347</v>
      </c>
      <c r="GW1" s="27" t="s">
        <v>348</v>
      </c>
      <c r="GX1" s="27" t="s">
        <v>349</v>
      </c>
      <c r="GY1" s="27" t="s">
        <v>350</v>
      </c>
      <c r="GZ1" s="27" t="s">
        <v>351</v>
      </c>
      <c r="HA1" s="27" t="s">
        <v>352</v>
      </c>
      <c r="HB1" s="27" t="s">
        <v>353</v>
      </c>
      <c r="HC1" s="27" t="s">
        <v>354</v>
      </c>
    </row>
    <row r="2" spans="1:211">
      <c r="A2" t="s">
        <v>16</v>
      </c>
      <c r="B2" s="34">
        <v>56505.059750826338</v>
      </c>
      <c r="C2" s="34">
        <f t="shared" ref="C2:BN5" si="0">D2</f>
        <v>62002.387969942749</v>
      </c>
      <c r="D2" s="34">
        <f t="shared" si="0"/>
        <v>62002.387969942749</v>
      </c>
      <c r="E2" s="34">
        <f t="shared" si="0"/>
        <v>62002.387969942749</v>
      </c>
      <c r="F2" s="34">
        <f t="shared" si="0"/>
        <v>62002.387969942749</v>
      </c>
      <c r="G2" s="34">
        <f t="shared" si="0"/>
        <v>62002.387969942749</v>
      </c>
      <c r="H2" s="34">
        <f t="shared" si="0"/>
        <v>62002.387969942749</v>
      </c>
      <c r="I2" s="34">
        <f t="shared" si="0"/>
        <v>62002.387969942749</v>
      </c>
      <c r="J2" s="34">
        <f t="shared" si="0"/>
        <v>62002.387969942749</v>
      </c>
      <c r="K2" s="34">
        <f t="shared" si="0"/>
        <v>62002.387969942749</v>
      </c>
      <c r="L2" s="34">
        <f t="shared" si="0"/>
        <v>62002.387969942749</v>
      </c>
      <c r="M2" s="34">
        <f t="shared" si="0"/>
        <v>62002.387969942749</v>
      </c>
      <c r="N2" s="34">
        <f t="shared" si="0"/>
        <v>62002.387969942749</v>
      </c>
      <c r="O2" s="34">
        <f t="shared" si="0"/>
        <v>62002.387969942749</v>
      </c>
      <c r="P2" s="34">
        <f t="shared" si="0"/>
        <v>62002.387969942749</v>
      </c>
      <c r="Q2" s="34">
        <f t="shared" si="0"/>
        <v>62002.387969942749</v>
      </c>
      <c r="R2" s="34">
        <f t="shared" si="0"/>
        <v>62002.387969942749</v>
      </c>
      <c r="S2" s="34">
        <f t="shared" si="0"/>
        <v>62002.387969942749</v>
      </c>
      <c r="T2" s="34">
        <f t="shared" si="0"/>
        <v>62002.387969942749</v>
      </c>
      <c r="U2" s="34">
        <f t="shared" si="0"/>
        <v>62002.387969942749</v>
      </c>
      <c r="V2" s="34">
        <f t="shared" si="0"/>
        <v>62002.387969942749</v>
      </c>
      <c r="W2" s="34">
        <f t="shared" si="0"/>
        <v>62002.387969942749</v>
      </c>
      <c r="X2" s="34">
        <f t="shared" si="0"/>
        <v>62002.387969942749</v>
      </c>
      <c r="Y2" s="34">
        <f t="shared" si="0"/>
        <v>62002.387969942749</v>
      </c>
      <c r="Z2" s="34">
        <f t="shared" si="0"/>
        <v>62002.387969942749</v>
      </c>
      <c r="AA2" s="34">
        <f t="shared" si="0"/>
        <v>62002.387969942749</v>
      </c>
      <c r="AB2" s="34">
        <f t="shared" si="0"/>
        <v>62002.387969942749</v>
      </c>
      <c r="AC2" s="34">
        <f t="shared" si="0"/>
        <v>62002.387969942749</v>
      </c>
      <c r="AD2" s="34">
        <f t="shared" si="0"/>
        <v>62002.387969942749</v>
      </c>
      <c r="AE2" s="34">
        <f t="shared" si="0"/>
        <v>62002.387969942749</v>
      </c>
      <c r="AF2" s="34">
        <f t="shared" si="0"/>
        <v>62002.387969942749</v>
      </c>
      <c r="AG2" s="34">
        <f t="shared" si="0"/>
        <v>62002.387969942749</v>
      </c>
      <c r="AH2" s="34">
        <f t="shared" si="0"/>
        <v>62002.387969942749</v>
      </c>
      <c r="AI2" s="34">
        <f t="shared" si="0"/>
        <v>62002.387969942749</v>
      </c>
      <c r="AJ2" s="34">
        <f t="shared" si="0"/>
        <v>62002.387969942749</v>
      </c>
      <c r="AK2" s="34">
        <f t="shared" si="0"/>
        <v>62002.387969942749</v>
      </c>
      <c r="AL2" s="34">
        <f t="shared" si="0"/>
        <v>62002.387969942749</v>
      </c>
      <c r="AM2" s="34">
        <f t="shared" si="0"/>
        <v>62002.387969942749</v>
      </c>
      <c r="AN2" s="34">
        <f t="shared" si="0"/>
        <v>62002.387969942749</v>
      </c>
      <c r="AO2" s="34">
        <f t="shared" si="0"/>
        <v>62002.387969942749</v>
      </c>
      <c r="AP2" s="34">
        <f t="shared" si="0"/>
        <v>62002.387969942749</v>
      </c>
      <c r="AQ2" s="34">
        <f t="shared" si="0"/>
        <v>62002.387969942749</v>
      </c>
      <c r="AR2" s="34">
        <f t="shared" si="0"/>
        <v>62002.387969942749</v>
      </c>
      <c r="AS2" s="34">
        <f t="shared" si="0"/>
        <v>62002.387969942749</v>
      </c>
      <c r="AT2" s="34">
        <f t="shared" si="0"/>
        <v>62002.387969942749</v>
      </c>
      <c r="AU2" s="34">
        <f t="shared" si="0"/>
        <v>62002.387969942749</v>
      </c>
      <c r="AV2" s="34">
        <f t="shared" si="0"/>
        <v>62002.387969942749</v>
      </c>
      <c r="AW2" s="34">
        <f t="shared" si="0"/>
        <v>62002.387969942749</v>
      </c>
      <c r="AX2" s="34">
        <f t="shared" si="0"/>
        <v>62002.387969942749</v>
      </c>
      <c r="AY2" s="34">
        <f t="shared" si="0"/>
        <v>62002.387969942749</v>
      </c>
      <c r="AZ2" s="34">
        <f t="shared" si="0"/>
        <v>62002.387969942749</v>
      </c>
      <c r="BA2" s="34">
        <f t="shared" si="0"/>
        <v>62002.387969942749</v>
      </c>
      <c r="BB2" s="34">
        <f t="shared" si="0"/>
        <v>62002.387969942749</v>
      </c>
      <c r="BC2" s="34">
        <f t="shared" si="0"/>
        <v>62002.387969942749</v>
      </c>
      <c r="BD2" s="34">
        <f t="shared" si="0"/>
        <v>62002.387969942749</v>
      </c>
      <c r="BE2" s="34">
        <f t="shared" si="0"/>
        <v>62002.387969942749</v>
      </c>
      <c r="BF2" s="34">
        <f t="shared" si="0"/>
        <v>62002.387969942749</v>
      </c>
      <c r="BG2" s="34">
        <f t="shared" si="0"/>
        <v>62002.387969942749</v>
      </c>
      <c r="BH2" s="34">
        <f t="shared" si="0"/>
        <v>62002.387969942749</v>
      </c>
      <c r="BI2" s="34">
        <f t="shared" si="0"/>
        <v>62002.387969942749</v>
      </c>
      <c r="BJ2" s="34">
        <f t="shared" si="0"/>
        <v>62002.387969942749</v>
      </c>
      <c r="BK2" s="34">
        <f t="shared" si="0"/>
        <v>62002.387969942749</v>
      </c>
      <c r="BL2" s="34">
        <f t="shared" si="0"/>
        <v>62002.387969942749</v>
      </c>
      <c r="BM2" s="34">
        <f t="shared" si="0"/>
        <v>62002.387969942749</v>
      </c>
      <c r="BN2" s="34">
        <f t="shared" si="0"/>
        <v>62002.387969942749</v>
      </c>
      <c r="BO2" s="34">
        <f t="shared" ref="BO2:DX4" si="1">BP2</f>
        <v>62002.387969942749</v>
      </c>
      <c r="BP2" s="34">
        <f t="shared" si="1"/>
        <v>62002.387969942749</v>
      </c>
      <c r="BQ2" s="34">
        <f t="shared" si="1"/>
        <v>62002.387969942749</v>
      </c>
      <c r="BR2" s="34">
        <f t="shared" si="1"/>
        <v>62002.387969942749</v>
      </c>
      <c r="BS2" s="34">
        <f t="shared" si="1"/>
        <v>62002.387969942749</v>
      </c>
      <c r="BT2" s="34">
        <f t="shared" si="1"/>
        <v>62002.387969942749</v>
      </c>
      <c r="BU2" s="34">
        <f t="shared" si="1"/>
        <v>62002.387969942749</v>
      </c>
      <c r="BV2" s="34">
        <f t="shared" si="1"/>
        <v>62002.387969942749</v>
      </c>
      <c r="BW2" s="34">
        <f t="shared" si="1"/>
        <v>62002.387969942749</v>
      </c>
      <c r="BX2" s="34">
        <f t="shared" si="1"/>
        <v>62002.387969942749</v>
      </c>
      <c r="BY2" s="34">
        <f t="shared" si="1"/>
        <v>62002.387969942749</v>
      </c>
      <c r="BZ2" s="34">
        <f t="shared" si="1"/>
        <v>62002.387969942749</v>
      </c>
      <c r="CA2" s="34">
        <f t="shared" si="1"/>
        <v>62002.387969942749</v>
      </c>
      <c r="CB2" s="34">
        <f t="shared" si="1"/>
        <v>62002.387969942749</v>
      </c>
      <c r="CC2" s="34">
        <f t="shared" si="1"/>
        <v>62002.387969942749</v>
      </c>
      <c r="CD2" s="34">
        <f t="shared" si="1"/>
        <v>62002.387969942749</v>
      </c>
      <c r="CE2" s="34">
        <f t="shared" si="1"/>
        <v>62002.387969942749</v>
      </c>
      <c r="CF2" s="34">
        <f t="shared" si="1"/>
        <v>62002.387969942749</v>
      </c>
      <c r="CG2" s="34">
        <f t="shared" si="1"/>
        <v>62002.387969942749</v>
      </c>
      <c r="CH2" s="34">
        <f t="shared" si="1"/>
        <v>62002.387969942749</v>
      </c>
      <c r="CI2" s="34">
        <f t="shared" si="1"/>
        <v>62002.387969942749</v>
      </c>
      <c r="CJ2" s="34">
        <f t="shared" si="1"/>
        <v>62002.387969942749</v>
      </c>
      <c r="CK2" s="34">
        <f t="shared" si="1"/>
        <v>62002.387969942749</v>
      </c>
      <c r="CL2" s="34">
        <f t="shared" si="1"/>
        <v>62002.387969942749</v>
      </c>
      <c r="CM2" s="34">
        <f t="shared" si="1"/>
        <v>62002.387969942749</v>
      </c>
      <c r="CN2" s="34">
        <f t="shared" si="1"/>
        <v>62002.387969942749</v>
      </c>
      <c r="CO2" s="34">
        <f t="shared" si="1"/>
        <v>62002.387969942749</v>
      </c>
      <c r="CP2" s="34">
        <f t="shared" si="1"/>
        <v>62002.387969942749</v>
      </c>
      <c r="CQ2" s="34">
        <f t="shared" si="1"/>
        <v>62002.387969942749</v>
      </c>
      <c r="CR2" s="34">
        <f t="shared" si="1"/>
        <v>62002.387969942749</v>
      </c>
      <c r="CS2" s="34">
        <f t="shared" si="1"/>
        <v>62002.387969942749</v>
      </c>
      <c r="CT2" s="34">
        <f t="shared" si="1"/>
        <v>62002.387969942749</v>
      </c>
      <c r="CU2" s="34">
        <f t="shared" si="1"/>
        <v>62002.387969942749</v>
      </c>
      <c r="CV2" s="34">
        <f t="shared" si="1"/>
        <v>62002.387969942749</v>
      </c>
      <c r="CW2" s="34">
        <f t="shared" si="1"/>
        <v>62002.387969942749</v>
      </c>
      <c r="CX2" s="34">
        <f t="shared" si="1"/>
        <v>62002.387969942749</v>
      </c>
      <c r="CY2" s="34">
        <f t="shared" si="1"/>
        <v>62002.387969942749</v>
      </c>
      <c r="CZ2" s="34">
        <f t="shared" si="1"/>
        <v>62002.387969942749</v>
      </c>
      <c r="DA2" s="34">
        <f t="shared" si="1"/>
        <v>62002.387969942749</v>
      </c>
      <c r="DB2" s="34">
        <f t="shared" si="1"/>
        <v>62002.387969942749</v>
      </c>
      <c r="DC2" s="34">
        <f t="shared" si="1"/>
        <v>62002.387969942749</v>
      </c>
      <c r="DD2" s="34">
        <f t="shared" si="1"/>
        <v>62002.387969942749</v>
      </c>
      <c r="DE2" s="34">
        <f t="shared" si="1"/>
        <v>62002.387969942749</v>
      </c>
      <c r="DF2" s="34">
        <f t="shared" si="1"/>
        <v>62002.387969942749</v>
      </c>
      <c r="DG2" s="34">
        <f t="shared" si="1"/>
        <v>62002.387969942749</v>
      </c>
      <c r="DH2" s="34">
        <f t="shared" si="1"/>
        <v>62002.387969942749</v>
      </c>
      <c r="DI2" s="34">
        <f t="shared" si="1"/>
        <v>62002.387969942749</v>
      </c>
      <c r="DJ2" s="34">
        <f t="shared" si="1"/>
        <v>62002.387969942749</v>
      </c>
      <c r="DK2" s="34">
        <f t="shared" si="1"/>
        <v>62002.387969942749</v>
      </c>
      <c r="DL2" s="34">
        <f t="shared" si="1"/>
        <v>62002.387969942749</v>
      </c>
      <c r="DM2" s="34">
        <f t="shared" si="1"/>
        <v>62002.387969942749</v>
      </c>
      <c r="DN2" s="34">
        <f t="shared" si="1"/>
        <v>62002.387969942749</v>
      </c>
      <c r="DO2" s="34">
        <f t="shared" si="1"/>
        <v>62002.387969942749</v>
      </c>
      <c r="DP2" s="34">
        <f t="shared" si="1"/>
        <v>62002.387969942749</v>
      </c>
      <c r="DQ2" s="34">
        <f t="shared" si="1"/>
        <v>62002.387969942749</v>
      </c>
      <c r="DR2" s="34">
        <f t="shared" si="1"/>
        <v>62002.387969942749</v>
      </c>
      <c r="DS2" s="34">
        <f t="shared" si="1"/>
        <v>62002.387969942749</v>
      </c>
      <c r="DT2" s="34">
        <f t="shared" si="1"/>
        <v>62002.387969942749</v>
      </c>
      <c r="DU2" s="34">
        <f t="shared" si="1"/>
        <v>62002.387969942749</v>
      </c>
      <c r="DV2" s="34">
        <f t="shared" si="1"/>
        <v>62002.387969942749</v>
      </c>
      <c r="DW2" s="34">
        <f t="shared" si="1"/>
        <v>62002.387969942749</v>
      </c>
      <c r="DX2" s="34">
        <f t="shared" si="1"/>
        <v>62002.387969942749</v>
      </c>
      <c r="DY2" s="34">
        <f>DZ2</f>
        <v>62002.387969942749</v>
      </c>
      <c r="DZ2">
        <f>Calculation!B75</f>
        <v>62002.387969942749</v>
      </c>
      <c r="EA2" s="4">
        <f>$DZ2</f>
        <v>62002.387969942749</v>
      </c>
      <c r="EB2" s="4">
        <f t="shared" ref="EB2:FE10" si="2">$DZ2</f>
        <v>62002.387969942749</v>
      </c>
      <c r="EC2" s="4">
        <f t="shared" si="2"/>
        <v>62002.387969942749</v>
      </c>
      <c r="ED2" s="4">
        <f t="shared" si="2"/>
        <v>62002.387969942749</v>
      </c>
      <c r="EE2" s="4">
        <f t="shared" si="2"/>
        <v>62002.387969942749</v>
      </c>
      <c r="EF2" s="4">
        <f t="shared" si="2"/>
        <v>62002.387969942749</v>
      </c>
      <c r="EG2" s="4">
        <f t="shared" si="2"/>
        <v>62002.387969942749</v>
      </c>
      <c r="EH2" s="4">
        <f t="shared" si="2"/>
        <v>62002.387969942749</v>
      </c>
      <c r="EI2" s="4">
        <f t="shared" si="2"/>
        <v>62002.387969942749</v>
      </c>
      <c r="EJ2" s="4">
        <f t="shared" si="2"/>
        <v>62002.387969942749</v>
      </c>
      <c r="EK2" s="4">
        <f t="shared" si="2"/>
        <v>62002.387969942749</v>
      </c>
      <c r="EL2" s="4">
        <f t="shared" si="2"/>
        <v>62002.387969942749</v>
      </c>
      <c r="EM2" s="4">
        <f t="shared" si="2"/>
        <v>62002.387969942749</v>
      </c>
      <c r="EN2" s="4">
        <f t="shared" si="2"/>
        <v>62002.387969942749</v>
      </c>
      <c r="EO2" s="4">
        <f t="shared" si="2"/>
        <v>62002.387969942749</v>
      </c>
      <c r="EP2" s="4">
        <f t="shared" si="2"/>
        <v>62002.387969942749</v>
      </c>
      <c r="EQ2" s="4">
        <f t="shared" si="2"/>
        <v>62002.387969942749</v>
      </c>
      <c r="ER2" s="4">
        <f t="shared" si="2"/>
        <v>62002.387969942749</v>
      </c>
      <c r="ES2" s="4">
        <f t="shared" si="2"/>
        <v>62002.387969942749</v>
      </c>
      <c r="ET2" s="4">
        <f t="shared" si="2"/>
        <v>62002.387969942749</v>
      </c>
      <c r="EU2" s="4">
        <f t="shared" si="2"/>
        <v>62002.387969942749</v>
      </c>
      <c r="EV2" s="4">
        <f t="shared" si="2"/>
        <v>62002.387969942749</v>
      </c>
      <c r="EW2" s="4">
        <f t="shared" si="2"/>
        <v>62002.387969942749</v>
      </c>
      <c r="EX2" s="4">
        <f t="shared" si="2"/>
        <v>62002.387969942749</v>
      </c>
      <c r="EY2" s="4">
        <f t="shared" si="2"/>
        <v>62002.387969942749</v>
      </c>
      <c r="EZ2" s="4">
        <f t="shared" si="2"/>
        <v>62002.387969942749</v>
      </c>
      <c r="FA2" s="4">
        <f t="shared" si="2"/>
        <v>62002.387969942749</v>
      </c>
      <c r="FB2" s="4">
        <f t="shared" si="2"/>
        <v>62002.387969942749</v>
      </c>
      <c r="FC2" s="4">
        <f t="shared" si="2"/>
        <v>62002.387969942749</v>
      </c>
      <c r="FD2" s="4">
        <f t="shared" si="2"/>
        <v>62002.387969942749</v>
      </c>
      <c r="FE2" s="4">
        <f t="shared" si="2"/>
        <v>62002.387969942749</v>
      </c>
      <c r="FF2" s="4">
        <f t="shared" ref="FF2:HC7" si="3">$DZ2</f>
        <v>62002.387969942749</v>
      </c>
      <c r="FG2" s="4">
        <f t="shared" si="3"/>
        <v>62002.387969942749</v>
      </c>
      <c r="FH2" s="4">
        <f t="shared" si="3"/>
        <v>62002.387969942749</v>
      </c>
      <c r="FI2" s="4">
        <f t="shared" si="3"/>
        <v>62002.387969942749</v>
      </c>
      <c r="FJ2" s="4">
        <f t="shared" si="3"/>
        <v>62002.387969942749</v>
      </c>
      <c r="FK2" s="4">
        <f t="shared" si="3"/>
        <v>62002.387969942749</v>
      </c>
      <c r="FL2" s="4">
        <f t="shared" si="3"/>
        <v>62002.387969942749</v>
      </c>
      <c r="FM2" s="4">
        <f t="shared" si="3"/>
        <v>62002.387969942749</v>
      </c>
      <c r="FN2" s="4">
        <f t="shared" si="3"/>
        <v>62002.387969942749</v>
      </c>
      <c r="FO2" s="4">
        <f t="shared" si="3"/>
        <v>62002.387969942749</v>
      </c>
      <c r="FP2" s="4">
        <f t="shared" si="3"/>
        <v>62002.387969942749</v>
      </c>
      <c r="FQ2" s="4">
        <f t="shared" si="3"/>
        <v>62002.387969942749</v>
      </c>
      <c r="FR2" s="4">
        <f t="shared" si="3"/>
        <v>62002.387969942749</v>
      </c>
      <c r="FS2" s="4">
        <f t="shared" si="3"/>
        <v>62002.387969942749</v>
      </c>
      <c r="FT2" s="4">
        <f t="shared" si="3"/>
        <v>62002.387969942749</v>
      </c>
      <c r="FU2" s="4">
        <f t="shared" si="3"/>
        <v>62002.387969942749</v>
      </c>
      <c r="FV2" s="4">
        <f t="shared" si="3"/>
        <v>62002.387969942749</v>
      </c>
      <c r="FW2" s="4">
        <f t="shared" si="3"/>
        <v>62002.387969942749</v>
      </c>
      <c r="FX2" s="4">
        <f t="shared" si="3"/>
        <v>62002.387969942749</v>
      </c>
      <c r="FY2" s="4">
        <f t="shared" si="3"/>
        <v>62002.387969942749</v>
      </c>
      <c r="FZ2" s="4">
        <f t="shared" si="3"/>
        <v>62002.387969942749</v>
      </c>
      <c r="GA2" s="4">
        <f t="shared" si="3"/>
        <v>62002.387969942749</v>
      </c>
      <c r="GB2" s="4">
        <f t="shared" si="3"/>
        <v>62002.387969942749</v>
      </c>
      <c r="GC2" s="4">
        <f t="shared" si="3"/>
        <v>62002.387969942749</v>
      </c>
      <c r="GD2" s="4">
        <f t="shared" si="3"/>
        <v>62002.387969942749</v>
      </c>
      <c r="GE2" s="4">
        <f t="shared" si="3"/>
        <v>62002.387969942749</v>
      </c>
      <c r="GF2" s="4">
        <f t="shared" si="3"/>
        <v>62002.387969942749</v>
      </c>
      <c r="GG2" s="4">
        <f t="shared" si="3"/>
        <v>62002.387969942749</v>
      </c>
      <c r="GH2" s="4">
        <f t="shared" si="3"/>
        <v>62002.387969942749</v>
      </c>
      <c r="GI2" s="4">
        <f t="shared" si="3"/>
        <v>62002.387969942749</v>
      </c>
      <c r="GJ2" s="4">
        <f t="shared" si="3"/>
        <v>62002.387969942749</v>
      </c>
      <c r="GK2" s="4">
        <f t="shared" si="3"/>
        <v>62002.387969942749</v>
      </c>
      <c r="GL2" s="4">
        <f t="shared" si="3"/>
        <v>62002.387969942749</v>
      </c>
      <c r="GM2" s="4">
        <f t="shared" si="3"/>
        <v>62002.387969942749</v>
      </c>
      <c r="GN2" s="4">
        <f t="shared" si="3"/>
        <v>62002.387969942749</v>
      </c>
      <c r="GO2" s="4">
        <f t="shared" si="3"/>
        <v>62002.387969942749</v>
      </c>
      <c r="GP2" s="4">
        <f t="shared" si="3"/>
        <v>62002.387969942749</v>
      </c>
      <c r="GQ2" s="4">
        <f t="shared" si="3"/>
        <v>62002.387969942749</v>
      </c>
      <c r="GR2" s="4">
        <f t="shared" si="3"/>
        <v>62002.387969942749</v>
      </c>
      <c r="GS2" s="4">
        <f t="shared" si="3"/>
        <v>62002.387969942749</v>
      </c>
      <c r="GT2" s="4">
        <f t="shared" si="3"/>
        <v>62002.387969942749</v>
      </c>
      <c r="GU2" s="4">
        <f t="shared" si="3"/>
        <v>62002.387969942749</v>
      </c>
      <c r="GV2" s="4">
        <f t="shared" si="3"/>
        <v>62002.387969942749</v>
      </c>
      <c r="GW2" s="4">
        <f t="shared" si="3"/>
        <v>62002.387969942749</v>
      </c>
      <c r="GX2" s="4">
        <f t="shared" si="3"/>
        <v>62002.387969942749</v>
      </c>
      <c r="GY2" s="4">
        <f t="shared" si="3"/>
        <v>62002.387969942749</v>
      </c>
      <c r="GZ2" s="4">
        <f t="shared" si="3"/>
        <v>62002.387969942749</v>
      </c>
      <c r="HA2" s="4">
        <f t="shared" si="3"/>
        <v>62002.387969942749</v>
      </c>
      <c r="HB2" s="4">
        <f t="shared" si="3"/>
        <v>62002.387969942749</v>
      </c>
      <c r="HC2" s="4">
        <f t="shared" si="3"/>
        <v>62002.387969942749</v>
      </c>
    </row>
    <row r="3" spans="1:211">
      <c r="A3" t="s">
        <v>75</v>
      </c>
      <c r="B3" s="4">
        <v>37151.995931858626</v>
      </c>
      <c r="C3" s="4">
        <f t="shared" si="0"/>
        <v>40766.481369682057</v>
      </c>
      <c r="D3" s="4">
        <f t="shared" si="0"/>
        <v>40766.481369682057</v>
      </c>
      <c r="E3" s="4">
        <f t="shared" si="0"/>
        <v>40766.481369682057</v>
      </c>
      <c r="F3" s="4">
        <f t="shared" si="0"/>
        <v>40766.481369682057</v>
      </c>
      <c r="G3" s="4">
        <f t="shared" si="0"/>
        <v>40766.481369682057</v>
      </c>
      <c r="H3" s="4">
        <f t="shared" si="0"/>
        <v>40766.481369682057</v>
      </c>
      <c r="I3" s="4">
        <f t="shared" si="0"/>
        <v>40766.481369682057</v>
      </c>
      <c r="J3" s="4">
        <f t="shared" si="0"/>
        <v>40766.481369682057</v>
      </c>
      <c r="K3" s="4">
        <f t="shared" si="0"/>
        <v>40766.481369682057</v>
      </c>
      <c r="L3" s="4">
        <f t="shared" si="0"/>
        <v>40766.481369682057</v>
      </c>
      <c r="M3" s="4">
        <f t="shared" si="0"/>
        <v>40766.481369682057</v>
      </c>
      <c r="N3" s="4">
        <f t="shared" si="0"/>
        <v>40766.481369682057</v>
      </c>
      <c r="O3" s="4">
        <f t="shared" si="0"/>
        <v>40766.481369682057</v>
      </c>
      <c r="P3" s="4">
        <f t="shared" si="0"/>
        <v>40766.481369682057</v>
      </c>
      <c r="Q3" s="4">
        <f t="shared" si="0"/>
        <v>40766.481369682057</v>
      </c>
      <c r="R3" s="4">
        <f t="shared" si="0"/>
        <v>40766.481369682057</v>
      </c>
      <c r="S3" s="4">
        <f t="shared" si="0"/>
        <v>40766.481369682057</v>
      </c>
      <c r="T3" s="4">
        <f t="shared" si="0"/>
        <v>40766.481369682057</v>
      </c>
      <c r="U3" s="4">
        <f t="shared" si="0"/>
        <v>40766.481369682057</v>
      </c>
      <c r="V3" s="4">
        <f t="shared" si="0"/>
        <v>40766.481369682057</v>
      </c>
      <c r="W3" s="4">
        <f t="shared" si="0"/>
        <v>40766.481369682057</v>
      </c>
      <c r="X3" s="4">
        <f t="shared" si="0"/>
        <v>40766.481369682057</v>
      </c>
      <c r="Y3" s="4">
        <f t="shared" si="0"/>
        <v>40766.481369682057</v>
      </c>
      <c r="Z3" s="4">
        <f t="shared" si="0"/>
        <v>40766.481369682057</v>
      </c>
      <c r="AA3" s="4">
        <f t="shared" si="0"/>
        <v>40766.481369682057</v>
      </c>
      <c r="AB3" s="4">
        <f t="shared" si="0"/>
        <v>40766.481369682057</v>
      </c>
      <c r="AC3" s="4">
        <f t="shared" si="0"/>
        <v>40766.481369682057</v>
      </c>
      <c r="AD3" s="4">
        <f t="shared" si="0"/>
        <v>40766.481369682057</v>
      </c>
      <c r="AE3" s="4">
        <f t="shared" si="0"/>
        <v>40766.481369682057</v>
      </c>
      <c r="AF3" s="4">
        <f t="shared" si="0"/>
        <v>40766.481369682057</v>
      </c>
      <c r="AG3" s="4">
        <f t="shared" si="0"/>
        <v>40766.481369682057</v>
      </c>
      <c r="AH3" s="4">
        <f t="shared" si="0"/>
        <v>40766.481369682057</v>
      </c>
      <c r="AI3" s="4">
        <f t="shared" si="0"/>
        <v>40766.481369682057</v>
      </c>
      <c r="AJ3" s="4">
        <f t="shared" si="0"/>
        <v>40766.481369682057</v>
      </c>
      <c r="AK3" s="4">
        <f t="shared" si="0"/>
        <v>40766.481369682057</v>
      </c>
      <c r="AL3" s="4">
        <f t="shared" si="0"/>
        <v>40766.481369682057</v>
      </c>
      <c r="AM3" s="4">
        <f t="shared" si="0"/>
        <v>40766.481369682057</v>
      </c>
      <c r="AN3" s="4">
        <f t="shared" si="0"/>
        <v>40766.481369682057</v>
      </c>
      <c r="AO3" s="4">
        <f t="shared" si="0"/>
        <v>40766.481369682057</v>
      </c>
      <c r="AP3" s="4">
        <f t="shared" si="0"/>
        <v>40766.481369682057</v>
      </c>
      <c r="AQ3" s="4">
        <f t="shared" si="0"/>
        <v>40766.481369682057</v>
      </c>
      <c r="AR3" s="4">
        <f t="shared" si="0"/>
        <v>40766.481369682057</v>
      </c>
      <c r="AS3" s="4">
        <f t="shared" si="0"/>
        <v>40766.481369682057</v>
      </c>
      <c r="AT3" s="4">
        <f t="shared" si="0"/>
        <v>40766.481369682057</v>
      </c>
      <c r="AU3" s="4">
        <f t="shared" si="0"/>
        <v>40766.481369682057</v>
      </c>
      <c r="AV3" s="4">
        <f t="shared" si="0"/>
        <v>40766.481369682057</v>
      </c>
      <c r="AW3" s="4">
        <f t="shared" si="0"/>
        <v>40766.481369682057</v>
      </c>
      <c r="AX3" s="4">
        <f t="shared" si="0"/>
        <v>40766.481369682057</v>
      </c>
      <c r="AY3" s="4">
        <f t="shared" si="0"/>
        <v>40766.481369682057</v>
      </c>
      <c r="AZ3" s="4">
        <f t="shared" si="0"/>
        <v>40766.481369682057</v>
      </c>
      <c r="BA3" s="4">
        <f t="shared" si="0"/>
        <v>40766.481369682057</v>
      </c>
      <c r="BB3" s="4">
        <f t="shared" si="0"/>
        <v>40766.481369682057</v>
      </c>
      <c r="BC3" s="4">
        <f t="shared" si="0"/>
        <v>40766.481369682057</v>
      </c>
      <c r="BD3" s="4">
        <f t="shared" si="0"/>
        <v>40766.481369682057</v>
      </c>
      <c r="BE3" s="4">
        <f t="shared" si="0"/>
        <v>40766.481369682057</v>
      </c>
      <c r="BF3" s="4">
        <f t="shared" si="0"/>
        <v>40766.481369682057</v>
      </c>
      <c r="BG3" s="4">
        <f t="shared" si="0"/>
        <v>40766.481369682057</v>
      </c>
      <c r="BH3" s="4">
        <f t="shared" si="0"/>
        <v>40766.481369682057</v>
      </c>
      <c r="BI3" s="4">
        <f t="shared" si="0"/>
        <v>40766.481369682057</v>
      </c>
      <c r="BJ3" s="4">
        <f t="shared" si="0"/>
        <v>40766.481369682057</v>
      </c>
      <c r="BK3" s="4">
        <f t="shared" si="0"/>
        <v>40766.481369682057</v>
      </c>
      <c r="BL3" s="4">
        <f t="shared" si="0"/>
        <v>40766.481369682057</v>
      </c>
      <c r="BM3" s="4">
        <f t="shared" si="0"/>
        <v>40766.481369682057</v>
      </c>
      <c r="BN3" s="4">
        <f t="shared" si="0"/>
        <v>40766.481369682057</v>
      </c>
      <c r="BO3" s="4">
        <f t="shared" si="1"/>
        <v>40766.481369682057</v>
      </c>
      <c r="BP3" s="4">
        <f t="shared" si="1"/>
        <v>40766.481369682057</v>
      </c>
      <c r="BQ3" s="4">
        <f t="shared" si="1"/>
        <v>40766.481369682057</v>
      </c>
      <c r="BR3" s="4">
        <f t="shared" si="1"/>
        <v>40766.481369682057</v>
      </c>
      <c r="BS3" s="4">
        <f t="shared" si="1"/>
        <v>40766.481369682057</v>
      </c>
      <c r="BT3" s="4">
        <f t="shared" si="1"/>
        <v>40766.481369682057</v>
      </c>
      <c r="BU3" s="4">
        <f t="shared" si="1"/>
        <v>40766.481369682057</v>
      </c>
      <c r="BV3" s="4">
        <f t="shared" si="1"/>
        <v>40766.481369682057</v>
      </c>
      <c r="BW3" s="4">
        <f t="shared" si="1"/>
        <v>40766.481369682057</v>
      </c>
      <c r="BX3" s="4">
        <f t="shared" si="1"/>
        <v>40766.481369682057</v>
      </c>
      <c r="BY3" s="4">
        <f t="shared" si="1"/>
        <v>40766.481369682057</v>
      </c>
      <c r="BZ3" s="4">
        <f t="shared" si="1"/>
        <v>40766.481369682057</v>
      </c>
      <c r="CA3" s="4">
        <f t="shared" si="1"/>
        <v>40766.481369682057</v>
      </c>
      <c r="CB3" s="4">
        <f t="shared" si="1"/>
        <v>40766.481369682057</v>
      </c>
      <c r="CC3" s="4">
        <f t="shared" si="1"/>
        <v>40766.481369682057</v>
      </c>
      <c r="CD3" s="4">
        <f t="shared" si="1"/>
        <v>40766.481369682057</v>
      </c>
      <c r="CE3" s="4">
        <f t="shared" si="1"/>
        <v>40766.481369682057</v>
      </c>
      <c r="CF3" s="4">
        <f t="shared" si="1"/>
        <v>40766.481369682057</v>
      </c>
      <c r="CG3" s="4">
        <f t="shared" si="1"/>
        <v>40766.481369682057</v>
      </c>
      <c r="CH3" s="4">
        <f t="shared" si="1"/>
        <v>40766.481369682057</v>
      </c>
      <c r="CI3" s="4">
        <f t="shared" si="1"/>
        <v>40766.481369682057</v>
      </c>
      <c r="CJ3" s="4">
        <f t="shared" si="1"/>
        <v>40766.481369682057</v>
      </c>
      <c r="CK3" s="4">
        <f t="shared" si="1"/>
        <v>40766.481369682057</v>
      </c>
      <c r="CL3" s="4">
        <f t="shared" si="1"/>
        <v>40766.481369682057</v>
      </c>
      <c r="CM3" s="4">
        <f t="shared" si="1"/>
        <v>40766.481369682057</v>
      </c>
      <c r="CN3" s="4">
        <f t="shared" si="1"/>
        <v>40766.481369682057</v>
      </c>
      <c r="CO3" s="4">
        <f t="shared" si="1"/>
        <v>40766.481369682057</v>
      </c>
      <c r="CP3" s="4">
        <f t="shared" si="1"/>
        <v>40766.481369682057</v>
      </c>
      <c r="CQ3" s="4">
        <f t="shared" si="1"/>
        <v>40766.481369682057</v>
      </c>
      <c r="CR3" s="4">
        <f t="shared" si="1"/>
        <v>40766.481369682057</v>
      </c>
      <c r="CS3" s="4">
        <f t="shared" si="1"/>
        <v>40766.481369682057</v>
      </c>
      <c r="CT3" s="4">
        <f t="shared" si="1"/>
        <v>40766.481369682057</v>
      </c>
      <c r="CU3" s="4">
        <f t="shared" si="1"/>
        <v>40766.481369682057</v>
      </c>
      <c r="CV3" s="4">
        <f t="shared" si="1"/>
        <v>40766.481369682057</v>
      </c>
      <c r="CW3" s="4">
        <f t="shared" si="1"/>
        <v>40766.481369682057</v>
      </c>
      <c r="CX3" s="4">
        <f t="shared" si="1"/>
        <v>40766.481369682057</v>
      </c>
      <c r="CY3" s="4">
        <f t="shared" si="1"/>
        <v>40766.481369682057</v>
      </c>
      <c r="CZ3" s="4">
        <f t="shared" si="1"/>
        <v>40766.481369682057</v>
      </c>
      <c r="DA3" s="4">
        <f t="shared" si="1"/>
        <v>40766.481369682057</v>
      </c>
      <c r="DB3" s="4">
        <f t="shared" si="1"/>
        <v>40766.481369682057</v>
      </c>
      <c r="DC3" s="4">
        <f t="shared" si="1"/>
        <v>40766.481369682057</v>
      </c>
      <c r="DD3" s="4">
        <f t="shared" si="1"/>
        <v>40766.481369682057</v>
      </c>
      <c r="DE3" s="4">
        <f t="shared" si="1"/>
        <v>40766.481369682057</v>
      </c>
      <c r="DF3" s="4">
        <f t="shared" si="1"/>
        <v>40766.481369682057</v>
      </c>
      <c r="DG3" s="4">
        <f t="shared" si="1"/>
        <v>40766.481369682057</v>
      </c>
      <c r="DH3" s="4">
        <f t="shared" si="1"/>
        <v>40766.481369682057</v>
      </c>
      <c r="DI3" s="4">
        <f t="shared" si="1"/>
        <v>40766.481369682057</v>
      </c>
      <c r="DJ3" s="4">
        <f t="shared" si="1"/>
        <v>40766.481369682057</v>
      </c>
      <c r="DK3" s="4">
        <f t="shared" si="1"/>
        <v>40766.481369682057</v>
      </c>
      <c r="DL3" s="4">
        <f t="shared" si="1"/>
        <v>40766.481369682057</v>
      </c>
      <c r="DM3" s="4">
        <f t="shared" si="1"/>
        <v>40766.481369682057</v>
      </c>
      <c r="DN3" s="4">
        <f t="shared" si="1"/>
        <v>40766.481369682057</v>
      </c>
      <c r="DO3" s="4">
        <f t="shared" si="1"/>
        <v>40766.481369682057</v>
      </c>
      <c r="DP3" s="4">
        <f t="shared" si="1"/>
        <v>40766.481369682057</v>
      </c>
      <c r="DQ3" s="4">
        <f t="shared" si="1"/>
        <v>40766.481369682057</v>
      </c>
      <c r="DR3" s="4">
        <f t="shared" si="1"/>
        <v>40766.481369682057</v>
      </c>
      <c r="DS3" s="4">
        <f t="shared" si="1"/>
        <v>40766.481369682057</v>
      </c>
      <c r="DT3" s="4">
        <f t="shared" si="1"/>
        <v>40766.481369682057</v>
      </c>
      <c r="DU3" s="4">
        <f t="shared" si="1"/>
        <v>40766.481369682057</v>
      </c>
      <c r="DV3" s="4">
        <f t="shared" si="1"/>
        <v>40766.481369682057</v>
      </c>
      <c r="DW3" s="4">
        <f t="shared" si="1"/>
        <v>40766.481369682057</v>
      </c>
      <c r="DX3" s="4">
        <f t="shared" si="1"/>
        <v>40766.481369682057</v>
      </c>
      <c r="DY3" s="4">
        <f t="shared" ref="DY3:DY25" si="4">DZ3</f>
        <v>40766.481369682057</v>
      </c>
      <c r="DZ3">
        <f>Calculation!B76</f>
        <v>40766.481369682057</v>
      </c>
      <c r="EA3" s="4">
        <f t="shared" ref="EA3:EP18" si="5">$DZ3</f>
        <v>40766.481369682057</v>
      </c>
      <c r="EB3" s="4">
        <f t="shared" si="5"/>
        <v>40766.481369682057</v>
      </c>
      <c r="EC3" s="4">
        <f t="shared" si="5"/>
        <v>40766.481369682057</v>
      </c>
      <c r="ED3" s="4">
        <f t="shared" si="5"/>
        <v>40766.481369682057</v>
      </c>
      <c r="EE3" s="4">
        <f t="shared" si="5"/>
        <v>40766.481369682057</v>
      </c>
      <c r="EF3" s="4">
        <f t="shared" si="5"/>
        <v>40766.481369682057</v>
      </c>
      <c r="EG3" s="4">
        <f t="shared" si="5"/>
        <v>40766.481369682057</v>
      </c>
      <c r="EH3" s="4">
        <f t="shared" si="5"/>
        <v>40766.481369682057</v>
      </c>
      <c r="EI3" s="4">
        <f t="shared" si="5"/>
        <v>40766.481369682057</v>
      </c>
      <c r="EJ3" s="4">
        <f t="shared" si="5"/>
        <v>40766.481369682057</v>
      </c>
      <c r="EK3" s="4">
        <f t="shared" si="5"/>
        <v>40766.481369682057</v>
      </c>
      <c r="EL3" s="4">
        <f t="shared" si="5"/>
        <v>40766.481369682057</v>
      </c>
      <c r="EM3" s="4">
        <f t="shared" si="5"/>
        <v>40766.481369682057</v>
      </c>
      <c r="EN3" s="4">
        <f t="shared" si="5"/>
        <v>40766.481369682057</v>
      </c>
      <c r="EO3" s="4">
        <f t="shared" si="5"/>
        <v>40766.481369682057</v>
      </c>
      <c r="EP3" s="4">
        <f t="shared" si="5"/>
        <v>40766.481369682057</v>
      </c>
      <c r="EQ3" s="4">
        <f t="shared" si="2"/>
        <v>40766.481369682057</v>
      </c>
      <c r="ER3" s="4">
        <f t="shared" si="2"/>
        <v>40766.481369682057</v>
      </c>
      <c r="ES3" s="4">
        <f t="shared" si="2"/>
        <v>40766.481369682057</v>
      </c>
      <c r="ET3" s="4">
        <f t="shared" si="2"/>
        <v>40766.481369682057</v>
      </c>
      <c r="EU3" s="4">
        <f t="shared" si="2"/>
        <v>40766.481369682057</v>
      </c>
      <c r="EV3" s="4">
        <f t="shared" si="2"/>
        <v>40766.481369682057</v>
      </c>
      <c r="EW3" s="4">
        <f t="shared" si="2"/>
        <v>40766.481369682057</v>
      </c>
      <c r="EX3" s="4">
        <f t="shared" si="2"/>
        <v>40766.481369682057</v>
      </c>
      <c r="EY3" s="4">
        <f t="shared" si="2"/>
        <v>40766.481369682057</v>
      </c>
      <c r="EZ3" s="4">
        <f t="shared" si="2"/>
        <v>40766.481369682057</v>
      </c>
      <c r="FA3" s="4">
        <f t="shared" si="2"/>
        <v>40766.481369682057</v>
      </c>
      <c r="FB3" s="4">
        <f t="shared" si="2"/>
        <v>40766.481369682057</v>
      </c>
      <c r="FC3" s="4">
        <f t="shared" si="2"/>
        <v>40766.481369682057</v>
      </c>
      <c r="FD3" s="4">
        <f t="shared" si="2"/>
        <v>40766.481369682057</v>
      </c>
      <c r="FE3" s="4">
        <f t="shared" si="2"/>
        <v>40766.481369682057</v>
      </c>
      <c r="FF3" s="4">
        <f t="shared" si="3"/>
        <v>40766.481369682057</v>
      </c>
      <c r="FG3" s="4">
        <f t="shared" si="3"/>
        <v>40766.481369682057</v>
      </c>
      <c r="FH3" s="4">
        <f t="shared" si="3"/>
        <v>40766.481369682057</v>
      </c>
      <c r="FI3" s="4">
        <f t="shared" si="3"/>
        <v>40766.481369682057</v>
      </c>
      <c r="FJ3" s="4">
        <f t="shared" si="3"/>
        <v>40766.481369682057</v>
      </c>
      <c r="FK3" s="4">
        <f t="shared" si="3"/>
        <v>40766.481369682057</v>
      </c>
      <c r="FL3" s="4">
        <f t="shared" si="3"/>
        <v>40766.481369682057</v>
      </c>
      <c r="FM3" s="4">
        <f t="shared" si="3"/>
        <v>40766.481369682057</v>
      </c>
      <c r="FN3" s="4">
        <f t="shared" si="3"/>
        <v>40766.481369682057</v>
      </c>
      <c r="FO3" s="4">
        <f t="shared" si="3"/>
        <v>40766.481369682057</v>
      </c>
      <c r="FP3" s="4">
        <f t="shared" si="3"/>
        <v>40766.481369682057</v>
      </c>
      <c r="FQ3" s="4">
        <f t="shared" si="3"/>
        <v>40766.481369682057</v>
      </c>
      <c r="FR3" s="4">
        <f t="shared" si="3"/>
        <v>40766.481369682057</v>
      </c>
      <c r="FS3" s="4">
        <f t="shared" si="3"/>
        <v>40766.481369682057</v>
      </c>
      <c r="FT3" s="4">
        <f t="shared" si="3"/>
        <v>40766.481369682057</v>
      </c>
      <c r="FU3" s="4">
        <f t="shared" si="3"/>
        <v>40766.481369682057</v>
      </c>
      <c r="FV3" s="4">
        <f t="shared" si="3"/>
        <v>40766.481369682057</v>
      </c>
      <c r="FW3" s="4">
        <f t="shared" si="3"/>
        <v>40766.481369682057</v>
      </c>
      <c r="FX3" s="4">
        <f t="shared" si="3"/>
        <v>40766.481369682057</v>
      </c>
      <c r="FY3" s="4">
        <f t="shared" si="3"/>
        <v>40766.481369682057</v>
      </c>
      <c r="FZ3" s="4">
        <f t="shared" si="3"/>
        <v>40766.481369682057</v>
      </c>
      <c r="GA3" s="4">
        <f t="shared" si="3"/>
        <v>40766.481369682057</v>
      </c>
      <c r="GB3" s="4">
        <f t="shared" si="3"/>
        <v>40766.481369682057</v>
      </c>
      <c r="GC3" s="4">
        <f t="shared" si="3"/>
        <v>40766.481369682057</v>
      </c>
      <c r="GD3" s="4">
        <f t="shared" si="3"/>
        <v>40766.481369682057</v>
      </c>
      <c r="GE3" s="4">
        <f t="shared" si="3"/>
        <v>40766.481369682057</v>
      </c>
      <c r="GF3" s="4">
        <f t="shared" si="3"/>
        <v>40766.481369682057</v>
      </c>
      <c r="GG3" s="4">
        <f t="shared" si="3"/>
        <v>40766.481369682057</v>
      </c>
      <c r="GH3" s="4">
        <f t="shared" si="3"/>
        <v>40766.481369682057</v>
      </c>
      <c r="GI3" s="4">
        <f t="shared" si="3"/>
        <v>40766.481369682057</v>
      </c>
      <c r="GJ3" s="4">
        <f t="shared" si="3"/>
        <v>40766.481369682057</v>
      </c>
      <c r="GK3" s="4">
        <f t="shared" si="3"/>
        <v>40766.481369682057</v>
      </c>
      <c r="GL3" s="4">
        <f t="shared" si="3"/>
        <v>40766.481369682057</v>
      </c>
      <c r="GM3" s="4">
        <f t="shared" si="3"/>
        <v>40766.481369682057</v>
      </c>
      <c r="GN3" s="4">
        <f t="shared" si="3"/>
        <v>40766.481369682057</v>
      </c>
      <c r="GO3" s="4">
        <f t="shared" si="3"/>
        <v>40766.481369682057</v>
      </c>
      <c r="GP3" s="4">
        <f t="shared" si="3"/>
        <v>40766.481369682057</v>
      </c>
      <c r="GQ3" s="4">
        <f t="shared" si="3"/>
        <v>40766.481369682057</v>
      </c>
      <c r="GR3" s="4">
        <f t="shared" si="3"/>
        <v>40766.481369682057</v>
      </c>
      <c r="GS3" s="4">
        <f t="shared" si="3"/>
        <v>40766.481369682057</v>
      </c>
      <c r="GT3" s="4">
        <f t="shared" si="3"/>
        <v>40766.481369682057</v>
      </c>
      <c r="GU3" s="4">
        <f t="shared" si="3"/>
        <v>40766.481369682057</v>
      </c>
      <c r="GV3" s="4">
        <f t="shared" si="3"/>
        <v>40766.481369682057</v>
      </c>
      <c r="GW3" s="4">
        <f t="shared" si="3"/>
        <v>40766.481369682057</v>
      </c>
      <c r="GX3" s="4">
        <f t="shared" si="3"/>
        <v>40766.481369682057</v>
      </c>
      <c r="GY3" s="4">
        <f t="shared" si="3"/>
        <v>40766.481369682057</v>
      </c>
      <c r="GZ3" s="4">
        <f t="shared" si="3"/>
        <v>40766.481369682057</v>
      </c>
      <c r="HA3" s="4">
        <f t="shared" si="3"/>
        <v>40766.481369682057</v>
      </c>
      <c r="HB3" s="4">
        <f t="shared" si="3"/>
        <v>40766.481369682057</v>
      </c>
      <c r="HC3" s="4">
        <f t="shared" si="3"/>
        <v>40766.481369682057</v>
      </c>
    </row>
    <row r="4" spans="1:211">
      <c r="A4" t="s">
        <v>76</v>
      </c>
      <c r="B4" s="4">
        <v>37151.995931858626</v>
      </c>
      <c r="C4" s="4">
        <f t="shared" si="0"/>
        <v>40766.481369682057</v>
      </c>
      <c r="D4" s="4">
        <f t="shared" si="0"/>
        <v>40766.481369682057</v>
      </c>
      <c r="E4" s="4">
        <f t="shared" si="0"/>
        <v>40766.481369682057</v>
      </c>
      <c r="F4" s="4">
        <f t="shared" si="0"/>
        <v>40766.481369682057</v>
      </c>
      <c r="G4" s="4">
        <f t="shared" si="0"/>
        <v>40766.481369682057</v>
      </c>
      <c r="H4" s="4">
        <f t="shared" si="0"/>
        <v>40766.481369682057</v>
      </c>
      <c r="I4" s="4">
        <f t="shared" si="0"/>
        <v>40766.481369682057</v>
      </c>
      <c r="J4" s="4">
        <f t="shared" si="0"/>
        <v>40766.481369682057</v>
      </c>
      <c r="K4" s="4">
        <f t="shared" si="0"/>
        <v>40766.481369682057</v>
      </c>
      <c r="L4" s="4">
        <f t="shared" si="0"/>
        <v>40766.481369682057</v>
      </c>
      <c r="M4" s="4">
        <f t="shared" si="0"/>
        <v>40766.481369682057</v>
      </c>
      <c r="N4" s="4">
        <f t="shared" si="0"/>
        <v>40766.481369682057</v>
      </c>
      <c r="O4" s="4">
        <f t="shared" si="0"/>
        <v>40766.481369682057</v>
      </c>
      <c r="P4" s="4">
        <f t="shared" si="0"/>
        <v>40766.481369682057</v>
      </c>
      <c r="Q4" s="4">
        <f t="shared" si="0"/>
        <v>40766.481369682057</v>
      </c>
      <c r="R4" s="4">
        <f t="shared" si="0"/>
        <v>40766.481369682057</v>
      </c>
      <c r="S4" s="4">
        <f t="shared" si="0"/>
        <v>40766.481369682057</v>
      </c>
      <c r="T4" s="4">
        <f t="shared" si="0"/>
        <v>40766.481369682057</v>
      </c>
      <c r="U4" s="4">
        <f t="shared" si="0"/>
        <v>40766.481369682057</v>
      </c>
      <c r="V4" s="4">
        <f t="shared" si="0"/>
        <v>40766.481369682057</v>
      </c>
      <c r="W4" s="4">
        <f t="shared" si="0"/>
        <v>40766.481369682057</v>
      </c>
      <c r="X4" s="4">
        <f t="shared" si="0"/>
        <v>40766.481369682057</v>
      </c>
      <c r="Y4" s="4">
        <f t="shared" si="0"/>
        <v>40766.481369682057</v>
      </c>
      <c r="Z4" s="4">
        <f t="shared" si="0"/>
        <v>40766.481369682057</v>
      </c>
      <c r="AA4" s="4">
        <f t="shared" si="0"/>
        <v>40766.481369682057</v>
      </c>
      <c r="AB4" s="4">
        <f t="shared" si="0"/>
        <v>40766.481369682057</v>
      </c>
      <c r="AC4" s="4">
        <f t="shared" si="0"/>
        <v>40766.481369682057</v>
      </c>
      <c r="AD4" s="4">
        <f t="shared" si="0"/>
        <v>40766.481369682057</v>
      </c>
      <c r="AE4" s="4">
        <f t="shared" si="0"/>
        <v>40766.481369682057</v>
      </c>
      <c r="AF4" s="4">
        <f t="shared" si="0"/>
        <v>40766.481369682057</v>
      </c>
      <c r="AG4" s="4">
        <f t="shared" si="0"/>
        <v>40766.481369682057</v>
      </c>
      <c r="AH4" s="4">
        <f t="shared" si="0"/>
        <v>40766.481369682057</v>
      </c>
      <c r="AI4" s="4">
        <f t="shared" si="0"/>
        <v>40766.481369682057</v>
      </c>
      <c r="AJ4" s="4">
        <f t="shared" si="0"/>
        <v>40766.481369682057</v>
      </c>
      <c r="AK4" s="4">
        <f t="shared" si="0"/>
        <v>40766.481369682057</v>
      </c>
      <c r="AL4" s="4">
        <f t="shared" si="0"/>
        <v>40766.481369682057</v>
      </c>
      <c r="AM4" s="4">
        <f t="shared" si="0"/>
        <v>40766.481369682057</v>
      </c>
      <c r="AN4" s="4">
        <f t="shared" si="0"/>
        <v>40766.481369682057</v>
      </c>
      <c r="AO4" s="4">
        <f t="shared" si="0"/>
        <v>40766.481369682057</v>
      </c>
      <c r="AP4" s="4">
        <f t="shared" si="0"/>
        <v>40766.481369682057</v>
      </c>
      <c r="AQ4" s="4">
        <f t="shared" si="0"/>
        <v>40766.481369682057</v>
      </c>
      <c r="AR4" s="4">
        <f t="shared" si="0"/>
        <v>40766.481369682057</v>
      </c>
      <c r="AS4" s="4">
        <f t="shared" si="0"/>
        <v>40766.481369682057</v>
      </c>
      <c r="AT4" s="4">
        <f t="shared" si="0"/>
        <v>40766.481369682057</v>
      </c>
      <c r="AU4" s="4">
        <f t="shared" si="0"/>
        <v>40766.481369682057</v>
      </c>
      <c r="AV4" s="4">
        <f t="shared" si="0"/>
        <v>40766.481369682057</v>
      </c>
      <c r="AW4" s="4">
        <f t="shared" si="0"/>
        <v>40766.481369682057</v>
      </c>
      <c r="AX4" s="4">
        <f t="shared" si="0"/>
        <v>40766.481369682057</v>
      </c>
      <c r="AY4" s="4">
        <f t="shared" si="0"/>
        <v>40766.481369682057</v>
      </c>
      <c r="AZ4" s="4">
        <f t="shared" si="0"/>
        <v>40766.481369682057</v>
      </c>
      <c r="BA4" s="4">
        <f t="shared" si="0"/>
        <v>40766.481369682057</v>
      </c>
      <c r="BB4" s="4">
        <f t="shared" si="0"/>
        <v>40766.481369682057</v>
      </c>
      <c r="BC4" s="4">
        <f t="shared" si="0"/>
        <v>40766.481369682057</v>
      </c>
      <c r="BD4" s="4">
        <f t="shared" si="0"/>
        <v>40766.481369682057</v>
      </c>
      <c r="BE4" s="4">
        <f t="shared" si="0"/>
        <v>40766.481369682057</v>
      </c>
      <c r="BF4" s="4">
        <f t="shared" si="0"/>
        <v>40766.481369682057</v>
      </c>
      <c r="BG4" s="4">
        <f t="shared" si="0"/>
        <v>40766.481369682057</v>
      </c>
      <c r="BH4" s="4">
        <f t="shared" si="0"/>
        <v>40766.481369682057</v>
      </c>
      <c r="BI4" s="4">
        <f t="shared" si="0"/>
        <v>40766.481369682057</v>
      </c>
      <c r="BJ4" s="4">
        <f t="shared" si="0"/>
        <v>40766.481369682057</v>
      </c>
      <c r="BK4" s="4">
        <f t="shared" si="0"/>
        <v>40766.481369682057</v>
      </c>
      <c r="BL4" s="4">
        <f t="shared" si="0"/>
        <v>40766.481369682057</v>
      </c>
      <c r="BM4" s="4">
        <f t="shared" si="0"/>
        <v>40766.481369682057</v>
      </c>
      <c r="BN4" s="4">
        <f t="shared" si="0"/>
        <v>40766.481369682057</v>
      </c>
      <c r="BO4" s="4">
        <f t="shared" si="1"/>
        <v>40766.481369682057</v>
      </c>
      <c r="BP4" s="4">
        <f t="shared" si="1"/>
        <v>40766.481369682057</v>
      </c>
      <c r="BQ4" s="4">
        <f t="shared" si="1"/>
        <v>40766.481369682057</v>
      </c>
      <c r="BR4" s="4">
        <f t="shared" si="1"/>
        <v>40766.481369682057</v>
      </c>
      <c r="BS4" s="4">
        <f t="shared" si="1"/>
        <v>40766.481369682057</v>
      </c>
      <c r="BT4" s="4">
        <f t="shared" si="1"/>
        <v>40766.481369682057</v>
      </c>
      <c r="BU4" s="4">
        <f t="shared" si="1"/>
        <v>40766.481369682057</v>
      </c>
      <c r="BV4" s="4">
        <f t="shared" si="1"/>
        <v>40766.481369682057</v>
      </c>
      <c r="BW4" s="4">
        <f t="shared" si="1"/>
        <v>40766.481369682057</v>
      </c>
      <c r="BX4" s="4">
        <f t="shared" si="1"/>
        <v>40766.481369682057</v>
      </c>
      <c r="BY4" s="4">
        <f t="shared" si="1"/>
        <v>40766.481369682057</v>
      </c>
      <c r="BZ4" s="4">
        <f t="shared" si="1"/>
        <v>40766.481369682057</v>
      </c>
      <c r="CA4" s="4">
        <f t="shared" si="1"/>
        <v>40766.481369682057</v>
      </c>
      <c r="CB4" s="4">
        <f t="shared" si="1"/>
        <v>40766.481369682057</v>
      </c>
      <c r="CC4" s="4">
        <f t="shared" si="1"/>
        <v>40766.481369682057</v>
      </c>
      <c r="CD4" s="4">
        <f t="shared" si="1"/>
        <v>40766.481369682057</v>
      </c>
      <c r="CE4" s="4">
        <f t="shared" si="1"/>
        <v>40766.481369682057</v>
      </c>
      <c r="CF4" s="4">
        <f t="shared" si="1"/>
        <v>40766.481369682057</v>
      </c>
      <c r="CG4" s="4">
        <f t="shared" si="1"/>
        <v>40766.481369682057</v>
      </c>
      <c r="CH4" s="4">
        <f t="shared" si="1"/>
        <v>40766.481369682057</v>
      </c>
      <c r="CI4" s="4">
        <f t="shared" si="1"/>
        <v>40766.481369682057</v>
      </c>
      <c r="CJ4" s="4">
        <f t="shared" si="1"/>
        <v>40766.481369682057</v>
      </c>
      <c r="CK4" s="4">
        <f t="shared" si="1"/>
        <v>40766.481369682057</v>
      </c>
      <c r="CL4" s="4">
        <f t="shared" si="1"/>
        <v>40766.481369682057</v>
      </c>
      <c r="CM4" s="4">
        <f t="shared" si="1"/>
        <v>40766.481369682057</v>
      </c>
      <c r="CN4" s="4">
        <f t="shared" si="1"/>
        <v>40766.481369682057</v>
      </c>
      <c r="CO4" s="4">
        <f t="shared" si="1"/>
        <v>40766.481369682057</v>
      </c>
      <c r="CP4" s="4">
        <f t="shared" si="1"/>
        <v>40766.481369682057</v>
      </c>
      <c r="CQ4" s="4">
        <f t="shared" si="1"/>
        <v>40766.481369682057</v>
      </c>
      <c r="CR4" s="4">
        <f t="shared" si="1"/>
        <v>40766.481369682057</v>
      </c>
      <c r="CS4" s="4">
        <f t="shared" si="1"/>
        <v>40766.481369682057</v>
      </c>
      <c r="CT4" s="4">
        <f t="shared" si="1"/>
        <v>40766.481369682057</v>
      </c>
      <c r="CU4" s="4">
        <f t="shared" si="1"/>
        <v>40766.481369682057</v>
      </c>
      <c r="CV4" s="4">
        <f t="shared" si="1"/>
        <v>40766.481369682057</v>
      </c>
      <c r="CW4" s="4">
        <f t="shared" si="1"/>
        <v>40766.481369682057</v>
      </c>
      <c r="CX4" s="4">
        <f t="shared" si="1"/>
        <v>40766.481369682057</v>
      </c>
      <c r="CY4" s="4">
        <f t="shared" si="1"/>
        <v>40766.481369682057</v>
      </c>
      <c r="CZ4" s="4">
        <f t="shared" si="1"/>
        <v>40766.481369682057</v>
      </c>
      <c r="DA4" s="4">
        <f t="shared" si="1"/>
        <v>40766.481369682057</v>
      </c>
      <c r="DB4" s="4">
        <f t="shared" si="1"/>
        <v>40766.481369682057</v>
      </c>
      <c r="DC4" s="4">
        <f t="shared" si="1"/>
        <v>40766.481369682057</v>
      </c>
      <c r="DD4" s="4">
        <f t="shared" si="1"/>
        <v>40766.481369682057</v>
      </c>
      <c r="DE4" s="4">
        <f t="shared" si="1"/>
        <v>40766.481369682057</v>
      </c>
      <c r="DF4" s="4">
        <f t="shared" si="1"/>
        <v>40766.481369682057</v>
      </c>
      <c r="DG4" s="4">
        <f t="shared" si="1"/>
        <v>40766.481369682057</v>
      </c>
      <c r="DH4" s="4">
        <f t="shared" si="1"/>
        <v>40766.481369682057</v>
      </c>
      <c r="DI4" s="4">
        <f t="shared" si="1"/>
        <v>40766.481369682057</v>
      </c>
      <c r="DJ4" s="4">
        <f t="shared" si="1"/>
        <v>40766.481369682057</v>
      </c>
      <c r="DK4" s="4">
        <f t="shared" si="1"/>
        <v>40766.481369682057</v>
      </c>
      <c r="DL4" s="4">
        <f t="shared" si="1"/>
        <v>40766.481369682057</v>
      </c>
      <c r="DM4" s="4">
        <f t="shared" si="1"/>
        <v>40766.481369682057</v>
      </c>
      <c r="DN4" s="4">
        <f t="shared" si="1"/>
        <v>40766.481369682057</v>
      </c>
      <c r="DO4" s="4">
        <f t="shared" si="1"/>
        <v>40766.481369682057</v>
      </c>
      <c r="DP4" s="4">
        <f t="shared" si="1"/>
        <v>40766.481369682057</v>
      </c>
      <c r="DQ4" s="4">
        <f t="shared" si="1"/>
        <v>40766.481369682057</v>
      </c>
      <c r="DR4" s="4">
        <f t="shared" si="1"/>
        <v>40766.481369682057</v>
      </c>
      <c r="DS4" s="4">
        <f t="shared" si="1"/>
        <v>40766.481369682057</v>
      </c>
      <c r="DT4" s="4">
        <f t="shared" si="1"/>
        <v>40766.481369682057</v>
      </c>
      <c r="DU4" s="4">
        <f t="shared" si="1"/>
        <v>40766.481369682057</v>
      </c>
      <c r="DV4" s="4">
        <f t="shared" si="1"/>
        <v>40766.481369682057</v>
      </c>
      <c r="DW4" s="4">
        <f t="shared" si="1"/>
        <v>40766.481369682057</v>
      </c>
      <c r="DX4" s="4">
        <f t="shared" si="1"/>
        <v>40766.481369682057</v>
      </c>
      <c r="DY4" s="4">
        <f t="shared" si="4"/>
        <v>40766.481369682057</v>
      </c>
      <c r="DZ4">
        <f>Calculation!B76</f>
        <v>40766.481369682057</v>
      </c>
      <c r="EA4" s="4">
        <f t="shared" si="5"/>
        <v>40766.481369682057</v>
      </c>
      <c r="EB4" s="4">
        <f t="shared" si="2"/>
        <v>40766.481369682057</v>
      </c>
      <c r="EC4" s="4">
        <f t="shared" si="2"/>
        <v>40766.481369682057</v>
      </c>
      <c r="ED4" s="4">
        <f t="shared" si="2"/>
        <v>40766.481369682057</v>
      </c>
      <c r="EE4" s="4">
        <f t="shared" si="2"/>
        <v>40766.481369682057</v>
      </c>
      <c r="EF4" s="4">
        <f t="shared" si="2"/>
        <v>40766.481369682057</v>
      </c>
      <c r="EG4" s="4">
        <f t="shared" si="2"/>
        <v>40766.481369682057</v>
      </c>
      <c r="EH4" s="4">
        <f t="shared" si="2"/>
        <v>40766.481369682057</v>
      </c>
      <c r="EI4" s="4">
        <f t="shared" si="2"/>
        <v>40766.481369682057</v>
      </c>
      <c r="EJ4" s="4">
        <f t="shared" si="2"/>
        <v>40766.481369682057</v>
      </c>
      <c r="EK4" s="4">
        <f t="shared" si="2"/>
        <v>40766.481369682057</v>
      </c>
      <c r="EL4" s="4">
        <f t="shared" si="2"/>
        <v>40766.481369682057</v>
      </c>
      <c r="EM4" s="4">
        <f t="shared" si="2"/>
        <v>40766.481369682057</v>
      </c>
      <c r="EN4" s="4">
        <f t="shared" si="2"/>
        <v>40766.481369682057</v>
      </c>
      <c r="EO4" s="4">
        <f t="shared" si="2"/>
        <v>40766.481369682057</v>
      </c>
      <c r="EP4" s="4">
        <f t="shared" si="2"/>
        <v>40766.481369682057</v>
      </c>
      <c r="EQ4" s="4">
        <f t="shared" si="2"/>
        <v>40766.481369682057</v>
      </c>
      <c r="ER4" s="4">
        <f t="shared" si="2"/>
        <v>40766.481369682057</v>
      </c>
      <c r="ES4" s="4">
        <f t="shared" si="2"/>
        <v>40766.481369682057</v>
      </c>
      <c r="ET4" s="4">
        <f t="shared" si="2"/>
        <v>40766.481369682057</v>
      </c>
      <c r="EU4" s="4">
        <f t="shared" si="2"/>
        <v>40766.481369682057</v>
      </c>
      <c r="EV4" s="4">
        <f t="shared" si="2"/>
        <v>40766.481369682057</v>
      </c>
      <c r="EW4" s="4">
        <f t="shared" si="2"/>
        <v>40766.481369682057</v>
      </c>
      <c r="EX4" s="4">
        <f t="shared" si="2"/>
        <v>40766.481369682057</v>
      </c>
      <c r="EY4" s="4">
        <f t="shared" si="2"/>
        <v>40766.481369682057</v>
      </c>
      <c r="EZ4" s="4">
        <f t="shared" si="2"/>
        <v>40766.481369682057</v>
      </c>
      <c r="FA4" s="4">
        <f t="shared" si="2"/>
        <v>40766.481369682057</v>
      </c>
      <c r="FB4" s="4">
        <f t="shared" si="2"/>
        <v>40766.481369682057</v>
      </c>
      <c r="FC4" s="4">
        <f t="shared" si="2"/>
        <v>40766.481369682057</v>
      </c>
      <c r="FD4" s="4">
        <f t="shared" si="2"/>
        <v>40766.481369682057</v>
      </c>
      <c r="FE4" s="4">
        <f t="shared" si="2"/>
        <v>40766.481369682057</v>
      </c>
      <c r="FF4" s="4">
        <f t="shared" si="3"/>
        <v>40766.481369682057</v>
      </c>
      <c r="FG4" s="4">
        <f t="shared" si="3"/>
        <v>40766.481369682057</v>
      </c>
      <c r="FH4" s="4">
        <f t="shared" si="3"/>
        <v>40766.481369682057</v>
      </c>
      <c r="FI4" s="4">
        <f t="shared" si="3"/>
        <v>40766.481369682057</v>
      </c>
      <c r="FJ4" s="4">
        <f t="shared" si="3"/>
        <v>40766.481369682057</v>
      </c>
      <c r="FK4" s="4">
        <f t="shared" si="3"/>
        <v>40766.481369682057</v>
      </c>
      <c r="FL4" s="4">
        <f t="shared" si="3"/>
        <v>40766.481369682057</v>
      </c>
      <c r="FM4" s="4">
        <f t="shared" si="3"/>
        <v>40766.481369682057</v>
      </c>
      <c r="FN4" s="4">
        <f t="shared" si="3"/>
        <v>40766.481369682057</v>
      </c>
      <c r="FO4" s="4">
        <f t="shared" si="3"/>
        <v>40766.481369682057</v>
      </c>
      <c r="FP4" s="4">
        <f t="shared" si="3"/>
        <v>40766.481369682057</v>
      </c>
      <c r="FQ4" s="4">
        <f t="shared" si="3"/>
        <v>40766.481369682057</v>
      </c>
      <c r="FR4" s="4">
        <f t="shared" si="3"/>
        <v>40766.481369682057</v>
      </c>
      <c r="FS4" s="4">
        <f t="shared" si="3"/>
        <v>40766.481369682057</v>
      </c>
      <c r="FT4" s="4">
        <f t="shared" si="3"/>
        <v>40766.481369682057</v>
      </c>
      <c r="FU4" s="4">
        <f t="shared" si="3"/>
        <v>40766.481369682057</v>
      </c>
      <c r="FV4" s="4">
        <f t="shared" si="3"/>
        <v>40766.481369682057</v>
      </c>
      <c r="FW4" s="4">
        <f t="shared" si="3"/>
        <v>40766.481369682057</v>
      </c>
      <c r="FX4" s="4">
        <f t="shared" si="3"/>
        <v>40766.481369682057</v>
      </c>
      <c r="FY4" s="4">
        <f t="shared" si="3"/>
        <v>40766.481369682057</v>
      </c>
      <c r="FZ4" s="4">
        <f t="shared" si="3"/>
        <v>40766.481369682057</v>
      </c>
      <c r="GA4" s="4">
        <f t="shared" si="3"/>
        <v>40766.481369682057</v>
      </c>
      <c r="GB4" s="4">
        <f t="shared" si="3"/>
        <v>40766.481369682057</v>
      </c>
      <c r="GC4" s="4">
        <f t="shared" si="3"/>
        <v>40766.481369682057</v>
      </c>
      <c r="GD4" s="4">
        <f t="shared" si="3"/>
        <v>40766.481369682057</v>
      </c>
      <c r="GE4" s="4">
        <f t="shared" si="3"/>
        <v>40766.481369682057</v>
      </c>
      <c r="GF4" s="4">
        <f t="shared" si="3"/>
        <v>40766.481369682057</v>
      </c>
      <c r="GG4" s="4">
        <f t="shared" si="3"/>
        <v>40766.481369682057</v>
      </c>
      <c r="GH4" s="4">
        <f t="shared" si="3"/>
        <v>40766.481369682057</v>
      </c>
      <c r="GI4" s="4">
        <f t="shared" si="3"/>
        <v>40766.481369682057</v>
      </c>
      <c r="GJ4" s="4">
        <f t="shared" si="3"/>
        <v>40766.481369682057</v>
      </c>
      <c r="GK4" s="4">
        <f t="shared" si="3"/>
        <v>40766.481369682057</v>
      </c>
      <c r="GL4" s="4">
        <f t="shared" si="3"/>
        <v>40766.481369682057</v>
      </c>
      <c r="GM4" s="4">
        <f t="shared" si="3"/>
        <v>40766.481369682057</v>
      </c>
      <c r="GN4" s="4">
        <f t="shared" si="3"/>
        <v>40766.481369682057</v>
      </c>
      <c r="GO4" s="4">
        <f t="shared" si="3"/>
        <v>40766.481369682057</v>
      </c>
      <c r="GP4" s="4">
        <f t="shared" si="3"/>
        <v>40766.481369682057</v>
      </c>
      <c r="GQ4" s="4">
        <f t="shared" si="3"/>
        <v>40766.481369682057</v>
      </c>
      <c r="GR4" s="4">
        <f t="shared" si="3"/>
        <v>40766.481369682057</v>
      </c>
      <c r="GS4" s="4">
        <f t="shared" si="3"/>
        <v>40766.481369682057</v>
      </c>
      <c r="GT4" s="4">
        <f t="shared" si="3"/>
        <v>40766.481369682057</v>
      </c>
      <c r="GU4" s="4">
        <f t="shared" si="3"/>
        <v>40766.481369682057</v>
      </c>
      <c r="GV4" s="4">
        <f t="shared" si="3"/>
        <v>40766.481369682057</v>
      </c>
      <c r="GW4" s="4">
        <f t="shared" si="3"/>
        <v>40766.481369682057</v>
      </c>
      <c r="GX4" s="4">
        <f t="shared" si="3"/>
        <v>40766.481369682057</v>
      </c>
      <c r="GY4" s="4">
        <f t="shared" si="3"/>
        <v>40766.481369682057</v>
      </c>
      <c r="GZ4" s="4">
        <f t="shared" si="3"/>
        <v>40766.481369682057</v>
      </c>
      <c r="HA4" s="4">
        <f t="shared" si="3"/>
        <v>40766.481369682057</v>
      </c>
      <c r="HB4" s="4">
        <f t="shared" si="3"/>
        <v>40766.481369682057</v>
      </c>
      <c r="HC4" s="4">
        <f t="shared" si="3"/>
        <v>40766.481369682057</v>
      </c>
    </row>
    <row r="5" spans="1:211">
      <c r="A5" t="s">
        <v>5</v>
      </c>
      <c r="B5" s="4">
        <v>141484.66819221969</v>
      </c>
      <c r="C5" s="4">
        <f t="shared" si="0"/>
        <v>155249.58875783393</v>
      </c>
      <c r="D5" s="4">
        <f t="shared" si="0"/>
        <v>155249.58875783393</v>
      </c>
      <c r="E5" s="4">
        <f t="shared" si="0"/>
        <v>155249.58875783393</v>
      </c>
      <c r="F5" s="4">
        <f t="shared" si="0"/>
        <v>155249.58875783393</v>
      </c>
      <c r="G5" s="4">
        <f t="shared" si="0"/>
        <v>155249.58875783393</v>
      </c>
      <c r="H5" s="4">
        <f t="shared" si="0"/>
        <v>155249.58875783393</v>
      </c>
      <c r="I5" s="4">
        <f t="shared" si="0"/>
        <v>155249.58875783393</v>
      </c>
      <c r="J5" s="4">
        <f t="shared" si="0"/>
        <v>155249.58875783393</v>
      </c>
      <c r="K5" s="4">
        <f t="shared" si="0"/>
        <v>155249.58875783393</v>
      </c>
      <c r="L5" s="4">
        <f t="shared" si="0"/>
        <v>155249.58875783393</v>
      </c>
      <c r="M5" s="4">
        <f t="shared" si="0"/>
        <v>155249.58875783393</v>
      </c>
      <c r="N5" s="4">
        <f t="shared" si="0"/>
        <v>155249.58875783393</v>
      </c>
      <c r="O5" s="4">
        <f t="shared" si="0"/>
        <v>155249.58875783393</v>
      </c>
      <c r="P5" s="4">
        <f t="shared" si="0"/>
        <v>155249.58875783393</v>
      </c>
      <c r="Q5" s="4">
        <f t="shared" si="0"/>
        <v>155249.58875783393</v>
      </c>
      <c r="R5" s="4">
        <f t="shared" si="0"/>
        <v>155249.58875783393</v>
      </c>
      <c r="S5" s="4">
        <f t="shared" si="0"/>
        <v>155249.58875783393</v>
      </c>
      <c r="T5" s="4">
        <f t="shared" si="0"/>
        <v>155249.58875783393</v>
      </c>
      <c r="U5" s="4">
        <f t="shared" si="0"/>
        <v>155249.58875783393</v>
      </c>
      <c r="V5" s="4">
        <f t="shared" si="0"/>
        <v>155249.58875783393</v>
      </c>
      <c r="W5" s="4">
        <f t="shared" si="0"/>
        <v>155249.58875783393</v>
      </c>
      <c r="X5" s="4">
        <f t="shared" si="0"/>
        <v>155249.58875783393</v>
      </c>
      <c r="Y5" s="4">
        <f t="shared" si="0"/>
        <v>155249.58875783393</v>
      </c>
      <c r="Z5" s="4">
        <f t="shared" si="0"/>
        <v>155249.58875783393</v>
      </c>
      <c r="AA5" s="4">
        <f t="shared" si="0"/>
        <v>155249.58875783393</v>
      </c>
      <c r="AB5" s="4">
        <f t="shared" si="0"/>
        <v>155249.58875783393</v>
      </c>
      <c r="AC5" s="4">
        <f t="shared" si="0"/>
        <v>155249.58875783393</v>
      </c>
      <c r="AD5" s="4">
        <f t="shared" si="0"/>
        <v>155249.58875783393</v>
      </c>
      <c r="AE5" s="4">
        <f t="shared" si="0"/>
        <v>155249.58875783393</v>
      </c>
      <c r="AF5" s="4">
        <f t="shared" si="0"/>
        <v>155249.58875783393</v>
      </c>
      <c r="AG5" s="4">
        <f t="shared" si="0"/>
        <v>155249.58875783393</v>
      </c>
      <c r="AH5" s="4">
        <f t="shared" si="0"/>
        <v>155249.58875783393</v>
      </c>
      <c r="AI5" s="4">
        <f t="shared" si="0"/>
        <v>155249.58875783393</v>
      </c>
      <c r="AJ5" s="4">
        <f t="shared" si="0"/>
        <v>155249.58875783393</v>
      </c>
      <c r="AK5" s="4">
        <f t="shared" si="0"/>
        <v>155249.58875783393</v>
      </c>
      <c r="AL5" s="4">
        <f t="shared" si="0"/>
        <v>155249.58875783393</v>
      </c>
      <c r="AM5" s="4">
        <f t="shared" si="0"/>
        <v>155249.58875783393</v>
      </c>
      <c r="AN5" s="4">
        <f t="shared" si="0"/>
        <v>155249.58875783393</v>
      </c>
      <c r="AO5" s="4">
        <f t="shared" si="0"/>
        <v>155249.58875783393</v>
      </c>
      <c r="AP5" s="4">
        <f t="shared" si="0"/>
        <v>155249.58875783393</v>
      </c>
      <c r="AQ5" s="4">
        <f t="shared" si="0"/>
        <v>155249.58875783393</v>
      </c>
      <c r="AR5" s="4">
        <f t="shared" si="0"/>
        <v>155249.58875783393</v>
      </c>
      <c r="AS5" s="4">
        <f t="shared" si="0"/>
        <v>155249.58875783393</v>
      </c>
      <c r="AT5" s="4">
        <f t="shared" si="0"/>
        <v>155249.58875783393</v>
      </c>
      <c r="AU5" s="4">
        <f t="shared" si="0"/>
        <v>155249.58875783393</v>
      </c>
      <c r="AV5" s="4">
        <f t="shared" si="0"/>
        <v>155249.58875783393</v>
      </c>
      <c r="AW5" s="4">
        <f t="shared" si="0"/>
        <v>155249.58875783393</v>
      </c>
      <c r="AX5" s="4">
        <f t="shared" si="0"/>
        <v>155249.58875783393</v>
      </c>
      <c r="AY5" s="4">
        <f t="shared" si="0"/>
        <v>155249.58875783393</v>
      </c>
      <c r="AZ5" s="4">
        <f t="shared" si="0"/>
        <v>155249.58875783393</v>
      </c>
      <c r="BA5" s="4">
        <f t="shared" si="0"/>
        <v>155249.58875783393</v>
      </c>
      <c r="BB5" s="4">
        <f t="shared" si="0"/>
        <v>155249.58875783393</v>
      </c>
      <c r="BC5" s="4">
        <f t="shared" si="0"/>
        <v>155249.58875783393</v>
      </c>
      <c r="BD5" s="4">
        <f t="shared" si="0"/>
        <v>155249.58875783393</v>
      </c>
      <c r="BE5" s="4">
        <f t="shared" si="0"/>
        <v>155249.58875783393</v>
      </c>
      <c r="BF5" s="4">
        <f t="shared" si="0"/>
        <v>155249.58875783393</v>
      </c>
      <c r="BG5" s="4">
        <f t="shared" si="0"/>
        <v>155249.58875783393</v>
      </c>
      <c r="BH5" s="4">
        <f t="shared" si="0"/>
        <v>155249.58875783393</v>
      </c>
      <c r="BI5" s="4">
        <f t="shared" si="0"/>
        <v>155249.58875783393</v>
      </c>
      <c r="BJ5" s="4">
        <f t="shared" si="0"/>
        <v>155249.58875783393</v>
      </c>
      <c r="BK5" s="4">
        <f t="shared" si="0"/>
        <v>155249.58875783393</v>
      </c>
      <c r="BL5" s="4">
        <f t="shared" si="0"/>
        <v>155249.58875783393</v>
      </c>
      <c r="BM5" s="4">
        <f t="shared" si="0"/>
        <v>155249.58875783393</v>
      </c>
      <c r="BN5" s="4">
        <f t="shared" ref="BN5:DX8" si="6">BO5</f>
        <v>155249.58875783393</v>
      </c>
      <c r="BO5" s="4">
        <f t="shared" si="6"/>
        <v>155249.58875783393</v>
      </c>
      <c r="BP5" s="4">
        <f t="shared" si="6"/>
        <v>155249.58875783393</v>
      </c>
      <c r="BQ5" s="4">
        <f t="shared" si="6"/>
        <v>155249.58875783393</v>
      </c>
      <c r="BR5" s="4">
        <f t="shared" si="6"/>
        <v>155249.58875783393</v>
      </c>
      <c r="BS5" s="4">
        <f t="shared" si="6"/>
        <v>155249.58875783393</v>
      </c>
      <c r="BT5" s="4">
        <f t="shared" si="6"/>
        <v>155249.58875783393</v>
      </c>
      <c r="BU5" s="4">
        <f t="shared" si="6"/>
        <v>155249.58875783393</v>
      </c>
      <c r="BV5" s="4">
        <f t="shared" si="6"/>
        <v>155249.58875783393</v>
      </c>
      <c r="BW5" s="4">
        <f t="shared" si="6"/>
        <v>155249.58875783393</v>
      </c>
      <c r="BX5" s="4">
        <f t="shared" si="6"/>
        <v>155249.58875783393</v>
      </c>
      <c r="BY5" s="4">
        <f t="shared" si="6"/>
        <v>155249.58875783393</v>
      </c>
      <c r="BZ5" s="4">
        <f t="shared" si="6"/>
        <v>155249.58875783393</v>
      </c>
      <c r="CA5" s="4">
        <f t="shared" si="6"/>
        <v>155249.58875783393</v>
      </c>
      <c r="CB5" s="4">
        <f t="shared" si="6"/>
        <v>155249.58875783393</v>
      </c>
      <c r="CC5" s="4">
        <f t="shared" si="6"/>
        <v>155249.58875783393</v>
      </c>
      <c r="CD5" s="4">
        <f t="shared" si="6"/>
        <v>155249.58875783393</v>
      </c>
      <c r="CE5" s="4">
        <f t="shared" si="6"/>
        <v>155249.58875783393</v>
      </c>
      <c r="CF5" s="4">
        <f t="shared" si="6"/>
        <v>155249.58875783393</v>
      </c>
      <c r="CG5" s="4">
        <f t="shared" si="6"/>
        <v>155249.58875783393</v>
      </c>
      <c r="CH5" s="4">
        <f t="shared" si="6"/>
        <v>155249.58875783393</v>
      </c>
      <c r="CI5" s="4">
        <f t="shared" si="6"/>
        <v>155249.58875783393</v>
      </c>
      <c r="CJ5" s="4">
        <f t="shared" si="6"/>
        <v>155249.58875783393</v>
      </c>
      <c r="CK5" s="4">
        <f t="shared" si="6"/>
        <v>155249.58875783393</v>
      </c>
      <c r="CL5" s="4">
        <f t="shared" si="6"/>
        <v>155249.58875783393</v>
      </c>
      <c r="CM5" s="4">
        <f t="shared" si="6"/>
        <v>155249.58875783393</v>
      </c>
      <c r="CN5" s="4">
        <f t="shared" si="6"/>
        <v>155249.58875783393</v>
      </c>
      <c r="CO5" s="4">
        <f t="shared" si="6"/>
        <v>155249.58875783393</v>
      </c>
      <c r="CP5" s="4">
        <f t="shared" si="6"/>
        <v>155249.58875783393</v>
      </c>
      <c r="CQ5" s="4">
        <f t="shared" si="6"/>
        <v>155249.58875783393</v>
      </c>
      <c r="CR5" s="4">
        <f t="shared" si="6"/>
        <v>155249.58875783393</v>
      </c>
      <c r="CS5" s="4">
        <f t="shared" si="6"/>
        <v>155249.58875783393</v>
      </c>
      <c r="CT5" s="4">
        <f t="shared" si="6"/>
        <v>155249.58875783393</v>
      </c>
      <c r="CU5" s="4">
        <f t="shared" si="6"/>
        <v>155249.58875783393</v>
      </c>
      <c r="CV5" s="4">
        <f t="shared" si="6"/>
        <v>155249.58875783393</v>
      </c>
      <c r="CW5" s="4">
        <f t="shared" si="6"/>
        <v>155249.58875783393</v>
      </c>
      <c r="CX5" s="4">
        <f t="shared" si="6"/>
        <v>155249.58875783393</v>
      </c>
      <c r="CY5" s="4">
        <f t="shared" si="6"/>
        <v>155249.58875783393</v>
      </c>
      <c r="CZ5" s="4">
        <f t="shared" si="6"/>
        <v>155249.58875783393</v>
      </c>
      <c r="DA5" s="4">
        <f t="shared" si="6"/>
        <v>155249.58875783393</v>
      </c>
      <c r="DB5" s="4">
        <f t="shared" si="6"/>
        <v>155249.58875783393</v>
      </c>
      <c r="DC5" s="4">
        <f t="shared" si="6"/>
        <v>155249.58875783393</v>
      </c>
      <c r="DD5" s="4">
        <f t="shared" si="6"/>
        <v>155249.58875783393</v>
      </c>
      <c r="DE5" s="4">
        <f t="shared" si="6"/>
        <v>155249.58875783393</v>
      </c>
      <c r="DF5" s="4">
        <f t="shared" si="6"/>
        <v>155249.58875783393</v>
      </c>
      <c r="DG5" s="4">
        <f t="shared" si="6"/>
        <v>155249.58875783393</v>
      </c>
      <c r="DH5" s="4">
        <f t="shared" si="6"/>
        <v>155249.58875783393</v>
      </c>
      <c r="DI5" s="4">
        <f t="shared" si="6"/>
        <v>155249.58875783393</v>
      </c>
      <c r="DJ5" s="4">
        <f t="shared" si="6"/>
        <v>155249.58875783393</v>
      </c>
      <c r="DK5" s="4">
        <f t="shared" si="6"/>
        <v>155249.58875783393</v>
      </c>
      <c r="DL5" s="4">
        <f t="shared" si="6"/>
        <v>155249.58875783393</v>
      </c>
      <c r="DM5" s="4">
        <f t="shared" si="6"/>
        <v>155249.58875783393</v>
      </c>
      <c r="DN5" s="4">
        <f t="shared" si="6"/>
        <v>155249.58875783393</v>
      </c>
      <c r="DO5" s="4">
        <f t="shared" si="6"/>
        <v>155249.58875783393</v>
      </c>
      <c r="DP5" s="4">
        <f t="shared" si="6"/>
        <v>155249.58875783393</v>
      </c>
      <c r="DQ5" s="4">
        <f t="shared" si="6"/>
        <v>155249.58875783393</v>
      </c>
      <c r="DR5" s="4">
        <f t="shared" si="6"/>
        <v>155249.58875783393</v>
      </c>
      <c r="DS5" s="4">
        <f t="shared" si="6"/>
        <v>155249.58875783393</v>
      </c>
      <c r="DT5" s="4">
        <f t="shared" si="6"/>
        <v>155249.58875783393</v>
      </c>
      <c r="DU5" s="4">
        <f t="shared" si="6"/>
        <v>155249.58875783393</v>
      </c>
      <c r="DV5" s="4">
        <f t="shared" si="6"/>
        <v>155249.58875783393</v>
      </c>
      <c r="DW5" s="4">
        <f t="shared" si="6"/>
        <v>155249.58875783393</v>
      </c>
      <c r="DX5" s="4">
        <f t="shared" si="6"/>
        <v>155249.58875783393</v>
      </c>
      <c r="DY5" s="4">
        <f t="shared" si="4"/>
        <v>155249.58875783393</v>
      </c>
      <c r="DZ5">
        <f>Calculation!B77</f>
        <v>155249.58875783393</v>
      </c>
      <c r="EA5" s="4">
        <f t="shared" si="5"/>
        <v>155249.58875783393</v>
      </c>
      <c r="EB5" s="4">
        <f t="shared" si="2"/>
        <v>155249.58875783393</v>
      </c>
      <c r="EC5" s="4">
        <f t="shared" si="2"/>
        <v>155249.58875783393</v>
      </c>
      <c r="ED5" s="4">
        <f t="shared" si="2"/>
        <v>155249.58875783393</v>
      </c>
      <c r="EE5" s="4">
        <f t="shared" si="2"/>
        <v>155249.58875783393</v>
      </c>
      <c r="EF5" s="4">
        <f t="shared" si="2"/>
        <v>155249.58875783393</v>
      </c>
      <c r="EG5" s="4">
        <f t="shared" si="2"/>
        <v>155249.58875783393</v>
      </c>
      <c r="EH5" s="4">
        <f t="shared" si="2"/>
        <v>155249.58875783393</v>
      </c>
      <c r="EI5" s="4">
        <f t="shared" si="2"/>
        <v>155249.58875783393</v>
      </c>
      <c r="EJ5" s="4">
        <f t="shared" si="2"/>
        <v>155249.58875783393</v>
      </c>
      <c r="EK5" s="4">
        <f t="shared" si="2"/>
        <v>155249.58875783393</v>
      </c>
      <c r="EL5" s="4">
        <f t="shared" si="2"/>
        <v>155249.58875783393</v>
      </c>
      <c r="EM5" s="4">
        <f t="shared" si="2"/>
        <v>155249.58875783393</v>
      </c>
      <c r="EN5" s="4">
        <f t="shared" si="2"/>
        <v>155249.58875783393</v>
      </c>
      <c r="EO5" s="4">
        <f t="shared" si="2"/>
        <v>155249.58875783393</v>
      </c>
      <c r="EP5" s="4">
        <f t="shared" si="2"/>
        <v>155249.58875783393</v>
      </c>
      <c r="EQ5" s="4">
        <f t="shared" si="2"/>
        <v>155249.58875783393</v>
      </c>
      <c r="ER5" s="4">
        <f t="shared" si="2"/>
        <v>155249.58875783393</v>
      </c>
      <c r="ES5" s="4">
        <f t="shared" si="2"/>
        <v>155249.58875783393</v>
      </c>
      <c r="ET5" s="4">
        <f t="shared" si="2"/>
        <v>155249.58875783393</v>
      </c>
      <c r="EU5" s="4">
        <f t="shared" si="2"/>
        <v>155249.58875783393</v>
      </c>
      <c r="EV5" s="4">
        <f t="shared" si="2"/>
        <v>155249.58875783393</v>
      </c>
      <c r="EW5" s="4">
        <f t="shared" si="2"/>
        <v>155249.58875783393</v>
      </c>
      <c r="EX5" s="4">
        <f t="shared" si="2"/>
        <v>155249.58875783393</v>
      </c>
      <c r="EY5" s="4">
        <f t="shared" si="2"/>
        <v>155249.58875783393</v>
      </c>
      <c r="EZ5" s="4">
        <f t="shared" si="2"/>
        <v>155249.58875783393</v>
      </c>
      <c r="FA5" s="4">
        <f t="shared" si="2"/>
        <v>155249.58875783393</v>
      </c>
      <c r="FB5" s="4">
        <f t="shared" si="2"/>
        <v>155249.58875783393</v>
      </c>
      <c r="FC5" s="4">
        <f t="shared" si="2"/>
        <v>155249.58875783393</v>
      </c>
      <c r="FD5" s="4">
        <f t="shared" si="2"/>
        <v>155249.58875783393</v>
      </c>
      <c r="FE5" s="4">
        <f t="shared" si="2"/>
        <v>155249.58875783393</v>
      </c>
      <c r="FF5" s="4">
        <f t="shared" si="3"/>
        <v>155249.58875783393</v>
      </c>
      <c r="FG5" s="4">
        <f t="shared" si="3"/>
        <v>155249.58875783393</v>
      </c>
      <c r="FH5" s="4">
        <f t="shared" si="3"/>
        <v>155249.58875783393</v>
      </c>
      <c r="FI5" s="4">
        <f t="shared" si="3"/>
        <v>155249.58875783393</v>
      </c>
      <c r="FJ5" s="4">
        <f t="shared" si="3"/>
        <v>155249.58875783393</v>
      </c>
      <c r="FK5" s="4">
        <f t="shared" si="3"/>
        <v>155249.58875783393</v>
      </c>
      <c r="FL5" s="4">
        <f t="shared" si="3"/>
        <v>155249.58875783393</v>
      </c>
      <c r="FM5" s="4">
        <f t="shared" si="3"/>
        <v>155249.58875783393</v>
      </c>
      <c r="FN5" s="4">
        <f t="shared" si="3"/>
        <v>155249.58875783393</v>
      </c>
      <c r="FO5" s="4">
        <f t="shared" si="3"/>
        <v>155249.58875783393</v>
      </c>
      <c r="FP5" s="4">
        <f t="shared" si="3"/>
        <v>155249.58875783393</v>
      </c>
      <c r="FQ5" s="4">
        <f t="shared" si="3"/>
        <v>155249.58875783393</v>
      </c>
      <c r="FR5" s="4">
        <f t="shared" si="3"/>
        <v>155249.58875783393</v>
      </c>
      <c r="FS5" s="4">
        <f t="shared" si="3"/>
        <v>155249.58875783393</v>
      </c>
      <c r="FT5" s="4">
        <f t="shared" si="3"/>
        <v>155249.58875783393</v>
      </c>
      <c r="FU5" s="4">
        <f t="shared" si="3"/>
        <v>155249.58875783393</v>
      </c>
      <c r="FV5" s="4">
        <f t="shared" si="3"/>
        <v>155249.58875783393</v>
      </c>
      <c r="FW5" s="4">
        <f t="shared" si="3"/>
        <v>155249.58875783393</v>
      </c>
      <c r="FX5" s="4">
        <f t="shared" si="3"/>
        <v>155249.58875783393</v>
      </c>
      <c r="FY5" s="4">
        <f t="shared" si="3"/>
        <v>155249.58875783393</v>
      </c>
      <c r="FZ5" s="4">
        <f t="shared" si="3"/>
        <v>155249.58875783393</v>
      </c>
      <c r="GA5" s="4">
        <f t="shared" si="3"/>
        <v>155249.58875783393</v>
      </c>
      <c r="GB5" s="4">
        <f t="shared" si="3"/>
        <v>155249.58875783393</v>
      </c>
      <c r="GC5" s="4">
        <f t="shared" si="3"/>
        <v>155249.58875783393</v>
      </c>
      <c r="GD5" s="4">
        <f t="shared" si="3"/>
        <v>155249.58875783393</v>
      </c>
      <c r="GE5" s="4">
        <f t="shared" si="3"/>
        <v>155249.58875783393</v>
      </c>
      <c r="GF5" s="4">
        <f t="shared" si="3"/>
        <v>155249.58875783393</v>
      </c>
      <c r="GG5" s="4">
        <f t="shared" si="3"/>
        <v>155249.58875783393</v>
      </c>
      <c r="GH5" s="4">
        <f t="shared" si="3"/>
        <v>155249.58875783393</v>
      </c>
      <c r="GI5" s="4">
        <f t="shared" si="3"/>
        <v>155249.58875783393</v>
      </c>
      <c r="GJ5" s="4">
        <f t="shared" si="3"/>
        <v>155249.58875783393</v>
      </c>
      <c r="GK5" s="4">
        <f t="shared" si="3"/>
        <v>155249.58875783393</v>
      </c>
      <c r="GL5" s="4">
        <f t="shared" si="3"/>
        <v>155249.58875783393</v>
      </c>
      <c r="GM5" s="4">
        <f t="shared" si="3"/>
        <v>155249.58875783393</v>
      </c>
      <c r="GN5" s="4">
        <f t="shared" si="3"/>
        <v>155249.58875783393</v>
      </c>
      <c r="GO5" s="4">
        <f t="shared" si="3"/>
        <v>155249.58875783393</v>
      </c>
      <c r="GP5" s="4">
        <f t="shared" si="3"/>
        <v>155249.58875783393</v>
      </c>
      <c r="GQ5" s="4">
        <f t="shared" si="3"/>
        <v>155249.58875783393</v>
      </c>
      <c r="GR5" s="4">
        <f t="shared" si="3"/>
        <v>155249.58875783393</v>
      </c>
      <c r="GS5" s="4">
        <f t="shared" si="3"/>
        <v>155249.58875783393</v>
      </c>
      <c r="GT5" s="4">
        <f t="shared" si="3"/>
        <v>155249.58875783393</v>
      </c>
      <c r="GU5" s="4">
        <f t="shared" si="3"/>
        <v>155249.58875783393</v>
      </c>
      <c r="GV5" s="4">
        <f t="shared" si="3"/>
        <v>155249.58875783393</v>
      </c>
      <c r="GW5" s="4">
        <f t="shared" si="3"/>
        <v>155249.58875783393</v>
      </c>
      <c r="GX5" s="4">
        <f t="shared" si="3"/>
        <v>155249.58875783393</v>
      </c>
      <c r="GY5" s="4">
        <f t="shared" si="3"/>
        <v>155249.58875783393</v>
      </c>
      <c r="GZ5" s="4">
        <f t="shared" si="3"/>
        <v>155249.58875783393</v>
      </c>
      <c r="HA5" s="4">
        <f t="shared" si="3"/>
        <v>155249.58875783393</v>
      </c>
      <c r="HB5" s="4">
        <f t="shared" si="3"/>
        <v>155249.58875783393</v>
      </c>
      <c r="HC5" s="4">
        <f t="shared" si="3"/>
        <v>155249.58875783393</v>
      </c>
    </row>
    <row r="6" spans="1:211">
      <c r="A6" t="s">
        <v>6</v>
      </c>
      <c r="B6" s="4">
        <v>16314.108873239436</v>
      </c>
      <c r="C6" s="4">
        <f t="shared" ref="C6:BN9" si="7">D6</f>
        <v>16314.108873239436</v>
      </c>
      <c r="D6" s="4">
        <f t="shared" si="7"/>
        <v>16314.108873239436</v>
      </c>
      <c r="E6" s="4">
        <f t="shared" si="7"/>
        <v>16314.108873239436</v>
      </c>
      <c r="F6" s="4">
        <f t="shared" si="7"/>
        <v>16314.108873239436</v>
      </c>
      <c r="G6" s="4">
        <f t="shared" si="7"/>
        <v>16314.108873239436</v>
      </c>
      <c r="H6" s="4">
        <f t="shared" si="7"/>
        <v>16314.108873239436</v>
      </c>
      <c r="I6" s="4">
        <f t="shared" si="7"/>
        <v>16314.108873239436</v>
      </c>
      <c r="J6" s="4">
        <f t="shared" si="7"/>
        <v>16314.108873239436</v>
      </c>
      <c r="K6" s="4">
        <f t="shared" si="7"/>
        <v>16314.108873239436</v>
      </c>
      <c r="L6" s="4">
        <f t="shared" si="7"/>
        <v>16314.108873239436</v>
      </c>
      <c r="M6" s="4">
        <f t="shared" si="7"/>
        <v>16314.108873239436</v>
      </c>
      <c r="N6" s="4">
        <f t="shared" si="7"/>
        <v>16314.108873239436</v>
      </c>
      <c r="O6" s="4">
        <f t="shared" si="7"/>
        <v>16314.108873239436</v>
      </c>
      <c r="P6" s="4">
        <f t="shared" si="7"/>
        <v>16314.108873239436</v>
      </c>
      <c r="Q6" s="4">
        <f t="shared" si="7"/>
        <v>16314.108873239436</v>
      </c>
      <c r="R6" s="4">
        <f t="shared" si="7"/>
        <v>16314.108873239436</v>
      </c>
      <c r="S6" s="4">
        <f t="shared" si="7"/>
        <v>16314.108873239436</v>
      </c>
      <c r="T6" s="4">
        <f t="shared" si="7"/>
        <v>16314.108873239436</v>
      </c>
      <c r="U6" s="4">
        <f t="shared" si="7"/>
        <v>16314.108873239436</v>
      </c>
      <c r="V6" s="4">
        <f t="shared" si="7"/>
        <v>16314.108873239436</v>
      </c>
      <c r="W6" s="4">
        <f t="shared" si="7"/>
        <v>16314.108873239436</v>
      </c>
      <c r="X6" s="4">
        <f t="shared" si="7"/>
        <v>16314.108873239436</v>
      </c>
      <c r="Y6" s="4">
        <f t="shared" si="7"/>
        <v>16314.108873239436</v>
      </c>
      <c r="Z6" s="4">
        <f t="shared" si="7"/>
        <v>16314.108873239436</v>
      </c>
      <c r="AA6" s="4">
        <f t="shared" si="7"/>
        <v>16314.108873239436</v>
      </c>
      <c r="AB6" s="4">
        <f t="shared" si="7"/>
        <v>16314.108873239436</v>
      </c>
      <c r="AC6" s="4">
        <f t="shared" si="7"/>
        <v>16314.108873239436</v>
      </c>
      <c r="AD6" s="4">
        <f t="shared" si="7"/>
        <v>16314.108873239436</v>
      </c>
      <c r="AE6" s="4">
        <f t="shared" si="7"/>
        <v>16314.108873239436</v>
      </c>
      <c r="AF6" s="4">
        <f t="shared" si="7"/>
        <v>16314.108873239436</v>
      </c>
      <c r="AG6" s="4">
        <f t="shared" si="7"/>
        <v>16314.108873239436</v>
      </c>
      <c r="AH6" s="4">
        <f t="shared" si="7"/>
        <v>16314.108873239436</v>
      </c>
      <c r="AI6" s="4">
        <f t="shared" si="7"/>
        <v>16314.108873239436</v>
      </c>
      <c r="AJ6" s="4">
        <f t="shared" si="7"/>
        <v>16314.108873239436</v>
      </c>
      <c r="AK6" s="4">
        <f t="shared" si="7"/>
        <v>16314.108873239436</v>
      </c>
      <c r="AL6" s="4">
        <f t="shared" si="7"/>
        <v>16314.108873239436</v>
      </c>
      <c r="AM6" s="4">
        <f t="shared" si="7"/>
        <v>16314.108873239436</v>
      </c>
      <c r="AN6" s="4">
        <f t="shared" si="7"/>
        <v>16314.108873239436</v>
      </c>
      <c r="AO6" s="4">
        <f t="shared" si="7"/>
        <v>16314.108873239436</v>
      </c>
      <c r="AP6" s="4">
        <f t="shared" si="7"/>
        <v>16314.108873239436</v>
      </c>
      <c r="AQ6" s="4">
        <f t="shared" si="7"/>
        <v>16314.108873239436</v>
      </c>
      <c r="AR6" s="4">
        <f t="shared" si="7"/>
        <v>16314.108873239436</v>
      </c>
      <c r="AS6" s="4">
        <f t="shared" si="7"/>
        <v>16314.108873239436</v>
      </c>
      <c r="AT6" s="4">
        <f t="shared" si="7"/>
        <v>16314.108873239436</v>
      </c>
      <c r="AU6" s="4">
        <f t="shared" si="7"/>
        <v>16314.108873239436</v>
      </c>
      <c r="AV6" s="4">
        <f t="shared" si="7"/>
        <v>16314.108873239436</v>
      </c>
      <c r="AW6" s="4">
        <f t="shared" si="7"/>
        <v>16314.108873239436</v>
      </c>
      <c r="AX6" s="4">
        <f t="shared" si="7"/>
        <v>16314.108873239436</v>
      </c>
      <c r="AY6" s="4">
        <f t="shared" si="7"/>
        <v>16314.108873239436</v>
      </c>
      <c r="AZ6" s="4">
        <f t="shared" si="7"/>
        <v>16314.108873239436</v>
      </c>
      <c r="BA6" s="4">
        <f t="shared" si="7"/>
        <v>16314.108873239436</v>
      </c>
      <c r="BB6" s="4">
        <f t="shared" si="7"/>
        <v>16314.108873239436</v>
      </c>
      <c r="BC6" s="4">
        <f t="shared" si="7"/>
        <v>16314.108873239436</v>
      </c>
      <c r="BD6" s="4">
        <f t="shared" si="7"/>
        <v>16314.108873239436</v>
      </c>
      <c r="BE6" s="4">
        <f t="shared" si="7"/>
        <v>16314.108873239436</v>
      </c>
      <c r="BF6" s="4">
        <f t="shared" si="7"/>
        <v>16314.108873239436</v>
      </c>
      <c r="BG6" s="4">
        <f t="shared" si="7"/>
        <v>16314.108873239436</v>
      </c>
      <c r="BH6" s="4">
        <f t="shared" si="7"/>
        <v>16314.108873239436</v>
      </c>
      <c r="BI6" s="4">
        <f t="shared" si="7"/>
        <v>16314.108873239436</v>
      </c>
      <c r="BJ6" s="4">
        <f t="shared" si="7"/>
        <v>16314.108873239436</v>
      </c>
      <c r="BK6" s="4">
        <f t="shared" si="7"/>
        <v>16314.108873239436</v>
      </c>
      <c r="BL6" s="4">
        <f t="shared" si="7"/>
        <v>16314.108873239436</v>
      </c>
      <c r="BM6" s="4">
        <f t="shared" si="7"/>
        <v>16314.108873239436</v>
      </c>
      <c r="BN6" s="4">
        <f t="shared" si="7"/>
        <v>16314.108873239436</v>
      </c>
      <c r="BO6" s="4">
        <f t="shared" si="6"/>
        <v>16314.108873239436</v>
      </c>
      <c r="BP6" s="4">
        <f t="shared" si="6"/>
        <v>16314.108873239436</v>
      </c>
      <c r="BQ6" s="4">
        <f t="shared" si="6"/>
        <v>16314.108873239436</v>
      </c>
      <c r="BR6" s="4">
        <f t="shared" si="6"/>
        <v>16314.108873239436</v>
      </c>
      <c r="BS6" s="4">
        <f t="shared" si="6"/>
        <v>16314.108873239436</v>
      </c>
      <c r="BT6" s="4">
        <f t="shared" si="6"/>
        <v>16314.108873239436</v>
      </c>
      <c r="BU6" s="4">
        <f t="shared" si="6"/>
        <v>16314.108873239436</v>
      </c>
      <c r="BV6" s="4">
        <f t="shared" si="6"/>
        <v>16314.108873239436</v>
      </c>
      <c r="BW6" s="4">
        <f t="shared" si="6"/>
        <v>16314.108873239436</v>
      </c>
      <c r="BX6" s="4">
        <f t="shared" si="6"/>
        <v>16314.108873239436</v>
      </c>
      <c r="BY6" s="4">
        <f t="shared" si="6"/>
        <v>16314.108873239436</v>
      </c>
      <c r="BZ6" s="4">
        <f t="shared" si="6"/>
        <v>16314.108873239436</v>
      </c>
      <c r="CA6" s="4">
        <f t="shared" si="6"/>
        <v>16314.108873239436</v>
      </c>
      <c r="CB6" s="4">
        <f t="shared" si="6"/>
        <v>16314.108873239436</v>
      </c>
      <c r="CC6" s="4">
        <f t="shared" si="6"/>
        <v>16314.108873239436</v>
      </c>
      <c r="CD6" s="4">
        <f t="shared" si="6"/>
        <v>16314.108873239436</v>
      </c>
      <c r="CE6" s="4">
        <f t="shared" si="6"/>
        <v>16314.108873239436</v>
      </c>
      <c r="CF6" s="4">
        <f t="shared" si="6"/>
        <v>16314.108873239436</v>
      </c>
      <c r="CG6" s="4">
        <f t="shared" si="6"/>
        <v>16314.108873239436</v>
      </c>
      <c r="CH6" s="4">
        <f t="shared" si="6"/>
        <v>16314.108873239436</v>
      </c>
      <c r="CI6" s="4">
        <f t="shared" si="6"/>
        <v>16314.108873239436</v>
      </c>
      <c r="CJ6" s="4">
        <f t="shared" si="6"/>
        <v>16314.108873239436</v>
      </c>
      <c r="CK6" s="4">
        <f t="shared" si="6"/>
        <v>16314.108873239436</v>
      </c>
      <c r="CL6" s="4">
        <f t="shared" si="6"/>
        <v>16314.108873239436</v>
      </c>
      <c r="CM6" s="4">
        <f t="shared" si="6"/>
        <v>16314.108873239436</v>
      </c>
      <c r="CN6" s="4">
        <f t="shared" si="6"/>
        <v>16314.108873239436</v>
      </c>
      <c r="CO6" s="4">
        <f t="shared" si="6"/>
        <v>16314.108873239436</v>
      </c>
      <c r="CP6" s="4">
        <f t="shared" si="6"/>
        <v>16314.108873239436</v>
      </c>
      <c r="CQ6" s="4">
        <f t="shared" si="6"/>
        <v>16314.108873239436</v>
      </c>
      <c r="CR6" s="4">
        <f t="shared" si="6"/>
        <v>16314.108873239436</v>
      </c>
      <c r="CS6" s="4">
        <f t="shared" si="6"/>
        <v>16314.108873239436</v>
      </c>
      <c r="CT6" s="4">
        <f t="shared" si="6"/>
        <v>16314.108873239436</v>
      </c>
      <c r="CU6" s="4">
        <f t="shared" si="6"/>
        <v>16314.108873239436</v>
      </c>
      <c r="CV6" s="4">
        <f t="shared" si="6"/>
        <v>16314.108873239436</v>
      </c>
      <c r="CW6" s="4">
        <f t="shared" si="6"/>
        <v>16314.108873239436</v>
      </c>
      <c r="CX6" s="4">
        <f t="shared" si="6"/>
        <v>16314.108873239436</v>
      </c>
      <c r="CY6" s="4">
        <f t="shared" si="6"/>
        <v>16314.108873239436</v>
      </c>
      <c r="CZ6" s="4">
        <f t="shared" si="6"/>
        <v>16314.108873239436</v>
      </c>
      <c r="DA6" s="4">
        <f t="shared" si="6"/>
        <v>16314.108873239436</v>
      </c>
      <c r="DB6" s="4">
        <f t="shared" si="6"/>
        <v>16314.108873239436</v>
      </c>
      <c r="DC6" s="4">
        <f t="shared" si="6"/>
        <v>16314.108873239436</v>
      </c>
      <c r="DD6" s="4">
        <f t="shared" si="6"/>
        <v>16314.108873239436</v>
      </c>
      <c r="DE6" s="4">
        <f t="shared" si="6"/>
        <v>16314.108873239436</v>
      </c>
      <c r="DF6" s="4">
        <f t="shared" si="6"/>
        <v>16314.108873239436</v>
      </c>
      <c r="DG6" s="4">
        <f t="shared" si="6"/>
        <v>16314.108873239436</v>
      </c>
      <c r="DH6" s="4">
        <f t="shared" si="6"/>
        <v>16314.108873239436</v>
      </c>
      <c r="DI6" s="4">
        <f t="shared" si="6"/>
        <v>16314.108873239436</v>
      </c>
      <c r="DJ6" s="4">
        <f t="shared" si="6"/>
        <v>16314.108873239436</v>
      </c>
      <c r="DK6" s="4">
        <f t="shared" si="6"/>
        <v>16314.108873239436</v>
      </c>
      <c r="DL6" s="4">
        <f t="shared" si="6"/>
        <v>16314.108873239436</v>
      </c>
      <c r="DM6" s="4">
        <f t="shared" si="6"/>
        <v>16314.108873239436</v>
      </c>
      <c r="DN6" s="4">
        <f t="shared" si="6"/>
        <v>16314.108873239436</v>
      </c>
      <c r="DO6" s="4">
        <f t="shared" si="6"/>
        <v>16314.108873239436</v>
      </c>
      <c r="DP6" s="4">
        <f t="shared" si="6"/>
        <v>16314.108873239436</v>
      </c>
      <c r="DQ6" s="4">
        <f t="shared" si="6"/>
        <v>16314.108873239436</v>
      </c>
      <c r="DR6" s="4">
        <f t="shared" si="6"/>
        <v>16314.108873239436</v>
      </c>
      <c r="DS6" s="4">
        <f t="shared" si="6"/>
        <v>16314.108873239436</v>
      </c>
      <c r="DT6" s="4">
        <f t="shared" si="6"/>
        <v>16314.108873239436</v>
      </c>
      <c r="DU6" s="4">
        <f t="shared" si="6"/>
        <v>16314.108873239436</v>
      </c>
      <c r="DV6" s="4">
        <f t="shared" si="6"/>
        <v>16314.108873239436</v>
      </c>
      <c r="DW6" s="4">
        <f t="shared" si="6"/>
        <v>16314.108873239436</v>
      </c>
      <c r="DX6" s="4">
        <f t="shared" si="6"/>
        <v>16314.108873239436</v>
      </c>
      <c r="DY6" s="4">
        <f t="shared" si="4"/>
        <v>16314.108873239436</v>
      </c>
      <c r="DZ6" s="4">
        <f>'CCaMC-AFOaMCpUC US'!B6</f>
        <v>16314.108873239436</v>
      </c>
      <c r="EA6" s="4">
        <f t="shared" si="5"/>
        <v>16314.108873239436</v>
      </c>
      <c r="EB6" s="4">
        <f t="shared" si="2"/>
        <v>16314.108873239436</v>
      </c>
      <c r="EC6" s="4">
        <f t="shared" si="2"/>
        <v>16314.108873239436</v>
      </c>
      <c r="ED6" s="4">
        <f t="shared" si="2"/>
        <v>16314.108873239436</v>
      </c>
      <c r="EE6" s="4">
        <f t="shared" si="2"/>
        <v>16314.108873239436</v>
      </c>
      <c r="EF6" s="4">
        <f t="shared" si="2"/>
        <v>16314.108873239436</v>
      </c>
      <c r="EG6" s="4">
        <f t="shared" si="2"/>
        <v>16314.108873239436</v>
      </c>
      <c r="EH6" s="4">
        <f t="shared" si="2"/>
        <v>16314.108873239436</v>
      </c>
      <c r="EI6" s="4">
        <f t="shared" si="2"/>
        <v>16314.108873239436</v>
      </c>
      <c r="EJ6" s="4">
        <f t="shared" si="2"/>
        <v>16314.108873239436</v>
      </c>
      <c r="EK6" s="4">
        <f t="shared" si="2"/>
        <v>16314.108873239436</v>
      </c>
      <c r="EL6" s="4">
        <f t="shared" si="2"/>
        <v>16314.108873239436</v>
      </c>
      <c r="EM6" s="4">
        <f t="shared" si="2"/>
        <v>16314.108873239436</v>
      </c>
      <c r="EN6" s="4">
        <f t="shared" si="2"/>
        <v>16314.108873239436</v>
      </c>
      <c r="EO6" s="4">
        <f t="shared" si="2"/>
        <v>16314.108873239436</v>
      </c>
      <c r="EP6" s="4">
        <f t="shared" si="2"/>
        <v>16314.108873239436</v>
      </c>
      <c r="EQ6" s="4">
        <f t="shared" si="2"/>
        <v>16314.108873239436</v>
      </c>
      <c r="ER6" s="4">
        <f t="shared" si="2"/>
        <v>16314.108873239436</v>
      </c>
      <c r="ES6" s="4">
        <f t="shared" si="2"/>
        <v>16314.108873239436</v>
      </c>
      <c r="ET6" s="4">
        <f t="shared" si="2"/>
        <v>16314.108873239436</v>
      </c>
      <c r="EU6" s="4">
        <f t="shared" si="2"/>
        <v>16314.108873239436</v>
      </c>
      <c r="EV6" s="4">
        <f t="shared" si="2"/>
        <v>16314.108873239436</v>
      </c>
      <c r="EW6" s="4">
        <f t="shared" si="2"/>
        <v>16314.108873239436</v>
      </c>
      <c r="EX6" s="4">
        <f t="shared" si="2"/>
        <v>16314.108873239436</v>
      </c>
      <c r="EY6" s="4">
        <f t="shared" si="2"/>
        <v>16314.108873239436</v>
      </c>
      <c r="EZ6" s="4">
        <f t="shared" si="2"/>
        <v>16314.108873239436</v>
      </c>
      <c r="FA6" s="4">
        <f t="shared" si="2"/>
        <v>16314.108873239436</v>
      </c>
      <c r="FB6" s="4">
        <f t="shared" si="2"/>
        <v>16314.108873239436</v>
      </c>
      <c r="FC6" s="4">
        <f t="shared" si="2"/>
        <v>16314.108873239436</v>
      </c>
      <c r="FD6" s="4">
        <f t="shared" si="2"/>
        <v>16314.108873239436</v>
      </c>
      <c r="FE6" s="4">
        <f t="shared" si="2"/>
        <v>16314.108873239436</v>
      </c>
      <c r="FF6" s="4">
        <f t="shared" si="3"/>
        <v>16314.108873239436</v>
      </c>
      <c r="FG6" s="4">
        <f t="shared" si="3"/>
        <v>16314.108873239436</v>
      </c>
      <c r="FH6" s="4">
        <f t="shared" si="3"/>
        <v>16314.108873239436</v>
      </c>
      <c r="FI6" s="4">
        <f t="shared" si="3"/>
        <v>16314.108873239436</v>
      </c>
      <c r="FJ6" s="4">
        <f t="shared" si="3"/>
        <v>16314.108873239436</v>
      </c>
      <c r="FK6" s="4">
        <f t="shared" si="3"/>
        <v>16314.108873239436</v>
      </c>
      <c r="FL6" s="4">
        <f t="shared" si="3"/>
        <v>16314.108873239436</v>
      </c>
      <c r="FM6" s="4">
        <f t="shared" si="3"/>
        <v>16314.108873239436</v>
      </c>
      <c r="FN6" s="4">
        <f t="shared" si="3"/>
        <v>16314.108873239436</v>
      </c>
      <c r="FO6" s="4">
        <f t="shared" si="3"/>
        <v>16314.108873239436</v>
      </c>
      <c r="FP6" s="4">
        <f t="shared" si="3"/>
        <v>16314.108873239436</v>
      </c>
      <c r="FQ6" s="4">
        <f t="shared" si="3"/>
        <v>16314.108873239436</v>
      </c>
      <c r="FR6" s="4">
        <f t="shared" si="3"/>
        <v>16314.108873239436</v>
      </c>
      <c r="FS6" s="4">
        <f t="shared" si="3"/>
        <v>16314.108873239436</v>
      </c>
      <c r="FT6" s="4">
        <f t="shared" si="3"/>
        <v>16314.108873239436</v>
      </c>
      <c r="FU6" s="4">
        <f t="shared" si="3"/>
        <v>16314.108873239436</v>
      </c>
      <c r="FV6" s="4">
        <f t="shared" si="3"/>
        <v>16314.108873239436</v>
      </c>
      <c r="FW6" s="4">
        <f t="shared" si="3"/>
        <v>16314.108873239436</v>
      </c>
      <c r="FX6" s="4">
        <f t="shared" si="3"/>
        <v>16314.108873239436</v>
      </c>
      <c r="FY6" s="4">
        <f t="shared" si="3"/>
        <v>16314.108873239436</v>
      </c>
      <c r="FZ6" s="4">
        <f t="shared" si="3"/>
        <v>16314.108873239436</v>
      </c>
      <c r="GA6" s="4">
        <f t="shared" si="3"/>
        <v>16314.108873239436</v>
      </c>
      <c r="GB6" s="4">
        <f t="shared" si="3"/>
        <v>16314.108873239436</v>
      </c>
      <c r="GC6" s="4">
        <f t="shared" si="3"/>
        <v>16314.108873239436</v>
      </c>
      <c r="GD6" s="4">
        <f t="shared" si="3"/>
        <v>16314.108873239436</v>
      </c>
      <c r="GE6" s="4">
        <f t="shared" si="3"/>
        <v>16314.108873239436</v>
      </c>
      <c r="GF6" s="4">
        <f t="shared" si="3"/>
        <v>16314.108873239436</v>
      </c>
      <c r="GG6" s="4">
        <f t="shared" si="3"/>
        <v>16314.108873239436</v>
      </c>
      <c r="GH6" s="4">
        <f t="shared" si="3"/>
        <v>16314.108873239436</v>
      </c>
      <c r="GI6" s="4">
        <f t="shared" si="3"/>
        <v>16314.108873239436</v>
      </c>
      <c r="GJ6" s="4">
        <f t="shared" si="3"/>
        <v>16314.108873239436</v>
      </c>
      <c r="GK6" s="4">
        <f t="shared" si="3"/>
        <v>16314.108873239436</v>
      </c>
      <c r="GL6" s="4">
        <f t="shared" si="3"/>
        <v>16314.108873239436</v>
      </c>
      <c r="GM6" s="4">
        <f t="shared" si="3"/>
        <v>16314.108873239436</v>
      </c>
      <c r="GN6" s="4">
        <f t="shared" si="3"/>
        <v>16314.108873239436</v>
      </c>
      <c r="GO6" s="4">
        <f t="shared" si="3"/>
        <v>16314.108873239436</v>
      </c>
      <c r="GP6" s="4">
        <f t="shared" si="3"/>
        <v>16314.108873239436</v>
      </c>
      <c r="GQ6" s="4">
        <f t="shared" si="3"/>
        <v>16314.108873239436</v>
      </c>
      <c r="GR6" s="4">
        <f t="shared" si="3"/>
        <v>16314.108873239436</v>
      </c>
      <c r="GS6" s="4">
        <f t="shared" si="3"/>
        <v>16314.108873239436</v>
      </c>
      <c r="GT6" s="4">
        <f t="shared" si="3"/>
        <v>16314.108873239436</v>
      </c>
      <c r="GU6" s="4">
        <f t="shared" si="3"/>
        <v>16314.108873239436</v>
      </c>
      <c r="GV6" s="4">
        <f t="shared" si="3"/>
        <v>16314.108873239436</v>
      </c>
      <c r="GW6" s="4">
        <f t="shared" si="3"/>
        <v>16314.108873239436</v>
      </c>
      <c r="GX6" s="4">
        <f t="shared" si="3"/>
        <v>16314.108873239436</v>
      </c>
      <c r="GY6" s="4">
        <f t="shared" si="3"/>
        <v>16314.108873239436</v>
      </c>
      <c r="GZ6" s="4">
        <f t="shared" si="3"/>
        <v>16314.108873239436</v>
      </c>
      <c r="HA6" s="4">
        <f t="shared" si="3"/>
        <v>16314.108873239436</v>
      </c>
      <c r="HB6" s="4">
        <f t="shared" si="3"/>
        <v>16314.108873239436</v>
      </c>
      <c r="HC6" s="4">
        <f t="shared" si="3"/>
        <v>16314.108873239436</v>
      </c>
    </row>
    <row r="7" spans="1:211">
      <c r="A7" t="s">
        <v>18</v>
      </c>
      <c r="B7" s="4">
        <v>43246.885329265191</v>
      </c>
      <c r="C7" s="4">
        <f t="shared" si="7"/>
        <v>47454.337266451825</v>
      </c>
      <c r="D7" s="4">
        <f t="shared" si="7"/>
        <v>47454.337266451825</v>
      </c>
      <c r="E7" s="4">
        <f t="shared" si="7"/>
        <v>47454.337266451825</v>
      </c>
      <c r="F7" s="4">
        <f t="shared" si="7"/>
        <v>47454.337266451825</v>
      </c>
      <c r="G7" s="4">
        <f t="shared" si="7"/>
        <v>47454.337266451825</v>
      </c>
      <c r="H7" s="4">
        <f t="shared" si="7"/>
        <v>47454.337266451825</v>
      </c>
      <c r="I7" s="4">
        <f t="shared" si="7"/>
        <v>47454.337266451825</v>
      </c>
      <c r="J7" s="4">
        <f t="shared" si="7"/>
        <v>47454.337266451825</v>
      </c>
      <c r="K7" s="4">
        <f t="shared" si="7"/>
        <v>47454.337266451825</v>
      </c>
      <c r="L7" s="4">
        <f t="shared" si="7"/>
        <v>47454.337266451825</v>
      </c>
      <c r="M7" s="4">
        <f t="shared" si="7"/>
        <v>47454.337266451825</v>
      </c>
      <c r="N7" s="4">
        <f t="shared" si="7"/>
        <v>47454.337266451825</v>
      </c>
      <c r="O7" s="4">
        <f t="shared" si="7"/>
        <v>47454.337266451825</v>
      </c>
      <c r="P7" s="4">
        <f t="shared" si="7"/>
        <v>47454.337266451825</v>
      </c>
      <c r="Q7" s="4">
        <f t="shared" si="7"/>
        <v>47454.337266451825</v>
      </c>
      <c r="R7" s="4">
        <f t="shared" si="7"/>
        <v>47454.337266451825</v>
      </c>
      <c r="S7" s="4">
        <f t="shared" si="7"/>
        <v>47454.337266451825</v>
      </c>
      <c r="T7" s="4">
        <f t="shared" si="7"/>
        <v>47454.337266451825</v>
      </c>
      <c r="U7" s="4">
        <f t="shared" si="7"/>
        <v>47454.337266451825</v>
      </c>
      <c r="V7" s="4">
        <f t="shared" si="7"/>
        <v>47454.337266451825</v>
      </c>
      <c r="W7" s="4">
        <f t="shared" si="7"/>
        <v>47454.337266451825</v>
      </c>
      <c r="X7" s="4">
        <f t="shared" si="7"/>
        <v>47454.337266451825</v>
      </c>
      <c r="Y7" s="4">
        <f t="shared" si="7"/>
        <v>47454.337266451825</v>
      </c>
      <c r="Z7" s="4">
        <f t="shared" si="7"/>
        <v>47454.337266451825</v>
      </c>
      <c r="AA7" s="4">
        <f t="shared" si="7"/>
        <v>47454.337266451825</v>
      </c>
      <c r="AB7" s="4">
        <f t="shared" si="7"/>
        <v>47454.337266451825</v>
      </c>
      <c r="AC7" s="4">
        <f t="shared" si="7"/>
        <v>47454.337266451825</v>
      </c>
      <c r="AD7" s="4">
        <f t="shared" si="7"/>
        <v>47454.337266451825</v>
      </c>
      <c r="AE7" s="4">
        <f t="shared" si="7"/>
        <v>47454.337266451825</v>
      </c>
      <c r="AF7" s="4">
        <f t="shared" si="7"/>
        <v>47454.337266451825</v>
      </c>
      <c r="AG7" s="4">
        <f t="shared" si="7"/>
        <v>47454.337266451825</v>
      </c>
      <c r="AH7" s="4">
        <f t="shared" si="7"/>
        <v>47454.337266451825</v>
      </c>
      <c r="AI7" s="4">
        <f t="shared" si="7"/>
        <v>47454.337266451825</v>
      </c>
      <c r="AJ7" s="4">
        <f t="shared" si="7"/>
        <v>47454.337266451825</v>
      </c>
      <c r="AK7" s="4">
        <f t="shared" si="7"/>
        <v>47454.337266451825</v>
      </c>
      <c r="AL7" s="4">
        <f t="shared" si="7"/>
        <v>47454.337266451825</v>
      </c>
      <c r="AM7" s="4">
        <f t="shared" si="7"/>
        <v>47454.337266451825</v>
      </c>
      <c r="AN7" s="4">
        <f t="shared" si="7"/>
        <v>47454.337266451825</v>
      </c>
      <c r="AO7" s="4">
        <f t="shared" si="7"/>
        <v>47454.337266451825</v>
      </c>
      <c r="AP7" s="4">
        <f t="shared" si="7"/>
        <v>47454.337266451825</v>
      </c>
      <c r="AQ7" s="4">
        <f t="shared" si="7"/>
        <v>47454.337266451825</v>
      </c>
      <c r="AR7" s="4">
        <f t="shared" si="7"/>
        <v>47454.337266451825</v>
      </c>
      <c r="AS7" s="4">
        <f t="shared" si="7"/>
        <v>47454.337266451825</v>
      </c>
      <c r="AT7" s="4">
        <f t="shared" si="7"/>
        <v>47454.337266451825</v>
      </c>
      <c r="AU7" s="4">
        <f t="shared" si="7"/>
        <v>47454.337266451825</v>
      </c>
      <c r="AV7" s="4">
        <f t="shared" si="7"/>
        <v>47454.337266451825</v>
      </c>
      <c r="AW7" s="4">
        <f t="shared" si="7"/>
        <v>47454.337266451825</v>
      </c>
      <c r="AX7" s="4">
        <f t="shared" si="7"/>
        <v>47454.337266451825</v>
      </c>
      <c r="AY7" s="4">
        <f t="shared" si="7"/>
        <v>47454.337266451825</v>
      </c>
      <c r="AZ7" s="4">
        <f t="shared" si="7"/>
        <v>47454.337266451825</v>
      </c>
      <c r="BA7" s="4">
        <f t="shared" si="7"/>
        <v>47454.337266451825</v>
      </c>
      <c r="BB7" s="4">
        <f t="shared" si="7"/>
        <v>47454.337266451825</v>
      </c>
      <c r="BC7" s="4">
        <f t="shared" si="7"/>
        <v>47454.337266451825</v>
      </c>
      <c r="BD7" s="4">
        <f t="shared" si="7"/>
        <v>47454.337266451825</v>
      </c>
      <c r="BE7" s="4">
        <f t="shared" si="7"/>
        <v>47454.337266451825</v>
      </c>
      <c r="BF7" s="4">
        <f t="shared" si="7"/>
        <v>47454.337266451825</v>
      </c>
      <c r="BG7" s="4">
        <f t="shared" si="7"/>
        <v>47454.337266451825</v>
      </c>
      <c r="BH7" s="4">
        <f t="shared" si="7"/>
        <v>47454.337266451825</v>
      </c>
      <c r="BI7" s="4">
        <f t="shared" si="7"/>
        <v>47454.337266451825</v>
      </c>
      <c r="BJ7" s="4">
        <f t="shared" si="7"/>
        <v>47454.337266451825</v>
      </c>
      <c r="BK7" s="4">
        <f t="shared" si="7"/>
        <v>47454.337266451825</v>
      </c>
      <c r="BL7" s="4">
        <f t="shared" si="7"/>
        <v>47454.337266451825</v>
      </c>
      <c r="BM7" s="4">
        <f t="shared" si="7"/>
        <v>47454.337266451825</v>
      </c>
      <c r="BN7" s="4">
        <f t="shared" si="7"/>
        <v>47454.337266451825</v>
      </c>
      <c r="BO7" s="4">
        <f t="shared" si="6"/>
        <v>47454.337266451825</v>
      </c>
      <c r="BP7" s="4">
        <f t="shared" si="6"/>
        <v>47454.337266451825</v>
      </c>
      <c r="BQ7" s="4">
        <f t="shared" si="6"/>
        <v>47454.337266451825</v>
      </c>
      <c r="BR7" s="4">
        <f t="shared" si="6"/>
        <v>47454.337266451825</v>
      </c>
      <c r="BS7" s="4">
        <f t="shared" si="6"/>
        <v>47454.337266451825</v>
      </c>
      <c r="BT7" s="4">
        <f t="shared" si="6"/>
        <v>47454.337266451825</v>
      </c>
      <c r="BU7" s="4">
        <f t="shared" si="6"/>
        <v>47454.337266451825</v>
      </c>
      <c r="BV7" s="4">
        <f t="shared" si="6"/>
        <v>47454.337266451825</v>
      </c>
      <c r="BW7" s="4">
        <f t="shared" si="6"/>
        <v>47454.337266451825</v>
      </c>
      <c r="BX7" s="4">
        <f t="shared" si="6"/>
        <v>47454.337266451825</v>
      </c>
      <c r="BY7" s="4">
        <f t="shared" si="6"/>
        <v>47454.337266451825</v>
      </c>
      <c r="BZ7" s="4">
        <f t="shared" si="6"/>
        <v>47454.337266451825</v>
      </c>
      <c r="CA7" s="4">
        <f t="shared" si="6"/>
        <v>47454.337266451825</v>
      </c>
      <c r="CB7" s="4">
        <f t="shared" si="6"/>
        <v>47454.337266451825</v>
      </c>
      <c r="CC7" s="4">
        <f t="shared" si="6"/>
        <v>47454.337266451825</v>
      </c>
      <c r="CD7" s="4">
        <f t="shared" si="6"/>
        <v>47454.337266451825</v>
      </c>
      <c r="CE7" s="4">
        <f t="shared" si="6"/>
        <v>47454.337266451825</v>
      </c>
      <c r="CF7" s="4">
        <f t="shared" si="6"/>
        <v>47454.337266451825</v>
      </c>
      <c r="CG7" s="4">
        <f t="shared" si="6"/>
        <v>47454.337266451825</v>
      </c>
      <c r="CH7" s="4">
        <f t="shared" si="6"/>
        <v>47454.337266451825</v>
      </c>
      <c r="CI7" s="4">
        <f t="shared" si="6"/>
        <v>47454.337266451825</v>
      </c>
      <c r="CJ7" s="4">
        <f t="shared" si="6"/>
        <v>47454.337266451825</v>
      </c>
      <c r="CK7" s="4">
        <f t="shared" si="6"/>
        <v>47454.337266451825</v>
      </c>
      <c r="CL7" s="4">
        <f t="shared" si="6"/>
        <v>47454.337266451825</v>
      </c>
      <c r="CM7" s="4">
        <f t="shared" si="6"/>
        <v>47454.337266451825</v>
      </c>
      <c r="CN7" s="4">
        <f t="shared" si="6"/>
        <v>47454.337266451825</v>
      </c>
      <c r="CO7" s="4">
        <f t="shared" si="6"/>
        <v>47454.337266451825</v>
      </c>
      <c r="CP7" s="4">
        <f t="shared" si="6"/>
        <v>47454.337266451825</v>
      </c>
      <c r="CQ7" s="4">
        <f t="shared" si="6"/>
        <v>47454.337266451825</v>
      </c>
      <c r="CR7" s="4">
        <f t="shared" si="6"/>
        <v>47454.337266451825</v>
      </c>
      <c r="CS7" s="4">
        <f t="shared" si="6"/>
        <v>47454.337266451825</v>
      </c>
      <c r="CT7" s="4">
        <f t="shared" si="6"/>
        <v>47454.337266451825</v>
      </c>
      <c r="CU7" s="4">
        <f t="shared" si="6"/>
        <v>47454.337266451825</v>
      </c>
      <c r="CV7" s="4">
        <f t="shared" si="6"/>
        <v>47454.337266451825</v>
      </c>
      <c r="CW7" s="4">
        <f t="shared" si="6"/>
        <v>47454.337266451825</v>
      </c>
      <c r="CX7" s="4">
        <f t="shared" si="6"/>
        <v>47454.337266451825</v>
      </c>
      <c r="CY7" s="4">
        <f t="shared" si="6"/>
        <v>47454.337266451825</v>
      </c>
      <c r="CZ7" s="4">
        <f t="shared" si="6"/>
        <v>47454.337266451825</v>
      </c>
      <c r="DA7" s="4">
        <f t="shared" si="6"/>
        <v>47454.337266451825</v>
      </c>
      <c r="DB7" s="4">
        <f t="shared" si="6"/>
        <v>47454.337266451825</v>
      </c>
      <c r="DC7" s="4">
        <f t="shared" si="6"/>
        <v>47454.337266451825</v>
      </c>
      <c r="DD7" s="4">
        <f t="shared" si="6"/>
        <v>47454.337266451825</v>
      </c>
      <c r="DE7" s="4">
        <f t="shared" si="6"/>
        <v>47454.337266451825</v>
      </c>
      <c r="DF7" s="4">
        <f t="shared" si="6"/>
        <v>47454.337266451825</v>
      </c>
      <c r="DG7" s="4">
        <f t="shared" si="6"/>
        <v>47454.337266451825</v>
      </c>
      <c r="DH7" s="4">
        <f t="shared" si="6"/>
        <v>47454.337266451825</v>
      </c>
      <c r="DI7" s="4">
        <f t="shared" si="6"/>
        <v>47454.337266451825</v>
      </c>
      <c r="DJ7" s="4">
        <f t="shared" si="6"/>
        <v>47454.337266451825</v>
      </c>
      <c r="DK7" s="4">
        <f t="shared" si="6"/>
        <v>47454.337266451825</v>
      </c>
      <c r="DL7" s="4">
        <f t="shared" si="6"/>
        <v>47454.337266451825</v>
      </c>
      <c r="DM7" s="4">
        <f t="shared" si="6"/>
        <v>47454.337266451825</v>
      </c>
      <c r="DN7" s="4">
        <f t="shared" si="6"/>
        <v>47454.337266451825</v>
      </c>
      <c r="DO7" s="4">
        <f t="shared" si="6"/>
        <v>47454.337266451825</v>
      </c>
      <c r="DP7" s="4">
        <f t="shared" si="6"/>
        <v>47454.337266451825</v>
      </c>
      <c r="DQ7" s="4">
        <f t="shared" si="6"/>
        <v>47454.337266451825</v>
      </c>
      <c r="DR7" s="4">
        <f t="shared" si="6"/>
        <v>47454.337266451825</v>
      </c>
      <c r="DS7" s="4">
        <f t="shared" si="6"/>
        <v>47454.337266451825</v>
      </c>
      <c r="DT7" s="4">
        <f t="shared" si="6"/>
        <v>47454.337266451825</v>
      </c>
      <c r="DU7" s="4">
        <f t="shared" si="6"/>
        <v>47454.337266451825</v>
      </c>
      <c r="DV7" s="4">
        <f t="shared" si="6"/>
        <v>47454.337266451825</v>
      </c>
      <c r="DW7" s="4">
        <f t="shared" si="6"/>
        <v>47454.337266451825</v>
      </c>
      <c r="DX7" s="4">
        <f t="shared" si="6"/>
        <v>47454.337266451825</v>
      </c>
      <c r="DY7" s="4">
        <f t="shared" si="4"/>
        <v>47454.337266451825</v>
      </c>
      <c r="DZ7">
        <f>Calculation!B79</f>
        <v>47454.337266451825</v>
      </c>
      <c r="EA7" s="4">
        <f t="shared" si="5"/>
        <v>47454.337266451825</v>
      </c>
      <c r="EB7" s="4">
        <f t="shared" si="2"/>
        <v>47454.337266451825</v>
      </c>
      <c r="EC7" s="4">
        <f t="shared" si="2"/>
        <v>47454.337266451825</v>
      </c>
      <c r="ED7" s="4">
        <f t="shared" si="2"/>
        <v>47454.337266451825</v>
      </c>
      <c r="EE7" s="4">
        <f t="shared" si="2"/>
        <v>47454.337266451825</v>
      </c>
      <c r="EF7" s="4">
        <f t="shared" si="2"/>
        <v>47454.337266451825</v>
      </c>
      <c r="EG7" s="4">
        <f t="shared" si="2"/>
        <v>47454.337266451825</v>
      </c>
      <c r="EH7" s="4">
        <f t="shared" si="2"/>
        <v>47454.337266451825</v>
      </c>
      <c r="EI7" s="4">
        <f t="shared" si="2"/>
        <v>47454.337266451825</v>
      </c>
      <c r="EJ7" s="4">
        <f t="shared" si="2"/>
        <v>47454.337266451825</v>
      </c>
      <c r="EK7" s="4">
        <f t="shared" si="2"/>
        <v>47454.337266451825</v>
      </c>
      <c r="EL7" s="4">
        <f t="shared" si="2"/>
        <v>47454.337266451825</v>
      </c>
      <c r="EM7" s="4">
        <f t="shared" si="2"/>
        <v>47454.337266451825</v>
      </c>
      <c r="EN7" s="4">
        <f t="shared" si="2"/>
        <v>47454.337266451825</v>
      </c>
      <c r="EO7" s="4">
        <f t="shared" si="2"/>
        <v>47454.337266451825</v>
      </c>
      <c r="EP7" s="4">
        <f t="shared" si="2"/>
        <v>47454.337266451825</v>
      </c>
      <c r="EQ7" s="4">
        <f t="shared" si="2"/>
        <v>47454.337266451825</v>
      </c>
      <c r="ER7" s="4">
        <f t="shared" si="2"/>
        <v>47454.337266451825</v>
      </c>
      <c r="ES7" s="4">
        <f t="shared" si="2"/>
        <v>47454.337266451825</v>
      </c>
      <c r="ET7" s="4">
        <f t="shared" si="2"/>
        <v>47454.337266451825</v>
      </c>
      <c r="EU7" s="4">
        <f t="shared" si="2"/>
        <v>47454.337266451825</v>
      </c>
      <c r="EV7" s="4">
        <f t="shared" si="2"/>
        <v>47454.337266451825</v>
      </c>
      <c r="EW7" s="4">
        <f t="shared" si="2"/>
        <v>47454.337266451825</v>
      </c>
      <c r="EX7" s="4">
        <f t="shared" si="2"/>
        <v>47454.337266451825</v>
      </c>
      <c r="EY7" s="4">
        <f t="shared" si="2"/>
        <v>47454.337266451825</v>
      </c>
      <c r="EZ7" s="4">
        <f t="shared" si="2"/>
        <v>47454.337266451825</v>
      </c>
      <c r="FA7" s="4">
        <f t="shared" si="2"/>
        <v>47454.337266451825</v>
      </c>
      <c r="FB7" s="4">
        <f t="shared" si="2"/>
        <v>47454.337266451825</v>
      </c>
      <c r="FC7" s="4">
        <f t="shared" si="2"/>
        <v>47454.337266451825</v>
      </c>
      <c r="FD7" s="4">
        <f t="shared" si="2"/>
        <v>47454.337266451825</v>
      </c>
      <c r="FE7" s="4">
        <f t="shared" si="2"/>
        <v>47454.337266451825</v>
      </c>
      <c r="FF7" s="4">
        <f t="shared" si="3"/>
        <v>47454.337266451825</v>
      </c>
      <c r="FG7" s="4">
        <f t="shared" si="3"/>
        <v>47454.337266451825</v>
      </c>
      <c r="FH7" s="4">
        <f t="shared" si="3"/>
        <v>47454.337266451825</v>
      </c>
      <c r="FI7" s="4">
        <f t="shared" si="3"/>
        <v>47454.337266451825</v>
      </c>
      <c r="FJ7" s="4">
        <f t="shared" si="3"/>
        <v>47454.337266451825</v>
      </c>
      <c r="FK7" s="4">
        <f t="shared" ref="FF7:HC12" si="8">$DZ7</f>
        <v>47454.337266451825</v>
      </c>
      <c r="FL7" s="4">
        <f t="shared" si="8"/>
        <v>47454.337266451825</v>
      </c>
      <c r="FM7" s="4">
        <f t="shared" si="8"/>
        <v>47454.337266451825</v>
      </c>
      <c r="FN7" s="4">
        <f t="shared" si="8"/>
        <v>47454.337266451825</v>
      </c>
      <c r="FO7" s="4">
        <f t="shared" si="8"/>
        <v>47454.337266451825</v>
      </c>
      <c r="FP7" s="4">
        <f t="shared" si="8"/>
        <v>47454.337266451825</v>
      </c>
      <c r="FQ7" s="4">
        <f t="shared" si="8"/>
        <v>47454.337266451825</v>
      </c>
      <c r="FR7" s="4">
        <f t="shared" si="8"/>
        <v>47454.337266451825</v>
      </c>
      <c r="FS7" s="4">
        <f t="shared" si="8"/>
        <v>47454.337266451825</v>
      </c>
      <c r="FT7" s="4">
        <f t="shared" si="8"/>
        <v>47454.337266451825</v>
      </c>
      <c r="FU7" s="4">
        <f t="shared" si="8"/>
        <v>47454.337266451825</v>
      </c>
      <c r="FV7" s="4">
        <f t="shared" si="8"/>
        <v>47454.337266451825</v>
      </c>
      <c r="FW7" s="4">
        <f t="shared" si="8"/>
        <v>47454.337266451825</v>
      </c>
      <c r="FX7" s="4">
        <f t="shared" si="8"/>
        <v>47454.337266451825</v>
      </c>
      <c r="FY7" s="4">
        <f t="shared" si="8"/>
        <v>47454.337266451825</v>
      </c>
      <c r="FZ7" s="4">
        <f t="shared" si="8"/>
        <v>47454.337266451825</v>
      </c>
      <c r="GA7" s="4">
        <f t="shared" si="8"/>
        <v>47454.337266451825</v>
      </c>
      <c r="GB7" s="4">
        <f t="shared" si="8"/>
        <v>47454.337266451825</v>
      </c>
      <c r="GC7" s="4">
        <f t="shared" si="8"/>
        <v>47454.337266451825</v>
      </c>
      <c r="GD7" s="4">
        <f t="shared" si="8"/>
        <v>47454.337266451825</v>
      </c>
      <c r="GE7" s="4">
        <f t="shared" si="8"/>
        <v>47454.337266451825</v>
      </c>
      <c r="GF7" s="4">
        <f t="shared" si="8"/>
        <v>47454.337266451825</v>
      </c>
      <c r="GG7" s="4">
        <f t="shared" si="8"/>
        <v>47454.337266451825</v>
      </c>
      <c r="GH7" s="4">
        <f t="shared" si="8"/>
        <v>47454.337266451825</v>
      </c>
      <c r="GI7" s="4">
        <f t="shared" si="8"/>
        <v>47454.337266451825</v>
      </c>
      <c r="GJ7" s="4">
        <f t="shared" si="8"/>
        <v>47454.337266451825</v>
      </c>
      <c r="GK7" s="4">
        <f t="shared" si="8"/>
        <v>47454.337266451825</v>
      </c>
      <c r="GL7" s="4">
        <f t="shared" si="8"/>
        <v>47454.337266451825</v>
      </c>
      <c r="GM7" s="4">
        <f t="shared" si="8"/>
        <v>47454.337266451825</v>
      </c>
      <c r="GN7" s="4">
        <f t="shared" si="8"/>
        <v>47454.337266451825</v>
      </c>
      <c r="GO7" s="4">
        <f t="shared" si="8"/>
        <v>47454.337266451825</v>
      </c>
      <c r="GP7" s="4">
        <f t="shared" si="8"/>
        <v>47454.337266451825</v>
      </c>
      <c r="GQ7" s="4">
        <f t="shared" si="8"/>
        <v>47454.337266451825</v>
      </c>
      <c r="GR7" s="4">
        <f t="shared" si="8"/>
        <v>47454.337266451825</v>
      </c>
      <c r="GS7" s="4">
        <f t="shared" si="8"/>
        <v>47454.337266451825</v>
      </c>
      <c r="GT7" s="4">
        <f t="shared" si="8"/>
        <v>47454.337266451825</v>
      </c>
      <c r="GU7" s="4">
        <f t="shared" si="8"/>
        <v>47454.337266451825</v>
      </c>
      <c r="GV7" s="4">
        <f t="shared" si="8"/>
        <v>47454.337266451825</v>
      </c>
      <c r="GW7" s="4">
        <f t="shared" si="8"/>
        <v>47454.337266451825</v>
      </c>
      <c r="GX7" s="4">
        <f t="shared" si="8"/>
        <v>47454.337266451825</v>
      </c>
      <c r="GY7" s="4">
        <f t="shared" si="8"/>
        <v>47454.337266451825</v>
      </c>
      <c r="GZ7" s="4">
        <f t="shared" si="8"/>
        <v>47454.337266451825</v>
      </c>
      <c r="HA7" s="4">
        <f t="shared" si="8"/>
        <v>47454.337266451825</v>
      </c>
      <c r="HB7" s="4">
        <f t="shared" si="8"/>
        <v>47454.337266451825</v>
      </c>
      <c r="HC7" s="4">
        <f t="shared" si="8"/>
        <v>47454.337266451825</v>
      </c>
    </row>
    <row r="8" spans="1:211">
      <c r="A8" t="s">
        <v>7</v>
      </c>
      <c r="B8" s="4">
        <v>21078.904991948471</v>
      </c>
      <c r="C8" s="4">
        <f t="shared" si="7"/>
        <v>23129.653363002399</v>
      </c>
      <c r="D8" s="4">
        <f t="shared" si="7"/>
        <v>23129.653363002399</v>
      </c>
      <c r="E8" s="4">
        <f t="shared" si="7"/>
        <v>23129.653363002399</v>
      </c>
      <c r="F8" s="4">
        <f t="shared" si="7"/>
        <v>23129.653363002399</v>
      </c>
      <c r="G8" s="4">
        <f t="shared" si="7"/>
        <v>23129.653363002399</v>
      </c>
      <c r="H8" s="4">
        <f t="shared" si="7"/>
        <v>23129.653363002399</v>
      </c>
      <c r="I8" s="4">
        <f t="shared" si="7"/>
        <v>23129.653363002399</v>
      </c>
      <c r="J8" s="4">
        <f t="shared" si="7"/>
        <v>23129.653363002399</v>
      </c>
      <c r="K8" s="4">
        <f t="shared" si="7"/>
        <v>23129.653363002399</v>
      </c>
      <c r="L8" s="4">
        <f t="shared" si="7"/>
        <v>23129.653363002399</v>
      </c>
      <c r="M8" s="4">
        <f t="shared" si="7"/>
        <v>23129.653363002399</v>
      </c>
      <c r="N8" s="4">
        <f t="shared" si="7"/>
        <v>23129.653363002399</v>
      </c>
      <c r="O8" s="4">
        <f t="shared" si="7"/>
        <v>23129.653363002399</v>
      </c>
      <c r="P8" s="4">
        <f t="shared" si="7"/>
        <v>23129.653363002399</v>
      </c>
      <c r="Q8" s="4">
        <f t="shared" si="7"/>
        <v>23129.653363002399</v>
      </c>
      <c r="R8" s="4">
        <f t="shared" si="7"/>
        <v>23129.653363002399</v>
      </c>
      <c r="S8" s="4">
        <f t="shared" si="7"/>
        <v>23129.653363002399</v>
      </c>
      <c r="T8" s="4">
        <f t="shared" si="7"/>
        <v>23129.653363002399</v>
      </c>
      <c r="U8" s="4">
        <f t="shared" si="7"/>
        <v>23129.653363002399</v>
      </c>
      <c r="V8" s="4">
        <f t="shared" si="7"/>
        <v>23129.653363002399</v>
      </c>
      <c r="W8" s="4">
        <f t="shared" si="7"/>
        <v>23129.653363002399</v>
      </c>
      <c r="X8" s="4">
        <f t="shared" si="7"/>
        <v>23129.653363002399</v>
      </c>
      <c r="Y8" s="4">
        <f t="shared" si="7"/>
        <v>23129.653363002399</v>
      </c>
      <c r="Z8" s="4">
        <f t="shared" si="7"/>
        <v>23129.653363002399</v>
      </c>
      <c r="AA8" s="4">
        <f t="shared" si="7"/>
        <v>23129.653363002399</v>
      </c>
      <c r="AB8" s="4">
        <f t="shared" si="7"/>
        <v>23129.653363002399</v>
      </c>
      <c r="AC8" s="4">
        <f t="shared" si="7"/>
        <v>23129.653363002399</v>
      </c>
      <c r="AD8" s="4">
        <f t="shared" si="7"/>
        <v>23129.653363002399</v>
      </c>
      <c r="AE8" s="4">
        <f t="shared" si="7"/>
        <v>23129.653363002399</v>
      </c>
      <c r="AF8" s="4">
        <f t="shared" si="7"/>
        <v>23129.653363002399</v>
      </c>
      <c r="AG8" s="4">
        <f t="shared" si="7"/>
        <v>23129.653363002399</v>
      </c>
      <c r="AH8" s="4">
        <f t="shared" si="7"/>
        <v>23129.653363002399</v>
      </c>
      <c r="AI8" s="4">
        <f t="shared" si="7"/>
        <v>23129.653363002399</v>
      </c>
      <c r="AJ8" s="4">
        <f t="shared" si="7"/>
        <v>23129.653363002399</v>
      </c>
      <c r="AK8" s="4">
        <f t="shared" si="7"/>
        <v>23129.653363002399</v>
      </c>
      <c r="AL8" s="4">
        <f t="shared" si="7"/>
        <v>23129.653363002399</v>
      </c>
      <c r="AM8" s="4">
        <f t="shared" si="7"/>
        <v>23129.653363002399</v>
      </c>
      <c r="AN8" s="4">
        <f t="shared" si="7"/>
        <v>23129.653363002399</v>
      </c>
      <c r="AO8" s="4">
        <f t="shared" si="7"/>
        <v>23129.653363002399</v>
      </c>
      <c r="AP8" s="4">
        <f t="shared" si="7"/>
        <v>23129.653363002399</v>
      </c>
      <c r="AQ8" s="4">
        <f t="shared" si="7"/>
        <v>23129.653363002399</v>
      </c>
      <c r="AR8" s="4">
        <f t="shared" si="7"/>
        <v>23129.653363002399</v>
      </c>
      <c r="AS8" s="4">
        <f t="shared" si="7"/>
        <v>23129.653363002399</v>
      </c>
      <c r="AT8" s="4">
        <f t="shared" si="7"/>
        <v>23129.653363002399</v>
      </c>
      <c r="AU8" s="4">
        <f t="shared" si="7"/>
        <v>23129.653363002399</v>
      </c>
      <c r="AV8" s="4">
        <f t="shared" si="7"/>
        <v>23129.653363002399</v>
      </c>
      <c r="AW8" s="4">
        <f t="shared" si="7"/>
        <v>23129.653363002399</v>
      </c>
      <c r="AX8" s="4">
        <f t="shared" si="7"/>
        <v>23129.653363002399</v>
      </c>
      <c r="AY8" s="4">
        <f t="shared" si="7"/>
        <v>23129.653363002399</v>
      </c>
      <c r="AZ8" s="4">
        <f t="shared" si="7"/>
        <v>23129.653363002399</v>
      </c>
      <c r="BA8" s="4">
        <f t="shared" si="7"/>
        <v>23129.653363002399</v>
      </c>
      <c r="BB8" s="4">
        <f t="shared" si="7"/>
        <v>23129.653363002399</v>
      </c>
      <c r="BC8" s="4">
        <f t="shared" si="7"/>
        <v>23129.653363002399</v>
      </c>
      <c r="BD8" s="4">
        <f t="shared" si="7"/>
        <v>23129.653363002399</v>
      </c>
      <c r="BE8" s="4">
        <f t="shared" si="7"/>
        <v>23129.653363002399</v>
      </c>
      <c r="BF8" s="4">
        <f t="shared" si="7"/>
        <v>23129.653363002399</v>
      </c>
      <c r="BG8" s="4">
        <f t="shared" si="7"/>
        <v>23129.653363002399</v>
      </c>
      <c r="BH8" s="4">
        <f t="shared" si="7"/>
        <v>23129.653363002399</v>
      </c>
      <c r="BI8" s="4">
        <f t="shared" si="7"/>
        <v>23129.653363002399</v>
      </c>
      <c r="BJ8" s="4">
        <f t="shared" si="7"/>
        <v>23129.653363002399</v>
      </c>
      <c r="BK8" s="4">
        <f t="shared" si="7"/>
        <v>23129.653363002399</v>
      </c>
      <c r="BL8" s="4">
        <f t="shared" si="7"/>
        <v>23129.653363002399</v>
      </c>
      <c r="BM8" s="4">
        <f t="shared" si="7"/>
        <v>23129.653363002399</v>
      </c>
      <c r="BN8" s="4">
        <f t="shared" si="7"/>
        <v>23129.653363002399</v>
      </c>
      <c r="BO8" s="4">
        <f t="shared" si="6"/>
        <v>23129.653363002399</v>
      </c>
      <c r="BP8" s="4">
        <f t="shared" si="6"/>
        <v>23129.653363002399</v>
      </c>
      <c r="BQ8" s="4">
        <f t="shared" si="6"/>
        <v>23129.653363002399</v>
      </c>
      <c r="BR8" s="4">
        <f t="shared" si="6"/>
        <v>23129.653363002399</v>
      </c>
      <c r="BS8" s="4">
        <f t="shared" si="6"/>
        <v>23129.653363002399</v>
      </c>
      <c r="BT8" s="4">
        <f t="shared" si="6"/>
        <v>23129.653363002399</v>
      </c>
      <c r="BU8" s="4">
        <f t="shared" si="6"/>
        <v>23129.653363002399</v>
      </c>
      <c r="BV8" s="4">
        <f t="shared" si="6"/>
        <v>23129.653363002399</v>
      </c>
      <c r="BW8" s="4">
        <f t="shared" si="6"/>
        <v>23129.653363002399</v>
      </c>
      <c r="BX8" s="4">
        <f t="shared" si="6"/>
        <v>23129.653363002399</v>
      </c>
      <c r="BY8" s="4">
        <f t="shared" si="6"/>
        <v>23129.653363002399</v>
      </c>
      <c r="BZ8" s="4">
        <f t="shared" si="6"/>
        <v>23129.653363002399</v>
      </c>
      <c r="CA8" s="4">
        <f t="shared" si="6"/>
        <v>23129.653363002399</v>
      </c>
      <c r="CB8" s="4">
        <f t="shared" si="6"/>
        <v>23129.653363002399</v>
      </c>
      <c r="CC8" s="4">
        <f t="shared" si="6"/>
        <v>23129.653363002399</v>
      </c>
      <c r="CD8" s="4">
        <f t="shared" si="6"/>
        <v>23129.653363002399</v>
      </c>
      <c r="CE8" s="4">
        <f t="shared" si="6"/>
        <v>23129.653363002399</v>
      </c>
      <c r="CF8" s="4">
        <f t="shared" si="6"/>
        <v>23129.653363002399</v>
      </c>
      <c r="CG8" s="4">
        <f t="shared" si="6"/>
        <v>23129.653363002399</v>
      </c>
      <c r="CH8" s="4">
        <f t="shared" si="6"/>
        <v>23129.653363002399</v>
      </c>
      <c r="CI8" s="4">
        <f t="shared" si="6"/>
        <v>23129.653363002399</v>
      </c>
      <c r="CJ8" s="4">
        <f t="shared" si="6"/>
        <v>23129.653363002399</v>
      </c>
      <c r="CK8" s="4">
        <f t="shared" si="6"/>
        <v>23129.653363002399</v>
      </c>
      <c r="CL8" s="4">
        <f t="shared" si="6"/>
        <v>23129.653363002399</v>
      </c>
      <c r="CM8" s="4">
        <f t="shared" si="6"/>
        <v>23129.653363002399</v>
      </c>
      <c r="CN8" s="4">
        <f t="shared" si="6"/>
        <v>23129.653363002399</v>
      </c>
      <c r="CO8" s="4">
        <f t="shared" si="6"/>
        <v>23129.653363002399</v>
      </c>
      <c r="CP8" s="4">
        <f t="shared" si="6"/>
        <v>23129.653363002399</v>
      </c>
      <c r="CQ8" s="4">
        <f t="shared" si="6"/>
        <v>23129.653363002399</v>
      </c>
      <c r="CR8" s="4">
        <f t="shared" si="6"/>
        <v>23129.653363002399</v>
      </c>
      <c r="CS8" s="4">
        <f t="shared" si="6"/>
        <v>23129.653363002399</v>
      </c>
      <c r="CT8" s="4">
        <f t="shared" si="6"/>
        <v>23129.653363002399</v>
      </c>
      <c r="CU8" s="4">
        <f t="shared" si="6"/>
        <v>23129.653363002399</v>
      </c>
      <c r="CV8" s="4">
        <f t="shared" si="6"/>
        <v>23129.653363002399</v>
      </c>
      <c r="CW8" s="4">
        <f t="shared" si="6"/>
        <v>23129.653363002399</v>
      </c>
      <c r="CX8" s="4">
        <f t="shared" si="6"/>
        <v>23129.653363002399</v>
      </c>
      <c r="CY8" s="4">
        <f t="shared" si="6"/>
        <v>23129.653363002399</v>
      </c>
      <c r="CZ8" s="4">
        <f t="shared" si="6"/>
        <v>23129.653363002399</v>
      </c>
      <c r="DA8" s="4">
        <f t="shared" si="6"/>
        <v>23129.653363002399</v>
      </c>
      <c r="DB8" s="4">
        <f t="shared" si="6"/>
        <v>23129.653363002399</v>
      </c>
      <c r="DC8" s="4">
        <f t="shared" si="6"/>
        <v>23129.653363002399</v>
      </c>
      <c r="DD8" s="4">
        <f t="shared" si="6"/>
        <v>23129.653363002399</v>
      </c>
      <c r="DE8" s="4">
        <f t="shared" si="6"/>
        <v>23129.653363002399</v>
      </c>
      <c r="DF8" s="4">
        <f t="shared" si="6"/>
        <v>23129.653363002399</v>
      </c>
      <c r="DG8" s="4">
        <f t="shared" si="6"/>
        <v>23129.653363002399</v>
      </c>
      <c r="DH8" s="4">
        <f t="shared" si="6"/>
        <v>23129.653363002399</v>
      </c>
      <c r="DI8" s="4">
        <f t="shared" si="6"/>
        <v>23129.653363002399</v>
      </c>
      <c r="DJ8" s="4">
        <f t="shared" si="6"/>
        <v>23129.653363002399</v>
      </c>
      <c r="DK8" s="4">
        <f t="shared" si="6"/>
        <v>23129.653363002399</v>
      </c>
      <c r="DL8" s="4">
        <f t="shared" si="6"/>
        <v>23129.653363002399</v>
      </c>
      <c r="DM8" s="4">
        <f t="shared" si="6"/>
        <v>23129.653363002399</v>
      </c>
      <c r="DN8" s="4">
        <f t="shared" si="6"/>
        <v>23129.653363002399</v>
      </c>
      <c r="DO8" s="4">
        <f t="shared" si="6"/>
        <v>23129.653363002399</v>
      </c>
      <c r="DP8" s="4">
        <f t="shared" si="6"/>
        <v>23129.653363002399</v>
      </c>
      <c r="DQ8" s="4">
        <f t="shared" si="6"/>
        <v>23129.653363002399</v>
      </c>
      <c r="DR8" s="4">
        <f t="shared" si="6"/>
        <v>23129.653363002399</v>
      </c>
      <c r="DS8" s="4">
        <f t="shared" si="6"/>
        <v>23129.653363002399</v>
      </c>
      <c r="DT8" s="4">
        <f t="shared" si="6"/>
        <v>23129.653363002399</v>
      </c>
      <c r="DU8" s="4">
        <f t="shared" si="6"/>
        <v>23129.653363002399</v>
      </c>
      <c r="DV8" s="4">
        <f t="shared" si="6"/>
        <v>23129.653363002399</v>
      </c>
      <c r="DW8" s="4">
        <f t="shared" si="6"/>
        <v>23129.653363002399</v>
      </c>
      <c r="DX8" s="4">
        <f t="shared" si="6"/>
        <v>23129.653363002399</v>
      </c>
      <c r="DY8" s="4">
        <f t="shared" si="4"/>
        <v>23129.653363002399</v>
      </c>
      <c r="DZ8">
        <f>Calculation!B80</f>
        <v>23129.653363002399</v>
      </c>
      <c r="EA8" s="4">
        <f t="shared" si="5"/>
        <v>23129.653363002399</v>
      </c>
      <c r="EB8" s="4">
        <f t="shared" si="2"/>
        <v>23129.653363002399</v>
      </c>
      <c r="EC8" s="4">
        <f t="shared" si="2"/>
        <v>23129.653363002399</v>
      </c>
      <c r="ED8" s="4">
        <f t="shared" si="2"/>
        <v>23129.653363002399</v>
      </c>
      <c r="EE8" s="4">
        <f t="shared" si="2"/>
        <v>23129.653363002399</v>
      </c>
      <c r="EF8" s="4">
        <f t="shared" si="2"/>
        <v>23129.653363002399</v>
      </c>
      <c r="EG8" s="4">
        <f t="shared" si="2"/>
        <v>23129.653363002399</v>
      </c>
      <c r="EH8" s="4">
        <f t="shared" si="2"/>
        <v>23129.653363002399</v>
      </c>
      <c r="EI8" s="4">
        <f t="shared" si="2"/>
        <v>23129.653363002399</v>
      </c>
      <c r="EJ8" s="4">
        <f t="shared" si="2"/>
        <v>23129.653363002399</v>
      </c>
      <c r="EK8" s="4">
        <f t="shared" si="2"/>
        <v>23129.653363002399</v>
      </c>
      <c r="EL8" s="4">
        <f t="shared" si="2"/>
        <v>23129.653363002399</v>
      </c>
      <c r="EM8" s="4">
        <f t="shared" si="2"/>
        <v>23129.653363002399</v>
      </c>
      <c r="EN8" s="4">
        <f t="shared" si="2"/>
        <v>23129.653363002399</v>
      </c>
      <c r="EO8" s="4">
        <f t="shared" si="2"/>
        <v>23129.653363002399</v>
      </c>
      <c r="EP8" s="4">
        <f t="shared" si="2"/>
        <v>23129.653363002399</v>
      </c>
      <c r="EQ8" s="4">
        <f t="shared" si="2"/>
        <v>23129.653363002399</v>
      </c>
      <c r="ER8" s="4">
        <f t="shared" si="2"/>
        <v>23129.653363002399</v>
      </c>
      <c r="ES8" s="4">
        <f t="shared" si="2"/>
        <v>23129.653363002399</v>
      </c>
      <c r="ET8" s="4">
        <f t="shared" si="2"/>
        <v>23129.653363002399</v>
      </c>
      <c r="EU8" s="4">
        <f t="shared" si="2"/>
        <v>23129.653363002399</v>
      </c>
      <c r="EV8" s="4">
        <f t="shared" si="2"/>
        <v>23129.653363002399</v>
      </c>
      <c r="EW8" s="4">
        <f t="shared" si="2"/>
        <v>23129.653363002399</v>
      </c>
      <c r="EX8" s="4">
        <f t="shared" si="2"/>
        <v>23129.653363002399</v>
      </c>
      <c r="EY8" s="4">
        <f t="shared" si="2"/>
        <v>23129.653363002399</v>
      </c>
      <c r="EZ8" s="4">
        <f t="shared" si="2"/>
        <v>23129.653363002399</v>
      </c>
      <c r="FA8" s="4">
        <f t="shared" si="2"/>
        <v>23129.653363002399</v>
      </c>
      <c r="FB8" s="4">
        <f t="shared" si="2"/>
        <v>23129.653363002399</v>
      </c>
      <c r="FC8" s="4">
        <f t="shared" si="2"/>
        <v>23129.653363002399</v>
      </c>
      <c r="FD8" s="4">
        <f t="shared" si="2"/>
        <v>23129.653363002399</v>
      </c>
      <c r="FE8" s="4">
        <f t="shared" si="2"/>
        <v>23129.653363002399</v>
      </c>
      <c r="FF8" s="4">
        <f t="shared" si="8"/>
        <v>23129.653363002399</v>
      </c>
      <c r="FG8" s="4">
        <f t="shared" si="8"/>
        <v>23129.653363002399</v>
      </c>
      <c r="FH8" s="4">
        <f t="shared" si="8"/>
        <v>23129.653363002399</v>
      </c>
      <c r="FI8" s="4">
        <f t="shared" si="8"/>
        <v>23129.653363002399</v>
      </c>
      <c r="FJ8" s="4">
        <f t="shared" si="8"/>
        <v>23129.653363002399</v>
      </c>
      <c r="FK8" s="4">
        <f t="shared" si="8"/>
        <v>23129.653363002399</v>
      </c>
      <c r="FL8" s="4">
        <f t="shared" si="8"/>
        <v>23129.653363002399</v>
      </c>
      <c r="FM8" s="4">
        <f t="shared" si="8"/>
        <v>23129.653363002399</v>
      </c>
      <c r="FN8" s="4">
        <f t="shared" si="8"/>
        <v>23129.653363002399</v>
      </c>
      <c r="FO8" s="4">
        <f t="shared" si="8"/>
        <v>23129.653363002399</v>
      </c>
      <c r="FP8" s="4">
        <f t="shared" si="8"/>
        <v>23129.653363002399</v>
      </c>
      <c r="FQ8" s="4">
        <f t="shared" si="8"/>
        <v>23129.653363002399</v>
      </c>
      <c r="FR8" s="4">
        <f t="shared" si="8"/>
        <v>23129.653363002399</v>
      </c>
      <c r="FS8" s="4">
        <f t="shared" si="8"/>
        <v>23129.653363002399</v>
      </c>
      <c r="FT8" s="4">
        <f t="shared" si="8"/>
        <v>23129.653363002399</v>
      </c>
      <c r="FU8" s="4">
        <f t="shared" si="8"/>
        <v>23129.653363002399</v>
      </c>
      <c r="FV8" s="4">
        <f t="shared" si="8"/>
        <v>23129.653363002399</v>
      </c>
      <c r="FW8" s="4">
        <f t="shared" si="8"/>
        <v>23129.653363002399</v>
      </c>
      <c r="FX8" s="4">
        <f t="shared" si="8"/>
        <v>23129.653363002399</v>
      </c>
      <c r="FY8" s="4">
        <f t="shared" si="8"/>
        <v>23129.653363002399</v>
      </c>
      <c r="FZ8" s="4">
        <f t="shared" si="8"/>
        <v>23129.653363002399</v>
      </c>
      <c r="GA8" s="4">
        <f t="shared" si="8"/>
        <v>23129.653363002399</v>
      </c>
      <c r="GB8" s="4">
        <f t="shared" si="8"/>
        <v>23129.653363002399</v>
      </c>
      <c r="GC8" s="4">
        <f t="shared" si="8"/>
        <v>23129.653363002399</v>
      </c>
      <c r="GD8" s="4">
        <f t="shared" si="8"/>
        <v>23129.653363002399</v>
      </c>
      <c r="GE8" s="4">
        <f t="shared" si="8"/>
        <v>23129.653363002399</v>
      </c>
      <c r="GF8" s="4">
        <f t="shared" si="8"/>
        <v>23129.653363002399</v>
      </c>
      <c r="GG8" s="4">
        <f t="shared" si="8"/>
        <v>23129.653363002399</v>
      </c>
      <c r="GH8" s="4">
        <f t="shared" si="8"/>
        <v>23129.653363002399</v>
      </c>
      <c r="GI8" s="4">
        <f t="shared" si="8"/>
        <v>23129.653363002399</v>
      </c>
      <c r="GJ8" s="4">
        <f t="shared" si="8"/>
        <v>23129.653363002399</v>
      </c>
      <c r="GK8" s="4">
        <f t="shared" si="8"/>
        <v>23129.653363002399</v>
      </c>
      <c r="GL8" s="4">
        <f t="shared" si="8"/>
        <v>23129.653363002399</v>
      </c>
      <c r="GM8" s="4">
        <f t="shared" si="8"/>
        <v>23129.653363002399</v>
      </c>
      <c r="GN8" s="4">
        <f t="shared" si="8"/>
        <v>23129.653363002399</v>
      </c>
      <c r="GO8" s="4">
        <f t="shared" si="8"/>
        <v>23129.653363002399</v>
      </c>
      <c r="GP8" s="4">
        <f t="shared" si="8"/>
        <v>23129.653363002399</v>
      </c>
      <c r="GQ8" s="4">
        <f t="shared" si="8"/>
        <v>23129.653363002399</v>
      </c>
      <c r="GR8" s="4">
        <f t="shared" si="8"/>
        <v>23129.653363002399</v>
      </c>
      <c r="GS8" s="4">
        <f t="shared" si="8"/>
        <v>23129.653363002399</v>
      </c>
      <c r="GT8" s="4">
        <f t="shared" si="8"/>
        <v>23129.653363002399</v>
      </c>
      <c r="GU8" s="4">
        <f t="shared" si="8"/>
        <v>23129.653363002399</v>
      </c>
      <c r="GV8" s="4">
        <f t="shared" si="8"/>
        <v>23129.653363002399</v>
      </c>
      <c r="GW8" s="4">
        <f t="shared" si="8"/>
        <v>23129.653363002399</v>
      </c>
      <c r="GX8" s="4">
        <f t="shared" si="8"/>
        <v>23129.653363002399</v>
      </c>
      <c r="GY8" s="4">
        <f t="shared" si="8"/>
        <v>23129.653363002399</v>
      </c>
      <c r="GZ8" s="4">
        <f t="shared" si="8"/>
        <v>23129.653363002399</v>
      </c>
      <c r="HA8" s="4">
        <f t="shared" si="8"/>
        <v>23129.653363002399</v>
      </c>
      <c r="HB8" s="4">
        <f t="shared" si="8"/>
        <v>23129.653363002399</v>
      </c>
      <c r="HC8" s="4">
        <f t="shared" si="8"/>
        <v>23129.653363002399</v>
      </c>
    </row>
    <row r="9" spans="1:211">
      <c r="A9" t="s">
        <v>8</v>
      </c>
      <c r="B9" s="4">
        <v>77455.969078232418</v>
      </c>
      <c r="C9" s="4">
        <f t="shared" si="7"/>
        <v>77455.969078232418</v>
      </c>
      <c r="D9" s="4">
        <f t="shared" si="7"/>
        <v>77455.969078232418</v>
      </c>
      <c r="E9" s="4">
        <f t="shared" si="7"/>
        <v>77455.969078232418</v>
      </c>
      <c r="F9" s="4">
        <f t="shared" si="7"/>
        <v>77455.969078232418</v>
      </c>
      <c r="G9" s="4">
        <f t="shared" si="7"/>
        <v>77455.969078232418</v>
      </c>
      <c r="H9" s="4">
        <f t="shared" si="7"/>
        <v>77455.969078232418</v>
      </c>
      <c r="I9" s="4">
        <f t="shared" si="7"/>
        <v>77455.969078232418</v>
      </c>
      <c r="J9" s="4">
        <f t="shared" si="7"/>
        <v>77455.969078232418</v>
      </c>
      <c r="K9" s="4">
        <f t="shared" si="7"/>
        <v>77455.969078232418</v>
      </c>
      <c r="L9" s="4">
        <f t="shared" si="7"/>
        <v>77455.969078232418</v>
      </c>
      <c r="M9" s="4">
        <f t="shared" si="7"/>
        <v>77455.969078232418</v>
      </c>
      <c r="N9" s="4">
        <f t="shared" si="7"/>
        <v>77455.969078232418</v>
      </c>
      <c r="O9" s="4">
        <f t="shared" si="7"/>
        <v>77455.969078232418</v>
      </c>
      <c r="P9" s="4">
        <f t="shared" si="7"/>
        <v>77455.969078232418</v>
      </c>
      <c r="Q9" s="4">
        <f t="shared" si="7"/>
        <v>77455.969078232418</v>
      </c>
      <c r="R9" s="4">
        <f t="shared" si="7"/>
        <v>77455.969078232418</v>
      </c>
      <c r="S9" s="4">
        <f t="shared" si="7"/>
        <v>77455.969078232418</v>
      </c>
      <c r="T9" s="4">
        <f t="shared" si="7"/>
        <v>77455.969078232418</v>
      </c>
      <c r="U9" s="4">
        <f t="shared" si="7"/>
        <v>77455.969078232418</v>
      </c>
      <c r="V9" s="4">
        <f t="shared" si="7"/>
        <v>77455.969078232418</v>
      </c>
      <c r="W9" s="4">
        <f t="shared" si="7"/>
        <v>77455.969078232418</v>
      </c>
      <c r="X9" s="4">
        <f t="shared" si="7"/>
        <v>77455.969078232418</v>
      </c>
      <c r="Y9" s="4">
        <f t="shared" si="7"/>
        <v>77455.969078232418</v>
      </c>
      <c r="Z9" s="4">
        <f t="shared" si="7"/>
        <v>77455.969078232418</v>
      </c>
      <c r="AA9" s="4">
        <f t="shared" si="7"/>
        <v>77455.969078232418</v>
      </c>
      <c r="AB9" s="4">
        <f t="shared" si="7"/>
        <v>77455.969078232418</v>
      </c>
      <c r="AC9" s="4">
        <f t="shared" si="7"/>
        <v>77455.969078232418</v>
      </c>
      <c r="AD9" s="4">
        <f t="shared" si="7"/>
        <v>77455.969078232418</v>
      </c>
      <c r="AE9" s="4">
        <f t="shared" si="7"/>
        <v>77455.969078232418</v>
      </c>
      <c r="AF9" s="4">
        <f t="shared" si="7"/>
        <v>77455.969078232418</v>
      </c>
      <c r="AG9" s="4">
        <f t="shared" si="7"/>
        <v>77455.969078232418</v>
      </c>
      <c r="AH9" s="4">
        <f t="shared" si="7"/>
        <v>77455.969078232418</v>
      </c>
      <c r="AI9" s="4">
        <f t="shared" si="7"/>
        <v>77455.969078232418</v>
      </c>
      <c r="AJ9" s="4">
        <f t="shared" si="7"/>
        <v>77455.969078232418</v>
      </c>
      <c r="AK9" s="4">
        <f t="shared" si="7"/>
        <v>77455.969078232418</v>
      </c>
      <c r="AL9" s="4">
        <f t="shared" si="7"/>
        <v>77455.969078232418</v>
      </c>
      <c r="AM9" s="4">
        <f t="shared" si="7"/>
        <v>77455.969078232418</v>
      </c>
      <c r="AN9" s="4">
        <f t="shared" si="7"/>
        <v>77455.969078232418</v>
      </c>
      <c r="AO9" s="4">
        <f t="shared" si="7"/>
        <v>77455.969078232418</v>
      </c>
      <c r="AP9" s="4">
        <f t="shared" si="7"/>
        <v>77455.969078232418</v>
      </c>
      <c r="AQ9" s="4">
        <f t="shared" si="7"/>
        <v>77455.969078232418</v>
      </c>
      <c r="AR9" s="4">
        <f t="shared" si="7"/>
        <v>77455.969078232418</v>
      </c>
      <c r="AS9" s="4">
        <f t="shared" si="7"/>
        <v>77455.969078232418</v>
      </c>
      <c r="AT9" s="4">
        <f t="shared" si="7"/>
        <v>77455.969078232418</v>
      </c>
      <c r="AU9" s="4">
        <f t="shared" si="7"/>
        <v>77455.969078232418</v>
      </c>
      <c r="AV9" s="4">
        <f t="shared" si="7"/>
        <v>77455.969078232418</v>
      </c>
      <c r="AW9" s="4">
        <f t="shared" si="7"/>
        <v>77455.969078232418</v>
      </c>
      <c r="AX9" s="4">
        <f t="shared" si="7"/>
        <v>77455.969078232418</v>
      </c>
      <c r="AY9" s="4">
        <f t="shared" si="7"/>
        <v>77455.969078232418</v>
      </c>
      <c r="AZ9" s="4">
        <f t="shared" si="7"/>
        <v>77455.969078232418</v>
      </c>
      <c r="BA9" s="4">
        <f t="shared" si="7"/>
        <v>77455.969078232418</v>
      </c>
      <c r="BB9" s="4">
        <f t="shared" si="7"/>
        <v>77455.969078232418</v>
      </c>
      <c r="BC9" s="4">
        <f t="shared" si="7"/>
        <v>77455.969078232418</v>
      </c>
      <c r="BD9" s="4">
        <f t="shared" si="7"/>
        <v>77455.969078232418</v>
      </c>
      <c r="BE9" s="4">
        <f t="shared" si="7"/>
        <v>77455.969078232418</v>
      </c>
      <c r="BF9" s="4">
        <f t="shared" si="7"/>
        <v>77455.969078232418</v>
      </c>
      <c r="BG9" s="4">
        <f t="shared" si="7"/>
        <v>77455.969078232418</v>
      </c>
      <c r="BH9" s="4">
        <f t="shared" si="7"/>
        <v>77455.969078232418</v>
      </c>
      <c r="BI9" s="4">
        <f t="shared" si="7"/>
        <v>77455.969078232418</v>
      </c>
      <c r="BJ9" s="4">
        <f t="shared" si="7"/>
        <v>77455.969078232418</v>
      </c>
      <c r="BK9" s="4">
        <f t="shared" si="7"/>
        <v>77455.969078232418</v>
      </c>
      <c r="BL9" s="4">
        <f t="shared" si="7"/>
        <v>77455.969078232418</v>
      </c>
      <c r="BM9" s="4">
        <f t="shared" si="7"/>
        <v>77455.969078232418</v>
      </c>
      <c r="BN9" s="4">
        <f t="shared" ref="BN9:DX12" si="9">BO9</f>
        <v>77455.969078232418</v>
      </c>
      <c r="BO9" s="4">
        <f t="shared" si="9"/>
        <v>77455.969078232418</v>
      </c>
      <c r="BP9" s="4">
        <f t="shared" si="9"/>
        <v>77455.969078232418</v>
      </c>
      <c r="BQ9" s="4">
        <f t="shared" si="9"/>
        <v>77455.969078232418</v>
      </c>
      <c r="BR9" s="4">
        <f t="shared" si="9"/>
        <v>77455.969078232418</v>
      </c>
      <c r="BS9" s="4">
        <f t="shared" si="9"/>
        <v>77455.969078232418</v>
      </c>
      <c r="BT9" s="4">
        <f t="shared" si="9"/>
        <v>77455.969078232418</v>
      </c>
      <c r="BU9" s="4">
        <f t="shared" si="9"/>
        <v>77455.969078232418</v>
      </c>
      <c r="BV9" s="4">
        <f t="shared" si="9"/>
        <v>77455.969078232418</v>
      </c>
      <c r="BW9" s="4">
        <f t="shared" si="9"/>
        <v>77455.969078232418</v>
      </c>
      <c r="BX9" s="4">
        <f t="shared" si="9"/>
        <v>77455.969078232418</v>
      </c>
      <c r="BY9" s="4">
        <f t="shared" si="9"/>
        <v>77455.969078232418</v>
      </c>
      <c r="BZ9" s="4">
        <f t="shared" si="9"/>
        <v>77455.969078232418</v>
      </c>
      <c r="CA9" s="4">
        <f t="shared" si="9"/>
        <v>77455.969078232418</v>
      </c>
      <c r="CB9" s="4">
        <f t="shared" si="9"/>
        <v>77455.969078232418</v>
      </c>
      <c r="CC9" s="4">
        <f t="shared" si="9"/>
        <v>77455.969078232418</v>
      </c>
      <c r="CD9" s="4">
        <f t="shared" si="9"/>
        <v>77455.969078232418</v>
      </c>
      <c r="CE9" s="4">
        <f t="shared" si="9"/>
        <v>77455.969078232418</v>
      </c>
      <c r="CF9" s="4">
        <f t="shared" si="9"/>
        <v>77455.969078232418</v>
      </c>
      <c r="CG9" s="4">
        <f t="shared" si="9"/>
        <v>77455.969078232418</v>
      </c>
      <c r="CH9" s="4">
        <f t="shared" si="9"/>
        <v>77455.969078232418</v>
      </c>
      <c r="CI9" s="4">
        <f t="shared" si="9"/>
        <v>77455.969078232418</v>
      </c>
      <c r="CJ9" s="4">
        <f t="shared" si="9"/>
        <v>77455.969078232418</v>
      </c>
      <c r="CK9" s="4">
        <f t="shared" si="9"/>
        <v>77455.969078232418</v>
      </c>
      <c r="CL9" s="4">
        <f t="shared" si="9"/>
        <v>77455.969078232418</v>
      </c>
      <c r="CM9" s="4">
        <f t="shared" si="9"/>
        <v>77455.969078232418</v>
      </c>
      <c r="CN9" s="4">
        <f t="shared" si="9"/>
        <v>77455.969078232418</v>
      </c>
      <c r="CO9" s="4">
        <f t="shared" si="9"/>
        <v>77455.969078232418</v>
      </c>
      <c r="CP9" s="4">
        <f t="shared" si="9"/>
        <v>77455.969078232418</v>
      </c>
      <c r="CQ9" s="4">
        <f t="shared" si="9"/>
        <v>77455.969078232418</v>
      </c>
      <c r="CR9" s="4">
        <f t="shared" si="9"/>
        <v>77455.969078232418</v>
      </c>
      <c r="CS9" s="4">
        <f t="shared" si="9"/>
        <v>77455.969078232418</v>
      </c>
      <c r="CT9" s="4">
        <f t="shared" si="9"/>
        <v>77455.969078232418</v>
      </c>
      <c r="CU9" s="4">
        <f t="shared" si="9"/>
        <v>77455.969078232418</v>
      </c>
      <c r="CV9" s="4">
        <f t="shared" si="9"/>
        <v>77455.969078232418</v>
      </c>
      <c r="CW9" s="4">
        <f t="shared" si="9"/>
        <v>77455.969078232418</v>
      </c>
      <c r="CX9" s="4">
        <f t="shared" si="9"/>
        <v>77455.969078232418</v>
      </c>
      <c r="CY9" s="4">
        <f t="shared" si="9"/>
        <v>77455.969078232418</v>
      </c>
      <c r="CZ9" s="4">
        <f t="shared" si="9"/>
        <v>77455.969078232418</v>
      </c>
      <c r="DA9" s="4">
        <f t="shared" si="9"/>
        <v>77455.969078232418</v>
      </c>
      <c r="DB9" s="4">
        <f t="shared" si="9"/>
        <v>77455.969078232418</v>
      </c>
      <c r="DC9" s="4">
        <f t="shared" si="9"/>
        <v>77455.969078232418</v>
      </c>
      <c r="DD9" s="4">
        <f t="shared" si="9"/>
        <v>77455.969078232418</v>
      </c>
      <c r="DE9" s="4">
        <f t="shared" si="9"/>
        <v>77455.969078232418</v>
      </c>
      <c r="DF9" s="4">
        <f t="shared" si="9"/>
        <v>77455.969078232418</v>
      </c>
      <c r="DG9" s="4">
        <f t="shared" si="9"/>
        <v>77455.969078232418</v>
      </c>
      <c r="DH9" s="4">
        <f t="shared" si="9"/>
        <v>77455.969078232418</v>
      </c>
      <c r="DI9" s="4">
        <f t="shared" si="9"/>
        <v>77455.969078232418</v>
      </c>
      <c r="DJ9" s="4">
        <f t="shared" si="9"/>
        <v>77455.969078232418</v>
      </c>
      <c r="DK9" s="4">
        <f t="shared" si="9"/>
        <v>77455.969078232418</v>
      </c>
      <c r="DL9" s="4">
        <f t="shared" si="9"/>
        <v>77455.969078232418</v>
      </c>
      <c r="DM9" s="4">
        <f t="shared" si="9"/>
        <v>77455.969078232418</v>
      </c>
      <c r="DN9" s="4">
        <f t="shared" si="9"/>
        <v>77455.969078232418</v>
      </c>
      <c r="DO9" s="4">
        <f t="shared" si="9"/>
        <v>77455.969078232418</v>
      </c>
      <c r="DP9" s="4">
        <f t="shared" si="9"/>
        <v>77455.969078232418</v>
      </c>
      <c r="DQ9" s="4">
        <f t="shared" si="9"/>
        <v>77455.969078232418</v>
      </c>
      <c r="DR9" s="4">
        <f t="shared" si="9"/>
        <v>77455.969078232418</v>
      </c>
      <c r="DS9" s="4">
        <f t="shared" si="9"/>
        <v>77455.969078232418</v>
      </c>
      <c r="DT9" s="4">
        <f t="shared" si="9"/>
        <v>77455.969078232418</v>
      </c>
      <c r="DU9" s="4">
        <f t="shared" si="9"/>
        <v>77455.969078232418</v>
      </c>
      <c r="DV9" s="4">
        <f t="shared" si="9"/>
        <v>77455.969078232418</v>
      </c>
      <c r="DW9" s="4">
        <f t="shared" si="9"/>
        <v>77455.969078232418</v>
      </c>
      <c r="DX9" s="4">
        <f t="shared" si="9"/>
        <v>77455.969078232418</v>
      </c>
      <c r="DY9" s="4">
        <f t="shared" si="4"/>
        <v>77455.969078232418</v>
      </c>
      <c r="DZ9" s="4">
        <f>'CCaMC-AFOaMCpUC US'!B9</f>
        <v>77455.969078232418</v>
      </c>
      <c r="EA9" s="4">
        <f t="shared" si="5"/>
        <v>77455.969078232418</v>
      </c>
      <c r="EB9" s="4">
        <f t="shared" si="2"/>
        <v>77455.969078232418</v>
      </c>
      <c r="EC9" s="4">
        <f t="shared" si="2"/>
        <v>77455.969078232418</v>
      </c>
      <c r="ED9" s="4">
        <f t="shared" si="2"/>
        <v>77455.969078232418</v>
      </c>
      <c r="EE9" s="4">
        <f t="shared" si="2"/>
        <v>77455.969078232418</v>
      </c>
      <c r="EF9" s="4">
        <f t="shared" si="2"/>
        <v>77455.969078232418</v>
      </c>
      <c r="EG9" s="4">
        <f t="shared" si="2"/>
        <v>77455.969078232418</v>
      </c>
      <c r="EH9" s="4">
        <f t="shared" si="2"/>
        <v>77455.969078232418</v>
      </c>
      <c r="EI9" s="4">
        <f t="shared" si="2"/>
        <v>77455.969078232418</v>
      </c>
      <c r="EJ9" s="4">
        <f t="shared" si="2"/>
        <v>77455.969078232418</v>
      </c>
      <c r="EK9" s="4">
        <f t="shared" si="2"/>
        <v>77455.969078232418</v>
      </c>
      <c r="EL9" s="4">
        <f t="shared" si="2"/>
        <v>77455.969078232418</v>
      </c>
      <c r="EM9" s="4">
        <f t="shared" si="2"/>
        <v>77455.969078232418</v>
      </c>
      <c r="EN9" s="4">
        <f t="shared" si="2"/>
        <v>77455.969078232418</v>
      </c>
      <c r="EO9" s="4">
        <f t="shared" si="2"/>
        <v>77455.969078232418</v>
      </c>
      <c r="EP9" s="4">
        <f t="shared" si="2"/>
        <v>77455.969078232418</v>
      </c>
      <c r="EQ9" s="4">
        <f t="shared" si="2"/>
        <v>77455.969078232418</v>
      </c>
      <c r="ER9" s="4">
        <f t="shared" si="2"/>
        <v>77455.969078232418</v>
      </c>
      <c r="ES9" s="4">
        <f t="shared" si="2"/>
        <v>77455.969078232418</v>
      </c>
      <c r="ET9" s="4">
        <f t="shared" si="2"/>
        <v>77455.969078232418</v>
      </c>
      <c r="EU9" s="4">
        <f t="shared" si="2"/>
        <v>77455.969078232418</v>
      </c>
      <c r="EV9" s="4">
        <f t="shared" si="2"/>
        <v>77455.969078232418</v>
      </c>
      <c r="EW9" s="4">
        <f t="shared" si="2"/>
        <v>77455.969078232418</v>
      </c>
      <c r="EX9" s="4">
        <f t="shared" si="2"/>
        <v>77455.969078232418</v>
      </c>
      <c r="EY9" s="4">
        <f t="shared" si="2"/>
        <v>77455.969078232418</v>
      </c>
      <c r="EZ9" s="4">
        <f t="shared" si="2"/>
        <v>77455.969078232418</v>
      </c>
      <c r="FA9" s="4">
        <f t="shared" si="2"/>
        <v>77455.969078232418</v>
      </c>
      <c r="FB9" s="4">
        <f t="shared" si="2"/>
        <v>77455.969078232418</v>
      </c>
      <c r="FC9" s="4">
        <f t="shared" si="2"/>
        <v>77455.969078232418</v>
      </c>
      <c r="FD9" s="4">
        <f t="shared" si="2"/>
        <v>77455.969078232418</v>
      </c>
      <c r="FE9" s="4">
        <f t="shared" si="2"/>
        <v>77455.969078232418</v>
      </c>
      <c r="FF9" s="4">
        <f t="shared" si="8"/>
        <v>77455.969078232418</v>
      </c>
      <c r="FG9" s="4">
        <f t="shared" si="8"/>
        <v>77455.969078232418</v>
      </c>
      <c r="FH9" s="4">
        <f t="shared" si="8"/>
        <v>77455.969078232418</v>
      </c>
      <c r="FI9" s="4">
        <f t="shared" si="8"/>
        <v>77455.969078232418</v>
      </c>
      <c r="FJ9" s="4">
        <f t="shared" si="8"/>
        <v>77455.969078232418</v>
      </c>
      <c r="FK9" s="4">
        <f t="shared" si="8"/>
        <v>77455.969078232418</v>
      </c>
      <c r="FL9" s="4">
        <f t="shared" si="8"/>
        <v>77455.969078232418</v>
      </c>
      <c r="FM9" s="4">
        <f t="shared" si="8"/>
        <v>77455.969078232418</v>
      </c>
      <c r="FN9" s="4">
        <f t="shared" si="8"/>
        <v>77455.969078232418</v>
      </c>
      <c r="FO9" s="4">
        <f t="shared" si="8"/>
        <v>77455.969078232418</v>
      </c>
      <c r="FP9" s="4">
        <f t="shared" si="8"/>
        <v>77455.969078232418</v>
      </c>
      <c r="FQ9" s="4">
        <f t="shared" si="8"/>
        <v>77455.969078232418</v>
      </c>
      <c r="FR9" s="4">
        <f t="shared" si="8"/>
        <v>77455.969078232418</v>
      </c>
      <c r="FS9" s="4">
        <f t="shared" si="8"/>
        <v>77455.969078232418</v>
      </c>
      <c r="FT9" s="4">
        <f t="shared" si="8"/>
        <v>77455.969078232418</v>
      </c>
      <c r="FU9" s="4">
        <f t="shared" si="8"/>
        <v>77455.969078232418</v>
      </c>
      <c r="FV9" s="4">
        <f t="shared" si="8"/>
        <v>77455.969078232418</v>
      </c>
      <c r="FW9" s="4">
        <f t="shared" si="8"/>
        <v>77455.969078232418</v>
      </c>
      <c r="FX9" s="4">
        <f t="shared" si="8"/>
        <v>77455.969078232418</v>
      </c>
      <c r="FY9" s="4">
        <f t="shared" si="8"/>
        <v>77455.969078232418</v>
      </c>
      <c r="FZ9" s="4">
        <f t="shared" si="8"/>
        <v>77455.969078232418</v>
      </c>
      <c r="GA9" s="4">
        <f t="shared" si="8"/>
        <v>77455.969078232418</v>
      </c>
      <c r="GB9" s="4">
        <f t="shared" si="8"/>
        <v>77455.969078232418</v>
      </c>
      <c r="GC9" s="4">
        <f t="shared" si="8"/>
        <v>77455.969078232418</v>
      </c>
      <c r="GD9" s="4">
        <f t="shared" si="8"/>
        <v>77455.969078232418</v>
      </c>
      <c r="GE9" s="4">
        <f t="shared" si="8"/>
        <v>77455.969078232418</v>
      </c>
      <c r="GF9" s="4">
        <f t="shared" si="8"/>
        <v>77455.969078232418</v>
      </c>
      <c r="GG9" s="4">
        <f t="shared" si="8"/>
        <v>77455.969078232418</v>
      </c>
      <c r="GH9" s="4">
        <f t="shared" si="8"/>
        <v>77455.969078232418</v>
      </c>
      <c r="GI9" s="4">
        <f t="shared" si="8"/>
        <v>77455.969078232418</v>
      </c>
      <c r="GJ9" s="4">
        <f t="shared" si="8"/>
        <v>77455.969078232418</v>
      </c>
      <c r="GK9" s="4">
        <f t="shared" si="8"/>
        <v>77455.969078232418</v>
      </c>
      <c r="GL9" s="4">
        <f t="shared" si="8"/>
        <v>77455.969078232418</v>
      </c>
      <c r="GM9" s="4">
        <f t="shared" si="8"/>
        <v>77455.969078232418</v>
      </c>
      <c r="GN9" s="4">
        <f t="shared" si="8"/>
        <v>77455.969078232418</v>
      </c>
      <c r="GO9" s="4">
        <f t="shared" si="8"/>
        <v>77455.969078232418</v>
      </c>
      <c r="GP9" s="4">
        <f t="shared" si="8"/>
        <v>77455.969078232418</v>
      </c>
      <c r="GQ9" s="4">
        <f t="shared" si="8"/>
        <v>77455.969078232418</v>
      </c>
      <c r="GR9" s="4">
        <f t="shared" si="8"/>
        <v>77455.969078232418</v>
      </c>
      <c r="GS9" s="4">
        <f t="shared" si="8"/>
        <v>77455.969078232418</v>
      </c>
      <c r="GT9" s="4">
        <f t="shared" si="8"/>
        <v>77455.969078232418</v>
      </c>
      <c r="GU9" s="4">
        <f t="shared" si="8"/>
        <v>77455.969078232418</v>
      </c>
      <c r="GV9" s="4">
        <f t="shared" si="8"/>
        <v>77455.969078232418</v>
      </c>
      <c r="GW9" s="4">
        <f t="shared" si="8"/>
        <v>77455.969078232418</v>
      </c>
      <c r="GX9" s="4">
        <f t="shared" si="8"/>
        <v>77455.969078232418</v>
      </c>
      <c r="GY9" s="4">
        <f t="shared" si="8"/>
        <v>77455.969078232418</v>
      </c>
      <c r="GZ9" s="4">
        <f t="shared" si="8"/>
        <v>77455.969078232418</v>
      </c>
      <c r="HA9" s="4">
        <f t="shared" si="8"/>
        <v>77455.969078232418</v>
      </c>
      <c r="HB9" s="4">
        <f t="shared" si="8"/>
        <v>77455.969078232418</v>
      </c>
      <c r="HC9" s="4">
        <f t="shared" si="8"/>
        <v>77455.969078232418</v>
      </c>
    </row>
    <row r="10" spans="1:211">
      <c r="A10" t="s">
        <v>9</v>
      </c>
      <c r="B10" s="4">
        <v>81009.693618103222</v>
      </c>
      <c r="C10" s="4">
        <f t="shared" ref="C10:BN13" si="10">D10</f>
        <v>88891.056397164095</v>
      </c>
      <c r="D10" s="4">
        <f t="shared" si="10"/>
        <v>88891.056397164095</v>
      </c>
      <c r="E10" s="4">
        <f t="shared" si="10"/>
        <v>88891.056397164095</v>
      </c>
      <c r="F10" s="4">
        <f t="shared" si="10"/>
        <v>88891.056397164095</v>
      </c>
      <c r="G10" s="4">
        <f t="shared" si="10"/>
        <v>88891.056397164095</v>
      </c>
      <c r="H10" s="4">
        <f t="shared" si="10"/>
        <v>88891.056397164095</v>
      </c>
      <c r="I10" s="4">
        <f t="shared" si="10"/>
        <v>88891.056397164095</v>
      </c>
      <c r="J10" s="4">
        <f t="shared" si="10"/>
        <v>88891.056397164095</v>
      </c>
      <c r="K10" s="4">
        <f t="shared" si="10"/>
        <v>88891.056397164095</v>
      </c>
      <c r="L10" s="4">
        <f t="shared" si="10"/>
        <v>88891.056397164095</v>
      </c>
      <c r="M10" s="4">
        <f t="shared" si="10"/>
        <v>88891.056397164095</v>
      </c>
      <c r="N10" s="4">
        <f t="shared" si="10"/>
        <v>88891.056397164095</v>
      </c>
      <c r="O10" s="4">
        <f t="shared" si="10"/>
        <v>88891.056397164095</v>
      </c>
      <c r="P10" s="4">
        <f t="shared" si="10"/>
        <v>88891.056397164095</v>
      </c>
      <c r="Q10" s="4">
        <f t="shared" si="10"/>
        <v>88891.056397164095</v>
      </c>
      <c r="R10" s="4">
        <f t="shared" si="10"/>
        <v>88891.056397164095</v>
      </c>
      <c r="S10" s="4">
        <f t="shared" si="10"/>
        <v>88891.056397164095</v>
      </c>
      <c r="T10" s="4">
        <f t="shared" si="10"/>
        <v>88891.056397164095</v>
      </c>
      <c r="U10" s="4">
        <f t="shared" si="10"/>
        <v>88891.056397164095</v>
      </c>
      <c r="V10" s="4">
        <f t="shared" si="10"/>
        <v>88891.056397164095</v>
      </c>
      <c r="W10" s="4">
        <f t="shared" si="10"/>
        <v>88891.056397164095</v>
      </c>
      <c r="X10" s="4">
        <f t="shared" si="10"/>
        <v>88891.056397164095</v>
      </c>
      <c r="Y10" s="4">
        <f t="shared" si="10"/>
        <v>88891.056397164095</v>
      </c>
      <c r="Z10" s="4">
        <f t="shared" si="10"/>
        <v>88891.056397164095</v>
      </c>
      <c r="AA10" s="4">
        <f t="shared" si="10"/>
        <v>88891.056397164095</v>
      </c>
      <c r="AB10" s="4">
        <f t="shared" si="10"/>
        <v>88891.056397164095</v>
      </c>
      <c r="AC10" s="4">
        <f t="shared" si="10"/>
        <v>88891.056397164095</v>
      </c>
      <c r="AD10" s="4">
        <f t="shared" si="10"/>
        <v>88891.056397164095</v>
      </c>
      <c r="AE10" s="4">
        <f t="shared" si="10"/>
        <v>88891.056397164095</v>
      </c>
      <c r="AF10" s="4">
        <f t="shared" si="10"/>
        <v>88891.056397164095</v>
      </c>
      <c r="AG10" s="4">
        <f t="shared" si="10"/>
        <v>88891.056397164095</v>
      </c>
      <c r="AH10" s="4">
        <f t="shared" si="10"/>
        <v>88891.056397164095</v>
      </c>
      <c r="AI10" s="4">
        <f t="shared" si="10"/>
        <v>88891.056397164095</v>
      </c>
      <c r="AJ10" s="4">
        <f t="shared" si="10"/>
        <v>88891.056397164095</v>
      </c>
      <c r="AK10" s="4">
        <f t="shared" si="10"/>
        <v>88891.056397164095</v>
      </c>
      <c r="AL10" s="4">
        <f t="shared" si="10"/>
        <v>88891.056397164095</v>
      </c>
      <c r="AM10" s="4">
        <f t="shared" si="10"/>
        <v>88891.056397164095</v>
      </c>
      <c r="AN10" s="4">
        <f t="shared" si="10"/>
        <v>88891.056397164095</v>
      </c>
      <c r="AO10" s="4">
        <f t="shared" si="10"/>
        <v>88891.056397164095</v>
      </c>
      <c r="AP10" s="4">
        <f t="shared" si="10"/>
        <v>88891.056397164095</v>
      </c>
      <c r="AQ10" s="4">
        <f t="shared" si="10"/>
        <v>88891.056397164095</v>
      </c>
      <c r="AR10" s="4">
        <f t="shared" si="10"/>
        <v>88891.056397164095</v>
      </c>
      <c r="AS10" s="4">
        <f t="shared" si="10"/>
        <v>88891.056397164095</v>
      </c>
      <c r="AT10" s="4">
        <f t="shared" si="10"/>
        <v>88891.056397164095</v>
      </c>
      <c r="AU10" s="4">
        <f t="shared" si="10"/>
        <v>88891.056397164095</v>
      </c>
      <c r="AV10" s="4">
        <f t="shared" si="10"/>
        <v>88891.056397164095</v>
      </c>
      <c r="AW10" s="4">
        <f t="shared" si="10"/>
        <v>88891.056397164095</v>
      </c>
      <c r="AX10" s="4">
        <f t="shared" si="10"/>
        <v>88891.056397164095</v>
      </c>
      <c r="AY10" s="4">
        <f t="shared" si="10"/>
        <v>88891.056397164095</v>
      </c>
      <c r="AZ10" s="4">
        <f t="shared" si="10"/>
        <v>88891.056397164095</v>
      </c>
      <c r="BA10" s="4">
        <f t="shared" si="10"/>
        <v>88891.056397164095</v>
      </c>
      <c r="BB10" s="4">
        <f t="shared" si="10"/>
        <v>88891.056397164095</v>
      </c>
      <c r="BC10" s="4">
        <f t="shared" si="10"/>
        <v>88891.056397164095</v>
      </c>
      <c r="BD10" s="4">
        <f t="shared" si="10"/>
        <v>88891.056397164095</v>
      </c>
      <c r="BE10" s="4">
        <f t="shared" si="10"/>
        <v>88891.056397164095</v>
      </c>
      <c r="BF10" s="4">
        <f t="shared" si="10"/>
        <v>88891.056397164095</v>
      </c>
      <c r="BG10" s="4">
        <f t="shared" si="10"/>
        <v>88891.056397164095</v>
      </c>
      <c r="BH10" s="4">
        <f t="shared" si="10"/>
        <v>88891.056397164095</v>
      </c>
      <c r="BI10" s="4">
        <f t="shared" si="10"/>
        <v>88891.056397164095</v>
      </c>
      <c r="BJ10" s="4">
        <f t="shared" si="10"/>
        <v>88891.056397164095</v>
      </c>
      <c r="BK10" s="4">
        <f t="shared" si="10"/>
        <v>88891.056397164095</v>
      </c>
      <c r="BL10" s="4">
        <f t="shared" si="10"/>
        <v>88891.056397164095</v>
      </c>
      <c r="BM10" s="4">
        <f t="shared" si="10"/>
        <v>88891.056397164095</v>
      </c>
      <c r="BN10" s="4">
        <f t="shared" si="10"/>
        <v>88891.056397164095</v>
      </c>
      <c r="BO10" s="4">
        <f t="shared" si="9"/>
        <v>88891.056397164095</v>
      </c>
      <c r="BP10" s="4">
        <f t="shared" si="9"/>
        <v>88891.056397164095</v>
      </c>
      <c r="BQ10" s="4">
        <f t="shared" si="9"/>
        <v>88891.056397164095</v>
      </c>
      <c r="BR10" s="4">
        <f t="shared" si="9"/>
        <v>88891.056397164095</v>
      </c>
      <c r="BS10" s="4">
        <f t="shared" si="9"/>
        <v>88891.056397164095</v>
      </c>
      <c r="BT10" s="4">
        <f t="shared" si="9"/>
        <v>88891.056397164095</v>
      </c>
      <c r="BU10" s="4">
        <f t="shared" si="9"/>
        <v>88891.056397164095</v>
      </c>
      <c r="BV10" s="4">
        <f t="shared" si="9"/>
        <v>88891.056397164095</v>
      </c>
      <c r="BW10" s="4">
        <f t="shared" si="9"/>
        <v>88891.056397164095</v>
      </c>
      <c r="BX10" s="4">
        <f t="shared" si="9"/>
        <v>88891.056397164095</v>
      </c>
      <c r="BY10" s="4">
        <f t="shared" si="9"/>
        <v>88891.056397164095</v>
      </c>
      <c r="BZ10" s="4">
        <f t="shared" si="9"/>
        <v>88891.056397164095</v>
      </c>
      <c r="CA10" s="4">
        <f t="shared" si="9"/>
        <v>88891.056397164095</v>
      </c>
      <c r="CB10" s="4">
        <f t="shared" si="9"/>
        <v>88891.056397164095</v>
      </c>
      <c r="CC10" s="4">
        <f t="shared" si="9"/>
        <v>88891.056397164095</v>
      </c>
      <c r="CD10" s="4">
        <f t="shared" si="9"/>
        <v>88891.056397164095</v>
      </c>
      <c r="CE10" s="4">
        <f t="shared" si="9"/>
        <v>88891.056397164095</v>
      </c>
      <c r="CF10" s="4">
        <f t="shared" si="9"/>
        <v>88891.056397164095</v>
      </c>
      <c r="CG10" s="4">
        <f t="shared" si="9"/>
        <v>88891.056397164095</v>
      </c>
      <c r="CH10" s="4">
        <f t="shared" si="9"/>
        <v>88891.056397164095</v>
      </c>
      <c r="CI10" s="4">
        <f t="shared" si="9"/>
        <v>88891.056397164095</v>
      </c>
      <c r="CJ10" s="4">
        <f t="shared" si="9"/>
        <v>88891.056397164095</v>
      </c>
      <c r="CK10" s="4">
        <f t="shared" si="9"/>
        <v>88891.056397164095</v>
      </c>
      <c r="CL10" s="4">
        <f t="shared" si="9"/>
        <v>88891.056397164095</v>
      </c>
      <c r="CM10" s="4">
        <f t="shared" si="9"/>
        <v>88891.056397164095</v>
      </c>
      <c r="CN10" s="4">
        <f t="shared" si="9"/>
        <v>88891.056397164095</v>
      </c>
      <c r="CO10" s="4">
        <f t="shared" si="9"/>
        <v>88891.056397164095</v>
      </c>
      <c r="CP10" s="4">
        <f t="shared" si="9"/>
        <v>88891.056397164095</v>
      </c>
      <c r="CQ10" s="4">
        <f t="shared" si="9"/>
        <v>88891.056397164095</v>
      </c>
      <c r="CR10" s="4">
        <f t="shared" si="9"/>
        <v>88891.056397164095</v>
      </c>
      <c r="CS10" s="4">
        <f t="shared" si="9"/>
        <v>88891.056397164095</v>
      </c>
      <c r="CT10" s="4">
        <f t="shared" si="9"/>
        <v>88891.056397164095</v>
      </c>
      <c r="CU10" s="4">
        <f t="shared" si="9"/>
        <v>88891.056397164095</v>
      </c>
      <c r="CV10" s="4">
        <f t="shared" si="9"/>
        <v>88891.056397164095</v>
      </c>
      <c r="CW10" s="4">
        <f t="shared" si="9"/>
        <v>88891.056397164095</v>
      </c>
      <c r="CX10" s="4">
        <f t="shared" si="9"/>
        <v>88891.056397164095</v>
      </c>
      <c r="CY10" s="4">
        <f t="shared" si="9"/>
        <v>88891.056397164095</v>
      </c>
      <c r="CZ10" s="4">
        <f t="shared" si="9"/>
        <v>88891.056397164095</v>
      </c>
      <c r="DA10" s="4">
        <f t="shared" si="9"/>
        <v>88891.056397164095</v>
      </c>
      <c r="DB10" s="4">
        <f t="shared" si="9"/>
        <v>88891.056397164095</v>
      </c>
      <c r="DC10" s="4">
        <f t="shared" si="9"/>
        <v>88891.056397164095</v>
      </c>
      <c r="DD10" s="4">
        <f t="shared" si="9"/>
        <v>88891.056397164095</v>
      </c>
      <c r="DE10" s="4">
        <f t="shared" si="9"/>
        <v>88891.056397164095</v>
      </c>
      <c r="DF10" s="4">
        <f t="shared" si="9"/>
        <v>88891.056397164095</v>
      </c>
      <c r="DG10" s="4">
        <f t="shared" si="9"/>
        <v>88891.056397164095</v>
      </c>
      <c r="DH10" s="4">
        <f t="shared" si="9"/>
        <v>88891.056397164095</v>
      </c>
      <c r="DI10" s="4">
        <f t="shared" si="9"/>
        <v>88891.056397164095</v>
      </c>
      <c r="DJ10" s="4">
        <f t="shared" si="9"/>
        <v>88891.056397164095</v>
      </c>
      <c r="DK10" s="4">
        <f t="shared" si="9"/>
        <v>88891.056397164095</v>
      </c>
      <c r="DL10" s="4">
        <f t="shared" si="9"/>
        <v>88891.056397164095</v>
      </c>
      <c r="DM10" s="4">
        <f t="shared" si="9"/>
        <v>88891.056397164095</v>
      </c>
      <c r="DN10" s="4">
        <f t="shared" si="9"/>
        <v>88891.056397164095</v>
      </c>
      <c r="DO10" s="4">
        <f t="shared" si="9"/>
        <v>88891.056397164095</v>
      </c>
      <c r="DP10" s="4">
        <f t="shared" si="9"/>
        <v>88891.056397164095</v>
      </c>
      <c r="DQ10" s="4">
        <f t="shared" si="9"/>
        <v>88891.056397164095</v>
      </c>
      <c r="DR10" s="4">
        <f t="shared" si="9"/>
        <v>88891.056397164095</v>
      </c>
      <c r="DS10" s="4">
        <f t="shared" si="9"/>
        <v>88891.056397164095</v>
      </c>
      <c r="DT10" s="4">
        <f t="shared" si="9"/>
        <v>88891.056397164095</v>
      </c>
      <c r="DU10" s="4">
        <f t="shared" si="9"/>
        <v>88891.056397164095</v>
      </c>
      <c r="DV10" s="4">
        <f t="shared" si="9"/>
        <v>88891.056397164095</v>
      </c>
      <c r="DW10" s="4">
        <f t="shared" si="9"/>
        <v>88891.056397164095</v>
      </c>
      <c r="DX10" s="4">
        <f t="shared" si="9"/>
        <v>88891.056397164095</v>
      </c>
      <c r="DY10" s="4">
        <f t="shared" si="4"/>
        <v>88891.056397164095</v>
      </c>
      <c r="DZ10">
        <f>Calculation!B82</f>
        <v>88891.056397164095</v>
      </c>
      <c r="EA10" s="4">
        <f t="shared" si="5"/>
        <v>88891.056397164095</v>
      </c>
      <c r="EB10" s="4">
        <f t="shared" si="2"/>
        <v>88891.056397164095</v>
      </c>
      <c r="EC10" s="4">
        <f t="shared" si="2"/>
        <v>88891.056397164095</v>
      </c>
      <c r="ED10" s="4">
        <f t="shared" si="2"/>
        <v>88891.056397164095</v>
      </c>
      <c r="EE10" s="4">
        <f t="shared" si="2"/>
        <v>88891.056397164095</v>
      </c>
      <c r="EF10" s="4">
        <f t="shared" si="2"/>
        <v>88891.056397164095</v>
      </c>
      <c r="EG10" s="4">
        <f t="shared" si="2"/>
        <v>88891.056397164095</v>
      </c>
      <c r="EH10" s="4">
        <f t="shared" si="2"/>
        <v>88891.056397164095</v>
      </c>
      <c r="EI10" s="4">
        <f t="shared" si="2"/>
        <v>88891.056397164095</v>
      </c>
      <c r="EJ10" s="4">
        <f t="shared" si="2"/>
        <v>88891.056397164095</v>
      </c>
      <c r="EK10" s="4">
        <f t="shared" si="2"/>
        <v>88891.056397164095</v>
      </c>
      <c r="EL10" s="4">
        <f t="shared" si="2"/>
        <v>88891.056397164095</v>
      </c>
      <c r="EM10" s="4">
        <f t="shared" si="2"/>
        <v>88891.056397164095</v>
      </c>
      <c r="EN10" s="4">
        <f t="shared" si="2"/>
        <v>88891.056397164095</v>
      </c>
      <c r="EO10" s="4">
        <f t="shared" si="2"/>
        <v>88891.056397164095</v>
      </c>
      <c r="EP10" s="4">
        <f t="shared" si="2"/>
        <v>88891.056397164095</v>
      </c>
      <c r="EQ10" s="4">
        <f t="shared" si="2"/>
        <v>88891.056397164095</v>
      </c>
      <c r="ER10" s="4">
        <f t="shared" si="2"/>
        <v>88891.056397164095</v>
      </c>
      <c r="ES10" s="4">
        <f t="shared" si="2"/>
        <v>88891.056397164095</v>
      </c>
      <c r="ET10" s="4">
        <f t="shared" si="2"/>
        <v>88891.056397164095</v>
      </c>
      <c r="EU10" s="4">
        <f t="shared" si="2"/>
        <v>88891.056397164095</v>
      </c>
      <c r="EV10" s="4">
        <f t="shared" si="2"/>
        <v>88891.056397164095</v>
      </c>
      <c r="EW10" s="4">
        <f t="shared" si="2"/>
        <v>88891.056397164095</v>
      </c>
      <c r="EX10" s="4">
        <f t="shared" si="2"/>
        <v>88891.056397164095</v>
      </c>
      <c r="EY10" s="4">
        <f t="shared" si="2"/>
        <v>88891.056397164095</v>
      </c>
      <c r="EZ10" s="4">
        <f t="shared" si="2"/>
        <v>88891.056397164095</v>
      </c>
      <c r="FA10" s="4">
        <f t="shared" si="2"/>
        <v>88891.056397164095</v>
      </c>
      <c r="FB10" s="4">
        <f t="shared" si="2"/>
        <v>88891.056397164095</v>
      </c>
      <c r="FC10" s="4">
        <f t="shared" si="2"/>
        <v>88891.056397164095</v>
      </c>
      <c r="FD10" s="4">
        <f t="shared" si="2"/>
        <v>88891.056397164095</v>
      </c>
      <c r="FE10" s="4">
        <f t="shared" si="2"/>
        <v>88891.056397164095</v>
      </c>
      <c r="FF10" s="4">
        <f t="shared" si="8"/>
        <v>88891.056397164095</v>
      </c>
      <c r="FG10" s="4">
        <f t="shared" si="8"/>
        <v>88891.056397164095</v>
      </c>
      <c r="FH10" s="4">
        <f t="shared" si="8"/>
        <v>88891.056397164095</v>
      </c>
      <c r="FI10" s="4">
        <f t="shared" si="8"/>
        <v>88891.056397164095</v>
      </c>
      <c r="FJ10" s="4">
        <f t="shared" si="8"/>
        <v>88891.056397164095</v>
      </c>
      <c r="FK10" s="4">
        <f t="shared" si="8"/>
        <v>88891.056397164095</v>
      </c>
      <c r="FL10" s="4">
        <f t="shared" si="8"/>
        <v>88891.056397164095</v>
      </c>
      <c r="FM10" s="4">
        <f t="shared" si="8"/>
        <v>88891.056397164095</v>
      </c>
      <c r="FN10" s="4">
        <f t="shared" si="8"/>
        <v>88891.056397164095</v>
      </c>
      <c r="FO10" s="4">
        <f t="shared" si="8"/>
        <v>88891.056397164095</v>
      </c>
      <c r="FP10" s="4">
        <f t="shared" si="8"/>
        <v>88891.056397164095</v>
      </c>
      <c r="FQ10" s="4">
        <f t="shared" si="8"/>
        <v>88891.056397164095</v>
      </c>
      <c r="FR10" s="4">
        <f t="shared" si="8"/>
        <v>88891.056397164095</v>
      </c>
      <c r="FS10" s="4">
        <f t="shared" si="8"/>
        <v>88891.056397164095</v>
      </c>
      <c r="FT10" s="4">
        <f t="shared" si="8"/>
        <v>88891.056397164095</v>
      </c>
      <c r="FU10" s="4">
        <f t="shared" si="8"/>
        <v>88891.056397164095</v>
      </c>
      <c r="FV10" s="4">
        <f t="shared" si="8"/>
        <v>88891.056397164095</v>
      </c>
      <c r="FW10" s="4">
        <f t="shared" si="8"/>
        <v>88891.056397164095</v>
      </c>
      <c r="FX10" s="4">
        <f t="shared" si="8"/>
        <v>88891.056397164095</v>
      </c>
      <c r="FY10" s="4">
        <f t="shared" si="8"/>
        <v>88891.056397164095</v>
      </c>
      <c r="FZ10" s="4">
        <f t="shared" si="8"/>
        <v>88891.056397164095</v>
      </c>
      <c r="GA10" s="4">
        <f t="shared" si="8"/>
        <v>88891.056397164095</v>
      </c>
      <c r="GB10" s="4">
        <f t="shared" si="8"/>
        <v>88891.056397164095</v>
      </c>
      <c r="GC10" s="4">
        <f t="shared" si="8"/>
        <v>88891.056397164095</v>
      </c>
      <c r="GD10" s="4">
        <f t="shared" si="8"/>
        <v>88891.056397164095</v>
      </c>
      <c r="GE10" s="4">
        <f t="shared" si="8"/>
        <v>88891.056397164095</v>
      </c>
      <c r="GF10" s="4">
        <f t="shared" si="8"/>
        <v>88891.056397164095</v>
      </c>
      <c r="GG10" s="4">
        <f t="shared" si="8"/>
        <v>88891.056397164095</v>
      </c>
      <c r="GH10" s="4">
        <f t="shared" si="8"/>
        <v>88891.056397164095</v>
      </c>
      <c r="GI10" s="4">
        <f t="shared" si="8"/>
        <v>88891.056397164095</v>
      </c>
      <c r="GJ10" s="4">
        <f t="shared" si="8"/>
        <v>88891.056397164095</v>
      </c>
      <c r="GK10" s="4">
        <f t="shared" si="8"/>
        <v>88891.056397164095</v>
      </c>
      <c r="GL10" s="4">
        <f t="shared" si="8"/>
        <v>88891.056397164095</v>
      </c>
      <c r="GM10" s="4">
        <f t="shared" si="8"/>
        <v>88891.056397164095</v>
      </c>
      <c r="GN10" s="4">
        <f t="shared" si="8"/>
        <v>88891.056397164095</v>
      </c>
      <c r="GO10" s="4">
        <f t="shared" si="8"/>
        <v>88891.056397164095</v>
      </c>
      <c r="GP10" s="4">
        <f t="shared" si="8"/>
        <v>88891.056397164095</v>
      </c>
      <c r="GQ10" s="4">
        <f t="shared" si="8"/>
        <v>88891.056397164095</v>
      </c>
      <c r="GR10" s="4">
        <f t="shared" si="8"/>
        <v>88891.056397164095</v>
      </c>
      <c r="GS10" s="4">
        <f t="shared" si="8"/>
        <v>88891.056397164095</v>
      </c>
      <c r="GT10" s="4">
        <f t="shared" si="8"/>
        <v>88891.056397164095</v>
      </c>
      <c r="GU10" s="4">
        <f t="shared" si="8"/>
        <v>88891.056397164095</v>
      </c>
      <c r="GV10" s="4">
        <f t="shared" si="8"/>
        <v>88891.056397164095</v>
      </c>
      <c r="GW10" s="4">
        <f t="shared" si="8"/>
        <v>88891.056397164095</v>
      </c>
      <c r="GX10" s="4">
        <f t="shared" si="8"/>
        <v>88891.056397164095</v>
      </c>
      <c r="GY10" s="4">
        <f t="shared" si="8"/>
        <v>88891.056397164095</v>
      </c>
      <c r="GZ10" s="4">
        <f t="shared" si="8"/>
        <v>88891.056397164095</v>
      </c>
      <c r="HA10" s="4">
        <f t="shared" si="8"/>
        <v>88891.056397164095</v>
      </c>
      <c r="HB10" s="4">
        <f t="shared" si="8"/>
        <v>88891.056397164095</v>
      </c>
      <c r="HC10" s="4">
        <f t="shared" si="8"/>
        <v>88891.056397164095</v>
      </c>
    </row>
    <row r="11" spans="1:211">
      <c r="A11" t="s">
        <v>12</v>
      </c>
      <c r="B11" s="4">
        <v>152401.10179577465</v>
      </c>
      <c r="C11" s="4">
        <f t="shared" si="10"/>
        <v>152401.10179577465</v>
      </c>
      <c r="D11" s="4">
        <f t="shared" si="10"/>
        <v>152401.10179577465</v>
      </c>
      <c r="E11" s="4">
        <f t="shared" si="10"/>
        <v>152401.10179577465</v>
      </c>
      <c r="F11" s="4">
        <f t="shared" si="10"/>
        <v>152401.10179577465</v>
      </c>
      <c r="G11" s="4">
        <f t="shared" si="10"/>
        <v>152401.10179577465</v>
      </c>
      <c r="H11" s="4">
        <f t="shared" si="10"/>
        <v>152401.10179577465</v>
      </c>
      <c r="I11" s="4">
        <f t="shared" si="10"/>
        <v>152401.10179577465</v>
      </c>
      <c r="J11" s="4">
        <f t="shared" si="10"/>
        <v>152401.10179577465</v>
      </c>
      <c r="K11" s="4">
        <f t="shared" si="10"/>
        <v>152401.10179577465</v>
      </c>
      <c r="L11" s="4">
        <f t="shared" si="10"/>
        <v>152401.10179577465</v>
      </c>
      <c r="M11" s="4">
        <f t="shared" si="10"/>
        <v>152401.10179577465</v>
      </c>
      <c r="N11" s="4">
        <f t="shared" si="10"/>
        <v>152401.10179577465</v>
      </c>
      <c r="O11" s="4">
        <f t="shared" si="10"/>
        <v>152401.10179577465</v>
      </c>
      <c r="P11" s="4">
        <f t="shared" si="10"/>
        <v>152401.10179577465</v>
      </c>
      <c r="Q11" s="4">
        <f t="shared" si="10"/>
        <v>152401.10179577465</v>
      </c>
      <c r="R11" s="4">
        <f t="shared" si="10"/>
        <v>152401.10179577465</v>
      </c>
      <c r="S11" s="4">
        <f t="shared" si="10"/>
        <v>152401.10179577465</v>
      </c>
      <c r="T11" s="4">
        <f t="shared" si="10"/>
        <v>152401.10179577465</v>
      </c>
      <c r="U11" s="4">
        <f t="shared" si="10"/>
        <v>152401.10179577465</v>
      </c>
      <c r="V11" s="4">
        <f t="shared" si="10"/>
        <v>152401.10179577465</v>
      </c>
      <c r="W11" s="4">
        <f t="shared" si="10"/>
        <v>152401.10179577465</v>
      </c>
      <c r="X11" s="4">
        <f t="shared" si="10"/>
        <v>152401.10179577465</v>
      </c>
      <c r="Y11" s="4">
        <f t="shared" si="10"/>
        <v>152401.10179577465</v>
      </c>
      <c r="Z11" s="4">
        <f t="shared" si="10"/>
        <v>152401.10179577465</v>
      </c>
      <c r="AA11" s="4">
        <f t="shared" si="10"/>
        <v>152401.10179577465</v>
      </c>
      <c r="AB11" s="4">
        <f t="shared" si="10"/>
        <v>152401.10179577465</v>
      </c>
      <c r="AC11" s="4">
        <f t="shared" si="10"/>
        <v>152401.10179577465</v>
      </c>
      <c r="AD11" s="4">
        <f t="shared" si="10"/>
        <v>152401.10179577465</v>
      </c>
      <c r="AE11" s="4">
        <f t="shared" si="10"/>
        <v>152401.10179577465</v>
      </c>
      <c r="AF11" s="4">
        <f t="shared" si="10"/>
        <v>152401.10179577465</v>
      </c>
      <c r="AG11" s="4">
        <f t="shared" si="10"/>
        <v>152401.10179577465</v>
      </c>
      <c r="AH11" s="4">
        <f t="shared" si="10"/>
        <v>152401.10179577465</v>
      </c>
      <c r="AI11" s="4">
        <f t="shared" si="10"/>
        <v>152401.10179577465</v>
      </c>
      <c r="AJ11" s="4">
        <f t="shared" si="10"/>
        <v>152401.10179577465</v>
      </c>
      <c r="AK11" s="4">
        <f t="shared" si="10"/>
        <v>152401.10179577465</v>
      </c>
      <c r="AL11" s="4">
        <f t="shared" si="10"/>
        <v>152401.10179577465</v>
      </c>
      <c r="AM11" s="4">
        <f t="shared" si="10"/>
        <v>152401.10179577465</v>
      </c>
      <c r="AN11" s="4">
        <f t="shared" si="10"/>
        <v>152401.10179577465</v>
      </c>
      <c r="AO11" s="4">
        <f t="shared" si="10"/>
        <v>152401.10179577465</v>
      </c>
      <c r="AP11" s="4">
        <f t="shared" si="10"/>
        <v>152401.10179577465</v>
      </c>
      <c r="AQ11" s="4">
        <f t="shared" si="10"/>
        <v>152401.10179577465</v>
      </c>
      <c r="AR11" s="4">
        <f t="shared" si="10"/>
        <v>152401.10179577465</v>
      </c>
      <c r="AS11" s="4">
        <f t="shared" si="10"/>
        <v>152401.10179577465</v>
      </c>
      <c r="AT11" s="4">
        <f t="shared" si="10"/>
        <v>152401.10179577465</v>
      </c>
      <c r="AU11" s="4">
        <f t="shared" si="10"/>
        <v>152401.10179577465</v>
      </c>
      <c r="AV11" s="4">
        <f t="shared" si="10"/>
        <v>152401.10179577465</v>
      </c>
      <c r="AW11" s="4">
        <f t="shared" si="10"/>
        <v>152401.10179577465</v>
      </c>
      <c r="AX11" s="4">
        <f t="shared" si="10"/>
        <v>152401.10179577465</v>
      </c>
      <c r="AY11" s="4">
        <f t="shared" si="10"/>
        <v>152401.10179577465</v>
      </c>
      <c r="AZ11" s="4">
        <f t="shared" si="10"/>
        <v>152401.10179577465</v>
      </c>
      <c r="BA11" s="4">
        <f t="shared" si="10"/>
        <v>152401.10179577465</v>
      </c>
      <c r="BB11" s="4">
        <f t="shared" si="10"/>
        <v>152401.10179577465</v>
      </c>
      <c r="BC11" s="4">
        <f t="shared" si="10"/>
        <v>152401.10179577465</v>
      </c>
      <c r="BD11" s="4">
        <f t="shared" si="10"/>
        <v>152401.10179577465</v>
      </c>
      <c r="BE11" s="4">
        <f t="shared" si="10"/>
        <v>152401.10179577465</v>
      </c>
      <c r="BF11" s="4">
        <f t="shared" si="10"/>
        <v>152401.10179577465</v>
      </c>
      <c r="BG11" s="4">
        <f t="shared" si="10"/>
        <v>152401.10179577465</v>
      </c>
      <c r="BH11" s="4">
        <f t="shared" si="10"/>
        <v>152401.10179577465</v>
      </c>
      <c r="BI11" s="4">
        <f t="shared" si="10"/>
        <v>152401.10179577465</v>
      </c>
      <c r="BJ11" s="4">
        <f t="shared" si="10"/>
        <v>152401.10179577465</v>
      </c>
      <c r="BK11" s="4">
        <f t="shared" si="10"/>
        <v>152401.10179577465</v>
      </c>
      <c r="BL11" s="4">
        <f t="shared" si="10"/>
        <v>152401.10179577465</v>
      </c>
      <c r="BM11" s="4">
        <f t="shared" si="10"/>
        <v>152401.10179577465</v>
      </c>
      <c r="BN11" s="4">
        <f t="shared" si="10"/>
        <v>152401.10179577465</v>
      </c>
      <c r="BO11" s="4">
        <f t="shared" si="9"/>
        <v>152401.10179577465</v>
      </c>
      <c r="BP11" s="4">
        <f t="shared" si="9"/>
        <v>152401.10179577465</v>
      </c>
      <c r="BQ11" s="4">
        <f t="shared" si="9"/>
        <v>152401.10179577465</v>
      </c>
      <c r="BR11" s="4">
        <f t="shared" si="9"/>
        <v>152401.10179577465</v>
      </c>
      <c r="BS11" s="4">
        <f t="shared" si="9"/>
        <v>152401.10179577465</v>
      </c>
      <c r="BT11" s="4">
        <f t="shared" si="9"/>
        <v>152401.10179577465</v>
      </c>
      <c r="BU11" s="4">
        <f t="shared" si="9"/>
        <v>152401.10179577465</v>
      </c>
      <c r="BV11" s="4">
        <f t="shared" si="9"/>
        <v>152401.10179577465</v>
      </c>
      <c r="BW11" s="4">
        <f t="shared" si="9"/>
        <v>152401.10179577465</v>
      </c>
      <c r="BX11" s="4">
        <f t="shared" si="9"/>
        <v>152401.10179577465</v>
      </c>
      <c r="BY11" s="4">
        <f t="shared" si="9"/>
        <v>152401.10179577465</v>
      </c>
      <c r="BZ11" s="4">
        <f t="shared" si="9"/>
        <v>152401.10179577465</v>
      </c>
      <c r="CA11" s="4">
        <f t="shared" si="9"/>
        <v>152401.10179577465</v>
      </c>
      <c r="CB11" s="4">
        <f t="shared" si="9"/>
        <v>152401.10179577465</v>
      </c>
      <c r="CC11" s="4">
        <f t="shared" si="9"/>
        <v>152401.10179577465</v>
      </c>
      <c r="CD11" s="4">
        <f t="shared" si="9"/>
        <v>152401.10179577465</v>
      </c>
      <c r="CE11" s="4">
        <f t="shared" si="9"/>
        <v>152401.10179577465</v>
      </c>
      <c r="CF11" s="4">
        <f t="shared" si="9"/>
        <v>152401.10179577465</v>
      </c>
      <c r="CG11" s="4">
        <f t="shared" si="9"/>
        <v>152401.10179577465</v>
      </c>
      <c r="CH11" s="4">
        <f t="shared" si="9"/>
        <v>152401.10179577465</v>
      </c>
      <c r="CI11" s="4">
        <f t="shared" si="9"/>
        <v>152401.10179577465</v>
      </c>
      <c r="CJ11" s="4">
        <f t="shared" si="9"/>
        <v>152401.10179577465</v>
      </c>
      <c r="CK11" s="4">
        <f t="shared" si="9"/>
        <v>152401.10179577465</v>
      </c>
      <c r="CL11" s="4">
        <f t="shared" si="9"/>
        <v>152401.10179577465</v>
      </c>
      <c r="CM11" s="4">
        <f t="shared" si="9"/>
        <v>152401.10179577465</v>
      </c>
      <c r="CN11" s="4">
        <f t="shared" si="9"/>
        <v>152401.10179577465</v>
      </c>
      <c r="CO11" s="4">
        <f t="shared" si="9"/>
        <v>152401.10179577465</v>
      </c>
      <c r="CP11" s="4">
        <f t="shared" si="9"/>
        <v>152401.10179577465</v>
      </c>
      <c r="CQ11" s="4">
        <f t="shared" si="9"/>
        <v>152401.10179577465</v>
      </c>
      <c r="CR11" s="4">
        <f t="shared" si="9"/>
        <v>152401.10179577465</v>
      </c>
      <c r="CS11" s="4">
        <f t="shared" si="9"/>
        <v>152401.10179577465</v>
      </c>
      <c r="CT11" s="4">
        <f t="shared" si="9"/>
        <v>152401.10179577465</v>
      </c>
      <c r="CU11" s="4">
        <f t="shared" si="9"/>
        <v>152401.10179577465</v>
      </c>
      <c r="CV11" s="4">
        <f t="shared" si="9"/>
        <v>152401.10179577465</v>
      </c>
      <c r="CW11" s="4">
        <f t="shared" si="9"/>
        <v>152401.10179577465</v>
      </c>
      <c r="CX11" s="4">
        <f t="shared" si="9"/>
        <v>152401.10179577465</v>
      </c>
      <c r="CY11" s="4">
        <f t="shared" si="9"/>
        <v>152401.10179577465</v>
      </c>
      <c r="CZ11" s="4">
        <f t="shared" si="9"/>
        <v>152401.10179577465</v>
      </c>
      <c r="DA11" s="4">
        <f t="shared" si="9"/>
        <v>152401.10179577465</v>
      </c>
      <c r="DB11" s="4">
        <f t="shared" si="9"/>
        <v>152401.10179577465</v>
      </c>
      <c r="DC11" s="4">
        <f t="shared" si="9"/>
        <v>152401.10179577465</v>
      </c>
      <c r="DD11" s="4">
        <f t="shared" si="9"/>
        <v>152401.10179577465</v>
      </c>
      <c r="DE11" s="4">
        <f t="shared" si="9"/>
        <v>152401.10179577465</v>
      </c>
      <c r="DF11" s="4">
        <f t="shared" si="9"/>
        <v>152401.10179577465</v>
      </c>
      <c r="DG11" s="4">
        <f t="shared" si="9"/>
        <v>152401.10179577465</v>
      </c>
      <c r="DH11" s="4">
        <f t="shared" si="9"/>
        <v>152401.10179577465</v>
      </c>
      <c r="DI11" s="4">
        <f t="shared" si="9"/>
        <v>152401.10179577465</v>
      </c>
      <c r="DJ11" s="4">
        <f t="shared" si="9"/>
        <v>152401.10179577465</v>
      </c>
      <c r="DK11" s="4">
        <f t="shared" si="9"/>
        <v>152401.10179577465</v>
      </c>
      <c r="DL11" s="4">
        <f t="shared" si="9"/>
        <v>152401.10179577465</v>
      </c>
      <c r="DM11" s="4">
        <f t="shared" si="9"/>
        <v>152401.10179577465</v>
      </c>
      <c r="DN11" s="4">
        <f t="shared" si="9"/>
        <v>152401.10179577465</v>
      </c>
      <c r="DO11" s="4">
        <f t="shared" si="9"/>
        <v>152401.10179577465</v>
      </c>
      <c r="DP11" s="4">
        <f t="shared" si="9"/>
        <v>152401.10179577465</v>
      </c>
      <c r="DQ11" s="4">
        <f t="shared" si="9"/>
        <v>152401.10179577465</v>
      </c>
      <c r="DR11" s="4">
        <f t="shared" si="9"/>
        <v>152401.10179577465</v>
      </c>
      <c r="DS11" s="4">
        <f t="shared" si="9"/>
        <v>152401.10179577465</v>
      </c>
      <c r="DT11" s="4">
        <f t="shared" si="9"/>
        <v>152401.10179577465</v>
      </c>
      <c r="DU11" s="4">
        <f t="shared" si="9"/>
        <v>152401.10179577465</v>
      </c>
      <c r="DV11" s="4">
        <f t="shared" si="9"/>
        <v>152401.10179577465</v>
      </c>
      <c r="DW11" s="4">
        <f t="shared" si="9"/>
        <v>152401.10179577465</v>
      </c>
      <c r="DX11" s="4">
        <f t="shared" si="9"/>
        <v>152401.10179577465</v>
      </c>
      <c r="DY11" s="4">
        <f t="shared" si="4"/>
        <v>152401.10179577465</v>
      </c>
      <c r="DZ11" s="4">
        <f>'CCaMC-AFOaMCpUC US'!B11</f>
        <v>152401.10179577465</v>
      </c>
      <c r="EA11" s="4">
        <f t="shared" si="5"/>
        <v>152401.10179577465</v>
      </c>
      <c r="EB11" s="4">
        <f t="shared" ref="EB11:FE19" si="11">$DZ11</f>
        <v>152401.10179577465</v>
      </c>
      <c r="EC11" s="4">
        <f t="shared" si="11"/>
        <v>152401.10179577465</v>
      </c>
      <c r="ED11" s="4">
        <f t="shared" si="11"/>
        <v>152401.10179577465</v>
      </c>
      <c r="EE11" s="4">
        <f t="shared" si="11"/>
        <v>152401.10179577465</v>
      </c>
      <c r="EF11" s="4">
        <f t="shared" si="11"/>
        <v>152401.10179577465</v>
      </c>
      <c r="EG11" s="4">
        <f t="shared" si="11"/>
        <v>152401.10179577465</v>
      </c>
      <c r="EH11" s="4">
        <f t="shared" si="11"/>
        <v>152401.10179577465</v>
      </c>
      <c r="EI11" s="4">
        <f t="shared" si="11"/>
        <v>152401.10179577465</v>
      </c>
      <c r="EJ11" s="4">
        <f t="shared" si="11"/>
        <v>152401.10179577465</v>
      </c>
      <c r="EK11" s="4">
        <f t="shared" si="11"/>
        <v>152401.10179577465</v>
      </c>
      <c r="EL11" s="4">
        <f t="shared" si="11"/>
        <v>152401.10179577465</v>
      </c>
      <c r="EM11" s="4">
        <f t="shared" si="11"/>
        <v>152401.10179577465</v>
      </c>
      <c r="EN11" s="4">
        <f t="shared" si="11"/>
        <v>152401.10179577465</v>
      </c>
      <c r="EO11" s="4">
        <f t="shared" si="11"/>
        <v>152401.10179577465</v>
      </c>
      <c r="EP11" s="4">
        <f t="shared" si="11"/>
        <v>152401.10179577465</v>
      </c>
      <c r="EQ11" s="4">
        <f t="shared" si="11"/>
        <v>152401.10179577465</v>
      </c>
      <c r="ER11" s="4">
        <f t="shared" si="11"/>
        <v>152401.10179577465</v>
      </c>
      <c r="ES11" s="4">
        <f t="shared" si="11"/>
        <v>152401.10179577465</v>
      </c>
      <c r="ET11" s="4">
        <f t="shared" si="11"/>
        <v>152401.10179577465</v>
      </c>
      <c r="EU11" s="4">
        <f t="shared" si="11"/>
        <v>152401.10179577465</v>
      </c>
      <c r="EV11" s="4">
        <f t="shared" si="11"/>
        <v>152401.10179577465</v>
      </c>
      <c r="EW11" s="4">
        <f t="shared" si="11"/>
        <v>152401.10179577465</v>
      </c>
      <c r="EX11" s="4">
        <f t="shared" si="11"/>
        <v>152401.10179577465</v>
      </c>
      <c r="EY11" s="4">
        <f t="shared" si="11"/>
        <v>152401.10179577465</v>
      </c>
      <c r="EZ11" s="4">
        <f t="shared" si="11"/>
        <v>152401.10179577465</v>
      </c>
      <c r="FA11" s="4">
        <f t="shared" si="11"/>
        <v>152401.10179577465</v>
      </c>
      <c r="FB11" s="4">
        <f t="shared" si="11"/>
        <v>152401.10179577465</v>
      </c>
      <c r="FC11" s="4">
        <f t="shared" si="11"/>
        <v>152401.10179577465</v>
      </c>
      <c r="FD11" s="4">
        <f t="shared" si="11"/>
        <v>152401.10179577465</v>
      </c>
      <c r="FE11" s="4">
        <f t="shared" si="11"/>
        <v>152401.10179577465</v>
      </c>
      <c r="FF11" s="4">
        <f t="shared" si="8"/>
        <v>152401.10179577465</v>
      </c>
      <c r="FG11" s="4">
        <f t="shared" si="8"/>
        <v>152401.10179577465</v>
      </c>
      <c r="FH11" s="4">
        <f t="shared" si="8"/>
        <v>152401.10179577465</v>
      </c>
      <c r="FI11" s="4">
        <f t="shared" si="8"/>
        <v>152401.10179577465</v>
      </c>
      <c r="FJ11" s="4">
        <f t="shared" si="8"/>
        <v>152401.10179577465</v>
      </c>
      <c r="FK11" s="4">
        <f t="shared" si="8"/>
        <v>152401.10179577465</v>
      </c>
      <c r="FL11" s="4">
        <f t="shared" si="8"/>
        <v>152401.10179577465</v>
      </c>
      <c r="FM11" s="4">
        <f t="shared" si="8"/>
        <v>152401.10179577465</v>
      </c>
      <c r="FN11" s="4">
        <f t="shared" si="8"/>
        <v>152401.10179577465</v>
      </c>
      <c r="FO11" s="4">
        <f t="shared" si="8"/>
        <v>152401.10179577465</v>
      </c>
      <c r="FP11" s="4">
        <f t="shared" si="8"/>
        <v>152401.10179577465</v>
      </c>
      <c r="FQ11" s="4">
        <f t="shared" si="8"/>
        <v>152401.10179577465</v>
      </c>
      <c r="FR11" s="4">
        <f t="shared" si="8"/>
        <v>152401.10179577465</v>
      </c>
      <c r="FS11" s="4">
        <f t="shared" si="8"/>
        <v>152401.10179577465</v>
      </c>
      <c r="FT11" s="4">
        <f t="shared" si="8"/>
        <v>152401.10179577465</v>
      </c>
      <c r="FU11" s="4">
        <f t="shared" si="8"/>
        <v>152401.10179577465</v>
      </c>
      <c r="FV11" s="4">
        <f t="shared" si="8"/>
        <v>152401.10179577465</v>
      </c>
      <c r="FW11" s="4">
        <f t="shared" si="8"/>
        <v>152401.10179577465</v>
      </c>
      <c r="FX11" s="4">
        <f t="shared" si="8"/>
        <v>152401.10179577465</v>
      </c>
      <c r="FY11" s="4">
        <f t="shared" si="8"/>
        <v>152401.10179577465</v>
      </c>
      <c r="FZ11" s="4">
        <f t="shared" si="8"/>
        <v>152401.10179577465</v>
      </c>
      <c r="GA11" s="4">
        <f t="shared" si="8"/>
        <v>152401.10179577465</v>
      </c>
      <c r="GB11" s="4">
        <f t="shared" si="8"/>
        <v>152401.10179577465</v>
      </c>
      <c r="GC11" s="4">
        <f t="shared" si="8"/>
        <v>152401.10179577465</v>
      </c>
      <c r="GD11" s="4">
        <f t="shared" si="8"/>
        <v>152401.10179577465</v>
      </c>
      <c r="GE11" s="4">
        <f t="shared" si="8"/>
        <v>152401.10179577465</v>
      </c>
      <c r="GF11" s="4">
        <f t="shared" si="8"/>
        <v>152401.10179577465</v>
      </c>
      <c r="GG11" s="4">
        <f t="shared" si="8"/>
        <v>152401.10179577465</v>
      </c>
      <c r="GH11" s="4">
        <f t="shared" si="8"/>
        <v>152401.10179577465</v>
      </c>
      <c r="GI11" s="4">
        <f t="shared" si="8"/>
        <v>152401.10179577465</v>
      </c>
      <c r="GJ11" s="4">
        <f t="shared" si="8"/>
        <v>152401.10179577465</v>
      </c>
      <c r="GK11" s="4">
        <f t="shared" si="8"/>
        <v>152401.10179577465</v>
      </c>
      <c r="GL11" s="4">
        <f t="shared" si="8"/>
        <v>152401.10179577465</v>
      </c>
      <c r="GM11" s="4">
        <f t="shared" si="8"/>
        <v>152401.10179577465</v>
      </c>
      <c r="GN11" s="4">
        <f t="shared" si="8"/>
        <v>152401.10179577465</v>
      </c>
      <c r="GO11" s="4">
        <f t="shared" si="8"/>
        <v>152401.10179577465</v>
      </c>
      <c r="GP11" s="4">
        <f t="shared" si="8"/>
        <v>152401.10179577465</v>
      </c>
      <c r="GQ11" s="4">
        <f t="shared" si="8"/>
        <v>152401.10179577465</v>
      </c>
      <c r="GR11" s="4">
        <f t="shared" si="8"/>
        <v>152401.10179577465</v>
      </c>
      <c r="GS11" s="4">
        <f t="shared" si="8"/>
        <v>152401.10179577465</v>
      </c>
      <c r="GT11" s="4">
        <f t="shared" si="8"/>
        <v>152401.10179577465</v>
      </c>
      <c r="GU11" s="4">
        <f t="shared" si="8"/>
        <v>152401.10179577465</v>
      </c>
      <c r="GV11" s="4">
        <f t="shared" si="8"/>
        <v>152401.10179577465</v>
      </c>
      <c r="GW11" s="4">
        <f t="shared" si="8"/>
        <v>152401.10179577465</v>
      </c>
      <c r="GX11" s="4">
        <f t="shared" si="8"/>
        <v>152401.10179577465</v>
      </c>
      <c r="GY11" s="4">
        <f t="shared" si="8"/>
        <v>152401.10179577465</v>
      </c>
      <c r="GZ11" s="4">
        <f t="shared" si="8"/>
        <v>152401.10179577465</v>
      </c>
      <c r="HA11" s="4">
        <f t="shared" si="8"/>
        <v>152401.10179577465</v>
      </c>
      <c r="HB11" s="4">
        <f t="shared" si="8"/>
        <v>152401.10179577465</v>
      </c>
      <c r="HC11" s="4">
        <f t="shared" si="8"/>
        <v>152401.10179577465</v>
      </c>
    </row>
    <row r="12" spans="1:211">
      <c r="A12" t="s">
        <v>13</v>
      </c>
      <c r="B12" s="4">
        <v>7973.6811047683404</v>
      </c>
      <c r="C12" s="4">
        <f t="shared" si="10"/>
        <v>7973.6811047683404</v>
      </c>
      <c r="D12" s="4">
        <f t="shared" si="10"/>
        <v>7973.6811047683404</v>
      </c>
      <c r="E12" s="4">
        <f t="shared" si="10"/>
        <v>7973.6811047683404</v>
      </c>
      <c r="F12" s="4">
        <f t="shared" si="10"/>
        <v>7973.6811047683404</v>
      </c>
      <c r="G12" s="4">
        <f t="shared" si="10"/>
        <v>7973.6811047683404</v>
      </c>
      <c r="H12" s="4">
        <f t="shared" si="10"/>
        <v>7973.6811047683404</v>
      </c>
      <c r="I12" s="4">
        <f t="shared" si="10"/>
        <v>7973.6811047683404</v>
      </c>
      <c r="J12" s="4">
        <f t="shared" si="10"/>
        <v>7973.6811047683404</v>
      </c>
      <c r="K12" s="4">
        <f t="shared" si="10"/>
        <v>7973.6811047683404</v>
      </c>
      <c r="L12" s="4">
        <f t="shared" si="10"/>
        <v>7973.6811047683404</v>
      </c>
      <c r="M12" s="4">
        <f t="shared" si="10"/>
        <v>7973.6811047683404</v>
      </c>
      <c r="N12" s="4">
        <f t="shared" si="10"/>
        <v>7973.6811047683404</v>
      </c>
      <c r="O12" s="4">
        <f t="shared" si="10"/>
        <v>7973.6811047683404</v>
      </c>
      <c r="P12" s="4">
        <f t="shared" si="10"/>
        <v>7973.6811047683404</v>
      </c>
      <c r="Q12" s="4">
        <f t="shared" si="10"/>
        <v>7973.6811047683404</v>
      </c>
      <c r="R12" s="4">
        <f t="shared" si="10"/>
        <v>7973.6811047683404</v>
      </c>
      <c r="S12" s="4">
        <f t="shared" si="10"/>
        <v>7973.6811047683404</v>
      </c>
      <c r="T12" s="4">
        <f t="shared" si="10"/>
        <v>7973.6811047683404</v>
      </c>
      <c r="U12" s="4">
        <f t="shared" si="10"/>
        <v>7973.6811047683404</v>
      </c>
      <c r="V12" s="4">
        <f t="shared" si="10"/>
        <v>7973.6811047683404</v>
      </c>
      <c r="W12" s="4">
        <f t="shared" si="10"/>
        <v>7973.6811047683404</v>
      </c>
      <c r="X12" s="4">
        <f t="shared" si="10"/>
        <v>7973.6811047683404</v>
      </c>
      <c r="Y12" s="4">
        <f t="shared" si="10"/>
        <v>7973.6811047683404</v>
      </c>
      <c r="Z12" s="4">
        <f t="shared" si="10"/>
        <v>7973.6811047683404</v>
      </c>
      <c r="AA12" s="4">
        <f t="shared" si="10"/>
        <v>7973.6811047683404</v>
      </c>
      <c r="AB12" s="4">
        <f t="shared" si="10"/>
        <v>7973.6811047683404</v>
      </c>
      <c r="AC12" s="4">
        <f t="shared" si="10"/>
        <v>7973.6811047683404</v>
      </c>
      <c r="AD12" s="4">
        <f t="shared" si="10"/>
        <v>7973.6811047683404</v>
      </c>
      <c r="AE12" s="4">
        <f t="shared" si="10"/>
        <v>7973.6811047683404</v>
      </c>
      <c r="AF12" s="4">
        <f t="shared" si="10"/>
        <v>7973.6811047683404</v>
      </c>
      <c r="AG12" s="4">
        <f t="shared" si="10"/>
        <v>7973.6811047683404</v>
      </c>
      <c r="AH12" s="4">
        <f t="shared" si="10"/>
        <v>7973.6811047683404</v>
      </c>
      <c r="AI12" s="4">
        <f t="shared" si="10"/>
        <v>7973.6811047683404</v>
      </c>
      <c r="AJ12" s="4">
        <f t="shared" si="10"/>
        <v>7973.6811047683404</v>
      </c>
      <c r="AK12" s="4">
        <f t="shared" si="10"/>
        <v>7973.6811047683404</v>
      </c>
      <c r="AL12" s="4">
        <f t="shared" si="10"/>
        <v>7973.6811047683404</v>
      </c>
      <c r="AM12" s="4">
        <f t="shared" si="10"/>
        <v>7973.6811047683404</v>
      </c>
      <c r="AN12" s="4">
        <f t="shared" si="10"/>
        <v>7973.6811047683404</v>
      </c>
      <c r="AO12" s="4">
        <f t="shared" si="10"/>
        <v>7973.6811047683404</v>
      </c>
      <c r="AP12" s="4">
        <f t="shared" si="10"/>
        <v>7973.6811047683404</v>
      </c>
      <c r="AQ12" s="4">
        <f t="shared" si="10"/>
        <v>7973.6811047683404</v>
      </c>
      <c r="AR12" s="4">
        <f t="shared" si="10"/>
        <v>7973.6811047683404</v>
      </c>
      <c r="AS12" s="4">
        <f t="shared" si="10"/>
        <v>7973.6811047683404</v>
      </c>
      <c r="AT12" s="4">
        <f t="shared" si="10"/>
        <v>7973.6811047683404</v>
      </c>
      <c r="AU12" s="4">
        <f t="shared" si="10"/>
        <v>7973.6811047683404</v>
      </c>
      <c r="AV12" s="4">
        <f t="shared" si="10"/>
        <v>7973.6811047683404</v>
      </c>
      <c r="AW12" s="4">
        <f t="shared" si="10"/>
        <v>7973.6811047683404</v>
      </c>
      <c r="AX12" s="4">
        <f t="shared" si="10"/>
        <v>7973.6811047683404</v>
      </c>
      <c r="AY12" s="4">
        <f t="shared" si="10"/>
        <v>7973.6811047683404</v>
      </c>
      <c r="AZ12" s="4">
        <f t="shared" si="10"/>
        <v>7973.6811047683404</v>
      </c>
      <c r="BA12" s="4">
        <f t="shared" si="10"/>
        <v>7973.6811047683404</v>
      </c>
      <c r="BB12" s="4">
        <f t="shared" si="10"/>
        <v>7973.6811047683404</v>
      </c>
      <c r="BC12" s="4">
        <f t="shared" si="10"/>
        <v>7973.6811047683404</v>
      </c>
      <c r="BD12" s="4">
        <f t="shared" si="10"/>
        <v>7973.6811047683404</v>
      </c>
      <c r="BE12" s="4">
        <f t="shared" si="10"/>
        <v>7973.6811047683404</v>
      </c>
      <c r="BF12" s="4">
        <f t="shared" si="10"/>
        <v>7973.6811047683404</v>
      </c>
      <c r="BG12" s="4">
        <f t="shared" si="10"/>
        <v>7973.6811047683404</v>
      </c>
      <c r="BH12" s="4">
        <f t="shared" si="10"/>
        <v>7973.6811047683404</v>
      </c>
      <c r="BI12" s="4">
        <f t="shared" si="10"/>
        <v>7973.6811047683404</v>
      </c>
      <c r="BJ12" s="4">
        <f t="shared" si="10"/>
        <v>7973.6811047683404</v>
      </c>
      <c r="BK12" s="4">
        <f t="shared" si="10"/>
        <v>7973.6811047683404</v>
      </c>
      <c r="BL12" s="4">
        <f t="shared" si="10"/>
        <v>7973.6811047683404</v>
      </c>
      <c r="BM12" s="4">
        <f t="shared" si="10"/>
        <v>7973.6811047683404</v>
      </c>
      <c r="BN12" s="4">
        <f t="shared" si="10"/>
        <v>7973.6811047683404</v>
      </c>
      <c r="BO12" s="4">
        <f t="shared" si="9"/>
        <v>7973.6811047683404</v>
      </c>
      <c r="BP12" s="4">
        <f t="shared" si="9"/>
        <v>7973.6811047683404</v>
      </c>
      <c r="BQ12" s="4">
        <f t="shared" si="9"/>
        <v>7973.6811047683404</v>
      </c>
      <c r="BR12" s="4">
        <f t="shared" si="9"/>
        <v>7973.6811047683404</v>
      </c>
      <c r="BS12" s="4">
        <f t="shared" si="9"/>
        <v>7973.6811047683404</v>
      </c>
      <c r="BT12" s="4">
        <f t="shared" si="9"/>
        <v>7973.6811047683404</v>
      </c>
      <c r="BU12" s="4">
        <f t="shared" si="9"/>
        <v>7973.6811047683404</v>
      </c>
      <c r="BV12" s="4">
        <f t="shared" si="9"/>
        <v>7973.6811047683404</v>
      </c>
      <c r="BW12" s="4">
        <f t="shared" si="9"/>
        <v>7973.6811047683404</v>
      </c>
      <c r="BX12" s="4">
        <f t="shared" si="9"/>
        <v>7973.6811047683404</v>
      </c>
      <c r="BY12" s="4">
        <f t="shared" si="9"/>
        <v>7973.6811047683404</v>
      </c>
      <c r="BZ12" s="4">
        <f t="shared" si="9"/>
        <v>7973.6811047683404</v>
      </c>
      <c r="CA12" s="4">
        <f t="shared" si="9"/>
        <v>7973.6811047683404</v>
      </c>
      <c r="CB12" s="4">
        <f t="shared" si="9"/>
        <v>7973.6811047683404</v>
      </c>
      <c r="CC12" s="4">
        <f t="shared" si="9"/>
        <v>7973.6811047683404</v>
      </c>
      <c r="CD12" s="4">
        <f t="shared" si="9"/>
        <v>7973.6811047683404</v>
      </c>
      <c r="CE12" s="4">
        <f t="shared" si="9"/>
        <v>7973.6811047683404</v>
      </c>
      <c r="CF12" s="4">
        <f t="shared" si="9"/>
        <v>7973.6811047683404</v>
      </c>
      <c r="CG12" s="4">
        <f t="shared" si="9"/>
        <v>7973.6811047683404</v>
      </c>
      <c r="CH12" s="4">
        <f t="shared" si="9"/>
        <v>7973.6811047683404</v>
      </c>
      <c r="CI12" s="4">
        <f t="shared" si="9"/>
        <v>7973.6811047683404</v>
      </c>
      <c r="CJ12" s="4">
        <f t="shared" si="9"/>
        <v>7973.6811047683404</v>
      </c>
      <c r="CK12" s="4">
        <f t="shared" si="9"/>
        <v>7973.6811047683404</v>
      </c>
      <c r="CL12" s="4">
        <f t="shared" si="9"/>
        <v>7973.6811047683404</v>
      </c>
      <c r="CM12" s="4">
        <f t="shared" si="9"/>
        <v>7973.6811047683404</v>
      </c>
      <c r="CN12" s="4">
        <f t="shared" si="9"/>
        <v>7973.6811047683404</v>
      </c>
      <c r="CO12" s="4">
        <f t="shared" si="9"/>
        <v>7973.6811047683404</v>
      </c>
      <c r="CP12" s="4">
        <f t="shared" si="9"/>
        <v>7973.6811047683404</v>
      </c>
      <c r="CQ12" s="4">
        <f t="shared" si="9"/>
        <v>7973.6811047683404</v>
      </c>
      <c r="CR12" s="4">
        <f t="shared" si="9"/>
        <v>7973.6811047683404</v>
      </c>
      <c r="CS12" s="4">
        <f t="shared" si="9"/>
        <v>7973.6811047683404</v>
      </c>
      <c r="CT12" s="4">
        <f t="shared" si="9"/>
        <v>7973.6811047683404</v>
      </c>
      <c r="CU12" s="4">
        <f t="shared" si="9"/>
        <v>7973.6811047683404</v>
      </c>
      <c r="CV12" s="4">
        <f t="shared" si="9"/>
        <v>7973.6811047683404</v>
      </c>
      <c r="CW12" s="4">
        <f t="shared" si="9"/>
        <v>7973.6811047683404</v>
      </c>
      <c r="CX12" s="4">
        <f t="shared" si="9"/>
        <v>7973.6811047683404</v>
      </c>
      <c r="CY12" s="4">
        <f t="shared" si="9"/>
        <v>7973.6811047683404</v>
      </c>
      <c r="CZ12" s="4">
        <f t="shared" si="9"/>
        <v>7973.6811047683404</v>
      </c>
      <c r="DA12" s="4">
        <f t="shared" si="9"/>
        <v>7973.6811047683404</v>
      </c>
      <c r="DB12" s="4">
        <f t="shared" si="9"/>
        <v>7973.6811047683404</v>
      </c>
      <c r="DC12" s="4">
        <f t="shared" si="9"/>
        <v>7973.6811047683404</v>
      </c>
      <c r="DD12" s="4">
        <f t="shared" si="9"/>
        <v>7973.6811047683404</v>
      </c>
      <c r="DE12" s="4">
        <f t="shared" si="9"/>
        <v>7973.6811047683404</v>
      </c>
      <c r="DF12" s="4">
        <f t="shared" si="9"/>
        <v>7973.6811047683404</v>
      </c>
      <c r="DG12" s="4">
        <f t="shared" si="9"/>
        <v>7973.6811047683404</v>
      </c>
      <c r="DH12" s="4">
        <f t="shared" si="9"/>
        <v>7973.6811047683404</v>
      </c>
      <c r="DI12" s="4">
        <f t="shared" si="9"/>
        <v>7973.6811047683404</v>
      </c>
      <c r="DJ12" s="4">
        <f t="shared" si="9"/>
        <v>7973.6811047683404</v>
      </c>
      <c r="DK12" s="4">
        <f t="shared" si="9"/>
        <v>7973.6811047683404</v>
      </c>
      <c r="DL12" s="4">
        <f t="shared" si="9"/>
        <v>7973.6811047683404</v>
      </c>
      <c r="DM12" s="4">
        <f t="shared" si="9"/>
        <v>7973.6811047683404</v>
      </c>
      <c r="DN12" s="4">
        <f t="shared" si="9"/>
        <v>7973.6811047683404</v>
      </c>
      <c r="DO12" s="4">
        <f t="shared" si="9"/>
        <v>7973.6811047683404</v>
      </c>
      <c r="DP12" s="4">
        <f t="shared" si="9"/>
        <v>7973.6811047683404</v>
      </c>
      <c r="DQ12" s="4">
        <f t="shared" si="9"/>
        <v>7973.6811047683404</v>
      </c>
      <c r="DR12" s="4">
        <f t="shared" si="9"/>
        <v>7973.6811047683404</v>
      </c>
      <c r="DS12" s="4">
        <f t="shared" si="9"/>
        <v>7973.6811047683404</v>
      </c>
      <c r="DT12" s="4">
        <f t="shared" si="9"/>
        <v>7973.6811047683404</v>
      </c>
      <c r="DU12" s="4">
        <f t="shared" si="9"/>
        <v>7973.6811047683404</v>
      </c>
      <c r="DV12" s="4">
        <f t="shared" si="9"/>
        <v>7973.6811047683404</v>
      </c>
      <c r="DW12" s="4">
        <f t="shared" si="9"/>
        <v>7973.6811047683404</v>
      </c>
      <c r="DX12" s="4">
        <f t="shared" si="9"/>
        <v>7973.6811047683404</v>
      </c>
      <c r="DY12" s="4">
        <f t="shared" si="4"/>
        <v>7973.6811047683404</v>
      </c>
      <c r="DZ12" s="4">
        <f>'CCaMC-AFOaMCpUC US'!B12</f>
        <v>7973.6811047683404</v>
      </c>
      <c r="EA12" s="4">
        <f t="shared" si="5"/>
        <v>7973.6811047683404</v>
      </c>
      <c r="EB12" s="4">
        <f t="shared" si="11"/>
        <v>7973.6811047683404</v>
      </c>
      <c r="EC12" s="4">
        <f t="shared" si="11"/>
        <v>7973.6811047683404</v>
      </c>
      <c r="ED12" s="4">
        <f t="shared" si="11"/>
        <v>7973.6811047683404</v>
      </c>
      <c r="EE12" s="4">
        <f t="shared" si="11"/>
        <v>7973.6811047683404</v>
      </c>
      <c r="EF12" s="4">
        <f t="shared" si="11"/>
        <v>7973.6811047683404</v>
      </c>
      <c r="EG12" s="4">
        <f t="shared" si="11"/>
        <v>7973.6811047683404</v>
      </c>
      <c r="EH12" s="4">
        <f t="shared" si="11"/>
        <v>7973.6811047683404</v>
      </c>
      <c r="EI12" s="4">
        <f t="shared" si="11"/>
        <v>7973.6811047683404</v>
      </c>
      <c r="EJ12" s="4">
        <f t="shared" si="11"/>
        <v>7973.6811047683404</v>
      </c>
      <c r="EK12" s="4">
        <f t="shared" si="11"/>
        <v>7973.6811047683404</v>
      </c>
      <c r="EL12" s="4">
        <f t="shared" si="11"/>
        <v>7973.6811047683404</v>
      </c>
      <c r="EM12" s="4">
        <f t="shared" si="11"/>
        <v>7973.6811047683404</v>
      </c>
      <c r="EN12" s="4">
        <f t="shared" si="11"/>
        <v>7973.6811047683404</v>
      </c>
      <c r="EO12" s="4">
        <f t="shared" si="11"/>
        <v>7973.6811047683404</v>
      </c>
      <c r="EP12" s="4">
        <f t="shared" si="11"/>
        <v>7973.6811047683404</v>
      </c>
      <c r="EQ12" s="4">
        <f t="shared" si="11"/>
        <v>7973.6811047683404</v>
      </c>
      <c r="ER12" s="4">
        <f t="shared" si="11"/>
        <v>7973.6811047683404</v>
      </c>
      <c r="ES12" s="4">
        <f t="shared" si="11"/>
        <v>7973.6811047683404</v>
      </c>
      <c r="ET12" s="4">
        <f t="shared" si="11"/>
        <v>7973.6811047683404</v>
      </c>
      <c r="EU12" s="4">
        <f t="shared" si="11"/>
        <v>7973.6811047683404</v>
      </c>
      <c r="EV12" s="4">
        <f t="shared" si="11"/>
        <v>7973.6811047683404</v>
      </c>
      <c r="EW12" s="4">
        <f t="shared" si="11"/>
        <v>7973.6811047683404</v>
      </c>
      <c r="EX12" s="4">
        <f t="shared" si="11"/>
        <v>7973.6811047683404</v>
      </c>
      <c r="EY12" s="4">
        <f t="shared" si="11"/>
        <v>7973.6811047683404</v>
      </c>
      <c r="EZ12" s="4">
        <f t="shared" si="11"/>
        <v>7973.6811047683404</v>
      </c>
      <c r="FA12" s="4">
        <f t="shared" si="11"/>
        <v>7973.6811047683404</v>
      </c>
      <c r="FB12" s="4">
        <f t="shared" si="11"/>
        <v>7973.6811047683404</v>
      </c>
      <c r="FC12" s="4">
        <f t="shared" si="11"/>
        <v>7973.6811047683404</v>
      </c>
      <c r="FD12" s="4">
        <f t="shared" si="11"/>
        <v>7973.6811047683404</v>
      </c>
      <c r="FE12" s="4">
        <f t="shared" si="11"/>
        <v>7973.6811047683404</v>
      </c>
      <c r="FF12" s="4">
        <f t="shared" si="8"/>
        <v>7973.6811047683404</v>
      </c>
      <c r="FG12" s="4">
        <f t="shared" si="8"/>
        <v>7973.6811047683404</v>
      </c>
      <c r="FH12" s="4">
        <f t="shared" si="8"/>
        <v>7973.6811047683404</v>
      </c>
      <c r="FI12" s="4">
        <f t="shared" si="8"/>
        <v>7973.6811047683404</v>
      </c>
      <c r="FJ12" s="4">
        <f t="shared" si="8"/>
        <v>7973.6811047683404</v>
      </c>
      <c r="FK12" s="4">
        <f t="shared" si="8"/>
        <v>7973.6811047683404</v>
      </c>
      <c r="FL12" s="4">
        <f t="shared" si="8"/>
        <v>7973.6811047683404</v>
      </c>
      <c r="FM12" s="4">
        <f t="shared" si="8"/>
        <v>7973.6811047683404</v>
      </c>
      <c r="FN12" s="4">
        <f t="shared" si="8"/>
        <v>7973.6811047683404</v>
      </c>
      <c r="FO12" s="4">
        <f t="shared" si="8"/>
        <v>7973.6811047683404</v>
      </c>
      <c r="FP12" s="4">
        <f t="shared" ref="FF12:HC17" si="12">$DZ12</f>
        <v>7973.6811047683404</v>
      </c>
      <c r="FQ12" s="4">
        <f t="shared" si="12"/>
        <v>7973.6811047683404</v>
      </c>
      <c r="FR12" s="4">
        <f t="shared" si="12"/>
        <v>7973.6811047683404</v>
      </c>
      <c r="FS12" s="4">
        <f t="shared" si="12"/>
        <v>7973.6811047683404</v>
      </c>
      <c r="FT12" s="4">
        <f t="shared" si="12"/>
        <v>7973.6811047683404</v>
      </c>
      <c r="FU12" s="4">
        <f t="shared" si="12"/>
        <v>7973.6811047683404</v>
      </c>
      <c r="FV12" s="4">
        <f t="shared" si="12"/>
        <v>7973.6811047683404</v>
      </c>
      <c r="FW12" s="4">
        <f t="shared" si="12"/>
        <v>7973.6811047683404</v>
      </c>
      <c r="FX12" s="4">
        <f t="shared" si="12"/>
        <v>7973.6811047683404</v>
      </c>
      <c r="FY12" s="4">
        <f t="shared" si="12"/>
        <v>7973.6811047683404</v>
      </c>
      <c r="FZ12" s="4">
        <f t="shared" si="12"/>
        <v>7973.6811047683404</v>
      </c>
      <c r="GA12" s="4">
        <f t="shared" si="12"/>
        <v>7973.6811047683404</v>
      </c>
      <c r="GB12" s="4">
        <f t="shared" si="12"/>
        <v>7973.6811047683404</v>
      </c>
      <c r="GC12" s="4">
        <f t="shared" si="12"/>
        <v>7973.6811047683404</v>
      </c>
      <c r="GD12" s="4">
        <f t="shared" si="12"/>
        <v>7973.6811047683404</v>
      </c>
      <c r="GE12" s="4">
        <f t="shared" si="12"/>
        <v>7973.6811047683404</v>
      </c>
      <c r="GF12" s="4">
        <f t="shared" si="12"/>
        <v>7973.6811047683404</v>
      </c>
      <c r="GG12" s="4">
        <f t="shared" si="12"/>
        <v>7973.6811047683404</v>
      </c>
      <c r="GH12" s="4">
        <f t="shared" si="12"/>
        <v>7973.6811047683404</v>
      </c>
      <c r="GI12" s="4">
        <f t="shared" si="12"/>
        <v>7973.6811047683404</v>
      </c>
      <c r="GJ12" s="4">
        <f t="shared" si="12"/>
        <v>7973.6811047683404</v>
      </c>
      <c r="GK12" s="4">
        <f t="shared" si="12"/>
        <v>7973.6811047683404</v>
      </c>
      <c r="GL12" s="4">
        <f t="shared" si="12"/>
        <v>7973.6811047683404</v>
      </c>
      <c r="GM12" s="4">
        <f t="shared" si="12"/>
        <v>7973.6811047683404</v>
      </c>
      <c r="GN12" s="4">
        <f t="shared" si="12"/>
        <v>7973.6811047683404</v>
      </c>
      <c r="GO12" s="4">
        <f t="shared" si="12"/>
        <v>7973.6811047683404</v>
      </c>
      <c r="GP12" s="4">
        <f t="shared" si="12"/>
        <v>7973.6811047683404</v>
      </c>
      <c r="GQ12" s="4">
        <f t="shared" si="12"/>
        <v>7973.6811047683404</v>
      </c>
      <c r="GR12" s="4">
        <f t="shared" si="12"/>
        <v>7973.6811047683404</v>
      </c>
      <c r="GS12" s="4">
        <f t="shared" si="12"/>
        <v>7973.6811047683404</v>
      </c>
      <c r="GT12" s="4">
        <f t="shared" si="12"/>
        <v>7973.6811047683404</v>
      </c>
      <c r="GU12" s="4">
        <f t="shared" si="12"/>
        <v>7973.6811047683404</v>
      </c>
      <c r="GV12" s="4">
        <f t="shared" si="12"/>
        <v>7973.6811047683404</v>
      </c>
      <c r="GW12" s="4">
        <f t="shared" si="12"/>
        <v>7973.6811047683404</v>
      </c>
      <c r="GX12" s="4">
        <f t="shared" si="12"/>
        <v>7973.6811047683404</v>
      </c>
      <c r="GY12" s="4">
        <f t="shared" si="12"/>
        <v>7973.6811047683404</v>
      </c>
      <c r="GZ12" s="4">
        <f t="shared" si="12"/>
        <v>7973.6811047683404</v>
      </c>
      <c r="HA12" s="4">
        <f t="shared" si="12"/>
        <v>7973.6811047683404</v>
      </c>
      <c r="HB12" s="4">
        <f t="shared" si="12"/>
        <v>7973.6811047683404</v>
      </c>
      <c r="HC12" s="4">
        <f t="shared" si="12"/>
        <v>7973.6811047683404</v>
      </c>
    </row>
    <row r="13" spans="1:211">
      <c r="A13" t="s">
        <v>14</v>
      </c>
      <c r="B13" s="4">
        <v>7144.2571203304669</v>
      </c>
      <c r="C13" s="4">
        <f t="shared" si="10"/>
        <v>7144.2571203304669</v>
      </c>
      <c r="D13" s="4">
        <f t="shared" si="10"/>
        <v>7144.2571203304669</v>
      </c>
      <c r="E13" s="4">
        <f t="shared" si="10"/>
        <v>7144.2571203304669</v>
      </c>
      <c r="F13" s="4">
        <f t="shared" si="10"/>
        <v>7144.2571203304669</v>
      </c>
      <c r="G13" s="4">
        <f t="shared" si="10"/>
        <v>7144.2571203304669</v>
      </c>
      <c r="H13" s="4">
        <f t="shared" si="10"/>
        <v>7144.2571203304669</v>
      </c>
      <c r="I13" s="4">
        <f t="shared" si="10"/>
        <v>7144.2571203304669</v>
      </c>
      <c r="J13" s="4">
        <f t="shared" si="10"/>
        <v>7144.2571203304669</v>
      </c>
      <c r="K13" s="4">
        <f t="shared" si="10"/>
        <v>7144.2571203304669</v>
      </c>
      <c r="L13" s="4">
        <f t="shared" si="10"/>
        <v>7144.2571203304669</v>
      </c>
      <c r="M13" s="4">
        <f t="shared" si="10"/>
        <v>7144.2571203304669</v>
      </c>
      <c r="N13" s="4">
        <f t="shared" si="10"/>
        <v>7144.2571203304669</v>
      </c>
      <c r="O13" s="4">
        <f t="shared" si="10"/>
        <v>7144.2571203304669</v>
      </c>
      <c r="P13" s="4">
        <f t="shared" si="10"/>
        <v>7144.2571203304669</v>
      </c>
      <c r="Q13" s="4">
        <f t="shared" si="10"/>
        <v>7144.2571203304669</v>
      </c>
      <c r="R13" s="4">
        <f t="shared" si="10"/>
        <v>7144.2571203304669</v>
      </c>
      <c r="S13" s="4">
        <f t="shared" si="10"/>
        <v>7144.2571203304669</v>
      </c>
      <c r="T13" s="4">
        <f t="shared" si="10"/>
        <v>7144.2571203304669</v>
      </c>
      <c r="U13" s="4">
        <f t="shared" si="10"/>
        <v>7144.2571203304669</v>
      </c>
      <c r="V13" s="4">
        <f t="shared" si="10"/>
        <v>7144.2571203304669</v>
      </c>
      <c r="W13" s="4">
        <f t="shared" si="10"/>
        <v>7144.2571203304669</v>
      </c>
      <c r="X13" s="4">
        <f t="shared" si="10"/>
        <v>7144.2571203304669</v>
      </c>
      <c r="Y13" s="4">
        <f t="shared" si="10"/>
        <v>7144.2571203304669</v>
      </c>
      <c r="Z13" s="4">
        <f t="shared" si="10"/>
        <v>7144.2571203304669</v>
      </c>
      <c r="AA13" s="4">
        <f t="shared" si="10"/>
        <v>7144.2571203304669</v>
      </c>
      <c r="AB13" s="4">
        <f t="shared" si="10"/>
        <v>7144.2571203304669</v>
      </c>
      <c r="AC13" s="4">
        <f t="shared" si="10"/>
        <v>7144.2571203304669</v>
      </c>
      <c r="AD13" s="4">
        <f t="shared" si="10"/>
        <v>7144.2571203304669</v>
      </c>
      <c r="AE13" s="4">
        <f t="shared" si="10"/>
        <v>7144.2571203304669</v>
      </c>
      <c r="AF13" s="4">
        <f t="shared" si="10"/>
        <v>7144.2571203304669</v>
      </c>
      <c r="AG13" s="4">
        <f t="shared" si="10"/>
        <v>7144.2571203304669</v>
      </c>
      <c r="AH13" s="4">
        <f t="shared" si="10"/>
        <v>7144.2571203304669</v>
      </c>
      <c r="AI13" s="4">
        <f t="shared" si="10"/>
        <v>7144.2571203304669</v>
      </c>
      <c r="AJ13" s="4">
        <f t="shared" si="10"/>
        <v>7144.2571203304669</v>
      </c>
      <c r="AK13" s="4">
        <f t="shared" si="10"/>
        <v>7144.2571203304669</v>
      </c>
      <c r="AL13" s="4">
        <f t="shared" si="10"/>
        <v>7144.2571203304669</v>
      </c>
      <c r="AM13" s="4">
        <f t="shared" si="10"/>
        <v>7144.2571203304669</v>
      </c>
      <c r="AN13" s="4">
        <f t="shared" si="10"/>
        <v>7144.2571203304669</v>
      </c>
      <c r="AO13" s="4">
        <f t="shared" si="10"/>
        <v>7144.2571203304669</v>
      </c>
      <c r="AP13" s="4">
        <f t="shared" si="10"/>
        <v>7144.2571203304669</v>
      </c>
      <c r="AQ13" s="4">
        <f t="shared" si="10"/>
        <v>7144.2571203304669</v>
      </c>
      <c r="AR13" s="4">
        <f t="shared" si="10"/>
        <v>7144.2571203304669</v>
      </c>
      <c r="AS13" s="4">
        <f t="shared" si="10"/>
        <v>7144.2571203304669</v>
      </c>
      <c r="AT13" s="4">
        <f t="shared" si="10"/>
        <v>7144.2571203304669</v>
      </c>
      <c r="AU13" s="4">
        <f t="shared" si="10"/>
        <v>7144.2571203304669</v>
      </c>
      <c r="AV13" s="4">
        <f t="shared" si="10"/>
        <v>7144.2571203304669</v>
      </c>
      <c r="AW13" s="4">
        <f t="shared" si="10"/>
        <v>7144.2571203304669</v>
      </c>
      <c r="AX13" s="4">
        <f t="shared" si="10"/>
        <v>7144.2571203304669</v>
      </c>
      <c r="AY13" s="4">
        <f t="shared" si="10"/>
        <v>7144.2571203304669</v>
      </c>
      <c r="AZ13" s="4">
        <f t="shared" si="10"/>
        <v>7144.2571203304669</v>
      </c>
      <c r="BA13" s="4">
        <f t="shared" si="10"/>
        <v>7144.2571203304669</v>
      </c>
      <c r="BB13" s="4">
        <f t="shared" si="10"/>
        <v>7144.2571203304669</v>
      </c>
      <c r="BC13" s="4">
        <f t="shared" si="10"/>
        <v>7144.2571203304669</v>
      </c>
      <c r="BD13" s="4">
        <f t="shared" si="10"/>
        <v>7144.2571203304669</v>
      </c>
      <c r="BE13" s="4">
        <f t="shared" si="10"/>
        <v>7144.2571203304669</v>
      </c>
      <c r="BF13" s="4">
        <f t="shared" si="10"/>
        <v>7144.2571203304669</v>
      </c>
      <c r="BG13" s="4">
        <f t="shared" si="10"/>
        <v>7144.2571203304669</v>
      </c>
      <c r="BH13" s="4">
        <f t="shared" si="10"/>
        <v>7144.2571203304669</v>
      </c>
      <c r="BI13" s="4">
        <f t="shared" si="10"/>
        <v>7144.2571203304669</v>
      </c>
      <c r="BJ13" s="4">
        <f t="shared" si="10"/>
        <v>7144.2571203304669</v>
      </c>
      <c r="BK13" s="4">
        <f t="shared" si="10"/>
        <v>7144.2571203304669</v>
      </c>
      <c r="BL13" s="4">
        <f t="shared" si="10"/>
        <v>7144.2571203304669</v>
      </c>
      <c r="BM13" s="4">
        <f t="shared" si="10"/>
        <v>7144.2571203304669</v>
      </c>
      <c r="BN13" s="4">
        <f t="shared" ref="BN13:DX16" si="13">BO13</f>
        <v>7144.2571203304669</v>
      </c>
      <c r="BO13" s="4">
        <f t="shared" si="13"/>
        <v>7144.2571203304669</v>
      </c>
      <c r="BP13" s="4">
        <f t="shared" si="13"/>
        <v>7144.2571203304669</v>
      </c>
      <c r="BQ13" s="4">
        <f t="shared" si="13"/>
        <v>7144.2571203304669</v>
      </c>
      <c r="BR13" s="4">
        <f t="shared" si="13"/>
        <v>7144.2571203304669</v>
      </c>
      <c r="BS13" s="4">
        <f t="shared" si="13"/>
        <v>7144.2571203304669</v>
      </c>
      <c r="BT13" s="4">
        <f t="shared" si="13"/>
        <v>7144.2571203304669</v>
      </c>
      <c r="BU13" s="4">
        <f t="shared" si="13"/>
        <v>7144.2571203304669</v>
      </c>
      <c r="BV13" s="4">
        <f t="shared" si="13"/>
        <v>7144.2571203304669</v>
      </c>
      <c r="BW13" s="4">
        <f t="shared" si="13"/>
        <v>7144.2571203304669</v>
      </c>
      <c r="BX13" s="4">
        <f t="shared" si="13"/>
        <v>7144.2571203304669</v>
      </c>
      <c r="BY13" s="4">
        <f t="shared" si="13"/>
        <v>7144.2571203304669</v>
      </c>
      <c r="BZ13" s="4">
        <f t="shared" si="13"/>
        <v>7144.2571203304669</v>
      </c>
      <c r="CA13" s="4">
        <f t="shared" si="13"/>
        <v>7144.2571203304669</v>
      </c>
      <c r="CB13" s="4">
        <f t="shared" si="13"/>
        <v>7144.2571203304669</v>
      </c>
      <c r="CC13" s="4">
        <f t="shared" si="13"/>
        <v>7144.2571203304669</v>
      </c>
      <c r="CD13" s="4">
        <f t="shared" si="13"/>
        <v>7144.2571203304669</v>
      </c>
      <c r="CE13" s="4">
        <f t="shared" si="13"/>
        <v>7144.2571203304669</v>
      </c>
      <c r="CF13" s="4">
        <f t="shared" si="13"/>
        <v>7144.2571203304669</v>
      </c>
      <c r="CG13" s="4">
        <f t="shared" si="13"/>
        <v>7144.2571203304669</v>
      </c>
      <c r="CH13" s="4">
        <f t="shared" si="13"/>
        <v>7144.2571203304669</v>
      </c>
      <c r="CI13" s="4">
        <f t="shared" si="13"/>
        <v>7144.2571203304669</v>
      </c>
      <c r="CJ13" s="4">
        <f t="shared" si="13"/>
        <v>7144.2571203304669</v>
      </c>
      <c r="CK13" s="4">
        <f t="shared" si="13"/>
        <v>7144.2571203304669</v>
      </c>
      <c r="CL13" s="4">
        <f t="shared" si="13"/>
        <v>7144.2571203304669</v>
      </c>
      <c r="CM13" s="4">
        <f t="shared" si="13"/>
        <v>7144.2571203304669</v>
      </c>
      <c r="CN13" s="4">
        <f t="shared" si="13"/>
        <v>7144.2571203304669</v>
      </c>
      <c r="CO13" s="4">
        <f t="shared" si="13"/>
        <v>7144.2571203304669</v>
      </c>
      <c r="CP13" s="4">
        <f t="shared" si="13"/>
        <v>7144.2571203304669</v>
      </c>
      <c r="CQ13" s="4">
        <f t="shared" si="13"/>
        <v>7144.2571203304669</v>
      </c>
      <c r="CR13" s="4">
        <f t="shared" si="13"/>
        <v>7144.2571203304669</v>
      </c>
      <c r="CS13" s="4">
        <f t="shared" si="13"/>
        <v>7144.2571203304669</v>
      </c>
      <c r="CT13" s="4">
        <f t="shared" si="13"/>
        <v>7144.2571203304669</v>
      </c>
      <c r="CU13" s="4">
        <f t="shared" si="13"/>
        <v>7144.2571203304669</v>
      </c>
      <c r="CV13" s="4">
        <f t="shared" si="13"/>
        <v>7144.2571203304669</v>
      </c>
      <c r="CW13" s="4">
        <f t="shared" si="13"/>
        <v>7144.2571203304669</v>
      </c>
      <c r="CX13" s="4">
        <f t="shared" si="13"/>
        <v>7144.2571203304669</v>
      </c>
      <c r="CY13" s="4">
        <f t="shared" si="13"/>
        <v>7144.2571203304669</v>
      </c>
      <c r="CZ13" s="4">
        <f t="shared" si="13"/>
        <v>7144.2571203304669</v>
      </c>
      <c r="DA13" s="4">
        <f t="shared" si="13"/>
        <v>7144.2571203304669</v>
      </c>
      <c r="DB13" s="4">
        <f t="shared" si="13"/>
        <v>7144.2571203304669</v>
      </c>
      <c r="DC13" s="4">
        <f t="shared" si="13"/>
        <v>7144.2571203304669</v>
      </c>
      <c r="DD13" s="4">
        <f t="shared" si="13"/>
        <v>7144.2571203304669</v>
      </c>
      <c r="DE13" s="4">
        <f t="shared" si="13"/>
        <v>7144.2571203304669</v>
      </c>
      <c r="DF13" s="4">
        <f t="shared" si="13"/>
        <v>7144.2571203304669</v>
      </c>
      <c r="DG13" s="4">
        <f t="shared" si="13"/>
        <v>7144.2571203304669</v>
      </c>
      <c r="DH13" s="4">
        <f t="shared" si="13"/>
        <v>7144.2571203304669</v>
      </c>
      <c r="DI13" s="4">
        <f t="shared" si="13"/>
        <v>7144.2571203304669</v>
      </c>
      <c r="DJ13" s="4">
        <f t="shared" si="13"/>
        <v>7144.2571203304669</v>
      </c>
      <c r="DK13" s="4">
        <f t="shared" si="13"/>
        <v>7144.2571203304669</v>
      </c>
      <c r="DL13" s="4">
        <f t="shared" si="13"/>
        <v>7144.2571203304669</v>
      </c>
      <c r="DM13" s="4">
        <f t="shared" si="13"/>
        <v>7144.2571203304669</v>
      </c>
      <c r="DN13" s="4">
        <f t="shared" si="13"/>
        <v>7144.2571203304669</v>
      </c>
      <c r="DO13" s="4">
        <f t="shared" si="13"/>
        <v>7144.2571203304669</v>
      </c>
      <c r="DP13" s="4">
        <f t="shared" si="13"/>
        <v>7144.2571203304669</v>
      </c>
      <c r="DQ13" s="4">
        <f t="shared" si="13"/>
        <v>7144.2571203304669</v>
      </c>
      <c r="DR13" s="4">
        <f t="shared" si="13"/>
        <v>7144.2571203304669</v>
      </c>
      <c r="DS13" s="4">
        <f t="shared" si="13"/>
        <v>7144.2571203304669</v>
      </c>
      <c r="DT13" s="4">
        <f t="shared" si="13"/>
        <v>7144.2571203304669</v>
      </c>
      <c r="DU13" s="4">
        <f t="shared" si="13"/>
        <v>7144.2571203304669</v>
      </c>
      <c r="DV13" s="4">
        <f t="shared" si="13"/>
        <v>7144.2571203304669</v>
      </c>
      <c r="DW13" s="4">
        <f t="shared" si="13"/>
        <v>7144.2571203304669</v>
      </c>
      <c r="DX13" s="4">
        <f t="shared" si="13"/>
        <v>7144.2571203304669</v>
      </c>
      <c r="DY13" s="4">
        <f t="shared" si="4"/>
        <v>7144.2571203304669</v>
      </c>
      <c r="DZ13" s="4">
        <f>'CCaMC-AFOaMCpUC US'!B13</f>
        <v>7144.2571203304669</v>
      </c>
      <c r="EA13" s="4">
        <f t="shared" si="5"/>
        <v>7144.2571203304669</v>
      </c>
      <c r="EB13" s="4">
        <f t="shared" si="11"/>
        <v>7144.2571203304669</v>
      </c>
      <c r="EC13" s="4">
        <f t="shared" si="11"/>
        <v>7144.2571203304669</v>
      </c>
      <c r="ED13" s="4">
        <f t="shared" si="11"/>
        <v>7144.2571203304669</v>
      </c>
      <c r="EE13" s="4">
        <f t="shared" si="11"/>
        <v>7144.2571203304669</v>
      </c>
      <c r="EF13" s="4">
        <f t="shared" si="11"/>
        <v>7144.2571203304669</v>
      </c>
      <c r="EG13" s="4">
        <f t="shared" si="11"/>
        <v>7144.2571203304669</v>
      </c>
      <c r="EH13" s="4">
        <f t="shared" si="11"/>
        <v>7144.2571203304669</v>
      </c>
      <c r="EI13" s="4">
        <f t="shared" si="11"/>
        <v>7144.2571203304669</v>
      </c>
      <c r="EJ13" s="4">
        <f t="shared" si="11"/>
        <v>7144.2571203304669</v>
      </c>
      <c r="EK13" s="4">
        <f t="shared" si="11"/>
        <v>7144.2571203304669</v>
      </c>
      <c r="EL13" s="4">
        <f t="shared" si="11"/>
        <v>7144.2571203304669</v>
      </c>
      <c r="EM13" s="4">
        <f t="shared" si="11"/>
        <v>7144.2571203304669</v>
      </c>
      <c r="EN13" s="4">
        <f t="shared" si="11"/>
        <v>7144.2571203304669</v>
      </c>
      <c r="EO13" s="4">
        <f t="shared" si="11"/>
        <v>7144.2571203304669</v>
      </c>
      <c r="EP13" s="4">
        <f t="shared" si="11"/>
        <v>7144.2571203304669</v>
      </c>
      <c r="EQ13" s="4">
        <f t="shared" si="11"/>
        <v>7144.2571203304669</v>
      </c>
      <c r="ER13" s="4">
        <f t="shared" si="11"/>
        <v>7144.2571203304669</v>
      </c>
      <c r="ES13" s="4">
        <f t="shared" si="11"/>
        <v>7144.2571203304669</v>
      </c>
      <c r="ET13" s="4">
        <f t="shared" si="11"/>
        <v>7144.2571203304669</v>
      </c>
      <c r="EU13" s="4">
        <f t="shared" si="11"/>
        <v>7144.2571203304669</v>
      </c>
      <c r="EV13" s="4">
        <f t="shared" si="11"/>
        <v>7144.2571203304669</v>
      </c>
      <c r="EW13" s="4">
        <f t="shared" si="11"/>
        <v>7144.2571203304669</v>
      </c>
      <c r="EX13" s="4">
        <f t="shared" si="11"/>
        <v>7144.2571203304669</v>
      </c>
      <c r="EY13" s="4">
        <f t="shared" si="11"/>
        <v>7144.2571203304669</v>
      </c>
      <c r="EZ13" s="4">
        <f t="shared" si="11"/>
        <v>7144.2571203304669</v>
      </c>
      <c r="FA13" s="4">
        <f t="shared" si="11"/>
        <v>7144.2571203304669</v>
      </c>
      <c r="FB13" s="4">
        <f t="shared" si="11"/>
        <v>7144.2571203304669</v>
      </c>
      <c r="FC13" s="4">
        <f t="shared" si="11"/>
        <v>7144.2571203304669</v>
      </c>
      <c r="FD13" s="4">
        <f t="shared" si="11"/>
        <v>7144.2571203304669</v>
      </c>
      <c r="FE13" s="4">
        <f t="shared" si="11"/>
        <v>7144.2571203304669</v>
      </c>
      <c r="FF13" s="4">
        <f t="shared" si="12"/>
        <v>7144.2571203304669</v>
      </c>
      <c r="FG13" s="4">
        <f t="shared" si="12"/>
        <v>7144.2571203304669</v>
      </c>
      <c r="FH13" s="4">
        <f t="shared" si="12"/>
        <v>7144.2571203304669</v>
      </c>
      <c r="FI13" s="4">
        <f t="shared" si="12"/>
        <v>7144.2571203304669</v>
      </c>
      <c r="FJ13" s="4">
        <f t="shared" si="12"/>
        <v>7144.2571203304669</v>
      </c>
      <c r="FK13" s="4">
        <f t="shared" si="12"/>
        <v>7144.2571203304669</v>
      </c>
      <c r="FL13" s="4">
        <f t="shared" si="12"/>
        <v>7144.2571203304669</v>
      </c>
      <c r="FM13" s="4">
        <f t="shared" si="12"/>
        <v>7144.2571203304669</v>
      </c>
      <c r="FN13" s="4">
        <f t="shared" si="12"/>
        <v>7144.2571203304669</v>
      </c>
      <c r="FO13" s="4">
        <f t="shared" si="12"/>
        <v>7144.2571203304669</v>
      </c>
      <c r="FP13" s="4">
        <f t="shared" si="12"/>
        <v>7144.2571203304669</v>
      </c>
      <c r="FQ13" s="4">
        <f t="shared" si="12"/>
        <v>7144.2571203304669</v>
      </c>
      <c r="FR13" s="4">
        <f t="shared" si="12"/>
        <v>7144.2571203304669</v>
      </c>
      <c r="FS13" s="4">
        <f t="shared" si="12"/>
        <v>7144.2571203304669</v>
      </c>
      <c r="FT13" s="4">
        <f t="shared" si="12"/>
        <v>7144.2571203304669</v>
      </c>
      <c r="FU13" s="4">
        <f t="shared" si="12"/>
        <v>7144.2571203304669</v>
      </c>
      <c r="FV13" s="4">
        <f t="shared" si="12"/>
        <v>7144.2571203304669</v>
      </c>
      <c r="FW13" s="4">
        <f t="shared" si="12"/>
        <v>7144.2571203304669</v>
      </c>
      <c r="FX13" s="4">
        <f t="shared" si="12"/>
        <v>7144.2571203304669</v>
      </c>
      <c r="FY13" s="4">
        <f t="shared" si="12"/>
        <v>7144.2571203304669</v>
      </c>
      <c r="FZ13" s="4">
        <f t="shared" si="12"/>
        <v>7144.2571203304669</v>
      </c>
      <c r="GA13" s="4">
        <f t="shared" si="12"/>
        <v>7144.2571203304669</v>
      </c>
      <c r="GB13" s="4">
        <f t="shared" si="12"/>
        <v>7144.2571203304669</v>
      </c>
      <c r="GC13" s="4">
        <f t="shared" si="12"/>
        <v>7144.2571203304669</v>
      </c>
      <c r="GD13" s="4">
        <f t="shared" si="12"/>
        <v>7144.2571203304669</v>
      </c>
      <c r="GE13" s="4">
        <f t="shared" si="12"/>
        <v>7144.2571203304669</v>
      </c>
      <c r="GF13" s="4">
        <f t="shared" si="12"/>
        <v>7144.2571203304669</v>
      </c>
      <c r="GG13" s="4">
        <f t="shared" si="12"/>
        <v>7144.2571203304669</v>
      </c>
      <c r="GH13" s="4">
        <f t="shared" si="12"/>
        <v>7144.2571203304669</v>
      </c>
      <c r="GI13" s="4">
        <f t="shared" si="12"/>
        <v>7144.2571203304669</v>
      </c>
      <c r="GJ13" s="4">
        <f t="shared" si="12"/>
        <v>7144.2571203304669</v>
      </c>
      <c r="GK13" s="4">
        <f t="shared" si="12"/>
        <v>7144.2571203304669</v>
      </c>
      <c r="GL13" s="4">
        <f t="shared" si="12"/>
        <v>7144.2571203304669</v>
      </c>
      <c r="GM13" s="4">
        <f t="shared" si="12"/>
        <v>7144.2571203304669</v>
      </c>
      <c r="GN13" s="4">
        <f t="shared" si="12"/>
        <v>7144.2571203304669</v>
      </c>
      <c r="GO13" s="4">
        <f t="shared" si="12"/>
        <v>7144.2571203304669</v>
      </c>
      <c r="GP13" s="4">
        <f t="shared" si="12"/>
        <v>7144.2571203304669</v>
      </c>
      <c r="GQ13" s="4">
        <f t="shared" si="12"/>
        <v>7144.2571203304669</v>
      </c>
      <c r="GR13" s="4">
        <f t="shared" si="12"/>
        <v>7144.2571203304669</v>
      </c>
      <c r="GS13" s="4">
        <f t="shared" si="12"/>
        <v>7144.2571203304669</v>
      </c>
      <c r="GT13" s="4">
        <f t="shared" si="12"/>
        <v>7144.2571203304669</v>
      </c>
      <c r="GU13" s="4">
        <f t="shared" si="12"/>
        <v>7144.2571203304669</v>
      </c>
      <c r="GV13" s="4">
        <f t="shared" si="12"/>
        <v>7144.2571203304669</v>
      </c>
      <c r="GW13" s="4">
        <f t="shared" si="12"/>
        <v>7144.2571203304669</v>
      </c>
      <c r="GX13" s="4">
        <f t="shared" si="12"/>
        <v>7144.2571203304669</v>
      </c>
      <c r="GY13" s="4">
        <f t="shared" si="12"/>
        <v>7144.2571203304669</v>
      </c>
      <c r="GZ13" s="4">
        <f t="shared" si="12"/>
        <v>7144.2571203304669</v>
      </c>
      <c r="HA13" s="4">
        <f t="shared" si="12"/>
        <v>7144.2571203304669</v>
      </c>
      <c r="HB13" s="4">
        <f t="shared" si="12"/>
        <v>7144.2571203304669</v>
      </c>
      <c r="HC13" s="4">
        <f t="shared" si="12"/>
        <v>7144.2571203304669</v>
      </c>
    </row>
    <row r="14" spans="1:211">
      <c r="A14" t="s">
        <v>19</v>
      </c>
      <c r="B14" s="34">
        <v>56505.059750826338</v>
      </c>
      <c r="C14" s="34">
        <f t="shared" ref="C14:BN17" si="14">D14</f>
        <v>62002.387969942749</v>
      </c>
      <c r="D14" s="34">
        <f t="shared" si="14"/>
        <v>62002.387969942749</v>
      </c>
      <c r="E14" s="34">
        <f t="shared" si="14"/>
        <v>62002.387969942749</v>
      </c>
      <c r="F14" s="34">
        <f t="shared" si="14"/>
        <v>62002.387969942749</v>
      </c>
      <c r="G14" s="34">
        <f t="shared" si="14"/>
        <v>62002.387969942749</v>
      </c>
      <c r="H14" s="34">
        <f t="shared" si="14"/>
        <v>62002.387969942749</v>
      </c>
      <c r="I14" s="34">
        <f t="shared" si="14"/>
        <v>62002.387969942749</v>
      </c>
      <c r="J14" s="34">
        <f t="shared" si="14"/>
        <v>62002.387969942749</v>
      </c>
      <c r="K14" s="34">
        <f t="shared" si="14"/>
        <v>62002.387969942749</v>
      </c>
      <c r="L14" s="34">
        <f t="shared" si="14"/>
        <v>62002.387969942749</v>
      </c>
      <c r="M14" s="34">
        <f t="shared" si="14"/>
        <v>62002.387969942749</v>
      </c>
      <c r="N14" s="34">
        <f t="shared" si="14"/>
        <v>62002.387969942749</v>
      </c>
      <c r="O14" s="34">
        <f t="shared" si="14"/>
        <v>62002.387969942749</v>
      </c>
      <c r="P14" s="34">
        <f t="shared" si="14"/>
        <v>62002.387969942749</v>
      </c>
      <c r="Q14" s="34">
        <f t="shared" si="14"/>
        <v>62002.387969942749</v>
      </c>
      <c r="R14" s="34">
        <f t="shared" si="14"/>
        <v>62002.387969942749</v>
      </c>
      <c r="S14" s="34">
        <f t="shared" si="14"/>
        <v>62002.387969942749</v>
      </c>
      <c r="T14" s="34">
        <f t="shared" si="14"/>
        <v>62002.387969942749</v>
      </c>
      <c r="U14" s="34">
        <f t="shared" si="14"/>
        <v>62002.387969942749</v>
      </c>
      <c r="V14" s="34">
        <f t="shared" si="14"/>
        <v>62002.387969942749</v>
      </c>
      <c r="W14" s="34">
        <f t="shared" si="14"/>
        <v>62002.387969942749</v>
      </c>
      <c r="X14" s="34">
        <f t="shared" si="14"/>
        <v>62002.387969942749</v>
      </c>
      <c r="Y14" s="34">
        <f t="shared" si="14"/>
        <v>62002.387969942749</v>
      </c>
      <c r="Z14" s="34">
        <f t="shared" si="14"/>
        <v>62002.387969942749</v>
      </c>
      <c r="AA14" s="34">
        <f t="shared" si="14"/>
        <v>62002.387969942749</v>
      </c>
      <c r="AB14" s="34">
        <f t="shared" si="14"/>
        <v>62002.387969942749</v>
      </c>
      <c r="AC14" s="34">
        <f t="shared" si="14"/>
        <v>62002.387969942749</v>
      </c>
      <c r="AD14" s="34">
        <f t="shared" si="14"/>
        <v>62002.387969942749</v>
      </c>
      <c r="AE14" s="34">
        <f t="shared" si="14"/>
        <v>62002.387969942749</v>
      </c>
      <c r="AF14" s="34">
        <f t="shared" si="14"/>
        <v>62002.387969942749</v>
      </c>
      <c r="AG14" s="34">
        <f t="shared" si="14"/>
        <v>62002.387969942749</v>
      </c>
      <c r="AH14" s="34">
        <f t="shared" si="14"/>
        <v>62002.387969942749</v>
      </c>
      <c r="AI14" s="34">
        <f t="shared" si="14"/>
        <v>62002.387969942749</v>
      </c>
      <c r="AJ14" s="34">
        <f t="shared" si="14"/>
        <v>62002.387969942749</v>
      </c>
      <c r="AK14" s="34">
        <f t="shared" si="14"/>
        <v>62002.387969942749</v>
      </c>
      <c r="AL14" s="34">
        <f t="shared" si="14"/>
        <v>62002.387969942749</v>
      </c>
      <c r="AM14" s="34">
        <f t="shared" si="14"/>
        <v>62002.387969942749</v>
      </c>
      <c r="AN14" s="34">
        <f t="shared" si="14"/>
        <v>62002.387969942749</v>
      </c>
      <c r="AO14" s="34">
        <f t="shared" si="14"/>
        <v>62002.387969942749</v>
      </c>
      <c r="AP14" s="34">
        <f t="shared" si="14"/>
        <v>62002.387969942749</v>
      </c>
      <c r="AQ14" s="34">
        <f t="shared" si="14"/>
        <v>62002.387969942749</v>
      </c>
      <c r="AR14" s="34">
        <f t="shared" si="14"/>
        <v>62002.387969942749</v>
      </c>
      <c r="AS14" s="34">
        <f t="shared" si="14"/>
        <v>62002.387969942749</v>
      </c>
      <c r="AT14" s="34">
        <f t="shared" si="14"/>
        <v>62002.387969942749</v>
      </c>
      <c r="AU14" s="34">
        <f t="shared" si="14"/>
        <v>62002.387969942749</v>
      </c>
      <c r="AV14" s="34">
        <f t="shared" si="14"/>
        <v>62002.387969942749</v>
      </c>
      <c r="AW14" s="34">
        <f t="shared" si="14"/>
        <v>62002.387969942749</v>
      </c>
      <c r="AX14" s="34">
        <f t="shared" si="14"/>
        <v>62002.387969942749</v>
      </c>
      <c r="AY14" s="34">
        <f t="shared" si="14"/>
        <v>62002.387969942749</v>
      </c>
      <c r="AZ14" s="34">
        <f t="shared" si="14"/>
        <v>62002.387969942749</v>
      </c>
      <c r="BA14" s="34">
        <f t="shared" si="14"/>
        <v>62002.387969942749</v>
      </c>
      <c r="BB14" s="34">
        <f t="shared" si="14"/>
        <v>62002.387969942749</v>
      </c>
      <c r="BC14" s="34">
        <f t="shared" si="14"/>
        <v>62002.387969942749</v>
      </c>
      <c r="BD14" s="34">
        <f t="shared" si="14"/>
        <v>62002.387969942749</v>
      </c>
      <c r="BE14" s="34">
        <f t="shared" si="14"/>
        <v>62002.387969942749</v>
      </c>
      <c r="BF14" s="34">
        <f t="shared" si="14"/>
        <v>62002.387969942749</v>
      </c>
      <c r="BG14" s="34">
        <f t="shared" si="14"/>
        <v>62002.387969942749</v>
      </c>
      <c r="BH14" s="34">
        <f t="shared" si="14"/>
        <v>62002.387969942749</v>
      </c>
      <c r="BI14" s="34">
        <f t="shared" si="14"/>
        <v>62002.387969942749</v>
      </c>
      <c r="BJ14" s="34">
        <f t="shared" si="14"/>
        <v>62002.387969942749</v>
      </c>
      <c r="BK14" s="34">
        <f t="shared" si="14"/>
        <v>62002.387969942749</v>
      </c>
      <c r="BL14" s="34">
        <f t="shared" si="14"/>
        <v>62002.387969942749</v>
      </c>
      <c r="BM14" s="34">
        <f t="shared" si="14"/>
        <v>62002.387969942749</v>
      </c>
      <c r="BN14" s="34">
        <f t="shared" si="14"/>
        <v>62002.387969942749</v>
      </c>
      <c r="BO14" s="34">
        <f t="shared" si="13"/>
        <v>62002.387969942749</v>
      </c>
      <c r="BP14" s="34">
        <f t="shared" si="13"/>
        <v>62002.387969942749</v>
      </c>
      <c r="BQ14" s="34">
        <f t="shared" si="13"/>
        <v>62002.387969942749</v>
      </c>
      <c r="BR14" s="34">
        <f t="shared" si="13"/>
        <v>62002.387969942749</v>
      </c>
      <c r="BS14" s="34">
        <f t="shared" si="13"/>
        <v>62002.387969942749</v>
      </c>
      <c r="BT14" s="34">
        <f t="shared" si="13"/>
        <v>62002.387969942749</v>
      </c>
      <c r="BU14" s="34">
        <f t="shared" si="13"/>
        <v>62002.387969942749</v>
      </c>
      <c r="BV14" s="34">
        <f t="shared" si="13"/>
        <v>62002.387969942749</v>
      </c>
      <c r="BW14" s="34">
        <f t="shared" si="13"/>
        <v>62002.387969942749</v>
      </c>
      <c r="BX14" s="34">
        <f t="shared" si="13"/>
        <v>62002.387969942749</v>
      </c>
      <c r="BY14" s="34">
        <f t="shared" si="13"/>
        <v>62002.387969942749</v>
      </c>
      <c r="BZ14" s="34">
        <f t="shared" si="13"/>
        <v>62002.387969942749</v>
      </c>
      <c r="CA14" s="34">
        <f t="shared" si="13"/>
        <v>62002.387969942749</v>
      </c>
      <c r="CB14" s="34">
        <f t="shared" si="13"/>
        <v>62002.387969942749</v>
      </c>
      <c r="CC14" s="34">
        <f t="shared" si="13"/>
        <v>62002.387969942749</v>
      </c>
      <c r="CD14" s="34">
        <f t="shared" si="13"/>
        <v>62002.387969942749</v>
      </c>
      <c r="CE14" s="34">
        <f t="shared" si="13"/>
        <v>62002.387969942749</v>
      </c>
      <c r="CF14" s="34">
        <f t="shared" si="13"/>
        <v>62002.387969942749</v>
      </c>
      <c r="CG14" s="34">
        <f t="shared" si="13"/>
        <v>62002.387969942749</v>
      </c>
      <c r="CH14" s="34">
        <f t="shared" si="13"/>
        <v>62002.387969942749</v>
      </c>
      <c r="CI14" s="34">
        <f t="shared" si="13"/>
        <v>62002.387969942749</v>
      </c>
      <c r="CJ14" s="34">
        <f t="shared" si="13"/>
        <v>62002.387969942749</v>
      </c>
      <c r="CK14" s="34">
        <f t="shared" si="13"/>
        <v>62002.387969942749</v>
      </c>
      <c r="CL14" s="34">
        <f t="shared" si="13"/>
        <v>62002.387969942749</v>
      </c>
      <c r="CM14" s="34">
        <f t="shared" si="13"/>
        <v>62002.387969942749</v>
      </c>
      <c r="CN14" s="34">
        <f t="shared" si="13"/>
        <v>62002.387969942749</v>
      </c>
      <c r="CO14" s="34">
        <f t="shared" si="13"/>
        <v>62002.387969942749</v>
      </c>
      <c r="CP14" s="34">
        <f t="shared" si="13"/>
        <v>62002.387969942749</v>
      </c>
      <c r="CQ14" s="34">
        <f t="shared" si="13"/>
        <v>62002.387969942749</v>
      </c>
      <c r="CR14" s="34">
        <f t="shared" si="13"/>
        <v>62002.387969942749</v>
      </c>
      <c r="CS14" s="34">
        <f t="shared" si="13"/>
        <v>62002.387969942749</v>
      </c>
      <c r="CT14" s="34">
        <f t="shared" si="13"/>
        <v>62002.387969942749</v>
      </c>
      <c r="CU14" s="34">
        <f t="shared" si="13"/>
        <v>62002.387969942749</v>
      </c>
      <c r="CV14" s="34">
        <f t="shared" si="13"/>
        <v>62002.387969942749</v>
      </c>
      <c r="CW14" s="34">
        <f t="shared" si="13"/>
        <v>62002.387969942749</v>
      </c>
      <c r="CX14" s="34">
        <f t="shared" si="13"/>
        <v>62002.387969942749</v>
      </c>
      <c r="CY14" s="34">
        <f t="shared" si="13"/>
        <v>62002.387969942749</v>
      </c>
      <c r="CZ14" s="34">
        <f t="shared" si="13"/>
        <v>62002.387969942749</v>
      </c>
      <c r="DA14" s="34">
        <f t="shared" si="13"/>
        <v>62002.387969942749</v>
      </c>
      <c r="DB14" s="34">
        <f t="shared" si="13"/>
        <v>62002.387969942749</v>
      </c>
      <c r="DC14" s="34">
        <f t="shared" si="13"/>
        <v>62002.387969942749</v>
      </c>
      <c r="DD14" s="34">
        <f t="shared" si="13"/>
        <v>62002.387969942749</v>
      </c>
      <c r="DE14" s="34">
        <f t="shared" si="13"/>
        <v>62002.387969942749</v>
      </c>
      <c r="DF14" s="34">
        <f t="shared" si="13"/>
        <v>62002.387969942749</v>
      </c>
      <c r="DG14" s="34">
        <f t="shared" si="13"/>
        <v>62002.387969942749</v>
      </c>
      <c r="DH14" s="34">
        <f t="shared" si="13"/>
        <v>62002.387969942749</v>
      </c>
      <c r="DI14" s="34">
        <f t="shared" si="13"/>
        <v>62002.387969942749</v>
      </c>
      <c r="DJ14" s="34">
        <f t="shared" si="13"/>
        <v>62002.387969942749</v>
      </c>
      <c r="DK14" s="34">
        <f t="shared" si="13"/>
        <v>62002.387969942749</v>
      </c>
      <c r="DL14" s="34">
        <f t="shared" si="13"/>
        <v>62002.387969942749</v>
      </c>
      <c r="DM14" s="34">
        <f t="shared" si="13"/>
        <v>62002.387969942749</v>
      </c>
      <c r="DN14" s="34">
        <f t="shared" si="13"/>
        <v>62002.387969942749</v>
      </c>
      <c r="DO14" s="34">
        <f t="shared" si="13"/>
        <v>62002.387969942749</v>
      </c>
      <c r="DP14" s="34">
        <f t="shared" si="13"/>
        <v>62002.387969942749</v>
      </c>
      <c r="DQ14" s="34">
        <f t="shared" si="13"/>
        <v>62002.387969942749</v>
      </c>
      <c r="DR14" s="34">
        <f t="shared" si="13"/>
        <v>62002.387969942749</v>
      </c>
      <c r="DS14" s="34">
        <f t="shared" si="13"/>
        <v>62002.387969942749</v>
      </c>
      <c r="DT14" s="34">
        <f t="shared" si="13"/>
        <v>62002.387969942749</v>
      </c>
      <c r="DU14" s="34">
        <f t="shared" si="13"/>
        <v>62002.387969942749</v>
      </c>
      <c r="DV14" s="34">
        <f t="shared" si="13"/>
        <v>62002.387969942749</v>
      </c>
      <c r="DW14" s="34">
        <f t="shared" si="13"/>
        <v>62002.387969942749</v>
      </c>
      <c r="DX14" s="34">
        <f t="shared" si="13"/>
        <v>62002.387969942749</v>
      </c>
      <c r="DY14" s="34">
        <f t="shared" si="4"/>
        <v>62002.387969942749</v>
      </c>
      <c r="DZ14">
        <f>Calculation!B86</f>
        <v>62002.387969942749</v>
      </c>
      <c r="EA14" s="4">
        <f t="shared" si="5"/>
        <v>62002.387969942749</v>
      </c>
      <c r="EB14" s="4">
        <f t="shared" si="11"/>
        <v>62002.387969942749</v>
      </c>
      <c r="EC14" s="4">
        <f t="shared" si="11"/>
        <v>62002.387969942749</v>
      </c>
      <c r="ED14" s="4">
        <f t="shared" si="11"/>
        <v>62002.387969942749</v>
      </c>
      <c r="EE14" s="4">
        <f t="shared" si="11"/>
        <v>62002.387969942749</v>
      </c>
      <c r="EF14" s="4">
        <f t="shared" si="11"/>
        <v>62002.387969942749</v>
      </c>
      <c r="EG14" s="4">
        <f t="shared" si="11"/>
        <v>62002.387969942749</v>
      </c>
      <c r="EH14" s="4">
        <f t="shared" si="11"/>
        <v>62002.387969942749</v>
      </c>
      <c r="EI14" s="4">
        <f t="shared" si="11"/>
        <v>62002.387969942749</v>
      </c>
      <c r="EJ14" s="4">
        <f t="shared" si="11"/>
        <v>62002.387969942749</v>
      </c>
      <c r="EK14" s="4">
        <f t="shared" si="11"/>
        <v>62002.387969942749</v>
      </c>
      <c r="EL14" s="4">
        <f t="shared" si="11"/>
        <v>62002.387969942749</v>
      </c>
      <c r="EM14" s="4">
        <f t="shared" si="11"/>
        <v>62002.387969942749</v>
      </c>
      <c r="EN14" s="4">
        <f t="shared" si="11"/>
        <v>62002.387969942749</v>
      </c>
      <c r="EO14" s="4">
        <f t="shared" si="11"/>
        <v>62002.387969942749</v>
      </c>
      <c r="EP14" s="4">
        <f t="shared" si="11"/>
        <v>62002.387969942749</v>
      </c>
      <c r="EQ14" s="4">
        <f t="shared" si="11"/>
        <v>62002.387969942749</v>
      </c>
      <c r="ER14" s="4">
        <f t="shared" si="11"/>
        <v>62002.387969942749</v>
      </c>
      <c r="ES14" s="4">
        <f t="shared" si="11"/>
        <v>62002.387969942749</v>
      </c>
      <c r="ET14" s="4">
        <f t="shared" si="11"/>
        <v>62002.387969942749</v>
      </c>
      <c r="EU14" s="4">
        <f t="shared" si="11"/>
        <v>62002.387969942749</v>
      </c>
      <c r="EV14" s="4">
        <f t="shared" si="11"/>
        <v>62002.387969942749</v>
      </c>
      <c r="EW14" s="4">
        <f t="shared" si="11"/>
        <v>62002.387969942749</v>
      </c>
      <c r="EX14" s="4">
        <f t="shared" si="11"/>
        <v>62002.387969942749</v>
      </c>
      <c r="EY14" s="4">
        <f t="shared" si="11"/>
        <v>62002.387969942749</v>
      </c>
      <c r="EZ14" s="4">
        <f t="shared" si="11"/>
        <v>62002.387969942749</v>
      </c>
      <c r="FA14" s="4">
        <f t="shared" si="11"/>
        <v>62002.387969942749</v>
      </c>
      <c r="FB14" s="4">
        <f t="shared" si="11"/>
        <v>62002.387969942749</v>
      </c>
      <c r="FC14" s="4">
        <f t="shared" si="11"/>
        <v>62002.387969942749</v>
      </c>
      <c r="FD14" s="4">
        <f t="shared" si="11"/>
        <v>62002.387969942749</v>
      </c>
      <c r="FE14" s="4">
        <f t="shared" si="11"/>
        <v>62002.387969942749</v>
      </c>
      <c r="FF14" s="4">
        <f t="shared" si="12"/>
        <v>62002.387969942749</v>
      </c>
      <c r="FG14" s="4">
        <f t="shared" si="12"/>
        <v>62002.387969942749</v>
      </c>
      <c r="FH14" s="4">
        <f t="shared" si="12"/>
        <v>62002.387969942749</v>
      </c>
      <c r="FI14" s="4">
        <f t="shared" si="12"/>
        <v>62002.387969942749</v>
      </c>
      <c r="FJ14" s="4">
        <f t="shared" si="12"/>
        <v>62002.387969942749</v>
      </c>
      <c r="FK14" s="4">
        <f t="shared" si="12"/>
        <v>62002.387969942749</v>
      </c>
      <c r="FL14" s="4">
        <f t="shared" si="12"/>
        <v>62002.387969942749</v>
      </c>
      <c r="FM14" s="4">
        <f t="shared" si="12"/>
        <v>62002.387969942749</v>
      </c>
      <c r="FN14" s="4">
        <f t="shared" si="12"/>
        <v>62002.387969942749</v>
      </c>
      <c r="FO14" s="4">
        <f t="shared" si="12"/>
        <v>62002.387969942749</v>
      </c>
      <c r="FP14" s="4">
        <f t="shared" si="12"/>
        <v>62002.387969942749</v>
      </c>
      <c r="FQ14" s="4">
        <f t="shared" si="12"/>
        <v>62002.387969942749</v>
      </c>
      <c r="FR14" s="4">
        <f t="shared" si="12"/>
        <v>62002.387969942749</v>
      </c>
      <c r="FS14" s="4">
        <f t="shared" si="12"/>
        <v>62002.387969942749</v>
      </c>
      <c r="FT14" s="4">
        <f t="shared" si="12"/>
        <v>62002.387969942749</v>
      </c>
      <c r="FU14" s="4">
        <f t="shared" si="12"/>
        <v>62002.387969942749</v>
      </c>
      <c r="FV14" s="4">
        <f t="shared" si="12"/>
        <v>62002.387969942749</v>
      </c>
      <c r="FW14" s="4">
        <f t="shared" si="12"/>
        <v>62002.387969942749</v>
      </c>
      <c r="FX14" s="4">
        <f t="shared" si="12"/>
        <v>62002.387969942749</v>
      </c>
      <c r="FY14" s="4">
        <f t="shared" si="12"/>
        <v>62002.387969942749</v>
      </c>
      <c r="FZ14" s="4">
        <f t="shared" si="12"/>
        <v>62002.387969942749</v>
      </c>
      <c r="GA14" s="4">
        <f t="shared" si="12"/>
        <v>62002.387969942749</v>
      </c>
      <c r="GB14" s="4">
        <f t="shared" si="12"/>
        <v>62002.387969942749</v>
      </c>
      <c r="GC14" s="4">
        <f t="shared" si="12"/>
        <v>62002.387969942749</v>
      </c>
      <c r="GD14" s="4">
        <f t="shared" si="12"/>
        <v>62002.387969942749</v>
      </c>
      <c r="GE14" s="4">
        <f t="shared" si="12"/>
        <v>62002.387969942749</v>
      </c>
      <c r="GF14" s="4">
        <f t="shared" si="12"/>
        <v>62002.387969942749</v>
      </c>
      <c r="GG14" s="4">
        <f t="shared" si="12"/>
        <v>62002.387969942749</v>
      </c>
      <c r="GH14" s="4">
        <f t="shared" si="12"/>
        <v>62002.387969942749</v>
      </c>
      <c r="GI14" s="4">
        <f t="shared" si="12"/>
        <v>62002.387969942749</v>
      </c>
      <c r="GJ14" s="4">
        <f t="shared" si="12"/>
        <v>62002.387969942749</v>
      </c>
      <c r="GK14" s="4">
        <f t="shared" si="12"/>
        <v>62002.387969942749</v>
      </c>
      <c r="GL14" s="4">
        <f t="shared" si="12"/>
        <v>62002.387969942749</v>
      </c>
      <c r="GM14" s="4">
        <f t="shared" si="12"/>
        <v>62002.387969942749</v>
      </c>
      <c r="GN14" s="4">
        <f t="shared" si="12"/>
        <v>62002.387969942749</v>
      </c>
      <c r="GO14" s="4">
        <f t="shared" si="12"/>
        <v>62002.387969942749</v>
      </c>
      <c r="GP14" s="4">
        <f t="shared" si="12"/>
        <v>62002.387969942749</v>
      </c>
      <c r="GQ14" s="4">
        <f t="shared" si="12"/>
        <v>62002.387969942749</v>
      </c>
      <c r="GR14" s="4">
        <f t="shared" si="12"/>
        <v>62002.387969942749</v>
      </c>
      <c r="GS14" s="4">
        <f t="shared" si="12"/>
        <v>62002.387969942749</v>
      </c>
      <c r="GT14" s="4">
        <f t="shared" si="12"/>
        <v>62002.387969942749</v>
      </c>
      <c r="GU14" s="4">
        <f t="shared" si="12"/>
        <v>62002.387969942749</v>
      </c>
      <c r="GV14" s="4">
        <f t="shared" si="12"/>
        <v>62002.387969942749</v>
      </c>
      <c r="GW14" s="4">
        <f t="shared" si="12"/>
        <v>62002.387969942749</v>
      </c>
      <c r="GX14" s="4">
        <f t="shared" si="12"/>
        <v>62002.387969942749</v>
      </c>
      <c r="GY14" s="4">
        <f t="shared" si="12"/>
        <v>62002.387969942749</v>
      </c>
      <c r="GZ14" s="4">
        <f t="shared" si="12"/>
        <v>62002.387969942749</v>
      </c>
      <c r="HA14" s="4">
        <f t="shared" si="12"/>
        <v>62002.387969942749</v>
      </c>
      <c r="HB14" s="4">
        <f t="shared" si="12"/>
        <v>62002.387969942749</v>
      </c>
      <c r="HC14" s="4">
        <f t="shared" si="12"/>
        <v>62002.387969942749</v>
      </c>
    </row>
    <row r="15" spans="1:211">
      <c r="A15" t="s">
        <v>17</v>
      </c>
      <c r="B15" s="4">
        <v>107112.17184040292</v>
      </c>
      <c r="C15" s="4">
        <f t="shared" si="14"/>
        <v>107112.17184040292</v>
      </c>
      <c r="D15" s="4">
        <f t="shared" si="14"/>
        <v>107112.17184040292</v>
      </c>
      <c r="E15" s="4">
        <f t="shared" si="14"/>
        <v>107112.17184040292</v>
      </c>
      <c r="F15" s="4">
        <f t="shared" si="14"/>
        <v>107112.17184040292</v>
      </c>
      <c r="G15" s="4">
        <f t="shared" si="14"/>
        <v>107112.17184040292</v>
      </c>
      <c r="H15" s="4">
        <f t="shared" si="14"/>
        <v>107112.17184040292</v>
      </c>
      <c r="I15" s="4">
        <f t="shared" si="14"/>
        <v>107112.17184040292</v>
      </c>
      <c r="J15" s="4">
        <f t="shared" si="14"/>
        <v>107112.17184040292</v>
      </c>
      <c r="K15" s="4">
        <f t="shared" si="14"/>
        <v>107112.17184040292</v>
      </c>
      <c r="L15" s="4">
        <f t="shared" si="14"/>
        <v>107112.17184040292</v>
      </c>
      <c r="M15" s="4">
        <f t="shared" si="14"/>
        <v>107112.17184040292</v>
      </c>
      <c r="N15" s="4">
        <f t="shared" si="14"/>
        <v>107112.17184040292</v>
      </c>
      <c r="O15" s="4">
        <f t="shared" si="14"/>
        <v>107112.17184040292</v>
      </c>
      <c r="P15" s="4">
        <f t="shared" si="14"/>
        <v>107112.17184040292</v>
      </c>
      <c r="Q15" s="4">
        <f t="shared" si="14"/>
        <v>107112.17184040292</v>
      </c>
      <c r="R15" s="4">
        <f t="shared" si="14"/>
        <v>107112.17184040292</v>
      </c>
      <c r="S15" s="4">
        <f t="shared" si="14"/>
        <v>107112.17184040292</v>
      </c>
      <c r="T15" s="4">
        <f t="shared" si="14"/>
        <v>107112.17184040292</v>
      </c>
      <c r="U15" s="4">
        <f t="shared" si="14"/>
        <v>107112.17184040292</v>
      </c>
      <c r="V15" s="4">
        <f t="shared" si="14"/>
        <v>107112.17184040292</v>
      </c>
      <c r="W15" s="4">
        <f t="shared" si="14"/>
        <v>107112.17184040292</v>
      </c>
      <c r="X15" s="4">
        <f t="shared" si="14"/>
        <v>107112.17184040292</v>
      </c>
      <c r="Y15" s="4">
        <f t="shared" si="14"/>
        <v>107112.17184040292</v>
      </c>
      <c r="Z15" s="4">
        <f t="shared" si="14"/>
        <v>107112.17184040292</v>
      </c>
      <c r="AA15" s="4">
        <f t="shared" si="14"/>
        <v>107112.17184040292</v>
      </c>
      <c r="AB15" s="4">
        <f t="shared" si="14"/>
        <v>107112.17184040292</v>
      </c>
      <c r="AC15" s="4">
        <f t="shared" si="14"/>
        <v>107112.17184040292</v>
      </c>
      <c r="AD15" s="4">
        <f t="shared" si="14"/>
        <v>107112.17184040292</v>
      </c>
      <c r="AE15" s="4">
        <f t="shared" si="14"/>
        <v>107112.17184040292</v>
      </c>
      <c r="AF15" s="4">
        <f t="shared" si="14"/>
        <v>107112.17184040292</v>
      </c>
      <c r="AG15" s="4">
        <f t="shared" si="14"/>
        <v>107112.17184040292</v>
      </c>
      <c r="AH15" s="4">
        <f t="shared" si="14"/>
        <v>107112.17184040292</v>
      </c>
      <c r="AI15" s="4">
        <f t="shared" si="14"/>
        <v>107112.17184040292</v>
      </c>
      <c r="AJ15" s="4">
        <f t="shared" si="14"/>
        <v>107112.17184040292</v>
      </c>
      <c r="AK15" s="4">
        <f t="shared" si="14"/>
        <v>107112.17184040292</v>
      </c>
      <c r="AL15" s="4">
        <f t="shared" si="14"/>
        <v>107112.17184040292</v>
      </c>
      <c r="AM15" s="4">
        <f t="shared" si="14"/>
        <v>107112.17184040292</v>
      </c>
      <c r="AN15" s="4">
        <f t="shared" si="14"/>
        <v>107112.17184040292</v>
      </c>
      <c r="AO15" s="4">
        <f t="shared" si="14"/>
        <v>107112.17184040292</v>
      </c>
      <c r="AP15" s="4">
        <f t="shared" si="14"/>
        <v>107112.17184040292</v>
      </c>
      <c r="AQ15" s="4">
        <f t="shared" si="14"/>
        <v>107112.17184040292</v>
      </c>
      <c r="AR15" s="4">
        <f t="shared" si="14"/>
        <v>107112.17184040292</v>
      </c>
      <c r="AS15" s="4">
        <f t="shared" si="14"/>
        <v>107112.17184040292</v>
      </c>
      <c r="AT15" s="4">
        <f t="shared" si="14"/>
        <v>107112.17184040292</v>
      </c>
      <c r="AU15" s="4">
        <f t="shared" si="14"/>
        <v>107112.17184040292</v>
      </c>
      <c r="AV15" s="4">
        <f t="shared" si="14"/>
        <v>107112.17184040292</v>
      </c>
      <c r="AW15" s="4">
        <f t="shared" si="14"/>
        <v>107112.17184040292</v>
      </c>
      <c r="AX15" s="4">
        <f t="shared" si="14"/>
        <v>107112.17184040292</v>
      </c>
      <c r="AY15" s="4">
        <f t="shared" si="14"/>
        <v>107112.17184040292</v>
      </c>
      <c r="AZ15" s="4">
        <f t="shared" si="14"/>
        <v>107112.17184040292</v>
      </c>
      <c r="BA15" s="4">
        <f t="shared" si="14"/>
        <v>107112.17184040292</v>
      </c>
      <c r="BB15" s="4">
        <f t="shared" si="14"/>
        <v>107112.17184040292</v>
      </c>
      <c r="BC15" s="4">
        <f t="shared" si="14"/>
        <v>107112.17184040292</v>
      </c>
      <c r="BD15" s="4">
        <f t="shared" si="14"/>
        <v>107112.17184040292</v>
      </c>
      <c r="BE15" s="4">
        <f t="shared" si="14"/>
        <v>107112.17184040292</v>
      </c>
      <c r="BF15" s="4">
        <f t="shared" si="14"/>
        <v>107112.17184040292</v>
      </c>
      <c r="BG15" s="4">
        <f t="shared" si="14"/>
        <v>107112.17184040292</v>
      </c>
      <c r="BH15" s="4">
        <f t="shared" si="14"/>
        <v>107112.17184040292</v>
      </c>
      <c r="BI15" s="4">
        <f t="shared" si="14"/>
        <v>107112.17184040292</v>
      </c>
      <c r="BJ15" s="4">
        <f t="shared" si="14"/>
        <v>107112.17184040292</v>
      </c>
      <c r="BK15" s="4">
        <f t="shared" si="14"/>
        <v>107112.17184040292</v>
      </c>
      <c r="BL15" s="4">
        <f t="shared" si="14"/>
        <v>107112.17184040292</v>
      </c>
      <c r="BM15" s="4">
        <f t="shared" si="14"/>
        <v>107112.17184040292</v>
      </c>
      <c r="BN15" s="4">
        <f t="shared" si="14"/>
        <v>107112.17184040292</v>
      </c>
      <c r="BO15" s="4">
        <f t="shared" si="13"/>
        <v>107112.17184040292</v>
      </c>
      <c r="BP15" s="4">
        <f t="shared" si="13"/>
        <v>107112.17184040292</v>
      </c>
      <c r="BQ15" s="4">
        <f t="shared" si="13"/>
        <v>107112.17184040292</v>
      </c>
      <c r="BR15" s="4">
        <f t="shared" si="13"/>
        <v>107112.17184040292</v>
      </c>
      <c r="BS15" s="4">
        <f t="shared" si="13"/>
        <v>107112.17184040292</v>
      </c>
      <c r="BT15" s="4">
        <f t="shared" si="13"/>
        <v>107112.17184040292</v>
      </c>
      <c r="BU15" s="4">
        <f t="shared" si="13"/>
        <v>107112.17184040292</v>
      </c>
      <c r="BV15" s="4">
        <f t="shared" si="13"/>
        <v>107112.17184040292</v>
      </c>
      <c r="BW15" s="4">
        <f t="shared" si="13"/>
        <v>107112.17184040292</v>
      </c>
      <c r="BX15" s="4">
        <f t="shared" si="13"/>
        <v>107112.17184040292</v>
      </c>
      <c r="BY15" s="4">
        <f t="shared" si="13"/>
        <v>107112.17184040292</v>
      </c>
      <c r="BZ15" s="4">
        <f t="shared" si="13"/>
        <v>107112.17184040292</v>
      </c>
      <c r="CA15" s="4">
        <f t="shared" si="13"/>
        <v>107112.17184040292</v>
      </c>
      <c r="CB15" s="4">
        <f t="shared" si="13"/>
        <v>107112.17184040292</v>
      </c>
      <c r="CC15" s="4">
        <f t="shared" si="13"/>
        <v>107112.17184040292</v>
      </c>
      <c r="CD15" s="4">
        <f t="shared" si="13"/>
        <v>107112.17184040292</v>
      </c>
      <c r="CE15" s="4">
        <f t="shared" si="13"/>
        <v>107112.17184040292</v>
      </c>
      <c r="CF15" s="4">
        <f t="shared" si="13"/>
        <v>107112.17184040292</v>
      </c>
      <c r="CG15" s="4">
        <f t="shared" si="13"/>
        <v>107112.17184040292</v>
      </c>
      <c r="CH15" s="4">
        <f t="shared" si="13"/>
        <v>107112.17184040292</v>
      </c>
      <c r="CI15" s="4">
        <f t="shared" si="13"/>
        <v>107112.17184040292</v>
      </c>
      <c r="CJ15" s="4">
        <f t="shared" si="13"/>
        <v>107112.17184040292</v>
      </c>
      <c r="CK15" s="4">
        <f t="shared" si="13"/>
        <v>107112.17184040292</v>
      </c>
      <c r="CL15" s="4">
        <f t="shared" si="13"/>
        <v>107112.17184040292</v>
      </c>
      <c r="CM15" s="4">
        <f t="shared" si="13"/>
        <v>107112.17184040292</v>
      </c>
      <c r="CN15" s="4">
        <f t="shared" si="13"/>
        <v>107112.17184040292</v>
      </c>
      <c r="CO15" s="4">
        <f t="shared" si="13"/>
        <v>107112.17184040292</v>
      </c>
      <c r="CP15" s="4">
        <f t="shared" si="13"/>
        <v>107112.17184040292</v>
      </c>
      <c r="CQ15" s="4">
        <f t="shared" si="13"/>
        <v>107112.17184040292</v>
      </c>
      <c r="CR15" s="4">
        <f t="shared" si="13"/>
        <v>107112.17184040292</v>
      </c>
      <c r="CS15" s="4">
        <f t="shared" si="13"/>
        <v>107112.17184040292</v>
      </c>
      <c r="CT15" s="4">
        <f t="shared" si="13"/>
        <v>107112.17184040292</v>
      </c>
      <c r="CU15" s="4">
        <f t="shared" si="13"/>
        <v>107112.17184040292</v>
      </c>
      <c r="CV15" s="4">
        <f t="shared" si="13"/>
        <v>107112.17184040292</v>
      </c>
      <c r="CW15" s="4">
        <f t="shared" si="13"/>
        <v>107112.17184040292</v>
      </c>
      <c r="CX15" s="4">
        <f t="shared" si="13"/>
        <v>107112.17184040292</v>
      </c>
      <c r="CY15" s="4">
        <f t="shared" si="13"/>
        <v>107112.17184040292</v>
      </c>
      <c r="CZ15" s="4">
        <f t="shared" si="13"/>
        <v>107112.17184040292</v>
      </c>
      <c r="DA15" s="4">
        <f t="shared" si="13"/>
        <v>107112.17184040292</v>
      </c>
      <c r="DB15" s="4">
        <f t="shared" si="13"/>
        <v>107112.17184040292</v>
      </c>
      <c r="DC15" s="4">
        <f t="shared" si="13"/>
        <v>107112.17184040292</v>
      </c>
      <c r="DD15" s="4">
        <f t="shared" si="13"/>
        <v>107112.17184040292</v>
      </c>
      <c r="DE15" s="4">
        <f t="shared" si="13"/>
        <v>107112.17184040292</v>
      </c>
      <c r="DF15" s="4">
        <f t="shared" si="13"/>
        <v>107112.17184040292</v>
      </c>
      <c r="DG15" s="4">
        <f t="shared" si="13"/>
        <v>107112.17184040292</v>
      </c>
      <c r="DH15" s="4">
        <f t="shared" si="13"/>
        <v>107112.17184040292</v>
      </c>
      <c r="DI15" s="4">
        <f t="shared" si="13"/>
        <v>107112.17184040292</v>
      </c>
      <c r="DJ15" s="4">
        <f t="shared" si="13"/>
        <v>107112.17184040292</v>
      </c>
      <c r="DK15" s="4">
        <f t="shared" si="13"/>
        <v>107112.17184040292</v>
      </c>
      <c r="DL15" s="4">
        <f t="shared" si="13"/>
        <v>107112.17184040292</v>
      </c>
      <c r="DM15" s="4">
        <f t="shared" si="13"/>
        <v>107112.17184040292</v>
      </c>
      <c r="DN15" s="4">
        <f t="shared" si="13"/>
        <v>107112.17184040292</v>
      </c>
      <c r="DO15" s="4">
        <f t="shared" si="13"/>
        <v>107112.17184040292</v>
      </c>
      <c r="DP15" s="4">
        <f t="shared" si="13"/>
        <v>107112.17184040292</v>
      </c>
      <c r="DQ15" s="4">
        <f t="shared" si="13"/>
        <v>107112.17184040292</v>
      </c>
      <c r="DR15" s="4">
        <f t="shared" si="13"/>
        <v>107112.17184040292</v>
      </c>
      <c r="DS15" s="4">
        <f t="shared" si="13"/>
        <v>107112.17184040292</v>
      </c>
      <c r="DT15" s="4">
        <f t="shared" si="13"/>
        <v>107112.17184040292</v>
      </c>
      <c r="DU15" s="4">
        <f t="shared" si="13"/>
        <v>107112.17184040292</v>
      </c>
      <c r="DV15" s="4">
        <f t="shared" si="13"/>
        <v>107112.17184040292</v>
      </c>
      <c r="DW15" s="4">
        <f t="shared" si="13"/>
        <v>107112.17184040292</v>
      </c>
      <c r="DX15" s="4">
        <f t="shared" si="13"/>
        <v>107112.17184040292</v>
      </c>
      <c r="DY15" s="4">
        <f t="shared" si="4"/>
        <v>107112.17184040292</v>
      </c>
      <c r="DZ15" s="4">
        <f>'CCaMC-AFOaMCpUC US'!B15</f>
        <v>107112.17184040292</v>
      </c>
      <c r="EA15" s="4">
        <f t="shared" si="5"/>
        <v>107112.17184040292</v>
      </c>
      <c r="EB15" s="4">
        <f t="shared" si="11"/>
        <v>107112.17184040292</v>
      </c>
      <c r="EC15" s="4">
        <f t="shared" si="11"/>
        <v>107112.17184040292</v>
      </c>
      <c r="ED15" s="4">
        <f t="shared" si="11"/>
        <v>107112.17184040292</v>
      </c>
      <c r="EE15" s="4">
        <f t="shared" si="11"/>
        <v>107112.17184040292</v>
      </c>
      <c r="EF15" s="4">
        <f t="shared" si="11"/>
        <v>107112.17184040292</v>
      </c>
      <c r="EG15" s="4">
        <f t="shared" si="11"/>
        <v>107112.17184040292</v>
      </c>
      <c r="EH15" s="4">
        <f t="shared" si="11"/>
        <v>107112.17184040292</v>
      </c>
      <c r="EI15" s="4">
        <f t="shared" si="11"/>
        <v>107112.17184040292</v>
      </c>
      <c r="EJ15" s="4">
        <f t="shared" si="11"/>
        <v>107112.17184040292</v>
      </c>
      <c r="EK15" s="4">
        <f t="shared" si="11"/>
        <v>107112.17184040292</v>
      </c>
      <c r="EL15" s="4">
        <f t="shared" si="11"/>
        <v>107112.17184040292</v>
      </c>
      <c r="EM15" s="4">
        <f t="shared" si="11"/>
        <v>107112.17184040292</v>
      </c>
      <c r="EN15" s="4">
        <f t="shared" si="11"/>
        <v>107112.17184040292</v>
      </c>
      <c r="EO15" s="4">
        <f t="shared" si="11"/>
        <v>107112.17184040292</v>
      </c>
      <c r="EP15" s="4">
        <f t="shared" si="11"/>
        <v>107112.17184040292</v>
      </c>
      <c r="EQ15" s="4">
        <f t="shared" si="11"/>
        <v>107112.17184040292</v>
      </c>
      <c r="ER15" s="4">
        <f t="shared" si="11"/>
        <v>107112.17184040292</v>
      </c>
      <c r="ES15" s="4">
        <f t="shared" si="11"/>
        <v>107112.17184040292</v>
      </c>
      <c r="ET15" s="4">
        <f t="shared" si="11"/>
        <v>107112.17184040292</v>
      </c>
      <c r="EU15" s="4">
        <f t="shared" si="11"/>
        <v>107112.17184040292</v>
      </c>
      <c r="EV15" s="4">
        <f t="shared" si="11"/>
        <v>107112.17184040292</v>
      </c>
      <c r="EW15" s="4">
        <f t="shared" si="11"/>
        <v>107112.17184040292</v>
      </c>
      <c r="EX15" s="4">
        <f t="shared" si="11"/>
        <v>107112.17184040292</v>
      </c>
      <c r="EY15" s="4">
        <f t="shared" si="11"/>
        <v>107112.17184040292</v>
      </c>
      <c r="EZ15" s="4">
        <f t="shared" si="11"/>
        <v>107112.17184040292</v>
      </c>
      <c r="FA15" s="4">
        <f t="shared" si="11"/>
        <v>107112.17184040292</v>
      </c>
      <c r="FB15" s="4">
        <f t="shared" si="11"/>
        <v>107112.17184040292</v>
      </c>
      <c r="FC15" s="4">
        <f t="shared" si="11"/>
        <v>107112.17184040292</v>
      </c>
      <c r="FD15" s="4">
        <f t="shared" si="11"/>
        <v>107112.17184040292</v>
      </c>
      <c r="FE15" s="4">
        <f t="shared" si="11"/>
        <v>107112.17184040292</v>
      </c>
      <c r="FF15" s="4">
        <f t="shared" si="12"/>
        <v>107112.17184040292</v>
      </c>
      <c r="FG15" s="4">
        <f t="shared" si="12"/>
        <v>107112.17184040292</v>
      </c>
      <c r="FH15" s="4">
        <f t="shared" si="12"/>
        <v>107112.17184040292</v>
      </c>
      <c r="FI15" s="4">
        <f t="shared" si="12"/>
        <v>107112.17184040292</v>
      </c>
      <c r="FJ15" s="4">
        <f t="shared" si="12"/>
        <v>107112.17184040292</v>
      </c>
      <c r="FK15" s="4">
        <f t="shared" si="12"/>
        <v>107112.17184040292</v>
      </c>
      <c r="FL15" s="4">
        <f t="shared" si="12"/>
        <v>107112.17184040292</v>
      </c>
      <c r="FM15" s="4">
        <f t="shared" si="12"/>
        <v>107112.17184040292</v>
      </c>
      <c r="FN15" s="4">
        <f t="shared" si="12"/>
        <v>107112.17184040292</v>
      </c>
      <c r="FO15" s="4">
        <f t="shared" si="12"/>
        <v>107112.17184040292</v>
      </c>
      <c r="FP15" s="4">
        <f t="shared" si="12"/>
        <v>107112.17184040292</v>
      </c>
      <c r="FQ15" s="4">
        <f t="shared" si="12"/>
        <v>107112.17184040292</v>
      </c>
      <c r="FR15" s="4">
        <f t="shared" si="12"/>
        <v>107112.17184040292</v>
      </c>
      <c r="FS15" s="4">
        <f t="shared" si="12"/>
        <v>107112.17184040292</v>
      </c>
      <c r="FT15" s="4">
        <f t="shared" si="12"/>
        <v>107112.17184040292</v>
      </c>
      <c r="FU15" s="4">
        <f t="shared" si="12"/>
        <v>107112.17184040292</v>
      </c>
      <c r="FV15" s="4">
        <f t="shared" si="12"/>
        <v>107112.17184040292</v>
      </c>
      <c r="FW15" s="4">
        <f t="shared" si="12"/>
        <v>107112.17184040292</v>
      </c>
      <c r="FX15" s="4">
        <f t="shared" si="12"/>
        <v>107112.17184040292</v>
      </c>
      <c r="FY15" s="4">
        <f t="shared" si="12"/>
        <v>107112.17184040292</v>
      </c>
      <c r="FZ15" s="4">
        <f t="shared" si="12"/>
        <v>107112.17184040292</v>
      </c>
      <c r="GA15" s="4">
        <f t="shared" si="12"/>
        <v>107112.17184040292</v>
      </c>
      <c r="GB15" s="4">
        <f t="shared" si="12"/>
        <v>107112.17184040292</v>
      </c>
      <c r="GC15" s="4">
        <f t="shared" si="12"/>
        <v>107112.17184040292</v>
      </c>
      <c r="GD15" s="4">
        <f t="shared" si="12"/>
        <v>107112.17184040292</v>
      </c>
      <c r="GE15" s="4">
        <f t="shared" si="12"/>
        <v>107112.17184040292</v>
      </c>
      <c r="GF15" s="4">
        <f t="shared" si="12"/>
        <v>107112.17184040292</v>
      </c>
      <c r="GG15" s="4">
        <f t="shared" si="12"/>
        <v>107112.17184040292</v>
      </c>
      <c r="GH15" s="4">
        <f t="shared" si="12"/>
        <v>107112.17184040292</v>
      </c>
      <c r="GI15" s="4">
        <f t="shared" si="12"/>
        <v>107112.17184040292</v>
      </c>
      <c r="GJ15" s="4">
        <f t="shared" si="12"/>
        <v>107112.17184040292</v>
      </c>
      <c r="GK15" s="4">
        <f t="shared" si="12"/>
        <v>107112.17184040292</v>
      </c>
      <c r="GL15" s="4">
        <f t="shared" si="12"/>
        <v>107112.17184040292</v>
      </c>
      <c r="GM15" s="4">
        <f t="shared" si="12"/>
        <v>107112.17184040292</v>
      </c>
      <c r="GN15" s="4">
        <f t="shared" si="12"/>
        <v>107112.17184040292</v>
      </c>
      <c r="GO15" s="4">
        <f t="shared" si="12"/>
        <v>107112.17184040292</v>
      </c>
      <c r="GP15" s="4">
        <f t="shared" si="12"/>
        <v>107112.17184040292</v>
      </c>
      <c r="GQ15" s="4">
        <f t="shared" si="12"/>
        <v>107112.17184040292</v>
      </c>
      <c r="GR15" s="4">
        <f t="shared" si="12"/>
        <v>107112.17184040292</v>
      </c>
      <c r="GS15" s="4">
        <f t="shared" si="12"/>
        <v>107112.17184040292</v>
      </c>
      <c r="GT15" s="4">
        <f t="shared" si="12"/>
        <v>107112.17184040292</v>
      </c>
      <c r="GU15" s="4">
        <f t="shared" si="12"/>
        <v>107112.17184040292</v>
      </c>
      <c r="GV15" s="4">
        <f t="shared" si="12"/>
        <v>107112.17184040292</v>
      </c>
      <c r="GW15" s="4">
        <f t="shared" si="12"/>
        <v>107112.17184040292</v>
      </c>
      <c r="GX15" s="4">
        <f t="shared" si="12"/>
        <v>107112.17184040292</v>
      </c>
      <c r="GY15" s="4">
        <f t="shared" si="12"/>
        <v>107112.17184040292</v>
      </c>
      <c r="GZ15" s="4">
        <f t="shared" si="12"/>
        <v>107112.17184040292</v>
      </c>
      <c r="HA15" s="4">
        <f t="shared" si="12"/>
        <v>107112.17184040292</v>
      </c>
      <c r="HB15" s="4">
        <f t="shared" si="12"/>
        <v>107112.17184040292</v>
      </c>
      <c r="HC15" s="4">
        <f t="shared" si="12"/>
        <v>107112.17184040292</v>
      </c>
    </row>
    <row r="16" spans="1:211">
      <c r="A16" t="s">
        <v>20</v>
      </c>
      <c r="B16" s="4">
        <v>7973.6811047683404</v>
      </c>
      <c r="C16" s="4">
        <f t="shared" si="14"/>
        <v>7973.6811047683404</v>
      </c>
      <c r="D16" s="4">
        <f t="shared" si="14"/>
        <v>7973.6811047683404</v>
      </c>
      <c r="E16" s="4">
        <f t="shared" si="14"/>
        <v>7973.6811047683404</v>
      </c>
      <c r="F16" s="4">
        <f t="shared" si="14"/>
        <v>7973.6811047683404</v>
      </c>
      <c r="G16" s="4">
        <f t="shared" si="14"/>
        <v>7973.6811047683404</v>
      </c>
      <c r="H16" s="4">
        <f t="shared" si="14"/>
        <v>7973.6811047683404</v>
      </c>
      <c r="I16" s="4">
        <f t="shared" si="14"/>
        <v>7973.6811047683404</v>
      </c>
      <c r="J16" s="4">
        <f t="shared" si="14"/>
        <v>7973.6811047683404</v>
      </c>
      <c r="K16" s="4">
        <f t="shared" si="14"/>
        <v>7973.6811047683404</v>
      </c>
      <c r="L16" s="4">
        <f t="shared" si="14"/>
        <v>7973.6811047683404</v>
      </c>
      <c r="M16" s="4">
        <f t="shared" si="14"/>
        <v>7973.6811047683404</v>
      </c>
      <c r="N16" s="4">
        <f t="shared" si="14"/>
        <v>7973.6811047683404</v>
      </c>
      <c r="O16" s="4">
        <f t="shared" si="14"/>
        <v>7973.6811047683404</v>
      </c>
      <c r="P16" s="4">
        <f t="shared" si="14"/>
        <v>7973.6811047683404</v>
      </c>
      <c r="Q16" s="4">
        <f t="shared" si="14"/>
        <v>7973.6811047683404</v>
      </c>
      <c r="R16" s="4">
        <f t="shared" si="14"/>
        <v>7973.6811047683404</v>
      </c>
      <c r="S16" s="4">
        <f t="shared" si="14"/>
        <v>7973.6811047683404</v>
      </c>
      <c r="T16" s="4">
        <f t="shared" si="14"/>
        <v>7973.6811047683404</v>
      </c>
      <c r="U16" s="4">
        <f t="shared" si="14"/>
        <v>7973.6811047683404</v>
      </c>
      <c r="V16" s="4">
        <f t="shared" si="14"/>
        <v>7973.6811047683404</v>
      </c>
      <c r="W16" s="4">
        <f t="shared" si="14"/>
        <v>7973.6811047683404</v>
      </c>
      <c r="X16" s="4">
        <f t="shared" si="14"/>
        <v>7973.6811047683404</v>
      </c>
      <c r="Y16" s="4">
        <f t="shared" si="14"/>
        <v>7973.6811047683404</v>
      </c>
      <c r="Z16" s="4">
        <f t="shared" si="14"/>
        <v>7973.6811047683404</v>
      </c>
      <c r="AA16" s="4">
        <f t="shared" si="14"/>
        <v>7973.6811047683404</v>
      </c>
      <c r="AB16" s="4">
        <f t="shared" si="14"/>
        <v>7973.6811047683404</v>
      </c>
      <c r="AC16" s="4">
        <f t="shared" si="14"/>
        <v>7973.6811047683404</v>
      </c>
      <c r="AD16" s="4">
        <f t="shared" si="14"/>
        <v>7973.6811047683404</v>
      </c>
      <c r="AE16" s="4">
        <f t="shared" si="14"/>
        <v>7973.6811047683404</v>
      </c>
      <c r="AF16" s="4">
        <f t="shared" si="14"/>
        <v>7973.6811047683404</v>
      </c>
      <c r="AG16" s="4">
        <f t="shared" si="14"/>
        <v>7973.6811047683404</v>
      </c>
      <c r="AH16" s="4">
        <f t="shared" si="14"/>
        <v>7973.6811047683404</v>
      </c>
      <c r="AI16" s="4">
        <f t="shared" si="14"/>
        <v>7973.6811047683404</v>
      </c>
      <c r="AJ16" s="4">
        <f t="shared" si="14"/>
        <v>7973.6811047683404</v>
      </c>
      <c r="AK16" s="4">
        <f t="shared" si="14"/>
        <v>7973.6811047683404</v>
      </c>
      <c r="AL16" s="4">
        <f t="shared" si="14"/>
        <v>7973.6811047683404</v>
      </c>
      <c r="AM16" s="4">
        <f t="shared" si="14"/>
        <v>7973.6811047683404</v>
      </c>
      <c r="AN16" s="4">
        <f t="shared" si="14"/>
        <v>7973.6811047683404</v>
      </c>
      <c r="AO16" s="4">
        <f t="shared" si="14"/>
        <v>7973.6811047683404</v>
      </c>
      <c r="AP16" s="4">
        <f t="shared" si="14"/>
        <v>7973.6811047683404</v>
      </c>
      <c r="AQ16" s="4">
        <f t="shared" si="14"/>
        <v>7973.6811047683404</v>
      </c>
      <c r="AR16" s="4">
        <f t="shared" si="14"/>
        <v>7973.6811047683404</v>
      </c>
      <c r="AS16" s="4">
        <f t="shared" si="14"/>
        <v>7973.6811047683404</v>
      </c>
      <c r="AT16" s="4">
        <f t="shared" si="14"/>
        <v>7973.6811047683404</v>
      </c>
      <c r="AU16" s="4">
        <f t="shared" si="14"/>
        <v>7973.6811047683404</v>
      </c>
      <c r="AV16" s="4">
        <f t="shared" si="14"/>
        <v>7973.6811047683404</v>
      </c>
      <c r="AW16" s="4">
        <f t="shared" si="14"/>
        <v>7973.6811047683404</v>
      </c>
      <c r="AX16" s="4">
        <f t="shared" si="14"/>
        <v>7973.6811047683404</v>
      </c>
      <c r="AY16" s="4">
        <f t="shared" si="14"/>
        <v>7973.6811047683404</v>
      </c>
      <c r="AZ16" s="4">
        <f t="shared" si="14"/>
        <v>7973.6811047683404</v>
      </c>
      <c r="BA16" s="4">
        <f t="shared" si="14"/>
        <v>7973.6811047683404</v>
      </c>
      <c r="BB16" s="4">
        <f t="shared" si="14"/>
        <v>7973.6811047683404</v>
      </c>
      <c r="BC16" s="4">
        <f t="shared" si="14"/>
        <v>7973.6811047683404</v>
      </c>
      <c r="BD16" s="4">
        <f t="shared" si="14"/>
        <v>7973.6811047683404</v>
      </c>
      <c r="BE16" s="4">
        <f t="shared" si="14"/>
        <v>7973.6811047683404</v>
      </c>
      <c r="BF16" s="4">
        <f t="shared" si="14"/>
        <v>7973.6811047683404</v>
      </c>
      <c r="BG16" s="4">
        <f t="shared" si="14"/>
        <v>7973.6811047683404</v>
      </c>
      <c r="BH16" s="4">
        <f t="shared" si="14"/>
        <v>7973.6811047683404</v>
      </c>
      <c r="BI16" s="4">
        <f t="shared" si="14"/>
        <v>7973.6811047683404</v>
      </c>
      <c r="BJ16" s="4">
        <f t="shared" si="14"/>
        <v>7973.6811047683404</v>
      </c>
      <c r="BK16" s="4">
        <f t="shared" si="14"/>
        <v>7973.6811047683404</v>
      </c>
      <c r="BL16" s="4">
        <f t="shared" si="14"/>
        <v>7973.6811047683404</v>
      </c>
      <c r="BM16" s="4">
        <f t="shared" si="14"/>
        <v>7973.6811047683404</v>
      </c>
      <c r="BN16" s="4">
        <f t="shared" si="14"/>
        <v>7973.6811047683404</v>
      </c>
      <c r="BO16" s="4">
        <f t="shared" si="13"/>
        <v>7973.6811047683404</v>
      </c>
      <c r="BP16" s="4">
        <f t="shared" si="13"/>
        <v>7973.6811047683404</v>
      </c>
      <c r="BQ16" s="4">
        <f t="shared" si="13"/>
        <v>7973.6811047683404</v>
      </c>
      <c r="BR16" s="4">
        <f t="shared" si="13"/>
        <v>7973.6811047683404</v>
      </c>
      <c r="BS16" s="4">
        <f t="shared" si="13"/>
        <v>7973.6811047683404</v>
      </c>
      <c r="BT16" s="4">
        <f t="shared" si="13"/>
        <v>7973.6811047683404</v>
      </c>
      <c r="BU16" s="4">
        <f t="shared" si="13"/>
        <v>7973.6811047683404</v>
      </c>
      <c r="BV16" s="4">
        <f t="shared" si="13"/>
        <v>7973.6811047683404</v>
      </c>
      <c r="BW16" s="4">
        <f t="shared" si="13"/>
        <v>7973.6811047683404</v>
      </c>
      <c r="BX16" s="4">
        <f t="shared" si="13"/>
        <v>7973.6811047683404</v>
      </c>
      <c r="BY16" s="4">
        <f t="shared" si="13"/>
        <v>7973.6811047683404</v>
      </c>
      <c r="BZ16" s="4">
        <f t="shared" si="13"/>
        <v>7973.6811047683404</v>
      </c>
      <c r="CA16" s="4">
        <f t="shared" si="13"/>
        <v>7973.6811047683404</v>
      </c>
      <c r="CB16" s="4">
        <f t="shared" si="13"/>
        <v>7973.6811047683404</v>
      </c>
      <c r="CC16" s="4">
        <f t="shared" si="13"/>
        <v>7973.6811047683404</v>
      </c>
      <c r="CD16" s="4">
        <f t="shared" si="13"/>
        <v>7973.6811047683404</v>
      </c>
      <c r="CE16" s="4">
        <f t="shared" si="13"/>
        <v>7973.6811047683404</v>
      </c>
      <c r="CF16" s="4">
        <f t="shared" si="13"/>
        <v>7973.6811047683404</v>
      </c>
      <c r="CG16" s="4">
        <f t="shared" si="13"/>
        <v>7973.6811047683404</v>
      </c>
      <c r="CH16" s="4">
        <f t="shared" si="13"/>
        <v>7973.6811047683404</v>
      </c>
      <c r="CI16" s="4">
        <f t="shared" si="13"/>
        <v>7973.6811047683404</v>
      </c>
      <c r="CJ16" s="4">
        <f t="shared" si="13"/>
        <v>7973.6811047683404</v>
      </c>
      <c r="CK16" s="4">
        <f t="shared" si="13"/>
        <v>7973.6811047683404</v>
      </c>
      <c r="CL16" s="4">
        <f t="shared" si="13"/>
        <v>7973.6811047683404</v>
      </c>
      <c r="CM16" s="4">
        <f t="shared" si="13"/>
        <v>7973.6811047683404</v>
      </c>
      <c r="CN16" s="4">
        <f t="shared" si="13"/>
        <v>7973.6811047683404</v>
      </c>
      <c r="CO16" s="4">
        <f t="shared" si="13"/>
        <v>7973.6811047683404</v>
      </c>
      <c r="CP16" s="4">
        <f t="shared" si="13"/>
        <v>7973.6811047683404</v>
      </c>
      <c r="CQ16" s="4">
        <f t="shared" si="13"/>
        <v>7973.6811047683404</v>
      </c>
      <c r="CR16" s="4">
        <f t="shared" si="13"/>
        <v>7973.6811047683404</v>
      </c>
      <c r="CS16" s="4">
        <f t="shared" si="13"/>
        <v>7973.6811047683404</v>
      </c>
      <c r="CT16" s="4">
        <f t="shared" si="13"/>
        <v>7973.6811047683404</v>
      </c>
      <c r="CU16" s="4">
        <f t="shared" si="13"/>
        <v>7973.6811047683404</v>
      </c>
      <c r="CV16" s="4">
        <f t="shared" si="13"/>
        <v>7973.6811047683404</v>
      </c>
      <c r="CW16" s="4">
        <f t="shared" si="13"/>
        <v>7973.6811047683404</v>
      </c>
      <c r="CX16" s="4">
        <f t="shared" si="13"/>
        <v>7973.6811047683404</v>
      </c>
      <c r="CY16" s="4">
        <f t="shared" si="13"/>
        <v>7973.6811047683404</v>
      </c>
      <c r="CZ16" s="4">
        <f t="shared" si="13"/>
        <v>7973.6811047683404</v>
      </c>
      <c r="DA16" s="4">
        <f t="shared" si="13"/>
        <v>7973.6811047683404</v>
      </c>
      <c r="DB16" s="4">
        <f t="shared" si="13"/>
        <v>7973.6811047683404</v>
      </c>
      <c r="DC16" s="4">
        <f t="shared" si="13"/>
        <v>7973.6811047683404</v>
      </c>
      <c r="DD16" s="4">
        <f t="shared" si="13"/>
        <v>7973.6811047683404</v>
      </c>
      <c r="DE16" s="4">
        <f t="shared" si="13"/>
        <v>7973.6811047683404</v>
      </c>
      <c r="DF16" s="4">
        <f t="shared" si="13"/>
        <v>7973.6811047683404</v>
      </c>
      <c r="DG16" s="4">
        <f t="shared" si="13"/>
        <v>7973.6811047683404</v>
      </c>
      <c r="DH16" s="4">
        <f t="shared" si="13"/>
        <v>7973.6811047683404</v>
      </c>
      <c r="DI16" s="4">
        <f t="shared" si="13"/>
        <v>7973.6811047683404</v>
      </c>
      <c r="DJ16" s="4">
        <f t="shared" si="13"/>
        <v>7973.6811047683404</v>
      </c>
      <c r="DK16" s="4">
        <f t="shared" si="13"/>
        <v>7973.6811047683404</v>
      </c>
      <c r="DL16" s="4">
        <f t="shared" si="13"/>
        <v>7973.6811047683404</v>
      </c>
      <c r="DM16" s="4">
        <f t="shared" si="13"/>
        <v>7973.6811047683404</v>
      </c>
      <c r="DN16" s="4">
        <f t="shared" si="13"/>
        <v>7973.6811047683404</v>
      </c>
      <c r="DO16" s="4">
        <f t="shared" si="13"/>
        <v>7973.6811047683404</v>
      </c>
      <c r="DP16" s="4">
        <f t="shared" si="13"/>
        <v>7973.6811047683404</v>
      </c>
      <c r="DQ16" s="4">
        <f t="shared" si="13"/>
        <v>7973.6811047683404</v>
      </c>
      <c r="DR16" s="4">
        <f t="shared" si="13"/>
        <v>7973.6811047683404</v>
      </c>
      <c r="DS16" s="4">
        <f t="shared" si="13"/>
        <v>7973.6811047683404</v>
      </c>
      <c r="DT16" s="4">
        <f t="shared" si="13"/>
        <v>7973.6811047683404</v>
      </c>
      <c r="DU16" s="4">
        <f t="shared" si="13"/>
        <v>7973.6811047683404</v>
      </c>
      <c r="DV16" s="4">
        <f t="shared" si="13"/>
        <v>7973.6811047683404</v>
      </c>
      <c r="DW16" s="4">
        <f t="shared" si="13"/>
        <v>7973.6811047683404</v>
      </c>
      <c r="DX16" s="4">
        <f t="shared" si="13"/>
        <v>7973.6811047683404</v>
      </c>
      <c r="DY16" s="4">
        <f t="shared" si="4"/>
        <v>7973.6811047683404</v>
      </c>
      <c r="DZ16" s="4">
        <f>'CCaMC-AFOaMCpUC US'!B16</f>
        <v>7973.6811047683404</v>
      </c>
      <c r="EA16" s="4">
        <f t="shared" si="5"/>
        <v>7973.6811047683404</v>
      </c>
      <c r="EB16" s="4">
        <f t="shared" si="11"/>
        <v>7973.6811047683404</v>
      </c>
      <c r="EC16" s="4">
        <f t="shared" si="11"/>
        <v>7973.6811047683404</v>
      </c>
      <c r="ED16" s="4">
        <f t="shared" si="11"/>
        <v>7973.6811047683404</v>
      </c>
      <c r="EE16" s="4">
        <f t="shared" si="11"/>
        <v>7973.6811047683404</v>
      </c>
      <c r="EF16" s="4">
        <f t="shared" si="11"/>
        <v>7973.6811047683404</v>
      </c>
      <c r="EG16" s="4">
        <f t="shared" si="11"/>
        <v>7973.6811047683404</v>
      </c>
      <c r="EH16" s="4">
        <f t="shared" si="11"/>
        <v>7973.6811047683404</v>
      </c>
      <c r="EI16" s="4">
        <f t="shared" si="11"/>
        <v>7973.6811047683404</v>
      </c>
      <c r="EJ16" s="4">
        <f t="shared" si="11"/>
        <v>7973.6811047683404</v>
      </c>
      <c r="EK16" s="4">
        <f t="shared" si="11"/>
        <v>7973.6811047683404</v>
      </c>
      <c r="EL16" s="4">
        <f t="shared" si="11"/>
        <v>7973.6811047683404</v>
      </c>
      <c r="EM16" s="4">
        <f t="shared" si="11"/>
        <v>7973.6811047683404</v>
      </c>
      <c r="EN16" s="4">
        <f t="shared" si="11"/>
        <v>7973.6811047683404</v>
      </c>
      <c r="EO16" s="4">
        <f t="shared" si="11"/>
        <v>7973.6811047683404</v>
      </c>
      <c r="EP16" s="4">
        <f t="shared" si="11"/>
        <v>7973.6811047683404</v>
      </c>
      <c r="EQ16" s="4">
        <f t="shared" si="11"/>
        <v>7973.6811047683404</v>
      </c>
      <c r="ER16" s="4">
        <f t="shared" si="11"/>
        <v>7973.6811047683404</v>
      </c>
      <c r="ES16" s="4">
        <f t="shared" si="11"/>
        <v>7973.6811047683404</v>
      </c>
      <c r="ET16" s="4">
        <f t="shared" si="11"/>
        <v>7973.6811047683404</v>
      </c>
      <c r="EU16" s="4">
        <f t="shared" si="11"/>
        <v>7973.6811047683404</v>
      </c>
      <c r="EV16" s="4">
        <f t="shared" si="11"/>
        <v>7973.6811047683404</v>
      </c>
      <c r="EW16" s="4">
        <f t="shared" si="11"/>
        <v>7973.6811047683404</v>
      </c>
      <c r="EX16" s="4">
        <f t="shared" si="11"/>
        <v>7973.6811047683404</v>
      </c>
      <c r="EY16" s="4">
        <f t="shared" si="11"/>
        <v>7973.6811047683404</v>
      </c>
      <c r="EZ16" s="4">
        <f t="shared" si="11"/>
        <v>7973.6811047683404</v>
      </c>
      <c r="FA16" s="4">
        <f t="shared" si="11"/>
        <v>7973.6811047683404</v>
      </c>
      <c r="FB16" s="4">
        <f t="shared" si="11"/>
        <v>7973.6811047683404</v>
      </c>
      <c r="FC16" s="4">
        <f t="shared" si="11"/>
        <v>7973.6811047683404</v>
      </c>
      <c r="FD16" s="4">
        <f t="shared" si="11"/>
        <v>7973.6811047683404</v>
      </c>
      <c r="FE16" s="4">
        <f t="shared" si="11"/>
        <v>7973.6811047683404</v>
      </c>
      <c r="FF16" s="4">
        <f t="shared" si="12"/>
        <v>7973.6811047683404</v>
      </c>
      <c r="FG16" s="4">
        <f t="shared" si="12"/>
        <v>7973.6811047683404</v>
      </c>
      <c r="FH16" s="4">
        <f t="shared" si="12"/>
        <v>7973.6811047683404</v>
      </c>
      <c r="FI16" s="4">
        <f t="shared" si="12"/>
        <v>7973.6811047683404</v>
      </c>
      <c r="FJ16" s="4">
        <f t="shared" si="12"/>
        <v>7973.6811047683404</v>
      </c>
      <c r="FK16" s="4">
        <f t="shared" si="12"/>
        <v>7973.6811047683404</v>
      </c>
      <c r="FL16" s="4">
        <f t="shared" si="12"/>
        <v>7973.6811047683404</v>
      </c>
      <c r="FM16" s="4">
        <f t="shared" si="12"/>
        <v>7973.6811047683404</v>
      </c>
      <c r="FN16" s="4">
        <f t="shared" si="12"/>
        <v>7973.6811047683404</v>
      </c>
      <c r="FO16" s="4">
        <f t="shared" si="12"/>
        <v>7973.6811047683404</v>
      </c>
      <c r="FP16" s="4">
        <f t="shared" si="12"/>
        <v>7973.6811047683404</v>
      </c>
      <c r="FQ16" s="4">
        <f t="shared" si="12"/>
        <v>7973.6811047683404</v>
      </c>
      <c r="FR16" s="4">
        <f t="shared" si="12"/>
        <v>7973.6811047683404</v>
      </c>
      <c r="FS16" s="4">
        <f t="shared" si="12"/>
        <v>7973.6811047683404</v>
      </c>
      <c r="FT16" s="4">
        <f t="shared" si="12"/>
        <v>7973.6811047683404</v>
      </c>
      <c r="FU16" s="4">
        <f t="shared" si="12"/>
        <v>7973.6811047683404</v>
      </c>
      <c r="FV16" s="4">
        <f t="shared" si="12"/>
        <v>7973.6811047683404</v>
      </c>
      <c r="FW16" s="4">
        <f t="shared" si="12"/>
        <v>7973.6811047683404</v>
      </c>
      <c r="FX16" s="4">
        <f t="shared" si="12"/>
        <v>7973.6811047683404</v>
      </c>
      <c r="FY16" s="4">
        <f t="shared" si="12"/>
        <v>7973.6811047683404</v>
      </c>
      <c r="FZ16" s="4">
        <f t="shared" si="12"/>
        <v>7973.6811047683404</v>
      </c>
      <c r="GA16" s="4">
        <f t="shared" si="12"/>
        <v>7973.6811047683404</v>
      </c>
      <c r="GB16" s="4">
        <f t="shared" si="12"/>
        <v>7973.6811047683404</v>
      </c>
      <c r="GC16" s="4">
        <f t="shared" si="12"/>
        <v>7973.6811047683404</v>
      </c>
      <c r="GD16" s="4">
        <f t="shared" si="12"/>
        <v>7973.6811047683404</v>
      </c>
      <c r="GE16" s="4">
        <f t="shared" si="12"/>
        <v>7973.6811047683404</v>
      </c>
      <c r="GF16" s="4">
        <f t="shared" si="12"/>
        <v>7973.6811047683404</v>
      </c>
      <c r="GG16" s="4">
        <f t="shared" si="12"/>
        <v>7973.6811047683404</v>
      </c>
      <c r="GH16" s="4">
        <f t="shared" si="12"/>
        <v>7973.6811047683404</v>
      </c>
      <c r="GI16" s="4">
        <f t="shared" si="12"/>
        <v>7973.6811047683404</v>
      </c>
      <c r="GJ16" s="4">
        <f t="shared" si="12"/>
        <v>7973.6811047683404</v>
      </c>
      <c r="GK16" s="4">
        <f t="shared" si="12"/>
        <v>7973.6811047683404</v>
      </c>
      <c r="GL16" s="4">
        <f t="shared" si="12"/>
        <v>7973.6811047683404</v>
      </c>
      <c r="GM16" s="4">
        <f t="shared" si="12"/>
        <v>7973.6811047683404</v>
      </c>
      <c r="GN16" s="4">
        <f t="shared" si="12"/>
        <v>7973.6811047683404</v>
      </c>
      <c r="GO16" s="4">
        <f t="shared" si="12"/>
        <v>7973.6811047683404</v>
      </c>
      <c r="GP16" s="4">
        <f t="shared" si="12"/>
        <v>7973.6811047683404</v>
      </c>
      <c r="GQ16" s="4">
        <f t="shared" si="12"/>
        <v>7973.6811047683404</v>
      </c>
      <c r="GR16" s="4">
        <f t="shared" si="12"/>
        <v>7973.6811047683404</v>
      </c>
      <c r="GS16" s="4">
        <f t="shared" si="12"/>
        <v>7973.6811047683404</v>
      </c>
      <c r="GT16" s="4">
        <f t="shared" si="12"/>
        <v>7973.6811047683404</v>
      </c>
      <c r="GU16" s="4">
        <f t="shared" si="12"/>
        <v>7973.6811047683404</v>
      </c>
      <c r="GV16" s="4">
        <f t="shared" si="12"/>
        <v>7973.6811047683404</v>
      </c>
      <c r="GW16" s="4">
        <f t="shared" si="12"/>
        <v>7973.6811047683404</v>
      </c>
      <c r="GX16" s="4">
        <f t="shared" si="12"/>
        <v>7973.6811047683404</v>
      </c>
      <c r="GY16" s="4">
        <f t="shared" si="12"/>
        <v>7973.6811047683404</v>
      </c>
      <c r="GZ16" s="4">
        <f t="shared" si="12"/>
        <v>7973.6811047683404</v>
      </c>
      <c r="HA16" s="4">
        <f t="shared" si="12"/>
        <v>7973.6811047683404</v>
      </c>
      <c r="HB16" s="4">
        <f t="shared" si="12"/>
        <v>7973.6811047683404</v>
      </c>
      <c r="HC16" s="4">
        <f t="shared" si="12"/>
        <v>7973.6811047683404</v>
      </c>
    </row>
    <row r="17" spans="1:211">
      <c r="A17" t="s">
        <v>21</v>
      </c>
      <c r="B17" s="4">
        <v>7973.6811047683404</v>
      </c>
      <c r="C17" s="4">
        <f t="shared" si="14"/>
        <v>7973.6811047683404</v>
      </c>
      <c r="D17" s="4">
        <f t="shared" si="14"/>
        <v>7973.6811047683404</v>
      </c>
      <c r="E17" s="4">
        <f t="shared" si="14"/>
        <v>7973.6811047683404</v>
      </c>
      <c r="F17" s="4">
        <f t="shared" si="14"/>
        <v>7973.6811047683404</v>
      </c>
      <c r="G17" s="4">
        <f t="shared" si="14"/>
        <v>7973.6811047683404</v>
      </c>
      <c r="H17" s="4">
        <f t="shared" si="14"/>
        <v>7973.6811047683404</v>
      </c>
      <c r="I17" s="4">
        <f t="shared" si="14"/>
        <v>7973.6811047683404</v>
      </c>
      <c r="J17" s="4">
        <f t="shared" si="14"/>
        <v>7973.6811047683404</v>
      </c>
      <c r="K17" s="4">
        <f t="shared" si="14"/>
        <v>7973.6811047683404</v>
      </c>
      <c r="L17" s="4">
        <f t="shared" si="14"/>
        <v>7973.6811047683404</v>
      </c>
      <c r="M17" s="4">
        <f t="shared" si="14"/>
        <v>7973.6811047683404</v>
      </c>
      <c r="N17" s="4">
        <f t="shared" si="14"/>
        <v>7973.6811047683404</v>
      </c>
      <c r="O17" s="4">
        <f t="shared" si="14"/>
        <v>7973.6811047683404</v>
      </c>
      <c r="P17" s="4">
        <f t="shared" si="14"/>
        <v>7973.6811047683404</v>
      </c>
      <c r="Q17" s="4">
        <f t="shared" si="14"/>
        <v>7973.6811047683404</v>
      </c>
      <c r="R17" s="4">
        <f t="shared" si="14"/>
        <v>7973.6811047683404</v>
      </c>
      <c r="S17" s="4">
        <f t="shared" si="14"/>
        <v>7973.6811047683404</v>
      </c>
      <c r="T17" s="4">
        <f t="shared" si="14"/>
        <v>7973.6811047683404</v>
      </c>
      <c r="U17" s="4">
        <f t="shared" si="14"/>
        <v>7973.6811047683404</v>
      </c>
      <c r="V17" s="4">
        <f t="shared" si="14"/>
        <v>7973.6811047683404</v>
      </c>
      <c r="W17" s="4">
        <f t="shared" si="14"/>
        <v>7973.6811047683404</v>
      </c>
      <c r="X17" s="4">
        <f t="shared" si="14"/>
        <v>7973.6811047683404</v>
      </c>
      <c r="Y17" s="4">
        <f t="shared" si="14"/>
        <v>7973.6811047683404</v>
      </c>
      <c r="Z17" s="4">
        <f t="shared" si="14"/>
        <v>7973.6811047683404</v>
      </c>
      <c r="AA17" s="4">
        <f t="shared" si="14"/>
        <v>7973.6811047683404</v>
      </c>
      <c r="AB17" s="4">
        <f t="shared" si="14"/>
        <v>7973.6811047683404</v>
      </c>
      <c r="AC17" s="4">
        <f t="shared" si="14"/>
        <v>7973.6811047683404</v>
      </c>
      <c r="AD17" s="4">
        <f t="shared" si="14"/>
        <v>7973.6811047683404</v>
      </c>
      <c r="AE17" s="4">
        <f t="shared" si="14"/>
        <v>7973.6811047683404</v>
      </c>
      <c r="AF17" s="4">
        <f t="shared" si="14"/>
        <v>7973.6811047683404</v>
      </c>
      <c r="AG17" s="4">
        <f t="shared" si="14"/>
        <v>7973.6811047683404</v>
      </c>
      <c r="AH17" s="4">
        <f t="shared" si="14"/>
        <v>7973.6811047683404</v>
      </c>
      <c r="AI17" s="4">
        <f t="shared" si="14"/>
        <v>7973.6811047683404</v>
      </c>
      <c r="AJ17" s="4">
        <f t="shared" si="14"/>
        <v>7973.6811047683404</v>
      </c>
      <c r="AK17" s="4">
        <f t="shared" si="14"/>
        <v>7973.6811047683404</v>
      </c>
      <c r="AL17" s="4">
        <f t="shared" si="14"/>
        <v>7973.6811047683404</v>
      </c>
      <c r="AM17" s="4">
        <f t="shared" si="14"/>
        <v>7973.6811047683404</v>
      </c>
      <c r="AN17" s="4">
        <f t="shared" si="14"/>
        <v>7973.6811047683404</v>
      </c>
      <c r="AO17" s="4">
        <f t="shared" si="14"/>
        <v>7973.6811047683404</v>
      </c>
      <c r="AP17" s="4">
        <f t="shared" si="14"/>
        <v>7973.6811047683404</v>
      </c>
      <c r="AQ17" s="4">
        <f t="shared" si="14"/>
        <v>7973.6811047683404</v>
      </c>
      <c r="AR17" s="4">
        <f t="shared" si="14"/>
        <v>7973.6811047683404</v>
      </c>
      <c r="AS17" s="4">
        <f t="shared" si="14"/>
        <v>7973.6811047683404</v>
      </c>
      <c r="AT17" s="4">
        <f t="shared" si="14"/>
        <v>7973.6811047683404</v>
      </c>
      <c r="AU17" s="4">
        <f t="shared" si="14"/>
        <v>7973.6811047683404</v>
      </c>
      <c r="AV17" s="4">
        <f t="shared" si="14"/>
        <v>7973.6811047683404</v>
      </c>
      <c r="AW17" s="4">
        <f t="shared" si="14"/>
        <v>7973.6811047683404</v>
      </c>
      <c r="AX17" s="4">
        <f t="shared" si="14"/>
        <v>7973.6811047683404</v>
      </c>
      <c r="AY17" s="4">
        <f t="shared" si="14"/>
        <v>7973.6811047683404</v>
      </c>
      <c r="AZ17" s="4">
        <f t="shared" si="14"/>
        <v>7973.6811047683404</v>
      </c>
      <c r="BA17" s="4">
        <f t="shared" si="14"/>
        <v>7973.6811047683404</v>
      </c>
      <c r="BB17" s="4">
        <f t="shared" si="14"/>
        <v>7973.6811047683404</v>
      </c>
      <c r="BC17" s="4">
        <f t="shared" si="14"/>
        <v>7973.6811047683404</v>
      </c>
      <c r="BD17" s="4">
        <f t="shared" si="14"/>
        <v>7973.6811047683404</v>
      </c>
      <c r="BE17" s="4">
        <f t="shared" si="14"/>
        <v>7973.6811047683404</v>
      </c>
      <c r="BF17" s="4">
        <f t="shared" si="14"/>
        <v>7973.6811047683404</v>
      </c>
      <c r="BG17" s="4">
        <f t="shared" si="14"/>
        <v>7973.6811047683404</v>
      </c>
      <c r="BH17" s="4">
        <f t="shared" si="14"/>
        <v>7973.6811047683404</v>
      </c>
      <c r="BI17" s="4">
        <f t="shared" si="14"/>
        <v>7973.6811047683404</v>
      </c>
      <c r="BJ17" s="4">
        <f t="shared" si="14"/>
        <v>7973.6811047683404</v>
      </c>
      <c r="BK17" s="4">
        <f t="shared" si="14"/>
        <v>7973.6811047683404</v>
      </c>
      <c r="BL17" s="4">
        <f t="shared" si="14"/>
        <v>7973.6811047683404</v>
      </c>
      <c r="BM17" s="4">
        <f t="shared" si="14"/>
        <v>7973.6811047683404</v>
      </c>
      <c r="BN17" s="4">
        <f t="shared" ref="BN17:DX20" si="15">BO17</f>
        <v>7973.6811047683404</v>
      </c>
      <c r="BO17" s="4">
        <f t="shared" si="15"/>
        <v>7973.6811047683404</v>
      </c>
      <c r="BP17" s="4">
        <f t="shared" si="15"/>
        <v>7973.6811047683404</v>
      </c>
      <c r="BQ17" s="4">
        <f t="shared" si="15"/>
        <v>7973.6811047683404</v>
      </c>
      <c r="BR17" s="4">
        <f t="shared" si="15"/>
        <v>7973.6811047683404</v>
      </c>
      <c r="BS17" s="4">
        <f t="shared" si="15"/>
        <v>7973.6811047683404</v>
      </c>
      <c r="BT17" s="4">
        <f t="shared" si="15"/>
        <v>7973.6811047683404</v>
      </c>
      <c r="BU17" s="4">
        <f t="shared" si="15"/>
        <v>7973.6811047683404</v>
      </c>
      <c r="BV17" s="4">
        <f t="shared" si="15"/>
        <v>7973.6811047683404</v>
      </c>
      <c r="BW17" s="4">
        <f t="shared" si="15"/>
        <v>7973.6811047683404</v>
      </c>
      <c r="BX17" s="4">
        <f t="shared" si="15"/>
        <v>7973.6811047683404</v>
      </c>
      <c r="BY17" s="4">
        <f t="shared" si="15"/>
        <v>7973.6811047683404</v>
      </c>
      <c r="BZ17" s="4">
        <f t="shared" si="15"/>
        <v>7973.6811047683404</v>
      </c>
      <c r="CA17" s="4">
        <f t="shared" si="15"/>
        <v>7973.6811047683404</v>
      </c>
      <c r="CB17" s="4">
        <f t="shared" si="15"/>
        <v>7973.6811047683404</v>
      </c>
      <c r="CC17" s="4">
        <f t="shared" si="15"/>
        <v>7973.6811047683404</v>
      </c>
      <c r="CD17" s="4">
        <f t="shared" si="15"/>
        <v>7973.6811047683404</v>
      </c>
      <c r="CE17" s="4">
        <f t="shared" si="15"/>
        <v>7973.6811047683404</v>
      </c>
      <c r="CF17" s="4">
        <f t="shared" si="15"/>
        <v>7973.6811047683404</v>
      </c>
      <c r="CG17" s="4">
        <f t="shared" si="15"/>
        <v>7973.6811047683404</v>
      </c>
      <c r="CH17" s="4">
        <f t="shared" si="15"/>
        <v>7973.6811047683404</v>
      </c>
      <c r="CI17" s="4">
        <f t="shared" si="15"/>
        <v>7973.6811047683404</v>
      </c>
      <c r="CJ17" s="4">
        <f t="shared" si="15"/>
        <v>7973.6811047683404</v>
      </c>
      <c r="CK17" s="4">
        <f t="shared" si="15"/>
        <v>7973.6811047683404</v>
      </c>
      <c r="CL17" s="4">
        <f t="shared" si="15"/>
        <v>7973.6811047683404</v>
      </c>
      <c r="CM17" s="4">
        <f t="shared" si="15"/>
        <v>7973.6811047683404</v>
      </c>
      <c r="CN17" s="4">
        <f t="shared" si="15"/>
        <v>7973.6811047683404</v>
      </c>
      <c r="CO17" s="4">
        <f t="shared" si="15"/>
        <v>7973.6811047683404</v>
      </c>
      <c r="CP17" s="4">
        <f t="shared" si="15"/>
        <v>7973.6811047683404</v>
      </c>
      <c r="CQ17" s="4">
        <f t="shared" si="15"/>
        <v>7973.6811047683404</v>
      </c>
      <c r="CR17" s="4">
        <f t="shared" si="15"/>
        <v>7973.6811047683404</v>
      </c>
      <c r="CS17" s="4">
        <f t="shared" si="15"/>
        <v>7973.6811047683404</v>
      </c>
      <c r="CT17" s="4">
        <f t="shared" si="15"/>
        <v>7973.6811047683404</v>
      </c>
      <c r="CU17" s="4">
        <f t="shared" si="15"/>
        <v>7973.6811047683404</v>
      </c>
      <c r="CV17" s="4">
        <f t="shared" si="15"/>
        <v>7973.6811047683404</v>
      </c>
      <c r="CW17" s="4">
        <f t="shared" si="15"/>
        <v>7973.6811047683404</v>
      </c>
      <c r="CX17" s="4">
        <f t="shared" si="15"/>
        <v>7973.6811047683404</v>
      </c>
      <c r="CY17" s="4">
        <f t="shared" si="15"/>
        <v>7973.6811047683404</v>
      </c>
      <c r="CZ17" s="4">
        <f t="shared" si="15"/>
        <v>7973.6811047683404</v>
      </c>
      <c r="DA17" s="4">
        <f t="shared" si="15"/>
        <v>7973.6811047683404</v>
      </c>
      <c r="DB17" s="4">
        <f t="shared" si="15"/>
        <v>7973.6811047683404</v>
      </c>
      <c r="DC17" s="4">
        <f t="shared" si="15"/>
        <v>7973.6811047683404</v>
      </c>
      <c r="DD17" s="4">
        <f t="shared" si="15"/>
        <v>7973.6811047683404</v>
      </c>
      <c r="DE17" s="4">
        <f t="shared" si="15"/>
        <v>7973.6811047683404</v>
      </c>
      <c r="DF17" s="4">
        <f t="shared" si="15"/>
        <v>7973.6811047683404</v>
      </c>
      <c r="DG17" s="4">
        <f t="shared" si="15"/>
        <v>7973.6811047683404</v>
      </c>
      <c r="DH17" s="4">
        <f t="shared" si="15"/>
        <v>7973.6811047683404</v>
      </c>
      <c r="DI17" s="4">
        <f t="shared" si="15"/>
        <v>7973.6811047683404</v>
      </c>
      <c r="DJ17" s="4">
        <f t="shared" si="15"/>
        <v>7973.6811047683404</v>
      </c>
      <c r="DK17" s="4">
        <f t="shared" si="15"/>
        <v>7973.6811047683404</v>
      </c>
      <c r="DL17" s="4">
        <f t="shared" si="15"/>
        <v>7973.6811047683404</v>
      </c>
      <c r="DM17" s="4">
        <f t="shared" si="15"/>
        <v>7973.6811047683404</v>
      </c>
      <c r="DN17" s="4">
        <f t="shared" si="15"/>
        <v>7973.6811047683404</v>
      </c>
      <c r="DO17" s="4">
        <f t="shared" si="15"/>
        <v>7973.6811047683404</v>
      </c>
      <c r="DP17" s="4">
        <f t="shared" si="15"/>
        <v>7973.6811047683404</v>
      </c>
      <c r="DQ17" s="4">
        <f t="shared" si="15"/>
        <v>7973.6811047683404</v>
      </c>
      <c r="DR17" s="4">
        <f t="shared" si="15"/>
        <v>7973.6811047683404</v>
      </c>
      <c r="DS17" s="4">
        <f t="shared" si="15"/>
        <v>7973.6811047683404</v>
      </c>
      <c r="DT17" s="4">
        <f t="shared" si="15"/>
        <v>7973.6811047683404</v>
      </c>
      <c r="DU17" s="4">
        <f t="shared" si="15"/>
        <v>7973.6811047683404</v>
      </c>
      <c r="DV17" s="4">
        <f t="shared" si="15"/>
        <v>7973.6811047683404</v>
      </c>
      <c r="DW17" s="4">
        <f t="shared" si="15"/>
        <v>7973.6811047683404</v>
      </c>
      <c r="DX17" s="4">
        <f t="shared" si="15"/>
        <v>7973.6811047683404</v>
      </c>
      <c r="DY17" s="4">
        <f t="shared" si="4"/>
        <v>7973.6811047683404</v>
      </c>
      <c r="DZ17" s="4">
        <f>'CCaMC-AFOaMCpUC US'!B17</f>
        <v>7973.6811047683404</v>
      </c>
      <c r="EA17" s="4">
        <f t="shared" si="5"/>
        <v>7973.6811047683404</v>
      </c>
      <c r="EB17" s="4">
        <f t="shared" si="11"/>
        <v>7973.6811047683404</v>
      </c>
      <c r="EC17" s="4">
        <f t="shared" si="11"/>
        <v>7973.6811047683404</v>
      </c>
      <c r="ED17" s="4">
        <f t="shared" si="11"/>
        <v>7973.6811047683404</v>
      </c>
      <c r="EE17" s="4">
        <f t="shared" si="11"/>
        <v>7973.6811047683404</v>
      </c>
      <c r="EF17" s="4">
        <f t="shared" si="11"/>
        <v>7973.6811047683404</v>
      </c>
      <c r="EG17" s="4">
        <f t="shared" si="11"/>
        <v>7973.6811047683404</v>
      </c>
      <c r="EH17" s="4">
        <f t="shared" si="11"/>
        <v>7973.6811047683404</v>
      </c>
      <c r="EI17" s="4">
        <f t="shared" si="11"/>
        <v>7973.6811047683404</v>
      </c>
      <c r="EJ17" s="4">
        <f t="shared" si="11"/>
        <v>7973.6811047683404</v>
      </c>
      <c r="EK17" s="4">
        <f t="shared" si="11"/>
        <v>7973.6811047683404</v>
      </c>
      <c r="EL17" s="4">
        <f t="shared" si="11"/>
        <v>7973.6811047683404</v>
      </c>
      <c r="EM17" s="4">
        <f t="shared" si="11"/>
        <v>7973.6811047683404</v>
      </c>
      <c r="EN17" s="4">
        <f t="shared" si="11"/>
        <v>7973.6811047683404</v>
      </c>
      <c r="EO17" s="4">
        <f t="shared" si="11"/>
        <v>7973.6811047683404</v>
      </c>
      <c r="EP17" s="4">
        <f t="shared" si="11"/>
        <v>7973.6811047683404</v>
      </c>
      <c r="EQ17" s="4">
        <f t="shared" si="11"/>
        <v>7973.6811047683404</v>
      </c>
      <c r="ER17" s="4">
        <f t="shared" si="11"/>
        <v>7973.6811047683404</v>
      </c>
      <c r="ES17" s="4">
        <f t="shared" si="11"/>
        <v>7973.6811047683404</v>
      </c>
      <c r="ET17" s="4">
        <f t="shared" si="11"/>
        <v>7973.6811047683404</v>
      </c>
      <c r="EU17" s="4">
        <f t="shared" si="11"/>
        <v>7973.6811047683404</v>
      </c>
      <c r="EV17" s="4">
        <f t="shared" si="11"/>
        <v>7973.6811047683404</v>
      </c>
      <c r="EW17" s="4">
        <f t="shared" si="11"/>
        <v>7973.6811047683404</v>
      </c>
      <c r="EX17" s="4">
        <f t="shared" si="11"/>
        <v>7973.6811047683404</v>
      </c>
      <c r="EY17" s="4">
        <f t="shared" si="11"/>
        <v>7973.6811047683404</v>
      </c>
      <c r="EZ17" s="4">
        <f t="shared" si="11"/>
        <v>7973.6811047683404</v>
      </c>
      <c r="FA17" s="4">
        <f t="shared" si="11"/>
        <v>7973.6811047683404</v>
      </c>
      <c r="FB17" s="4">
        <f t="shared" si="11"/>
        <v>7973.6811047683404</v>
      </c>
      <c r="FC17" s="4">
        <f t="shared" si="11"/>
        <v>7973.6811047683404</v>
      </c>
      <c r="FD17" s="4">
        <f t="shared" si="11"/>
        <v>7973.6811047683404</v>
      </c>
      <c r="FE17" s="4">
        <f t="shared" si="11"/>
        <v>7973.6811047683404</v>
      </c>
      <c r="FF17" s="4">
        <f t="shared" si="12"/>
        <v>7973.6811047683404</v>
      </c>
      <c r="FG17" s="4">
        <f t="shared" si="12"/>
        <v>7973.6811047683404</v>
      </c>
      <c r="FH17" s="4">
        <f t="shared" si="12"/>
        <v>7973.6811047683404</v>
      </c>
      <c r="FI17" s="4">
        <f t="shared" si="12"/>
        <v>7973.6811047683404</v>
      </c>
      <c r="FJ17" s="4">
        <f t="shared" si="12"/>
        <v>7973.6811047683404</v>
      </c>
      <c r="FK17" s="4">
        <f t="shared" si="12"/>
        <v>7973.6811047683404</v>
      </c>
      <c r="FL17" s="4">
        <f t="shared" si="12"/>
        <v>7973.6811047683404</v>
      </c>
      <c r="FM17" s="4">
        <f t="shared" si="12"/>
        <v>7973.6811047683404</v>
      </c>
      <c r="FN17" s="4">
        <f t="shared" si="12"/>
        <v>7973.6811047683404</v>
      </c>
      <c r="FO17" s="4">
        <f t="shared" si="12"/>
        <v>7973.6811047683404</v>
      </c>
      <c r="FP17" s="4">
        <f t="shared" si="12"/>
        <v>7973.6811047683404</v>
      </c>
      <c r="FQ17" s="4">
        <f t="shared" si="12"/>
        <v>7973.6811047683404</v>
      </c>
      <c r="FR17" s="4">
        <f t="shared" si="12"/>
        <v>7973.6811047683404</v>
      </c>
      <c r="FS17" s="4">
        <f t="shared" si="12"/>
        <v>7973.6811047683404</v>
      </c>
      <c r="FT17" s="4">
        <f t="shared" si="12"/>
        <v>7973.6811047683404</v>
      </c>
      <c r="FU17" s="4">
        <f t="shared" ref="FF17:HC22" si="16">$DZ17</f>
        <v>7973.6811047683404</v>
      </c>
      <c r="FV17" s="4">
        <f t="shared" si="16"/>
        <v>7973.6811047683404</v>
      </c>
      <c r="FW17" s="4">
        <f t="shared" si="16"/>
        <v>7973.6811047683404</v>
      </c>
      <c r="FX17" s="4">
        <f t="shared" si="16"/>
        <v>7973.6811047683404</v>
      </c>
      <c r="FY17" s="4">
        <f t="shared" si="16"/>
        <v>7973.6811047683404</v>
      </c>
      <c r="FZ17" s="4">
        <f t="shared" si="16"/>
        <v>7973.6811047683404</v>
      </c>
      <c r="GA17" s="4">
        <f t="shared" si="16"/>
        <v>7973.6811047683404</v>
      </c>
      <c r="GB17" s="4">
        <f t="shared" si="16"/>
        <v>7973.6811047683404</v>
      </c>
      <c r="GC17" s="4">
        <f t="shared" si="16"/>
        <v>7973.6811047683404</v>
      </c>
      <c r="GD17" s="4">
        <f t="shared" si="16"/>
        <v>7973.6811047683404</v>
      </c>
      <c r="GE17" s="4">
        <f t="shared" si="16"/>
        <v>7973.6811047683404</v>
      </c>
      <c r="GF17" s="4">
        <f t="shared" si="16"/>
        <v>7973.6811047683404</v>
      </c>
      <c r="GG17" s="4">
        <f t="shared" si="16"/>
        <v>7973.6811047683404</v>
      </c>
      <c r="GH17" s="4">
        <f t="shared" si="16"/>
        <v>7973.6811047683404</v>
      </c>
      <c r="GI17" s="4">
        <f t="shared" si="16"/>
        <v>7973.6811047683404</v>
      </c>
      <c r="GJ17" s="4">
        <f t="shared" si="16"/>
        <v>7973.6811047683404</v>
      </c>
      <c r="GK17" s="4">
        <f t="shared" si="16"/>
        <v>7973.6811047683404</v>
      </c>
      <c r="GL17" s="4">
        <f t="shared" si="16"/>
        <v>7973.6811047683404</v>
      </c>
      <c r="GM17" s="4">
        <f t="shared" si="16"/>
        <v>7973.6811047683404</v>
      </c>
      <c r="GN17" s="4">
        <f t="shared" si="16"/>
        <v>7973.6811047683404</v>
      </c>
      <c r="GO17" s="4">
        <f t="shared" si="16"/>
        <v>7973.6811047683404</v>
      </c>
      <c r="GP17" s="4">
        <f t="shared" si="16"/>
        <v>7973.6811047683404</v>
      </c>
      <c r="GQ17" s="4">
        <f t="shared" si="16"/>
        <v>7973.6811047683404</v>
      </c>
      <c r="GR17" s="4">
        <f t="shared" si="16"/>
        <v>7973.6811047683404</v>
      </c>
      <c r="GS17" s="4">
        <f t="shared" si="16"/>
        <v>7973.6811047683404</v>
      </c>
      <c r="GT17" s="4">
        <f t="shared" si="16"/>
        <v>7973.6811047683404</v>
      </c>
      <c r="GU17" s="4">
        <f t="shared" si="16"/>
        <v>7973.6811047683404</v>
      </c>
      <c r="GV17" s="4">
        <f t="shared" si="16"/>
        <v>7973.6811047683404</v>
      </c>
      <c r="GW17" s="4">
        <f t="shared" si="16"/>
        <v>7973.6811047683404</v>
      </c>
      <c r="GX17" s="4">
        <f t="shared" si="16"/>
        <v>7973.6811047683404</v>
      </c>
      <c r="GY17" s="4">
        <f t="shared" si="16"/>
        <v>7973.6811047683404</v>
      </c>
      <c r="GZ17" s="4">
        <f t="shared" si="16"/>
        <v>7973.6811047683404</v>
      </c>
      <c r="HA17" s="4">
        <f t="shared" si="16"/>
        <v>7973.6811047683404</v>
      </c>
      <c r="HB17" s="4">
        <f t="shared" si="16"/>
        <v>7973.6811047683404</v>
      </c>
      <c r="HC17" s="4">
        <f t="shared" si="16"/>
        <v>7973.6811047683404</v>
      </c>
    </row>
    <row r="18" spans="1:211">
      <c r="A18" t="s">
        <v>22</v>
      </c>
      <c r="B18" s="4">
        <v>453528.99295774649</v>
      </c>
      <c r="C18" s="4">
        <f t="shared" ref="C18:BN21" si="17">D18</f>
        <v>453528.99295774649</v>
      </c>
      <c r="D18" s="4">
        <f t="shared" si="17"/>
        <v>453528.99295774649</v>
      </c>
      <c r="E18" s="4">
        <f t="shared" si="17"/>
        <v>453528.99295774649</v>
      </c>
      <c r="F18" s="4">
        <f t="shared" si="17"/>
        <v>453528.99295774649</v>
      </c>
      <c r="G18" s="4">
        <f t="shared" si="17"/>
        <v>453528.99295774649</v>
      </c>
      <c r="H18" s="4">
        <f t="shared" si="17"/>
        <v>453528.99295774649</v>
      </c>
      <c r="I18" s="4">
        <f t="shared" si="17"/>
        <v>453528.99295774649</v>
      </c>
      <c r="J18" s="4">
        <f t="shared" si="17"/>
        <v>453528.99295774649</v>
      </c>
      <c r="K18" s="4">
        <f t="shared" si="17"/>
        <v>453528.99295774649</v>
      </c>
      <c r="L18" s="4">
        <f t="shared" si="17"/>
        <v>453528.99295774649</v>
      </c>
      <c r="M18" s="4">
        <f t="shared" si="17"/>
        <v>453528.99295774649</v>
      </c>
      <c r="N18" s="4">
        <f t="shared" si="17"/>
        <v>453528.99295774649</v>
      </c>
      <c r="O18" s="4">
        <f t="shared" si="17"/>
        <v>453528.99295774649</v>
      </c>
      <c r="P18" s="4">
        <f t="shared" si="17"/>
        <v>453528.99295774649</v>
      </c>
      <c r="Q18" s="4">
        <f t="shared" si="17"/>
        <v>453528.99295774649</v>
      </c>
      <c r="R18" s="4">
        <f t="shared" si="17"/>
        <v>453528.99295774649</v>
      </c>
      <c r="S18" s="4">
        <f t="shared" si="17"/>
        <v>453528.99295774649</v>
      </c>
      <c r="T18" s="4">
        <f t="shared" si="17"/>
        <v>453528.99295774649</v>
      </c>
      <c r="U18" s="4">
        <f t="shared" si="17"/>
        <v>453528.99295774649</v>
      </c>
      <c r="V18" s="4">
        <f t="shared" si="17"/>
        <v>453528.99295774649</v>
      </c>
      <c r="W18" s="4">
        <f t="shared" si="17"/>
        <v>453528.99295774649</v>
      </c>
      <c r="X18" s="4">
        <f t="shared" si="17"/>
        <v>453528.99295774649</v>
      </c>
      <c r="Y18" s="4">
        <f t="shared" si="17"/>
        <v>453528.99295774649</v>
      </c>
      <c r="Z18" s="4">
        <f t="shared" si="17"/>
        <v>453528.99295774649</v>
      </c>
      <c r="AA18" s="4">
        <f t="shared" si="17"/>
        <v>453528.99295774649</v>
      </c>
      <c r="AB18" s="4">
        <f t="shared" si="17"/>
        <v>453528.99295774649</v>
      </c>
      <c r="AC18" s="4">
        <f t="shared" si="17"/>
        <v>453528.99295774649</v>
      </c>
      <c r="AD18" s="4">
        <f t="shared" si="17"/>
        <v>453528.99295774649</v>
      </c>
      <c r="AE18" s="4">
        <f t="shared" si="17"/>
        <v>453528.99295774649</v>
      </c>
      <c r="AF18" s="4">
        <f t="shared" si="17"/>
        <v>453528.99295774649</v>
      </c>
      <c r="AG18" s="4">
        <f t="shared" si="17"/>
        <v>453528.99295774649</v>
      </c>
      <c r="AH18" s="4">
        <f t="shared" si="17"/>
        <v>453528.99295774649</v>
      </c>
      <c r="AI18" s="4">
        <f t="shared" si="17"/>
        <v>453528.99295774649</v>
      </c>
      <c r="AJ18" s="4">
        <f t="shared" si="17"/>
        <v>453528.99295774649</v>
      </c>
      <c r="AK18" s="4">
        <f t="shared" si="17"/>
        <v>453528.99295774649</v>
      </c>
      <c r="AL18" s="4">
        <f t="shared" si="17"/>
        <v>453528.99295774649</v>
      </c>
      <c r="AM18" s="4">
        <f t="shared" si="17"/>
        <v>453528.99295774649</v>
      </c>
      <c r="AN18" s="4">
        <f t="shared" si="17"/>
        <v>453528.99295774649</v>
      </c>
      <c r="AO18" s="4">
        <f t="shared" si="17"/>
        <v>453528.99295774649</v>
      </c>
      <c r="AP18" s="4">
        <f t="shared" si="17"/>
        <v>453528.99295774649</v>
      </c>
      <c r="AQ18" s="4">
        <f t="shared" si="17"/>
        <v>453528.99295774649</v>
      </c>
      <c r="AR18" s="4">
        <f t="shared" si="17"/>
        <v>453528.99295774649</v>
      </c>
      <c r="AS18" s="4">
        <f t="shared" si="17"/>
        <v>453528.99295774649</v>
      </c>
      <c r="AT18" s="4">
        <f t="shared" si="17"/>
        <v>453528.99295774649</v>
      </c>
      <c r="AU18" s="4">
        <f t="shared" si="17"/>
        <v>453528.99295774649</v>
      </c>
      <c r="AV18" s="4">
        <f t="shared" si="17"/>
        <v>453528.99295774649</v>
      </c>
      <c r="AW18" s="4">
        <f t="shared" si="17"/>
        <v>453528.99295774649</v>
      </c>
      <c r="AX18" s="4">
        <f t="shared" si="17"/>
        <v>453528.99295774649</v>
      </c>
      <c r="AY18" s="4">
        <f t="shared" si="17"/>
        <v>453528.99295774649</v>
      </c>
      <c r="AZ18" s="4">
        <f t="shared" si="17"/>
        <v>453528.99295774649</v>
      </c>
      <c r="BA18" s="4">
        <f t="shared" si="17"/>
        <v>453528.99295774649</v>
      </c>
      <c r="BB18" s="4">
        <f t="shared" si="17"/>
        <v>453528.99295774649</v>
      </c>
      <c r="BC18" s="4">
        <f t="shared" si="17"/>
        <v>453528.99295774649</v>
      </c>
      <c r="BD18" s="4">
        <f t="shared" si="17"/>
        <v>453528.99295774649</v>
      </c>
      <c r="BE18" s="4">
        <f t="shared" si="17"/>
        <v>453528.99295774649</v>
      </c>
      <c r="BF18" s="4">
        <f t="shared" si="17"/>
        <v>453528.99295774649</v>
      </c>
      <c r="BG18" s="4">
        <f t="shared" si="17"/>
        <v>453528.99295774649</v>
      </c>
      <c r="BH18" s="4">
        <f t="shared" si="17"/>
        <v>453528.99295774649</v>
      </c>
      <c r="BI18" s="4">
        <f t="shared" si="17"/>
        <v>453528.99295774649</v>
      </c>
      <c r="BJ18" s="4">
        <f t="shared" si="17"/>
        <v>453528.99295774649</v>
      </c>
      <c r="BK18" s="4">
        <f t="shared" si="17"/>
        <v>453528.99295774649</v>
      </c>
      <c r="BL18" s="4">
        <f t="shared" si="17"/>
        <v>453528.99295774649</v>
      </c>
      <c r="BM18" s="4">
        <f t="shared" si="17"/>
        <v>453528.99295774649</v>
      </c>
      <c r="BN18" s="4">
        <f t="shared" si="17"/>
        <v>453528.99295774649</v>
      </c>
      <c r="BO18" s="4">
        <f t="shared" si="15"/>
        <v>453528.99295774649</v>
      </c>
      <c r="BP18" s="4">
        <f t="shared" si="15"/>
        <v>453528.99295774649</v>
      </c>
      <c r="BQ18" s="4">
        <f t="shared" si="15"/>
        <v>453528.99295774649</v>
      </c>
      <c r="BR18" s="4">
        <f t="shared" si="15"/>
        <v>453528.99295774649</v>
      </c>
      <c r="BS18" s="4">
        <f t="shared" si="15"/>
        <v>453528.99295774649</v>
      </c>
      <c r="BT18" s="4">
        <f t="shared" si="15"/>
        <v>453528.99295774649</v>
      </c>
      <c r="BU18" s="4">
        <f t="shared" si="15"/>
        <v>453528.99295774649</v>
      </c>
      <c r="BV18" s="4">
        <f t="shared" si="15"/>
        <v>453528.99295774649</v>
      </c>
      <c r="BW18" s="4">
        <f t="shared" si="15"/>
        <v>453528.99295774649</v>
      </c>
      <c r="BX18" s="4">
        <f t="shared" si="15"/>
        <v>453528.99295774649</v>
      </c>
      <c r="BY18" s="4">
        <f t="shared" si="15"/>
        <v>453528.99295774649</v>
      </c>
      <c r="BZ18" s="4">
        <f t="shared" si="15"/>
        <v>453528.99295774649</v>
      </c>
      <c r="CA18" s="4">
        <f t="shared" si="15"/>
        <v>453528.99295774649</v>
      </c>
      <c r="CB18" s="4">
        <f t="shared" si="15"/>
        <v>453528.99295774649</v>
      </c>
      <c r="CC18" s="4">
        <f t="shared" si="15"/>
        <v>453528.99295774649</v>
      </c>
      <c r="CD18" s="4">
        <f t="shared" si="15"/>
        <v>453528.99295774649</v>
      </c>
      <c r="CE18" s="4">
        <f t="shared" si="15"/>
        <v>453528.99295774649</v>
      </c>
      <c r="CF18" s="4">
        <f t="shared" si="15"/>
        <v>453528.99295774649</v>
      </c>
      <c r="CG18" s="4">
        <f t="shared" si="15"/>
        <v>453528.99295774649</v>
      </c>
      <c r="CH18" s="4">
        <f t="shared" si="15"/>
        <v>453528.99295774649</v>
      </c>
      <c r="CI18" s="4">
        <f t="shared" si="15"/>
        <v>453528.99295774649</v>
      </c>
      <c r="CJ18" s="4">
        <f t="shared" si="15"/>
        <v>453528.99295774649</v>
      </c>
      <c r="CK18" s="4">
        <f t="shared" si="15"/>
        <v>453528.99295774649</v>
      </c>
      <c r="CL18" s="4">
        <f t="shared" si="15"/>
        <v>453528.99295774649</v>
      </c>
      <c r="CM18" s="4">
        <f t="shared" si="15"/>
        <v>453528.99295774649</v>
      </c>
      <c r="CN18" s="4">
        <f t="shared" si="15"/>
        <v>453528.99295774649</v>
      </c>
      <c r="CO18" s="4">
        <f t="shared" si="15"/>
        <v>453528.99295774649</v>
      </c>
      <c r="CP18" s="4">
        <f t="shared" si="15"/>
        <v>453528.99295774649</v>
      </c>
      <c r="CQ18" s="4">
        <f t="shared" si="15"/>
        <v>453528.99295774649</v>
      </c>
      <c r="CR18" s="4">
        <f t="shared" si="15"/>
        <v>453528.99295774649</v>
      </c>
      <c r="CS18" s="4">
        <f t="shared" si="15"/>
        <v>453528.99295774649</v>
      </c>
      <c r="CT18" s="4">
        <f t="shared" si="15"/>
        <v>453528.99295774649</v>
      </c>
      <c r="CU18" s="4">
        <f t="shared" si="15"/>
        <v>453528.99295774649</v>
      </c>
      <c r="CV18" s="4">
        <f t="shared" si="15"/>
        <v>453528.99295774649</v>
      </c>
      <c r="CW18" s="4">
        <f t="shared" si="15"/>
        <v>453528.99295774649</v>
      </c>
      <c r="CX18" s="4">
        <f t="shared" si="15"/>
        <v>453528.99295774649</v>
      </c>
      <c r="CY18" s="4">
        <f t="shared" si="15"/>
        <v>453528.99295774649</v>
      </c>
      <c r="CZ18" s="4">
        <f t="shared" si="15"/>
        <v>453528.99295774649</v>
      </c>
      <c r="DA18" s="4">
        <f t="shared" si="15"/>
        <v>453528.99295774649</v>
      </c>
      <c r="DB18" s="4">
        <f t="shared" si="15"/>
        <v>453528.99295774649</v>
      </c>
      <c r="DC18" s="4">
        <f t="shared" si="15"/>
        <v>453528.99295774649</v>
      </c>
      <c r="DD18" s="4">
        <f t="shared" si="15"/>
        <v>453528.99295774649</v>
      </c>
      <c r="DE18" s="4">
        <f t="shared" si="15"/>
        <v>453528.99295774649</v>
      </c>
      <c r="DF18" s="4">
        <f t="shared" si="15"/>
        <v>453528.99295774649</v>
      </c>
      <c r="DG18" s="4">
        <f t="shared" si="15"/>
        <v>453528.99295774649</v>
      </c>
      <c r="DH18" s="4">
        <f t="shared" si="15"/>
        <v>453528.99295774649</v>
      </c>
      <c r="DI18" s="4">
        <f t="shared" si="15"/>
        <v>453528.99295774649</v>
      </c>
      <c r="DJ18" s="4">
        <f t="shared" si="15"/>
        <v>453528.99295774649</v>
      </c>
      <c r="DK18" s="4">
        <f t="shared" si="15"/>
        <v>453528.99295774649</v>
      </c>
      <c r="DL18" s="4">
        <f t="shared" si="15"/>
        <v>453528.99295774649</v>
      </c>
      <c r="DM18" s="4">
        <f t="shared" si="15"/>
        <v>453528.99295774649</v>
      </c>
      <c r="DN18" s="4">
        <f t="shared" si="15"/>
        <v>453528.99295774649</v>
      </c>
      <c r="DO18" s="4">
        <f t="shared" si="15"/>
        <v>453528.99295774649</v>
      </c>
      <c r="DP18" s="4">
        <f t="shared" si="15"/>
        <v>453528.99295774649</v>
      </c>
      <c r="DQ18" s="4">
        <f t="shared" si="15"/>
        <v>453528.99295774649</v>
      </c>
      <c r="DR18" s="4">
        <f t="shared" si="15"/>
        <v>453528.99295774649</v>
      </c>
      <c r="DS18" s="4">
        <f t="shared" si="15"/>
        <v>453528.99295774649</v>
      </c>
      <c r="DT18" s="4">
        <f t="shared" si="15"/>
        <v>453528.99295774649</v>
      </c>
      <c r="DU18" s="4">
        <f t="shared" si="15"/>
        <v>453528.99295774649</v>
      </c>
      <c r="DV18" s="4">
        <f t="shared" si="15"/>
        <v>453528.99295774649</v>
      </c>
      <c r="DW18" s="4">
        <f t="shared" si="15"/>
        <v>453528.99295774649</v>
      </c>
      <c r="DX18" s="4">
        <f t="shared" si="15"/>
        <v>453528.99295774649</v>
      </c>
      <c r="DY18" s="4">
        <f t="shared" si="4"/>
        <v>453528.99295774649</v>
      </c>
      <c r="DZ18" s="4">
        <f>'CCaMC-AFOaMCpUC US'!B18</f>
        <v>453528.99295774649</v>
      </c>
      <c r="EA18" s="4">
        <f t="shared" si="5"/>
        <v>453528.99295774649</v>
      </c>
      <c r="EB18" s="4">
        <f t="shared" si="11"/>
        <v>453528.99295774649</v>
      </c>
      <c r="EC18" s="4">
        <f t="shared" si="11"/>
        <v>453528.99295774649</v>
      </c>
      <c r="ED18" s="4">
        <f t="shared" si="11"/>
        <v>453528.99295774649</v>
      </c>
      <c r="EE18" s="4">
        <f t="shared" si="11"/>
        <v>453528.99295774649</v>
      </c>
      <c r="EF18" s="4">
        <f t="shared" si="11"/>
        <v>453528.99295774649</v>
      </c>
      <c r="EG18" s="4">
        <f t="shared" si="11"/>
        <v>453528.99295774649</v>
      </c>
      <c r="EH18" s="4">
        <f t="shared" si="11"/>
        <v>453528.99295774649</v>
      </c>
      <c r="EI18" s="4">
        <f t="shared" si="11"/>
        <v>453528.99295774649</v>
      </c>
      <c r="EJ18" s="4">
        <f t="shared" si="11"/>
        <v>453528.99295774649</v>
      </c>
      <c r="EK18" s="4">
        <f t="shared" si="11"/>
        <v>453528.99295774649</v>
      </c>
      <c r="EL18" s="4">
        <f t="shared" si="11"/>
        <v>453528.99295774649</v>
      </c>
      <c r="EM18" s="4">
        <f t="shared" si="11"/>
        <v>453528.99295774649</v>
      </c>
      <c r="EN18" s="4">
        <f t="shared" si="11"/>
        <v>453528.99295774649</v>
      </c>
      <c r="EO18" s="4">
        <f t="shared" si="11"/>
        <v>453528.99295774649</v>
      </c>
      <c r="EP18" s="4">
        <f t="shared" si="11"/>
        <v>453528.99295774649</v>
      </c>
      <c r="EQ18" s="4">
        <f t="shared" si="11"/>
        <v>453528.99295774649</v>
      </c>
      <c r="ER18" s="4">
        <f t="shared" si="11"/>
        <v>453528.99295774649</v>
      </c>
      <c r="ES18" s="4">
        <f t="shared" si="11"/>
        <v>453528.99295774649</v>
      </c>
      <c r="ET18" s="4">
        <f t="shared" si="11"/>
        <v>453528.99295774649</v>
      </c>
      <c r="EU18" s="4">
        <f t="shared" si="11"/>
        <v>453528.99295774649</v>
      </c>
      <c r="EV18" s="4">
        <f t="shared" si="11"/>
        <v>453528.99295774649</v>
      </c>
      <c r="EW18" s="4">
        <f t="shared" si="11"/>
        <v>453528.99295774649</v>
      </c>
      <c r="EX18" s="4">
        <f t="shared" si="11"/>
        <v>453528.99295774649</v>
      </c>
      <c r="EY18" s="4">
        <f t="shared" si="11"/>
        <v>453528.99295774649</v>
      </c>
      <c r="EZ18" s="4">
        <f t="shared" si="11"/>
        <v>453528.99295774649</v>
      </c>
      <c r="FA18" s="4">
        <f t="shared" si="11"/>
        <v>453528.99295774649</v>
      </c>
      <c r="FB18" s="4">
        <f t="shared" si="11"/>
        <v>453528.99295774649</v>
      </c>
      <c r="FC18" s="4">
        <f t="shared" si="11"/>
        <v>453528.99295774649</v>
      </c>
      <c r="FD18" s="4">
        <f t="shared" si="11"/>
        <v>453528.99295774649</v>
      </c>
      <c r="FE18" s="4">
        <f t="shared" si="11"/>
        <v>453528.99295774649</v>
      </c>
      <c r="FF18" s="4">
        <f t="shared" si="16"/>
        <v>453528.99295774649</v>
      </c>
      <c r="FG18" s="4">
        <f t="shared" si="16"/>
        <v>453528.99295774649</v>
      </c>
      <c r="FH18" s="4">
        <f t="shared" si="16"/>
        <v>453528.99295774649</v>
      </c>
      <c r="FI18" s="4">
        <f t="shared" si="16"/>
        <v>453528.99295774649</v>
      </c>
      <c r="FJ18" s="4">
        <f t="shared" si="16"/>
        <v>453528.99295774649</v>
      </c>
      <c r="FK18" s="4">
        <f t="shared" si="16"/>
        <v>453528.99295774649</v>
      </c>
      <c r="FL18" s="4">
        <f t="shared" si="16"/>
        <v>453528.99295774649</v>
      </c>
      <c r="FM18" s="4">
        <f t="shared" si="16"/>
        <v>453528.99295774649</v>
      </c>
      <c r="FN18" s="4">
        <f t="shared" si="16"/>
        <v>453528.99295774649</v>
      </c>
      <c r="FO18" s="4">
        <f t="shared" si="16"/>
        <v>453528.99295774649</v>
      </c>
      <c r="FP18" s="4">
        <f t="shared" si="16"/>
        <v>453528.99295774649</v>
      </c>
      <c r="FQ18" s="4">
        <f t="shared" si="16"/>
        <v>453528.99295774649</v>
      </c>
      <c r="FR18" s="4">
        <f t="shared" si="16"/>
        <v>453528.99295774649</v>
      </c>
      <c r="FS18" s="4">
        <f t="shared" si="16"/>
        <v>453528.99295774649</v>
      </c>
      <c r="FT18" s="4">
        <f t="shared" si="16"/>
        <v>453528.99295774649</v>
      </c>
      <c r="FU18" s="4">
        <f t="shared" si="16"/>
        <v>453528.99295774649</v>
      </c>
      <c r="FV18" s="4">
        <f t="shared" si="16"/>
        <v>453528.99295774649</v>
      </c>
      <c r="FW18" s="4">
        <f t="shared" si="16"/>
        <v>453528.99295774649</v>
      </c>
      <c r="FX18" s="4">
        <f t="shared" si="16"/>
        <v>453528.99295774649</v>
      </c>
      <c r="FY18" s="4">
        <f t="shared" si="16"/>
        <v>453528.99295774649</v>
      </c>
      <c r="FZ18" s="4">
        <f t="shared" si="16"/>
        <v>453528.99295774649</v>
      </c>
      <c r="GA18" s="4">
        <f t="shared" si="16"/>
        <v>453528.99295774649</v>
      </c>
      <c r="GB18" s="4">
        <f t="shared" si="16"/>
        <v>453528.99295774649</v>
      </c>
      <c r="GC18" s="4">
        <f t="shared" si="16"/>
        <v>453528.99295774649</v>
      </c>
      <c r="GD18" s="4">
        <f t="shared" si="16"/>
        <v>453528.99295774649</v>
      </c>
      <c r="GE18" s="4">
        <f t="shared" si="16"/>
        <v>453528.99295774649</v>
      </c>
      <c r="GF18" s="4">
        <f t="shared" si="16"/>
        <v>453528.99295774649</v>
      </c>
      <c r="GG18" s="4">
        <f t="shared" si="16"/>
        <v>453528.99295774649</v>
      </c>
      <c r="GH18" s="4">
        <f t="shared" si="16"/>
        <v>453528.99295774649</v>
      </c>
      <c r="GI18" s="4">
        <f t="shared" si="16"/>
        <v>453528.99295774649</v>
      </c>
      <c r="GJ18" s="4">
        <f t="shared" si="16"/>
        <v>453528.99295774649</v>
      </c>
      <c r="GK18" s="4">
        <f t="shared" si="16"/>
        <v>453528.99295774649</v>
      </c>
      <c r="GL18" s="4">
        <f t="shared" si="16"/>
        <v>453528.99295774649</v>
      </c>
      <c r="GM18" s="4">
        <f t="shared" si="16"/>
        <v>453528.99295774649</v>
      </c>
      <c r="GN18" s="4">
        <f t="shared" si="16"/>
        <v>453528.99295774649</v>
      </c>
      <c r="GO18" s="4">
        <f t="shared" si="16"/>
        <v>453528.99295774649</v>
      </c>
      <c r="GP18" s="4">
        <f t="shared" si="16"/>
        <v>453528.99295774649</v>
      </c>
      <c r="GQ18" s="4">
        <f t="shared" si="16"/>
        <v>453528.99295774649</v>
      </c>
      <c r="GR18" s="4">
        <f t="shared" si="16"/>
        <v>453528.99295774649</v>
      </c>
      <c r="GS18" s="4">
        <f t="shared" si="16"/>
        <v>453528.99295774649</v>
      </c>
      <c r="GT18" s="4">
        <f t="shared" si="16"/>
        <v>453528.99295774649</v>
      </c>
      <c r="GU18" s="4">
        <f t="shared" si="16"/>
        <v>453528.99295774649</v>
      </c>
      <c r="GV18" s="4">
        <f t="shared" si="16"/>
        <v>453528.99295774649</v>
      </c>
      <c r="GW18" s="4">
        <f t="shared" si="16"/>
        <v>453528.99295774649</v>
      </c>
      <c r="GX18" s="4">
        <f t="shared" si="16"/>
        <v>453528.99295774649</v>
      </c>
      <c r="GY18" s="4">
        <f t="shared" si="16"/>
        <v>453528.99295774649</v>
      </c>
      <c r="GZ18" s="4">
        <f t="shared" si="16"/>
        <v>453528.99295774649</v>
      </c>
      <c r="HA18" s="4">
        <f t="shared" si="16"/>
        <v>453528.99295774649</v>
      </c>
      <c r="HB18" s="4">
        <f t="shared" si="16"/>
        <v>453528.99295774649</v>
      </c>
      <c r="HC18" s="4">
        <f t="shared" si="16"/>
        <v>453528.99295774649</v>
      </c>
    </row>
    <row r="19" spans="1:211">
      <c r="A19" t="s">
        <v>77</v>
      </c>
      <c r="B19" s="22">
        <v>105574.09454921207</v>
      </c>
      <c r="C19" s="22">
        <f t="shared" si="17"/>
        <v>105574.09454921207</v>
      </c>
      <c r="D19" s="22">
        <f t="shared" si="17"/>
        <v>105574.09454921207</v>
      </c>
      <c r="E19" s="22">
        <f t="shared" si="17"/>
        <v>105574.09454921207</v>
      </c>
      <c r="F19" s="22">
        <f t="shared" si="17"/>
        <v>105574.09454921207</v>
      </c>
      <c r="G19" s="22">
        <f t="shared" si="17"/>
        <v>105574.09454921207</v>
      </c>
      <c r="H19" s="22">
        <f t="shared" si="17"/>
        <v>105574.09454921207</v>
      </c>
      <c r="I19" s="22">
        <f t="shared" si="17"/>
        <v>105574.09454921207</v>
      </c>
      <c r="J19" s="22">
        <f t="shared" si="17"/>
        <v>105574.09454921207</v>
      </c>
      <c r="K19" s="22">
        <f t="shared" si="17"/>
        <v>105574.09454921207</v>
      </c>
      <c r="L19" s="22">
        <f t="shared" si="17"/>
        <v>105574.09454921207</v>
      </c>
      <c r="M19" s="22">
        <f t="shared" si="17"/>
        <v>105574.09454921207</v>
      </c>
      <c r="N19" s="22">
        <f t="shared" si="17"/>
        <v>105574.09454921207</v>
      </c>
      <c r="O19" s="22">
        <f t="shared" si="17"/>
        <v>105574.09454921207</v>
      </c>
      <c r="P19" s="22">
        <f t="shared" si="17"/>
        <v>105574.09454921207</v>
      </c>
      <c r="Q19" s="22">
        <f t="shared" si="17"/>
        <v>105574.09454921207</v>
      </c>
      <c r="R19" s="22">
        <f t="shared" si="17"/>
        <v>105574.09454921207</v>
      </c>
      <c r="S19" s="22">
        <f t="shared" si="17"/>
        <v>105574.09454921207</v>
      </c>
      <c r="T19" s="22">
        <f t="shared" si="17"/>
        <v>105574.09454921207</v>
      </c>
      <c r="U19" s="22">
        <f t="shared" si="17"/>
        <v>105574.09454921207</v>
      </c>
      <c r="V19" s="22">
        <f t="shared" si="17"/>
        <v>105574.09454921207</v>
      </c>
      <c r="W19" s="22">
        <f t="shared" si="17"/>
        <v>105574.09454921207</v>
      </c>
      <c r="X19" s="22">
        <f t="shared" si="17"/>
        <v>105574.09454921207</v>
      </c>
      <c r="Y19" s="22">
        <f t="shared" si="17"/>
        <v>105574.09454921207</v>
      </c>
      <c r="Z19" s="22">
        <f t="shared" si="17"/>
        <v>105574.09454921207</v>
      </c>
      <c r="AA19" s="22">
        <f t="shared" si="17"/>
        <v>105574.09454921207</v>
      </c>
      <c r="AB19" s="22">
        <f t="shared" si="17"/>
        <v>105574.09454921207</v>
      </c>
      <c r="AC19" s="22">
        <f t="shared" si="17"/>
        <v>105574.09454921207</v>
      </c>
      <c r="AD19" s="22">
        <f t="shared" si="17"/>
        <v>105574.09454921207</v>
      </c>
      <c r="AE19" s="22">
        <f t="shared" si="17"/>
        <v>105574.09454921207</v>
      </c>
      <c r="AF19" s="22">
        <f t="shared" si="17"/>
        <v>105574.09454921207</v>
      </c>
      <c r="AG19" s="22">
        <f t="shared" si="17"/>
        <v>105574.09454921207</v>
      </c>
      <c r="AH19" s="22">
        <f t="shared" si="17"/>
        <v>105574.09454921207</v>
      </c>
      <c r="AI19" s="22">
        <f t="shared" si="17"/>
        <v>105574.09454921207</v>
      </c>
      <c r="AJ19" s="22">
        <f t="shared" si="17"/>
        <v>105574.09454921207</v>
      </c>
      <c r="AK19" s="22">
        <f t="shared" si="17"/>
        <v>105574.09454921207</v>
      </c>
      <c r="AL19" s="22">
        <f t="shared" si="17"/>
        <v>105574.09454921207</v>
      </c>
      <c r="AM19" s="22">
        <f t="shared" si="17"/>
        <v>105574.09454921207</v>
      </c>
      <c r="AN19" s="22">
        <f t="shared" si="17"/>
        <v>105574.09454921207</v>
      </c>
      <c r="AO19" s="22">
        <f t="shared" si="17"/>
        <v>105574.09454921207</v>
      </c>
      <c r="AP19" s="22">
        <f t="shared" si="17"/>
        <v>105574.09454921207</v>
      </c>
      <c r="AQ19" s="22">
        <f t="shared" si="17"/>
        <v>105574.09454921207</v>
      </c>
      <c r="AR19" s="22">
        <f t="shared" si="17"/>
        <v>105574.09454921207</v>
      </c>
      <c r="AS19" s="22">
        <f t="shared" si="17"/>
        <v>105574.09454921207</v>
      </c>
      <c r="AT19" s="22">
        <f t="shared" si="17"/>
        <v>105574.09454921207</v>
      </c>
      <c r="AU19" s="22">
        <f t="shared" si="17"/>
        <v>105574.09454921207</v>
      </c>
      <c r="AV19" s="22">
        <f t="shared" si="17"/>
        <v>105574.09454921207</v>
      </c>
      <c r="AW19" s="22">
        <f t="shared" si="17"/>
        <v>105574.09454921207</v>
      </c>
      <c r="AX19" s="22">
        <f t="shared" si="17"/>
        <v>105574.09454921207</v>
      </c>
      <c r="AY19" s="22">
        <f t="shared" si="17"/>
        <v>105574.09454921207</v>
      </c>
      <c r="AZ19" s="22">
        <f t="shared" si="17"/>
        <v>105574.09454921207</v>
      </c>
      <c r="BA19" s="22">
        <f t="shared" si="17"/>
        <v>105574.09454921207</v>
      </c>
      <c r="BB19" s="22">
        <f t="shared" si="17"/>
        <v>105574.09454921207</v>
      </c>
      <c r="BC19" s="22">
        <f t="shared" si="17"/>
        <v>105574.09454921207</v>
      </c>
      <c r="BD19" s="22">
        <f t="shared" si="17"/>
        <v>105574.09454921207</v>
      </c>
      <c r="BE19" s="22">
        <f t="shared" si="17"/>
        <v>105574.09454921207</v>
      </c>
      <c r="BF19" s="22">
        <f t="shared" si="17"/>
        <v>105574.09454921207</v>
      </c>
      <c r="BG19" s="22">
        <f t="shared" si="17"/>
        <v>105574.09454921207</v>
      </c>
      <c r="BH19" s="22">
        <f t="shared" si="17"/>
        <v>105574.09454921207</v>
      </c>
      <c r="BI19" s="22">
        <f t="shared" si="17"/>
        <v>105574.09454921207</v>
      </c>
      <c r="BJ19" s="22">
        <f t="shared" si="17"/>
        <v>105574.09454921207</v>
      </c>
      <c r="BK19" s="22">
        <f t="shared" si="17"/>
        <v>105574.09454921207</v>
      </c>
      <c r="BL19" s="22">
        <f t="shared" si="17"/>
        <v>105574.09454921207</v>
      </c>
      <c r="BM19" s="22">
        <f t="shared" si="17"/>
        <v>105574.09454921207</v>
      </c>
      <c r="BN19" s="22">
        <f t="shared" si="17"/>
        <v>105574.09454921207</v>
      </c>
      <c r="BO19" s="22">
        <f t="shared" si="15"/>
        <v>105574.09454921207</v>
      </c>
      <c r="BP19" s="22">
        <f t="shared" si="15"/>
        <v>105574.09454921207</v>
      </c>
      <c r="BQ19" s="22">
        <f t="shared" si="15"/>
        <v>105574.09454921207</v>
      </c>
      <c r="BR19" s="22">
        <f t="shared" si="15"/>
        <v>105574.09454921207</v>
      </c>
      <c r="BS19" s="22">
        <f t="shared" si="15"/>
        <v>105574.09454921207</v>
      </c>
      <c r="BT19" s="22">
        <f t="shared" si="15"/>
        <v>105574.09454921207</v>
      </c>
      <c r="BU19" s="22">
        <f t="shared" si="15"/>
        <v>105574.09454921207</v>
      </c>
      <c r="BV19" s="22">
        <f t="shared" si="15"/>
        <v>105574.09454921207</v>
      </c>
      <c r="BW19" s="22">
        <f t="shared" si="15"/>
        <v>105574.09454921207</v>
      </c>
      <c r="BX19" s="22">
        <f t="shared" si="15"/>
        <v>105574.09454921207</v>
      </c>
      <c r="BY19" s="22">
        <f t="shared" si="15"/>
        <v>105574.09454921207</v>
      </c>
      <c r="BZ19" s="22">
        <f t="shared" si="15"/>
        <v>105574.09454921207</v>
      </c>
      <c r="CA19" s="22">
        <f t="shared" si="15"/>
        <v>105574.09454921207</v>
      </c>
      <c r="CB19" s="22">
        <f t="shared" si="15"/>
        <v>105574.09454921207</v>
      </c>
      <c r="CC19" s="22">
        <f t="shared" si="15"/>
        <v>105574.09454921207</v>
      </c>
      <c r="CD19" s="22">
        <f t="shared" si="15"/>
        <v>105574.09454921207</v>
      </c>
      <c r="CE19" s="22">
        <f t="shared" si="15"/>
        <v>105574.09454921207</v>
      </c>
      <c r="CF19" s="22">
        <f t="shared" si="15"/>
        <v>105574.09454921207</v>
      </c>
      <c r="CG19" s="22">
        <f t="shared" si="15"/>
        <v>105574.09454921207</v>
      </c>
      <c r="CH19" s="22">
        <f t="shared" si="15"/>
        <v>105574.09454921207</v>
      </c>
      <c r="CI19" s="22">
        <f t="shared" si="15"/>
        <v>105574.09454921207</v>
      </c>
      <c r="CJ19" s="22">
        <f t="shared" si="15"/>
        <v>105574.09454921207</v>
      </c>
      <c r="CK19" s="22">
        <f t="shared" si="15"/>
        <v>105574.09454921207</v>
      </c>
      <c r="CL19" s="22">
        <f t="shared" si="15"/>
        <v>105574.09454921207</v>
      </c>
      <c r="CM19" s="22">
        <f t="shared" si="15"/>
        <v>105574.09454921207</v>
      </c>
      <c r="CN19" s="22">
        <f t="shared" si="15"/>
        <v>105574.09454921207</v>
      </c>
      <c r="CO19" s="22">
        <f t="shared" si="15"/>
        <v>105574.09454921207</v>
      </c>
      <c r="CP19" s="22">
        <f t="shared" si="15"/>
        <v>105574.09454921207</v>
      </c>
      <c r="CQ19" s="22">
        <f t="shared" si="15"/>
        <v>105574.09454921207</v>
      </c>
      <c r="CR19" s="22">
        <f t="shared" si="15"/>
        <v>105574.09454921207</v>
      </c>
      <c r="CS19" s="22">
        <f t="shared" si="15"/>
        <v>105574.09454921207</v>
      </c>
      <c r="CT19" s="22">
        <f t="shared" si="15"/>
        <v>105574.09454921207</v>
      </c>
      <c r="CU19" s="22">
        <f t="shared" si="15"/>
        <v>105574.09454921207</v>
      </c>
      <c r="CV19" s="22">
        <f t="shared" si="15"/>
        <v>105574.09454921207</v>
      </c>
      <c r="CW19" s="22">
        <f t="shared" si="15"/>
        <v>105574.09454921207</v>
      </c>
      <c r="CX19" s="22">
        <f t="shared" si="15"/>
        <v>105574.09454921207</v>
      </c>
      <c r="CY19" s="22">
        <f t="shared" si="15"/>
        <v>105574.09454921207</v>
      </c>
      <c r="CZ19" s="22">
        <f t="shared" si="15"/>
        <v>105574.09454921207</v>
      </c>
      <c r="DA19" s="22">
        <f t="shared" si="15"/>
        <v>105574.09454921207</v>
      </c>
      <c r="DB19" s="22">
        <f t="shared" si="15"/>
        <v>105574.09454921207</v>
      </c>
      <c r="DC19" s="22">
        <f t="shared" si="15"/>
        <v>105574.09454921207</v>
      </c>
      <c r="DD19" s="22">
        <f t="shared" si="15"/>
        <v>105574.09454921207</v>
      </c>
      <c r="DE19" s="22">
        <f t="shared" si="15"/>
        <v>105574.09454921207</v>
      </c>
      <c r="DF19" s="22">
        <f t="shared" si="15"/>
        <v>105574.09454921207</v>
      </c>
      <c r="DG19" s="22">
        <f t="shared" si="15"/>
        <v>105574.09454921207</v>
      </c>
      <c r="DH19" s="22">
        <f t="shared" si="15"/>
        <v>105574.09454921207</v>
      </c>
      <c r="DI19" s="22">
        <f t="shared" si="15"/>
        <v>105574.09454921207</v>
      </c>
      <c r="DJ19" s="22">
        <f t="shared" si="15"/>
        <v>105574.09454921207</v>
      </c>
      <c r="DK19" s="22">
        <f t="shared" si="15"/>
        <v>105574.09454921207</v>
      </c>
      <c r="DL19" s="22">
        <f t="shared" si="15"/>
        <v>105574.09454921207</v>
      </c>
      <c r="DM19" s="22">
        <f t="shared" si="15"/>
        <v>105574.09454921207</v>
      </c>
      <c r="DN19" s="22">
        <f t="shared" si="15"/>
        <v>105574.09454921207</v>
      </c>
      <c r="DO19" s="22">
        <f t="shared" si="15"/>
        <v>105574.09454921207</v>
      </c>
      <c r="DP19" s="22">
        <f t="shared" si="15"/>
        <v>105574.09454921207</v>
      </c>
      <c r="DQ19" s="22">
        <f t="shared" si="15"/>
        <v>105574.09454921207</v>
      </c>
      <c r="DR19" s="22">
        <f t="shared" si="15"/>
        <v>105574.09454921207</v>
      </c>
      <c r="DS19" s="22">
        <f t="shared" si="15"/>
        <v>105574.09454921207</v>
      </c>
      <c r="DT19" s="22">
        <f t="shared" si="15"/>
        <v>105574.09454921207</v>
      </c>
      <c r="DU19" s="22">
        <f t="shared" si="15"/>
        <v>105574.09454921207</v>
      </c>
      <c r="DV19" s="22">
        <f t="shared" si="15"/>
        <v>105574.09454921207</v>
      </c>
      <c r="DW19" s="22">
        <f t="shared" si="15"/>
        <v>105574.09454921207</v>
      </c>
      <c r="DX19" s="22">
        <f t="shared" si="15"/>
        <v>105574.09454921207</v>
      </c>
      <c r="DY19" s="22">
        <f t="shared" si="4"/>
        <v>105574.09454921207</v>
      </c>
      <c r="DZ19" s="4">
        <f>'CCaMC-AFOaMCpUC US'!B19</f>
        <v>105574.09454921207</v>
      </c>
      <c r="EA19" s="4">
        <f t="shared" ref="EA19:EP25" si="18">$DZ19</f>
        <v>105574.09454921207</v>
      </c>
      <c r="EB19" s="4">
        <f t="shared" si="11"/>
        <v>105574.09454921207</v>
      </c>
      <c r="EC19" s="4">
        <f t="shared" si="11"/>
        <v>105574.09454921207</v>
      </c>
      <c r="ED19" s="4">
        <f t="shared" si="11"/>
        <v>105574.09454921207</v>
      </c>
      <c r="EE19" s="4">
        <f t="shared" si="11"/>
        <v>105574.09454921207</v>
      </c>
      <c r="EF19" s="4">
        <f t="shared" si="11"/>
        <v>105574.09454921207</v>
      </c>
      <c r="EG19" s="4">
        <f t="shared" si="11"/>
        <v>105574.09454921207</v>
      </c>
      <c r="EH19" s="4">
        <f t="shared" si="11"/>
        <v>105574.09454921207</v>
      </c>
      <c r="EI19" s="4">
        <f t="shared" si="11"/>
        <v>105574.09454921207</v>
      </c>
      <c r="EJ19" s="4">
        <f t="shared" si="11"/>
        <v>105574.09454921207</v>
      </c>
      <c r="EK19" s="4">
        <f t="shared" si="11"/>
        <v>105574.09454921207</v>
      </c>
      <c r="EL19" s="4">
        <f t="shared" si="11"/>
        <v>105574.09454921207</v>
      </c>
      <c r="EM19" s="4">
        <f t="shared" si="11"/>
        <v>105574.09454921207</v>
      </c>
      <c r="EN19" s="4">
        <f t="shared" si="11"/>
        <v>105574.09454921207</v>
      </c>
      <c r="EO19" s="4">
        <f t="shared" si="11"/>
        <v>105574.09454921207</v>
      </c>
      <c r="EP19" s="4">
        <f t="shared" si="11"/>
        <v>105574.09454921207</v>
      </c>
      <c r="EQ19" s="4">
        <f t="shared" ref="EQ19:FF25" si="19">$DZ19</f>
        <v>105574.09454921207</v>
      </c>
      <c r="ER19" s="4">
        <f t="shared" si="19"/>
        <v>105574.09454921207</v>
      </c>
      <c r="ES19" s="4">
        <f t="shared" si="19"/>
        <v>105574.09454921207</v>
      </c>
      <c r="ET19" s="4">
        <f t="shared" si="19"/>
        <v>105574.09454921207</v>
      </c>
      <c r="EU19" s="4">
        <f t="shared" si="19"/>
        <v>105574.09454921207</v>
      </c>
      <c r="EV19" s="4">
        <f t="shared" si="19"/>
        <v>105574.09454921207</v>
      </c>
      <c r="EW19" s="4">
        <f t="shared" si="19"/>
        <v>105574.09454921207</v>
      </c>
      <c r="EX19" s="4">
        <f t="shared" si="19"/>
        <v>105574.09454921207</v>
      </c>
      <c r="EY19" s="4">
        <f t="shared" si="19"/>
        <v>105574.09454921207</v>
      </c>
      <c r="EZ19" s="4">
        <f t="shared" si="19"/>
        <v>105574.09454921207</v>
      </c>
      <c r="FA19" s="4">
        <f t="shared" si="19"/>
        <v>105574.09454921207</v>
      </c>
      <c r="FB19" s="4">
        <f t="shared" si="19"/>
        <v>105574.09454921207</v>
      </c>
      <c r="FC19" s="4">
        <f t="shared" si="19"/>
        <v>105574.09454921207</v>
      </c>
      <c r="FD19" s="4">
        <f t="shared" si="19"/>
        <v>105574.09454921207</v>
      </c>
      <c r="FE19" s="4">
        <f t="shared" si="19"/>
        <v>105574.09454921207</v>
      </c>
      <c r="FF19" s="4">
        <f t="shared" si="19"/>
        <v>105574.09454921207</v>
      </c>
      <c r="FG19" s="4">
        <f t="shared" si="16"/>
        <v>105574.09454921207</v>
      </c>
      <c r="FH19" s="4">
        <f t="shared" si="16"/>
        <v>105574.09454921207</v>
      </c>
      <c r="FI19" s="4">
        <f t="shared" si="16"/>
        <v>105574.09454921207</v>
      </c>
      <c r="FJ19" s="4">
        <f t="shared" si="16"/>
        <v>105574.09454921207</v>
      </c>
      <c r="FK19" s="4">
        <f t="shared" si="16"/>
        <v>105574.09454921207</v>
      </c>
      <c r="FL19" s="4">
        <f t="shared" si="16"/>
        <v>105574.09454921207</v>
      </c>
      <c r="FM19" s="4">
        <f t="shared" si="16"/>
        <v>105574.09454921207</v>
      </c>
      <c r="FN19" s="4">
        <f t="shared" si="16"/>
        <v>105574.09454921207</v>
      </c>
      <c r="FO19" s="4">
        <f t="shared" si="16"/>
        <v>105574.09454921207</v>
      </c>
      <c r="FP19" s="4">
        <f t="shared" si="16"/>
        <v>105574.09454921207</v>
      </c>
      <c r="FQ19" s="4">
        <f t="shared" si="16"/>
        <v>105574.09454921207</v>
      </c>
      <c r="FR19" s="4">
        <f t="shared" si="16"/>
        <v>105574.09454921207</v>
      </c>
      <c r="FS19" s="4">
        <f t="shared" si="16"/>
        <v>105574.09454921207</v>
      </c>
      <c r="FT19" s="4">
        <f t="shared" si="16"/>
        <v>105574.09454921207</v>
      </c>
      <c r="FU19" s="4">
        <f t="shared" si="16"/>
        <v>105574.09454921207</v>
      </c>
      <c r="FV19" s="4">
        <f t="shared" si="16"/>
        <v>105574.09454921207</v>
      </c>
      <c r="FW19" s="4">
        <f t="shared" si="16"/>
        <v>105574.09454921207</v>
      </c>
      <c r="FX19" s="4">
        <f t="shared" si="16"/>
        <v>105574.09454921207</v>
      </c>
      <c r="FY19" s="4">
        <f t="shared" si="16"/>
        <v>105574.09454921207</v>
      </c>
      <c r="FZ19" s="4">
        <f t="shared" si="16"/>
        <v>105574.09454921207</v>
      </c>
      <c r="GA19" s="4">
        <f t="shared" si="16"/>
        <v>105574.09454921207</v>
      </c>
      <c r="GB19" s="4">
        <f t="shared" si="16"/>
        <v>105574.09454921207</v>
      </c>
      <c r="GC19" s="4">
        <f t="shared" si="16"/>
        <v>105574.09454921207</v>
      </c>
      <c r="GD19" s="4">
        <f t="shared" si="16"/>
        <v>105574.09454921207</v>
      </c>
      <c r="GE19" s="4">
        <f t="shared" si="16"/>
        <v>105574.09454921207</v>
      </c>
      <c r="GF19" s="4">
        <f t="shared" si="16"/>
        <v>105574.09454921207</v>
      </c>
      <c r="GG19" s="4">
        <f t="shared" si="16"/>
        <v>105574.09454921207</v>
      </c>
      <c r="GH19" s="4">
        <f t="shared" si="16"/>
        <v>105574.09454921207</v>
      </c>
      <c r="GI19" s="4">
        <f t="shared" si="16"/>
        <v>105574.09454921207</v>
      </c>
      <c r="GJ19" s="4">
        <f t="shared" si="16"/>
        <v>105574.09454921207</v>
      </c>
      <c r="GK19" s="4">
        <f t="shared" si="16"/>
        <v>105574.09454921207</v>
      </c>
      <c r="GL19" s="4">
        <f t="shared" si="16"/>
        <v>105574.09454921207</v>
      </c>
      <c r="GM19" s="4">
        <f t="shared" si="16"/>
        <v>105574.09454921207</v>
      </c>
      <c r="GN19" s="4">
        <f t="shared" si="16"/>
        <v>105574.09454921207</v>
      </c>
      <c r="GO19" s="4">
        <f t="shared" si="16"/>
        <v>105574.09454921207</v>
      </c>
      <c r="GP19" s="4">
        <f t="shared" si="16"/>
        <v>105574.09454921207</v>
      </c>
      <c r="GQ19" s="4">
        <f t="shared" si="16"/>
        <v>105574.09454921207</v>
      </c>
      <c r="GR19" s="4">
        <f t="shared" si="16"/>
        <v>105574.09454921207</v>
      </c>
      <c r="GS19" s="4">
        <f t="shared" si="16"/>
        <v>105574.09454921207</v>
      </c>
      <c r="GT19" s="4">
        <f t="shared" si="16"/>
        <v>105574.09454921207</v>
      </c>
      <c r="GU19" s="4">
        <f t="shared" si="16"/>
        <v>105574.09454921207</v>
      </c>
      <c r="GV19" s="4">
        <f t="shared" si="16"/>
        <v>105574.09454921207</v>
      </c>
      <c r="GW19" s="4">
        <f t="shared" si="16"/>
        <v>105574.09454921207</v>
      </c>
      <c r="GX19" s="4">
        <f t="shared" si="16"/>
        <v>105574.09454921207</v>
      </c>
      <c r="GY19" s="4">
        <f t="shared" si="16"/>
        <v>105574.09454921207</v>
      </c>
      <c r="GZ19" s="4">
        <f t="shared" si="16"/>
        <v>105574.09454921207</v>
      </c>
      <c r="HA19" s="4">
        <f t="shared" si="16"/>
        <v>105574.09454921207</v>
      </c>
      <c r="HB19" s="4">
        <f t="shared" si="16"/>
        <v>105574.09454921207</v>
      </c>
      <c r="HC19" s="4">
        <f t="shared" si="16"/>
        <v>105574.09454921207</v>
      </c>
    </row>
    <row r="20" spans="1:211">
      <c r="A20" t="s">
        <v>78</v>
      </c>
      <c r="B20">
        <v>50922.978189467467</v>
      </c>
      <c r="C20">
        <f t="shared" si="17"/>
        <v>50922.978189467467</v>
      </c>
      <c r="D20">
        <f t="shared" si="17"/>
        <v>50922.978189467467</v>
      </c>
      <c r="E20">
        <f t="shared" si="17"/>
        <v>50922.978189467467</v>
      </c>
      <c r="F20">
        <f t="shared" si="17"/>
        <v>50922.978189467467</v>
      </c>
      <c r="G20">
        <f t="shared" si="17"/>
        <v>50922.978189467467</v>
      </c>
      <c r="H20">
        <f t="shared" si="17"/>
        <v>50922.978189467467</v>
      </c>
      <c r="I20">
        <f t="shared" si="17"/>
        <v>50922.978189467467</v>
      </c>
      <c r="J20">
        <f t="shared" si="17"/>
        <v>50922.978189467467</v>
      </c>
      <c r="K20">
        <f t="shared" si="17"/>
        <v>50922.978189467467</v>
      </c>
      <c r="L20">
        <f t="shared" si="17"/>
        <v>50922.978189467467</v>
      </c>
      <c r="M20">
        <f t="shared" si="17"/>
        <v>50922.978189467467</v>
      </c>
      <c r="N20">
        <f t="shared" si="17"/>
        <v>50922.978189467467</v>
      </c>
      <c r="O20">
        <f t="shared" si="17"/>
        <v>50922.978189467467</v>
      </c>
      <c r="P20">
        <f t="shared" si="17"/>
        <v>50922.978189467467</v>
      </c>
      <c r="Q20">
        <f t="shared" si="17"/>
        <v>50922.978189467467</v>
      </c>
      <c r="R20">
        <f t="shared" si="17"/>
        <v>50922.978189467467</v>
      </c>
      <c r="S20">
        <f t="shared" si="17"/>
        <v>50922.978189467467</v>
      </c>
      <c r="T20">
        <f t="shared" si="17"/>
        <v>50922.978189467467</v>
      </c>
      <c r="U20">
        <f t="shared" si="17"/>
        <v>50922.978189467467</v>
      </c>
      <c r="V20">
        <f t="shared" si="17"/>
        <v>50922.978189467467</v>
      </c>
      <c r="W20">
        <f t="shared" si="17"/>
        <v>50922.978189467467</v>
      </c>
      <c r="X20">
        <f t="shared" si="17"/>
        <v>50922.978189467467</v>
      </c>
      <c r="Y20">
        <f t="shared" si="17"/>
        <v>50922.978189467467</v>
      </c>
      <c r="Z20">
        <f t="shared" si="17"/>
        <v>50922.978189467467</v>
      </c>
      <c r="AA20">
        <f t="shared" si="17"/>
        <v>50922.978189467467</v>
      </c>
      <c r="AB20">
        <f t="shared" si="17"/>
        <v>50922.978189467467</v>
      </c>
      <c r="AC20">
        <f t="shared" si="17"/>
        <v>50922.978189467467</v>
      </c>
      <c r="AD20">
        <f t="shared" si="17"/>
        <v>50922.978189467467</v>
      </c>
      <c r="AE20">
        <f t="shared" si="17"/>
        <v>50922.978189467467</v>
      </c>
      <c r="AF20">
        <f t="shared" si="17"/>
        <v>50922.978189467467</v>
      </c>
      <c r="AG20">
        <f t="shared" si="17"/>
        <v>50922.978189467467</v>
      </c>
      <c r="AH20">
        <f t="shared" si="17"/>
        <v>50922.978189467467</v>
      </c>
      <c r="AI20">
        <f t="shared" si="17"/>
        <v>50922.978189467467</v>
      </c>
      <c r="AJ20">
        <f t="shared" si="17"/>
        <v>50922.978189467467</v>
      </c>
      <c r="AK20">
        <f t="shared" si="17"/>
        <v>50922.978189467467</v>
      </c>
      <c r="AL20">
        <f t="shared" si="17"/>
        <v>50922.978189467467</v>
      </c>
      <c r="AM20">
        <f t="shared" si="17"/>
        <v>50922.978189467467</v>
      </c>
      <c r="AN20">
        <f t="shared" si="17"/>
        <v>50922.978189467467</v>
      </c>
      <c r="AO20">
        <f t="shared" si="17"/>
        <v>50922.978189467467</v>
      </c>
      <c r="AP20">
        <f t="shared" si="17"/>
        <v>50922.978189467467</v>
      </c>
      <c r="AQ20">
        <f t="shared" si="17"/>
        <v>50922.978189467467</v>
      </c>
      <c r="AR20">
        <f t="shared" si="17"/>
        <v>50922.978189467467</v>
      </c>
      <c r="AS20">
        <f t="shared" si="17"/>
        <v>50922.978189467467</v>
      </c>
      <c r="AT20">
        <f t="shared" si="17"/>
        <v>50922.978189467467</v>
      </c>
      <c r="AU20">
        <f t="shared" si="17"/>
        <v>50922.978189467467</v>
      </c>
      <c r="AV20">
        <f t="shared" si="17"/>
        <v>50922.978189467467</v>
      </c>
      <c r="AW20">
        <f t="shared" si="17"/>
        <v>50922.978189467467</v>
      </c>
      <c r="AX20">
        <f t="shared" si="17"/>
        <v>50922.978189467467</v>
      </c>
      <c r="AY20">
        <f t="shared" si="17"/>
        <v>50922.978189467467</v>
      </c>
      <c r="AZ20">
        <f t="shared" si="17"/>
        <v>50922.978189467467</v>
      </c>
      <c r="BA20">
        <f t="shared" si="17"/>
        <v>50922.978189467467</v>
      </c>
      <c r="BB20">
        <f t="shared" si="17"/>
        <v>50922.978189467467</v>
      </c>
      <c r="BC20">
        <f t="shared" si="17"/>
        <v>50922.978189467467</v>
      </c>
      <c r="BD20">
        <f t="shared" si="17"/>
        <v>50922.978189467467</v>
      </c>
      <c r="BE20">
        <f t="shared" si="17"/>
        <v>50922.978189467467</v>
      </c>
      <c r="BF20">
        <f t="shared" si="17"/>
        <v>50922.978189467467</v>
      </c>
      <c r="BG20">
        <f t="shared" si="17"/>
        <v>50922.978189467467</v>
      </c>
      <c r="BH20">
        <f t="shared" si="17"/>
        <v>50922.978189467467</v>
      </c>
      <c r="BI20">
        <f t="shared" si="17"/>
        <v>50922.978189467467</v>
      </c>
      <c r="BJ20">
        <f t="shared" si="17"/>
        <v>50922.978189467467</v>
      </c>
      <c r="BK20">
        <f t="shared" si="17"/>
        <v>50922.978189467467</v>
      </c>
      <c r="BL20">
        <f t="shared" si="17"/>
        <v>50922.978189467467</v>
      </c>
      <c r="BM20">
        <f t="shared" si="17"/>
        <v>50922.978189467467</v>
      </c>
      <c r="BN20">
        <f t="shared" si="17"/>
        <v>50922.978189467467</v>
      </c>
      <c r="BO20">
        <f t="shared" si="15"/>
        <v>50922.978189467467</v>
      </c>
      <c r="BP20">
        <f t="shared" si="15"/>
        <v>50922.978189467467</v>
      </c>
      <c r="BQ20">
        <f t="shared" si="15"/>
        <v>50922.978189467467</v>
      </c>
      <c r="BR20">
        <f t="shared" si="15"/>
        <v>50922.978189467467</v>
      </c>
      <c r="BS20">
        <f t="shared" si="15"/>
        <v>50922.978189467467</v>
      </c>
      <c r="BT20">
        <f t="shared" si="15"/>
        <v>50922.978189467467</v>
      </c>
      <c r="BU20">
        <f t="shared" si="15"/>
        <v>50922.978189467467</v>
      </c>
      <c r="BV20">
        <f t="shared" si="15"/>
        <v>50922.978189467467</v>
      </c>
      <c r="BW20">
        <f t="shared" si="15"/>
        <v>50922.978189467467</v>
      </c>
      <c r="BX20">
        <f t="shared" si="15"/>
        <v>50922.978189467467</v>
      </c>
      <c r="BY20">
        <f t="shared" si="15"/>
        <v>50922.978189467467</v>
      </c>
      <c r="BZ20">
        <f t="shared" si="15"/>
        <v>50922.978189467467</v>
      </c>
      <c r="CA20">
        <f t="shared" si="15"/>
        <v>50922.978189467467</v>
      </c>
      <c r="CB20">
        <f t="shared" si="15"/>
        <v>50922.978189467467</v>
      </c>
      <c r="CC20">
        <f t="shared" si="15"/>
        <v>50922.978189467467</v>
      </c>
      <c r="CD20">
        <f t="shared" si="15"/>
        <v>50922.978189467467</v>
      </c>
      <c r="CE20">
        <f t="shared" si="15"/>
        <v>50922.978189467467</v>
      </c>
      <c r="CF20">
        <f t="shared" si="15"/>
        <v>50922.978189467467</v>
      </c>
      <c r="CG20">
        <f t="shared" si="15"/>
        <v>50922.978189467467</v>
      </c>
      <c r="CH20">
        <f t="shared" si="15"/>
        <v>50922.978189467467</v>
      </c>
      <c r="CI20">
        <f t="shared" si="15"/>
        <v>50922.978189467467</v>
      </c>
      <c r="CJ20">
        <f t="shared" si="15"/>
        <v>50922.978189467467</v>
      </c>
      <c r="CK20">
        <f t="shared" si="15"/>
        <v>50922.978189467467</v>
      </c>
      <c r="CL20">
        <f t="shared" si="15"/>
        <v>50922.978189467467</v>
      </c>
      <c r="CM20">
        <f t="shared" si="15"/>
        <v>50922.978189467467</v>
      </c>
      <c r="CN20">
        <f t="shared" si="15"/>
        <v>50922.978189467467</v>
      </c>
      <c r="CO20">
        <f t="shared" si="15"/>
        <v>50922.978189467467</v>
      </c>
      <c r="CP20">
        <f t="shared" si="15"/>
        <v>50922.978189467467</v>
      </c>
      <c r="CQ20">
        <f t="shared" si="15"/>
        <v>50922.978189467467</v>
      </c>
      <c r="CR20">
        <f t="shared" si="15"/>
        <v>50922.978189467467</v>
      </c>
      <c r="CS20">
        <f t="shared" si="15"/>
        <v>50922.978189467467</v>
      </c>
      <c r="CT20">
        <f t="shared" si="15"/>
        <v>50922.978189467467</v>
      </c>
      <c r="CU20">
        <f t="shared" si="15"/>
        <v>50922.978189467467</v>
      </c>
      <c r="CV20">
        <f t="shared" si="15"/>
        <v>50922.978189467467</v>
      </c>
      <c r="CW20">
        <f t="shared" si="15"/>
        <v>50922.978189467467</v>
      </c>
      <c r="CX20">
        <f t="shared" si="15"/>
        <v>50922.978189467467</v>
      </c>
      <c r="CY20">
        <f t="shared" si="15"/>
        <v>50922.978189467467</v>
      </c>
      <c r="CZ20">
        <f t="shared" si="15"/>
        <v>50922.978189467467</v>
      </c>
      <c r="DA20">
        <f t="shared" si="15"/>
        <v>50922.978189467467</v>
      </c>
      <c r="DB20">
        <f t="shared" si="15"/>
        <v>50922.978189467467</v>
      </c>
      <c r="DC20">
        <f t="shared" si="15"/>
        <v>50922.978189467467</v>
      </c>
      <c r="DD20">
        <f t="shared" si="15"/>
        <v>50922.978189467467</v>
      </c>
      <c r="DE20">
        <f t="shared" si="15"/>
        <v>50922.978189467467</v>
      </c>
      <c r="DF20">
        <f t="shared" si="15"/>
        <v>50922.978189467467</v>
      </c>
      <c r="DG20">
        <f t="shared" si="15"/>
        <v>50922.978189467467</v>
      </c>
      <c r="DH20">
        <f t="shared" si="15"/>
        <v>50922.978189467467</v>
      </c>
      <c r="DI20">
        <f t="shared" si="15"/>
        <v>50922.978189467467</v>
      </c>
      <c r="DJ20">
        <f t="shared" si="15"/>
        <v>50922.978189467467</v>
      </c>
      <c r="DK20">
        <f t="shared" si="15"/>
        <v>50922.978189467467</v>
      </c>
      <c r="DL20">
        <f t="shared" si="15"/>
        <v>50922.978189467467</v>
      </c>
      <c r="DM20">
        <f t="shared" si="15"/>
        <v>50922.978189467467</v>
      </c>
      <c r="DN20">
        <f t="shared" si="15"/>
        <v>50922.978189467467</v>
      </c>
      <c r="DO20">
        <f t="shared" si="15"/>
        <v>50922.978189467467</v>
      </c>
      <c r="DP20">
        <f t="shared" si="15"/>
        <v>50922.978189467467</v>
      </c>
      <c r="DQ20">
        <f t="shared" si="15"/>
        <v>50922.978189467467</v>
      </c>
      <c r="DR20">
        <f t="shared" si="15"/>
        <v>50922.978189467467</v>
      </c>
      <c r="DS20">
        <f t="shared" si="15"/>
        <v>50922.978189467467</v>
      </c>
      <c r="DT20">
        <f t="shared" si="15"/>
        <v>50922.978189467467</v>
      </c>
      <c r="DU20">
        <f t="shared" si="15"/>
        <v>50922.978189467467</v>
      </c>
      <c r="DV20">
        <f t="shared" si="15"/>
        <v>50922.978189467467</v>
      </c>
      <c r="DW20">
        <f t="shared" si="15"/>
        <v>50922.978189467467</v>
      </c>
      <c r="DX20">
        <f t="shared" si="15"/>
        <v>50922.978189467467</v>
      </c>
      <c r="DY20">
        <f t="shared" si="4"/>
        <v>50922.978189467467</v>
      </c>
      <c r="DZ20" s="4">
        <f>'CCaMC-AFOaMCpUC US'!B20</f>
        <v>50922.978189467467</v>
      </c>
      <c r="EA20" s="4">
        <f t="shared" si="18"/>
        <v>50922.978189467467</v>
      </c>
      <c r="EB20" s="4">
        <f t="shared" si="18"/>
        <v>50922.978189467467</v>
      </c>
      <c r="EC20" s="4">
        <f t="shared" si="18"/>
        <v>50922.978189467467</v>
      </c>
      <c r="ED20" s="4">
        <f t="shared" si="18"/>
        <v>50922.978189467467</v>
      </c>
      <c r="EE20" s="4">
        <f t="shared" si="18"/>
        <v>50922.978189467467</v>
      </c>
      <c r="EF20" s="4">
        <f t="shared" si="18"/>
        <v>50922.978189467467</v>
      </c>
      <c r="EG20" s="4">
        <f t="shared" si="18"/>
        <v>50922.978189467467</v>
      </c>
      <c r="EH20" s="4">
        <f t="shared" si="18"/>
        <v>50922.978189467467</v>
      </c>
      <c r="EI20" s="4">
        <f t="shared" si="18"/>
        <v>50922.978189467467</v>
      </c>
      <c r="EJ20" s="4">
        <f t="shared" si="18"/>
        <v>50922.978189467467</v>
      </c>
      <c r="EK20" s="4">
        <f t="shared" si="18"/>
        <v>50922.978189467467</v>
      </c>
      <c r="EL20" s="4">
        <f t="shared" si="18"/>
        <v>50922.978189467467</v>
      </c>
      <c r="EM20" s="4">
        <f t="shared" si="18"/>
        <v>50922.978189467467</v>
      </c>
      <c r="EN20" s="4">
        <f t="shared" si="18"/>
        <v>50922.978189467467</v>
      </c>
      <c r="EO20" s="4">
        <f t="shared" si="18"/>
        <v>50922.978189467467</v>
      </c>
      <c r="EP20" s="4">
        <f t="shared" si="18"/>
        <v>50922.978189467467</v>
      </c>
      <c r="EQ20" s="4">
        <f t="shared" si="19"/>
        <v>50922.978189467467</v>
      </c>
      <c r="ER20" s="4">
        <f t="shared" si="19"/>
        <v>50922.978189467467</v>
      </c>
      <c r="ES20" s="4">
        <f t="shared" si="19"/>
        <v>50922.978189467467</v>
      </c>
      <c r="ET20" s="4">
        <f t="shared" si="19"/>
        <v>50922.978189467467</v>
      </c>
      <c r="EU20" s="4">
        <f t="shared" si="19"/>
        <v>50922.978189467467</v>
      </c>
      <c r="EV20" s="4">
        <f t="shared" si="19"/>
        <v>50922.978189467467</v>
      </c>
      <c r="EW20" s="4">
        <f t="shared" si="19"/>
        <v>50922.978189467467</v>
      </c>
      <c r="EX20" s="4">
        <f t="shared" si="19"/>
        <v>50922.978189467467</v>
      </c>
      <c r="EY20" s="4">
        <f t="shared" si="19"/>
        <v>50922.978189467467</v>
      </c>
      <c r="EZ20" s="4">
        <f t="shared" si="19"/>
        <v>50922.978189467467</v>
      </c>
      <c r="FA20" s="4">
        <f t="shared" si="19"/>
        <v>50922.978189467467</v>
      </c>
      <c r="FB20" s="4">
        <f t="shared" si="19"/>
        <v>50922.978189467467</v>
      </c>
      <c r="FC20" s="4">
        <f t="shared" si="19"/>
        <v>50922.978189467467</v>
      </c>
      <c r="FD20" s="4">
        <f t="shared" si="19"/>
        <v>50922.978189467467</v>
      </c>
      <c r="FE20" s="4">
        <f t="shared" si="19"/>
        <v>50922.978189467467</v>
      </c>
      <c r="FF20" s="4">
        <f t="shared" si="16"/>
        <v>50922.978189467467</v>
      </c>
      <c r="FG20" s="4">
        <f t="shared" si="16"/>
        <v>50922.978189467467</v>
      </c>
      <c r="FH20" s="4">
        <f t="shared" si="16"/>
        <v>50922.978189467467</v>
      </c>
      <c r="FI20" s="4">
        <f t="shared" si="16"/>
        <v>50922.978189467467</v>
      </c>
      <c r="FJ20" s="4">
        <f t="shared" si="16"/>
        <v>50922.978189467467</v>
      </c>
      <c r="FK20" s="4">
        <f t="shared" si="16"/>
        <v>50922.978189467467</v>
      </c>
      <c r="FL20" s="4">
        <f t="shared" si="16"/>
        <v>50922.978189467467</v>
      </c>
      <c r="FM20" s="4">
        <f t="shared" si="16"/>
        <v>50922.978189467467</v>
      </c>
      <c r="FN20" s="4">
        <f t="shared" si="16"/>
        <v>50922.978189467467</v>
      </c>
      <c r="FO20" s="4">
        <f t="shared" si="16"/>
        <v>50922.978189467467</v>
      </c>
      <c r="FP20" s="4">
        <f t="shared" si="16"/>
        <v>50922.978189467467</v>
      </c>
      <c r="FQ20" s="4">
        <f t="shared" si="16"/>
        <v>50922.978189467467</v>
      </c>
      <c r="FR20" s="4">
        <f t="shared" si="16"/>
        <v>50922.978189467467</v>
      </c>
      <c r="FS20" s="4">
        <f t="shared" si="16"/>
        <v>50922.978189467467</v>
      </c>
      <c r="FT20" s="4">
        <f t="shared" si="16"/>
        <v>50922.978189467467</v>
      </c>
      <c r="FU20" s="4">
        <f t="shared" si="16"/>
        <v>50922.978189467467</v>
      </c>
      <c r="FV20" s="4">
        <f t="shared" si="16"/>
        <v>50922.978189467467</v>
      </c>
      <c r="FW20" s="4">
        <f t="shared" si="16"/>
        <v>50922.978189467467</v>
      </c>
      <c r="FX20" s="4">
        <f t="shared" si="16"/>
        <v>50922.978189467467</v>
      </c>
      <c r="FY20" s="4">
        <f t="shared" si="16"/>
        <v>50922.978189467467</v>
      </c>
      <c r="FZ20" s="4">
        <f t="shared" si="16"/>
        <v>50922.978189467467</v>
      </c>
      <c r="GA20" s="4">
        <f t="shared" si="16"/>
        <v>50922.978189467467</v>
      </c>
      <c r="GB20" s="4">
        <f t="shared" si="16"/>
        <v>50922.978189467467</v>
      </c>
      <c r="GC20" s="4">
        <f t="shared" si="16"/>
        <v>50922.978189467467</v>
      </c>
      <c r="GD20" s="4">
        <f t="shared" si="16"/>
        <v>50922.978189467467</v>
      </c>
      <c r="GE20" s="4">
        <f t="shared" si="16"/>
        <v>50922.978189467467</v>
      </c>
      <c r="GF20" s="4">
        <f t="shared" si="16"/>
        <v>50922.978189467467</v>
      </c>
      <c r="GG20" s="4">
        <f t="shared" si="16"/>
        <v>50922.978189467467</v>
      </c>
      <c r="GH20" s="4">
        <f t="shared" si="16"/>
        <v>50922.978189467467</v>
      </c>
      <c r="GI20" s="4">
        <f t="shared" si="16"/>
        <v>50922.978189467467</v>
      </c>
      <c r="GJ20" s="4">
        <f t="shared" si="16"/>
        <v>50922.978189467467</v>
      </c>
      <c r="GK20" s="4">
        <f t="shared" si="16"/>
        <v>50922.978189467467</v>
      </c>
      <c r="GL20" s="4">
        <f t="shared" si="16"/>
        <v>50922.978189467467</v>
      </c>
      <c r="GM20" s="4">
        <f t="shared" si="16"/>
        <v>50922.978189467467</v>
      </c>
      <c r="GN20" s="4">
        <f t="shared" si="16"/>
        <v>50922.978189467467</v>
      </c>
      <c r="GO20" s="4">
        <f t="shared" si="16"/>
        <v>50922.978189467467</v>
      </c>
      <c r="GP20" s="4">
        <f t="shared" si="16"/>
        <v>50922.978189467467</v>
      </c>
      <c r="GQ20" s="4">
        <f t="shared" si="16"/>
        <v>50922.978189467467</v>
      </c>
      <c r="GR20" s="4">
        <f t="shared" si="16"/>
        <v>50922.978189467467</v>
      </c>
      <c r="GS20" s="4">
        <f t="shared" si="16"/>
        <v>50922.978189467467</v>
      </c>
      <c r="GT20" s="4">
        <f t="shared" si="16"/>
        <v>50922.978189467467</v>
      </c>
      <c r="GU20" s="4">
        <f t="shared" si="16"/>
        <v>50922.978189467467</v>
      </c>
      <c r="GV20" s="4">
        <f t="shared" si="16"/>
        <v>50922.978189467467</v>
      </c>
      <c r="GW20" s="4">
        <f t="shared" si="16"/>
        <v>50922.978189467467</v>
      </c>
      <c r="GX20" s="4">
        <f t="shared" si="16"/>
        <v>50922.978189467467</v>
      </c>
      <c r="GY20" s="4">
        <f t="shared" si="16"/>
        <v>50922.978189467467</v>
      </c>
      <c r="GZ20" s="4">
        <f t="shared" si="16"/>
        <v>50922.978189467467</v>
      </c>
      <c r="HA20" s="4">
        <f t="shared" si="16"/>
        <v>50922.978189467467</v>
      </c>
      <c r="HB20" s="4">
        <f t="shared" si="16"/>
        <v>50922.978189467467</v>
      </c>
      <c r="HC20" s="4">
        <f t="shared" si="16"/>
        <v>50922.978189467467</v>
      </c>
    </row>
    <row r="21" spans="1:211">
      <c r="A21" t="s">
        <v>79</v>
      </c>
      <c r="B21">
        <v>170571.90813369042</v>
      </c>
      <c r="C21">
        <f t="shared" si="17"/>
        <v>170571.90813369042</v>
      </c>
      <c r="D21">
        <f t="shared" si="17"/>
        <v>170571.90813369042</v>
      </c>
      <c r="E21">
        <f t="shared" si="17"/>
        <v>170571.90813369042</v>
      </c>
      <c r="F21">
        <f t="shared" si="17"/>
        <v>170571.90813369042</v>
      </c>
      <c r="G21">
        <f t="shared" si="17"/>
        <v>170571.90813369042</v>
      </c>
      <c r="H21">
        <f t="shared" si="17"/>
        <v>170571.90813369042</v>
      </c>
      <c r="I21">
        <f t="shared" si="17"/>
        <v>170571.90813369042</v>
      </c>
      <c r="J21">
        <f t="shared" si="17"/>
        <v>170571.90813369042</v>
      </c>
      <c r="K21">
        <f t="shared" si="17"/>
        <v>170571.90813369042</v>
      </c>
      <c r="L21">
        <f t="shared" si="17"/>
        <v>170571.90813369042</v>
      </c>
      <c r="M21">
        <f t="shared" si="17"/>
        <v>170571.90813369042</v>
      </c>
      <c r="N21">
        <f t="shared" si="17"/>
        <v>170571.90813369042</v>
      </c>
      <c r="O21">
        <f t="shared" si="17"/>
        <v>170571.90813369042</v>
      </c>
      <c r="P21">
        <f t="shared" si="17"/>
        <v>170571.90813369042</v>
      </c>
      <c r="Q21">
        <f t="shared" si="17"/>
        <v>170571.90813369042</v>
      </c>
      <c r="R21">
        <f t="shared" si="17"/>
        <v>170571.90813369042</v>
      </c>
      <c r="S21">
        <f t="shared" si="17"/>
        <v>170571.90813369042</v>
      </c>
      <c r="T21">
        <f t="shared" si="17"/>
        <v>170571.90813369042</v>
      </c>
      <c r="U21">
        <f t="shared" si="17"/>
        <v>170571.90813369042</v>
      </c>
      <c r="V21">
        <f t="shared" si="17"/>
        <v>170571.90813369042</v>
      </c>
      <c r="W21">
        <f t="shared" si="17"/>
        <v>170571.90813369042</v>
      </c>
      <c r="X21">
        <f t="shared" si="17"/>
        <v>170571.90813369042</v>
      </c>
      <c r="Y21">
        <f t="shared" si="17"/>
        <v>170571.90813369042</v>
      </c>
      <c r="Z21">
        <f t="shared" si="17"/>
        <v>170571.90813369042</v>
      </c>
      <c r="AA21">
        <f t="shared" si="17"/>
        <v>170571.90813369042</v>
      </c>
      <c r="AB21">
        <f t="shared" si="17"/>
        <v>170571.90813369042</v>
      </c>
      <c r="AC21">
        <f t="shared" si="17"/>
        <v>170571.90813369042</v>
      </c>
      <c r="AD21">
        <f t="shared" si="17"/>
        <v>170571.90813369042</v>
      </c>
      <c r="AE21">
        <f t="shared" si="17"/>
        <v>170571.90813369042</v>
      </c>
      <c r="AF21">
        <f t="shared" si="17"/>
        <v>170571.90813369042</v>
      </c>
      <c r="AG21">
        <f t="shared" si="17"/>
        <v>170571.90813369042</v>
      </c>
      <c r="AH21">
        <f t="shared" si="17"/>
        <v>170571.90813369042</v>
      </c>
      <c r="AI21">
        <f t="shared" si="17"/>
        <v>170571.90813369042</v>
      </c>
      <c r="AJ21">
        <f t="shared" si="17"/>
        <v>170571.90813369042</v>
      </c>
      <c r="AK21">
        <f t="shared" si="17"/>
        <v>170571.90813369042</v>
      </c>
      <c r="AL21">
        <f t="shared" si="17"/>
        <v>170571.90813369042</v>
      </c>
      <c r="AM21">
        <f t="shared" si="17"/>
        <v>170571.90813369042</v>
      </c>
      <c r="AN21">
        <f t="shared" si="17"/>
        <v>170571.90813369042</v>
      </c>
      <c r="AO21">
        <f t="shared" si="17"/>
        <v>170571.90813369042</v>
      </c>
      <c r="AP21">
        <f t="shared" si="17"/>
        <v>170571.90813369042</v>
      </c>
      <c r="AQ21">
        <f t="shared" si="17"/>
        <v>170571.90813369042</v>
      </c>
      <c r="AR21">
        <f t="shared" si="17"/>
        <v>170571.90813369042</v>
      </c>
      <c r="AS21">
        <f t="shared" si="17"/>
        <v>170571.90813369042</v>
      </c>
      <c r="AT21">
        <f t="shared" si="17"/>
        <v>170571.90813369042</v>
      </c>
      <c r="AU21">
        <f t="shared" si="17"/>
        <v>170571.90813369042</v>
      </c>
      <c r="AV21">
        <f t="shared" si="17"/>
        <v>170571.90813369042</v>
      </c>
      <c r="AW21">
        <f t="shared" si="17"/>
        <v>170571.90813369042</v>
      </c>
      <c r="AX21">
        <f t="shared" si="17"/>
        <v>170571.90813369042</v>
      </c>
      <c r="AY21">
        <f t="shared" si="17"/>
        <v>170571.90813369042</v>
      </c>
      <c r="AZ21">
        <f t="shared" si="17"/>
        <v>170571.90813369042</v>
      </c>
      <c r="BA21">
        <f t="shared" si="17"/>
        <v>170571.90813369042</v>
      </c>
      <c r="BB21">
        <f t="shared" si="17"/>
        <v>170571.90813369042</v>
      </c>
      <c r="BC21">
        <f t="shared" si="17"/>
        <v>170571.90813369042</v>
      </c>
      <c r="BD21">
        <f t="shared" si="17"/>
        <v>170571.90813369042</v>
      </c>
      <c r="BE21">
        <f t="shared" si="17"/>
        <v>170571.90813369042</v>
      </c>
      <c r="BF21">
        <f t="shared" si="17"/>
        <v>170571.90813369042</v>
      </c>
      <c r="BG21">
        <f t="shared" si="17"/>
        <v>170571.90813369042</v>
      </c>
      <c r="BH21">
        <f t="shared" si="17"/>
        <v>170571.90813369042</v>
      </c>
      <c r="BI21">
        <f t="shared" si="17"/>
        <v>170571.90813369042</v>
      </c>
      <c r="BJ21">
        <f t="shared" si="17"/>
        <v>170571.90813369042</v>
      </c>
      <c r="BK21">
        <f t="shared" si="17"/>
        <v>170571.90813369042</v>
      </c>
      <c r="BL21">
        <f t="shared" si="17"/>
        <v>170571.90813369042</v>
      </c>
      <c r="BM21">
        <f t="shared" si="17"/>
        <v>170571.90813369042</v>
      </c>
      <c r="BN21">
        <f t="shared" ref="BN21:DX24" si="20">BO21</f>
        <v>170571.90813369042</v>
      </c>
      <c r="BO21">
        <f t="shared" si="20"/>
        <v>170571.90813369042</v>
      </c>
      <c r="BP21">
        <f t="shared" si="20"/>
        <v>170571.90813369042</v>
      </c>
      <c r="BQ21">
        <f t="shared" si="20"/>
        <v>170571.90813369042</v>
      </c>
      <c r="BR21">
        <f t="shared" si="20"/>
        <v>170571.90813369042</v>
      </c>
      <c r="BS21">
        <f t="shared" si="20"/>
        <v>170571.90813369042</v>
      </c>
      <c r="BT21">
        <f t="shared" si="20"/>
        <v>170571.90813369042</v>
      </c>
      <c r="BU21">
        <f t="shared" si="20"/>
        <v>170571.90813369042</v>
      </c>
      <c r="BV21">
        <f t="shared" si="20"/>
        <v>170571.90813369042</v>
      </c>
      <c r="BW21">
        <f t="shared" si="20"/>
        <v>170571.90813369042</v>
      </c>
      <c r="BX21">
        <f t="shared" si="20"/>
        <v>170571.90813369042</v>
      </c>
      <c r="BY21">
        <f t="shared" si="20"/>
        <v>170571.90813369042</v>
      </c>
      <c r="BZ21">
        <f t="shared" si="20"/>
        <v>170571.90813369042</v>
      </c>
      <c r="CA21">
        <f t="shared" si="20"/>
        <v>170571.90813369042</v>
      </c>
      <c r="CB21">
        <f t="shared" si="20"/>
        <v>170571.90813369042</v>
      </c>
      <c r="CC21">
        <f t="shared" si="20"/>
        <v>170571.90813369042</v>
      </c>
      <c r="CD21">
        <f t="shared" si="20"/>
        <v>170571.90813369042</v>
      </c>
      <c r="CE21">
        <f t="shared" si="20"/>
        <v>170571.90813369042</v>
      </c>
      <c r="CF21">
        <f t="shared" si="20"/>
        <v>170571.90813369042</v>
      </c>
      <c r="CG21">
        <f t="shared" si="20"/>
        <v>170571.90813369042</v>
      </c>
      <c r="CH21">
        <f t="shared" si="20"/>
        <v>170571.90813369042</v>
      </c>
      <c r="CI21">
        <f t="shared" si="20"/>
        <v>170571.90813369042</v>
      </c>
      <c r="CJ21">
        <f t="shared" si="20"/>
        <v>170571.90813369042</v>
      </c>
      <c r="CK21">
        <f t="shared" si="20"/>
        <v>170571.90813369042</v>
      </c>
      <c r="CL21">
        <f t="shared" si="20"/>
        <v>170571.90813369042</v>
      </c>
      <c r="CM21">
        <f t="shared" si="20"/>
        <v>170571.90813369042</v>
      </c>
      <c r="CN21">
        <f t="shared" si="20"/>
        <v>170571.90813369042</v>
      </c>
      <c r="CO21">
        <f t="shared" si="20"/>
        <v>170571.90813369042</v>
      </c>
      <c r="CP21">
        <f t="shared" si="20"/>
        <v>170571.90813369042</v>
      </c>
      <c r="CQ21">
        <f t="shared" si="20"/>
        <v>170571.90813369042</v>
      </c>
      <c r="CR21">
        <f t="shared" si="20"/>
        <v>170571.90813369042</v>
      </c>
      <c r="CS21">
        <f t="shared" si="20"/>
        <v>170571.90813369042</v>
      </c>
      <c r="CT21">
        <f t="shared" si="20"/>
        <v>170571.90813369042</v>
      </c>
      <c r="CU21">
        <f t="shared" si="20"/>
        <v>170571.90813369042</v>
      </c>
      <c r="CV21">
        <f t="shared" si="20"/>
        <v>170571.90813369042</v>
      </c>
      <c r="CW21">
        <f t="shared" si="20"/>
        <v>170571.90813369042</v>
      </c>
      <c r="CX21">
        <f t="shared" si="20"/>
        <v>170571.90813369042</v>
      </c>
      <c r="CY21">
        <f t="shared" si="20"/>
        <v>170571.90813369042</v>
      </c>
      <c r="CZ21">
        <f t="shared" si="20"/>
        <v>170571.90813369042</v>
      </c>
      <c r="DA21">
        <f t="shared" si="20"/>
        <v>170571.90813369042</v>
      </c>
      <c r="DB21">
        <f t="shared" si="20"/>
        <v>170571.90813369042</v>
      </c>
      <c r="DC21">
        <f t="shared" si="20"/>
        <v>170571.90813369042</v>
      </c>
      <c r="DD21">
        <f t="shared" si="20"/>
        <v>170571.90813369042</v>
      </c>
      <c r="DE21">
        <f t="shared" si="20"/>
        <v>170571.90813369042</v>
      </c>
      <c r="DF21">
        <f t="shared" si="20"/>
        <v>170571.90813369042</v>
      </c>
      <c r="DG21">
        <f t="shared" si="20"/>
        <v>170571.90813369042</v>
      </c>
      <c r="DH21">
        <f t="shared" si="20"/>
        <v>170571.90813369042</v>
      </c>
      <c r="DI21">
        <f t="shared" si="20"/>
        <v>170571.90813369042</v>
      </c>
      <c r="DJ21">
        <f t="shared" si="20"/>
        <v>170571.90813369042</v>
      </c>
      <c r="DK21">
        <f t="shared" si="20"/>
        <v>170571.90813369042</v>
      </c>
      <c r="DL21">
        <f t="shared" si="20"/>
        <v>170571.90813369042</v>
      </c>
      <c r="DM21">
        <f t="shared" si="20"/>
        <v>170571.90813369042</v>
      </c>
      <c r="DN21">
        <f t="shared" si="20"/>
        <v>170571.90813369042</v>
      </c>
      <c r="DO21">
        <f t="shared" si="20"/>
        <v>170571.90813369042</v>
      </c>
      <c r="DP21">
        <f t="shared" si="20"/>
        <v>170571.90813369042</v>
      </c>
      <c r="DQ21">
        <f t="shared" si="20"/>
        <v>170571.90813369042</v>
      </c>
      <c r="DR21">
        <f t="shared" si="20"/>
        <v>170571.90813369042</v>
      </c>
      <c r="DS21">
        <f t="shared" si="20"/>
        <v>170571.90813369042</v>
      </c>
      <c r="DT21">
        <f t="shared" si="20"/>
        <v>170571.90813369042</v>
      </c>
      <c r="DU21">
        <f t="shared" si="20"/>
        <v>170571.90813369042</v>
      </c>
      <c r="DV21">
        <f t="shared" si="20"/>
        <v>170571.90813369042</v>
      </c>
      <c r="DW21">
        <f t="shared" si="20"/>
        <v>170571.90813369042</v>
      </c>
      <c r="DX21">
        <f t="shared" si="20"/>
        <v>170571.90813369042</v>
      </c>
      <c r="DY21">
        <f t="shared" si="4"/>
        <v>170571.90813369042</v>
      </c>
      <c r="DZ21" s="4">
        <f>'CCaMC-AFOaMCpUC US'!B21</f>
        <v>170571.90813369042</v>
      </c>
      <c r="EA21" s="4">
        <f t="shared" si="18"/>
        <v>170571.90813369042</v>
      </c>
      <c r="EB21" s="4">
        <f t="shared" si="18"/>
        <v>170571.90813369042</v>
      </c>
      <c r="EC21" s="4">
        <f t="shared" si="18"/>
        <v>170571.90813369042</v>
      </c>
      <c r="ED21" s="4">
        <f t="shared" si="18"/>
        <v>170571.90813369042</v>
      </c>
      <c r="EE21" s="4">
        <f t="shared" si="18"/>
        <v>170571.90813369042</v>
      </c>
      <c r="EF21" s="4">
        <f t="shared" si="18"/>
        <v>170571.90813369042</v>
      </c>
      <c r="EG21" s="4">
        <f t="shared" si="18"/>
        <v>170571.90813369042</v>
      </c>
      <c r="EH21" s="4">
        <f t="shared" si="18"/>
        <v>170571.90813369042</v>
      </c>
      <c r="EI21" s="4">
        <f t="shared" si="18"/>
        <v>170571.90813369042</v>
      </c>
      <c r="EJ21" s="4">
        <f t="shared" si="18"/>
        <v>170571.90813369042</v>
      </c>
      <c r="EK21" s="4">
        <f t="shared" si="18"/>
        <v>170571.90813369042</v>
      </c>
      <c r="EL21" s="4">
        <f t="shared" si="18"/>
        <v>170571.90813369042</v>
      </c>
      <c r="EM21" s="4">
        <f t="shared" si="18"/>
        <v>170571.90813369042</v>
      </c>
      <c r="EN21" s="4">
        <f t="shared" si="18"/>
        <v>170571.90813369042</v>
      </c>
      <c r="EO21" s="4">
        <f t="shared" si="18"/>
        <v>170571.90813369042</v>
      </c>
      <c r="EP21" s="4">
        <f t="shared" si="18"/>
        <v>170571.90813369042</v>
      </c>
      <c r="EQ21" s="4">
        <f t="shared" si="19"/>
        <v>170571.90813369042</v>
      </c>
      <c r="ER21" s="4">
        <f t="shared" si="19"/>
        <v>170571.90813369042</v>
      </c>
      <c r="ES21" s="4">
        <f t="shared" si="19"/>
        <v>170571.90813369042</v>
      </c>
      <c r="ET21" s="4">
        <f t="shared" si="19"/>
        <v>170571.90813369042</v>
      </c>
      <c r="EU21" s="4">
        <f t="shared" si="19"/>
        <v>170571.90813369042</v>
      </c>
      <c r="EV21" s="4">
        <f t="shared" si="19"/>
        <v>170571.90813369042</v>
      </c>
      <c r="EW21" s="4">
        <f t="shared" si="19"/>
        <v>170571.90813369042</v>
      </c>
      <c r="EX21" s="4">
        <f t="shared" si="19"/>
        <v>170571.90813369042</v>
      </c>
      <c r="EY21" s="4">
        <f t="shared" si="19"/>
        <v>170571.90813369042</v>
      </c>
      <c r="EZ21" s="4">
        <f t="shared" si="19"/>
        <v>170571.90813369042</v>
      </c>
      <c r="FA21" s="4">
        <f t="shared" si="19"/>
        <v>170571.90813369042</v>
      </c>
      <c r="FB21" s="4">
        <f t="shared" si="19"/>
        <v>170571.90813369042</v>
      </c>
      <c r="FC21" s="4">
        <f t="shared" si="19"/>
        <v>170571.90813369042</v>
      </c>
      <c r="FD21" s="4">
        <f t="shared" si="19"/>
        <v>170571.90813369042</v>
      </c>
      <c r="FE21" s="4">
        <f t="shared" si="19"/>
        <v>170571.90813369042</v>
      </c>
      <c r="FF21" s="4">
        <f t="shared" si="16"/>
        <v>170571.90813369042</v>
      </c>
      <c r="FG21" s="4">
        <f t="shared" si="16"/>
        <v>170571.90813369042</v>
      </c>
      <c r="FH21" s="4">
        <f t="shared" si="16"/>
        <v>170571.90813369042</v>
      </c>
      <c r="FI21" s="4">
        <f t="shared" si="16"/>
        <v>170571.90813369042</v>
      </c>
      <c r="FJ21" s="4">
        <f t="shared" si="16"/>
        <v>170571.90813369042</v>
      </c>
      <c r="FK21" s="4">
        <f t="shared" si="16"/>
        <v>170571.90813369042</v>
      </c>
      <c r="FL21" s="4">
        <f t="shared" si="16"/>
        <v>170571.90813369042</v>
      </c>
      <c r="FM21" s="4">
        <f t="shared" si="16"/>
        <v>170571.90813369042</v>
      </c>
      <c r="FN21" s="4">
        <f t="shared" si="16"/>
        <v>170571.90813369042</v>
      </c>
      <c r="FO21" s="4">
        <f t="shared" si="16"/>
        <v>170571.90813369042</v>
      </c>
      <c r="FP21" s="4">
        <f t="shared" si="16"/>
        <v>170571.90813369042</v>
      </c>
      <c r="FQ21" s="4">
        <f t="shared" si="16"/>
        <v>170571.90813369042</v>
      </c>
      <c r="FR21" s="4">
        <f t="shared" si="16"/>
        <v>170571.90813369042</v>
      </c>
      <c r="FS21" s="4">
        <f t="shared" si="16"/>
        <v>170571.90813369042</v>
      </c>
      <c r="FT21" s="4">
        <f t="shared" si="16"/>
        <v>170571.90813369042</v>
      </c>
      <c r="FU21" s="4">
        <f t="shared" si="16"/>
        <v>170571.90813369042</v>
      </c>
      <c r="FV21" s="4">
        <f t="shared" si="16"/>
        <v>170571.90813369042</v>
      </c>
      <c r="FW21" s="4">
        <f t="shared" si="16"/>
        <v>170571.90813369042</v>
      </c>
      <c r="FX21" s="4">
        <f t="shared" si="16"/>
        <v>170571.90813369042</v>
      </c>
      <c r="FY21" s="4">
        <f t="shared" si="16"/>
        <v>170571.90813369042</v>
      </c>
      <c r="FZ21" s="4">
        <f t="shared" si="16"/>
        <v>170571.90813369042</v>
      </c>
      <c r="GA21" s="4">
        <f t="shared" si="16"/>
        <v>170571.90813369042</v>
      </c>
      <c r="GB21" s="4">
        <f t="shared" si="16"/>
        <v>170571.90813369042</v>
      </c>
      <c r="GC21" s="4">
        <f t="shared" si="16"/>
        <v>170571.90813369042</v>
      </c>
      <c r="GD21" s="4">
        <f t="shared" si="16"/>
        <v>170571.90813369042</v>
      </c>
      <c r="GE21" s="4">
        <f t="shared" si="16"/>
        <v>170571.90813369042</v>
      </c>
      <c r="GF21" s="4">
        <f t="shared" si="16"/>
        <v>170571.90813369042</v>
      </c>
      <c r="GG21" s="4">
        <f t="shared" si="16"/>
        <v>170571.90813369042</v>
      </c>
      <c r="GH21" s="4">
        <f t="shared" si="16"/>
        <v>170571.90813369042</v>
      </c>
      <c r="GI21" s="4">
        <f t="shared" si="16"/>
        <v>170571.90813369042</v>
      </c>
      <c r="GJ21" s="4">
        <f t="shared" si="16"/>
        <v>170571.90813369042</v>
      </c>
      <c r="GK21" s="4">
        <f t="shared" si="16"/>
        <v>170571.90813369042</v>
      </c>
      <c r="GL21" s="4">
        <f t="shared" si="16"/>
        <v>170571.90813369042</v>
      </c>
      <c r="GM21" s="4">
        <f t="shared" si="16"/>
        <v>170571.90813369042</v>
      </c>
      <c r="GN21" s="4">
        <f t="shared" si="16"/>
        <v>170571.90813369042</v>
      </c>
      <c r="GO21" s="4">
        <f t="shared" si="16"/>
        <v>170571.90813369042</v>
      </c>
      <c r="GP21" s="4">
        <f t="shared" si="16"/>
        <v>170571.90813369042</v>
      </c>
      <c r="GQ21" s="4">
        <f t="shared" si="16"/>
        <v>170571.90813369042</v>
      </c>
      <c r="GR21" s="4">
        <f t="shared" si="16"/>
        <v>170571.90813369042</v>
      </c>
      <c r="GS21" s="4">
        <f t="shared" si="16"/>
        <v>170571.90813369042</v>
      </c>
      <c r="GT21" s="4">
        <f t="shared" si="16"/>
        <v>170571.90813369042</v>
      </c>
      <c r="GU21" s="4">
        <f t="shared" si="16"/>
        <v>170571.90813369042</v>
      </c>
      <c r="GV21" s="4">
        <f t="shared" si="16"/>
        <v>170571.90813369042</v>
      </c>
      <c r="GW21" s="4">
        <f t="shared" si="16"/>
        <v>170571.90813369042</v>
      </c>
      <c r="GX21" s="4">
        <f t="shared" si="16"/>
        <v>170571.90813369042</v>
      </c>
      <c r="GY21" s="4">
        <f t="shared" si="16"/>
        <v>170571.90813369042</v>
      </c>
      <c r="GZ21" s="4">
        <f t="shared" si="16"/>
        <v>170571.90813369042</v>
      </c>
      <c r="HA21" s="4">
        <f t="shared" si="16"/>
        <v>170571.90813369042</v>
      </c>
      <c r="HB21" s="4">
        <f t="shared" si="16"/>
        <v>170571.90813369042</v>
      </c>
      <c r="HC21" s="4">
        <f t="shared" si="16"/>
        <v>170571.90813369042</v>
      </c>
    </row>
    <row r="22" spans="1:211">
      <c r="A22" t="s">
        <v>80</v>
      </c>
      <c r="B22" s="22">
        <v>105574.09454921207</v>
      </c>
      <c r="C22" s="22">
        <f t="shared" ref="C22:BN25" si="21">D22</f>
        <v>105574.09454921207</v>
      </c>
      <c r="D22" s="22">
        <f t="shared" si="21"/>
        <v>105574.09454921207</v>
      </c>
      <c r="E22" s="22">
        <f t="shared" si="21"/>
        <v>105574.09454921207</v>
      </c>
      <c r="F22" s="22">
        <f t="shared" si="21"/>
        <v>105574.09454921207</v>
      </c>
      <c r="G22" s="22">
        <f t="shared" si="21"/>
        <v>105574.09454921207</v>
      </c>
      <c r="H22" s="22">
        <f t="shared" si="21"/>
        <v>105574.09454921207</v>
      </c>
      <c r="I22" s="22">
        <f t="shared" si="21"/>
        <v>105574.09454921207</v>
      </c>
      <c r="J22" s="22">
        <f t="shared" si="21"/>
        <v>105574.09454921207</v>
      </c>
      <c r="K22" s="22">
        <f t="shared" si="21"/>
        <v>105574.09454921207</v>
      </c>
      <c r="L22" s="22">
        <f t="shared" si="21"/>
        <v>105574.09454921207</v>
      </c>
      <c r="M22" s="22">
        <f t="shared" si="21"/>
        <v>105574.09454921207</v>
      </c>
      <c r="N22" s="22">
        <f t="shared" si="21"/>
        <v>105574.09454921207</v>
      </c>
      <c r="O22" s="22">
        <f t="shared" si="21"/>
        <v>105574.09454921207</v>
      </c>
      <c r="P22" s="22">
        <f t="shared" si="21"/>
        <v>105574.09454921207</v>
      </c>
      <c r="Q22" s="22">
        <f t="shared" si="21"/>
        <v>105574.09454921207</v>
      </c>
      <c r="R22" s="22">
        <f t="shared" si="21"/>
        <v>105574.09454921207</v>
      </c>
      <c r="S22" s="22">
        <f t="shared" si="21"/>
        <v>105574.09454921207</v>
      </c>
      <c r="T22" s="22">
        <f t="shared" si="21"/>
        <v>105574.09454921207</v>
      </c>
      <c r="U22" s="22">
        <f t="shared" si="21"/>
        <v>105574.09454921207</v>
      </c>
      <c r="V22" s="22">
        <f t="shared" si="21"/>
        <v>105574.09454921207</v>
      </c>
      <c r="W22" s="22">
        <f t="shared" si="21"/>
        <v>105574.09454921207</v>
      </c>
      <c r="X22" s="22">
        <f t="shared" si="21"/>
        <v>105574.09454921207</v>
      </c>
      <c r="Y22" s="22">
        <f t="shared" si="21"/>
        <v>105574.09454921207</v>
      </c>
      <c r="Z22" s="22">
        <f t="shared" si="21"/>
        <v>105574.09454921207</v>
      </c>
      <c r="AA22" s="22">
        <f t="shared" si="21"/>
        <v>105574.09454921207</v>
      </c>
      <c r="AB22" s="22">
        <f t="shared" si="21"/>
        <v>105574.09454921207</v>
      </c>
      <c r="AC22" s="22">
        <f t="shared" si="21"/>
        <v>105574.09454921207</v>
      </c>
      <c r="AD22" s="22">
        <f t="shared" si="21"/>
        <v>105574.09454921207</v>
      </c>
      <c r="AE22" s="22">
        <f t="shared" si="21"/>
        <v>105574.09454921207</v>
      </c>
      <c r="AF22" s="22">
        <f t="shared" si="21"/>
        <v>105574.09454921207</v>
      </c>
      <c r="AG22" s="22">
        <f t="shared" si="21"/>
        <v>105574.09454921207</v>
      </c>
      <c r="AH22" s="22">
        <f t="shared" si="21"/>
        <v>105574.09454921207</v>
      </c>
      <c r="AI22" s="22">
        <f t="shared" si="21"/>
        <v>105574.09454921207</v>
      </c>
      <c r="AJ22" s="22">
        <f t="shared" si="21"/>
        <v>105574.09454921207</v>
      </c>
      <c r="AK22" s="22">
        <f t="shared" si="21"/>
        <v>105574.09454921207</v>
      </c>
      <c r="AL22" s="22">
        <f t="shared" si="21"/>
        <v>105574.09454921207</v>
      </c>
      <c r="AM22" s="22">
        <f t="shared" si="21"/>
        <v>105574.09454921207</v>
      </c>
      <c r="AN22" s="22">
        <f t="shared" si="21"/>
        <v>105574.09454921207</v>
      </c>
      <c r="AO22" s="22">
        <f t="shared" si="21"/>
        <v>105574.09454921207</v>
      </c>
      <c r="AP22" s="22">
        <f t="shared" si="21"/>
        <v>105574.09454921207</v>
      </c>
      <c r="AQ22" s="22">
        <f t="shared" si="21"/>
        <v>105574.09454921207</v>
      </c>
      <c r="AR22" s="22">
        <f t="shared" si="21"/>
        <v>105574.09454921207</v>
      </c>
      <c r="AS22" s="22">
        <f t="shared" si="21"/>
        <v>105574.09454921207</v>
      </c>
      <c r="AT22" s="22">
        <f t="shared" si="21"/>
        <v>105574.09454921207</v>
      </c>
      <c r="AU22" s="22">
        <f t="shared" si="21"/>
        <v>105574.09454921207</v>
      </c>
      <c r="AV22" s="22">
        <f t="shared" si="21"/>
        <v>105574.09454921207</v>
      </c>
      <c r="AW22" s="22">
        <f t="shared" si="21"/>
        <v>105574.09454921207</v>
      </c>
      <c r="AX22" s="22">
        <f t="shared" si="21"/>
        <v>105574.09454921207</v>
      </c>
      <c r="AY22" s="22">
        <f t="shared" si="21"/>
        <v>105574.09454921207</v>
      </c>
      <c r="AZ22" s="22">
        <f t="shared" si="21"/>
        <v>105574.09454921207</v>
      </c>
      <c r="BA22" s="22">
        <f t="shared" si="21"/>
        <v>105574.09454921207</v>
      </c>
      <c r="BB22" s="22">
        <f t="shared" si="21"/>
        <v>105574.09454921207</v>
      </c>
      <c r="BC22" s="22">
        <f t="shared" si="21"/>
        <v>105574.09454921207</v>
      </c>
      <c r="BD22" s="22">
        <f t="shared" si="21"/>
        <v>105574.09454921207</v>
      </c>
      <c r="BE22" s="22">
        <f t="shared" si="21"/>
        <v>105574.09454921207</v>
      </c>
      <c r="BF22" s="22">
        <f t="shared" si="21"/>
        <v>105574.09454921207</v>
      </c>
      <c r="BG22" s="22">
        <f t="shared" si="21"/>
        <v>105574.09454921207</v>
      </c>
      <c r="BH22" s="22">
        <f t="shared" si="21"/>
        <v>105574.09454921207</v>
      </c>
      <c r="BI22" s="22">
        <f t="shared" si="21"/>
        <v>105574.09454921207</v>
      </c>
      <c r="BJ22" s="22">
        <f t="shared" si="21"/>
        <v>105574.09454921207</v>
      </c>
      <c r="BK22" s="22">
        <f t="shared" si="21"/>
        <v>105574.09454921207</v>
      </c>
      <c r="BL22" s="22">
        <f t="shared" si="21"/>
        <v>105574.09454921207</v>
      </c>
      <c r="BM22" s="22">
        <f t="shared" si="21"/>
        <v>105574.09454921207</v>
      </c>
      <c r="BN22" s="22">
        <f t="shared" si="21"/>
        <v>105574.09454921207</v>
      </c>
      <c r="BO22" s="22">
        <f t="shared" si="20"/>
        <v>105574.09454921207</v>
      </c>
      <c r="BP22" s="22">
        <f t="shared" si="20"/>
        <v>105574.09454921207</v>
      </c>
      <c r="BQ22" s="22">
        <f t="shared" si="20"/>
        <v>105574.09454921207</v>
      </c>
      <c r="BR22" s="22">
        <f t="shared" si="20"/>
        <v>105574.09454921207</v>
      </c>
      <c r="BS22" s="22">
        <f t="shared" si="20"/>
        <v>105574.09454921207</v>
      </c>
      <c r="BT22" s="22">
        <f t="shared" si="20"/>
        <v>105574.09454921207</v>
      </c>
      <c r="BU22" s="22">
        <f t="shared" si="20"/>
        <v>105574.09454921207</v>
      </c>
      <c r="BV22" s="22">
        <f t="shared" si="20"/>
        <v>105574.09454921207</v>
      </c>
      <c r="BW22" s="22">
        <f t="shared" si="20"/>
        <v>105574.09454921207</v>
      </c>
      <c r="BX22" s="22">
        <f t="shared" si="20"/>
        <v>105574.09454921207</v>
      </c>
      <c r="BY22" s="22">
        <f t="shared" si="20"/>
        <v>105574.09454921207</v>
      </c>
      <c r="BZ22" s="22">
        <f t="shared" si="20"/>
        <v>105574.09454921207</v>
      </c>
      <c r="CA22" s="22">
        <f t="shared" si="20"/>
        <v>105574.09454921207</v>
      </c>
      <c r="CB22" s="22">
        <f t="shared" si="20"/>
        <v>105574.09454921207</v>
      </c>
      <c r="CC22" s="22">
        <f t="shared" si="20"/>
        <v>105574.09454921207</v>
      </c>
      <c r="CD22" s="22">
        <f t="shared" si="20"/>
        <v>105574.09454921207</v>
      </c>
      <c r="CE22" s="22">
        <f t="shared" si="20"/>
        <v>105574.09454921207</v>
      </c>
      <c r="CF22" s="22">
        <f t="shared" si="20"/>
        <v>105574.09454921207</v>
      </c>
      <c r="CG22" s="22">
        <f t="shared" si="20"/>
        <v>105574.09454921207</v>
      </c>
      <c r="CH22" s="22">
        <f t="shared" si="20"/>
        <v>105574.09454921207</v>
      </c>
      <c r="CI22" s="22">
        <f t="shared" si="20"/>
        <v>105574.09454921207</v>
      </c>
      <c r="CJ22" s="22">
        <f t="shared" si="20"/>
        <v>105574.09454921207</v>
      </c>
      <c r="CK22" s="22">
        <f t="shared" si="20"/>
        <v>105574.09454921207</v>
      </c>
      <c r="CL22" s="22">
        <f t="shared" si="20"/>
        <v>105574.09454921207</v>
      </c>
      <c r="CM22" s="22">
        <f t="shared" si="20"/>
        <v>105574.09454921207</v>
      </c>
      <c r="CN22" s="22">
        <f t="shared" si="20"/>
        <v>105574.09454921207</v>
      </c>
      <c r="CO22" s="22">
        <f t="shared" si="20"/>
        <v>105574.09454921207</v>
      </c>
      <c r="CP22" s="22">
        <f t="shared" si="20"/>
        <v>105574.09454921207</v>
      </c>
      <c r="CQ22" s="22">
        <f t="shared" si="20"/>
        <v>105574.09454921207</v>
      </c>
      <c r="CR22" s="22">
        <f t="shared" si="20"/>
        <v>105574.09454921207</v>
      </c>
      <c r="CS22" s="22">
        <f t="shared" si="20"/>
        <v>105574.09454921207</v>
      </c>
      <c r="CT22" s="22">
        <f t="shared" si="20"/>
        <v>105574.09454921207</v>
      </c>
      <c r="CU22" s="22">
        <f t="shared" si="20"/>
        <v>105574.09454921207</v>
      </c>
      <c r="CV22" s="22">
        <f t="shared" si="20"/>
        <v>105574.09454921207</v>
      </c>
      <c r="CW22" s="22">
        <f t="shared" si="20"/>
        <v>105574.09454921207</v>
      </c>
      <c r="CX22" s="22">
        <f t="shared" si="20"/>
        <v>105574.09454921207</v>
      </c>
      <c r="CY22" s="22">
        <f t="shared" si="20"/>
        <v>105574.09454921207</v>
      </c>
      <c r="CZ22" s="22">
        <f t="shared" si="20"/>
        <v>105574.09454921207</v>
      </c>
      <c r="DA22" s="22">
        <f t="shared" si="20"/>
        <v>105574.09454921207</v>
      </c>
      <c r="DB22" s="22">
        <f t="shared" si="20"/>
        <v>105574.09454921207</v>
      </c>
      <c r="DC22" s="22">
        <f t="shared" si="20"/>
        <v>105574.09454921207</v>
      </c>
      <c r="DD22" s="22">
        <f t="shared" si="20"/>
        <v>105574.09454921207</v>
      </c>
      <c r="DE22" s="22">
        <f t="shared" si="20"/>
        <v>105574.09454921207</v>
      </c>
      <c r="DF22" s="22">
        <f t="shared" si="20"/>
        <v>105574.09454921207</v>
      </c>
      <c r="DG22" s="22">
        <f t="shared" si="20"/>
        <v>105574.09454921207</v>
      </c>
      <c r="DH22" s="22">
        <f t="shared" si="20"/>
        <v>105574.09454921207</v>
      </c>
      <c r="DI22" s="22">
        <f t="shared" si="20"/>
        <v>105574.09454921207</v>
      </c>
      <c r="DJ22" s="22">
        <f t="shared" si="20"/>
        <v>105574.09454921207</v>
      </c>
      <c r="DK22" s="22">
        <f t="shared" si="20"/>
        <v>105574.09454921207</v>
      </c>
      <c r="DL22" s="22">
        <f t="shared" si="20"/>
        <v>105574.09454921207</v>
      </c>
      <c r="DM22" s="22">
        <f t="shared" si="20"/>
        <v>105574.09454921207</v>
      </c>
      <c r="DN22" s="22">
        <f t="shared" si="20"/>
        <v>105574.09454921207</v>
      </c>
      <c r="DO22" s="22">
        <f t="shared" si="20"/>
        <v>105574.09454921207</v>
      </c>
      <c r="DP22" s="22">
        <f t="shared" si="20"/>
        <v>105574.09454921207</v>
      </c>
      <c r="DQ22" s="22">
        <f t="shared" si="20"/>
        <v>105574.09454921207</v>
      </c>
      <c r="DR22" s="22">
        <f t="shared" si="20"/>
        <v>105574.09454921207</v>
      </c>
      <c r="DS22" s="22">
        <f t="shared" si="20"/>
        <v>105574.09454921207</v>
      </c>
      <c r="DT22" s="22">
        <f t="shared" si="20"/>
        <v>105574.09454921207</v>
      </c>
      <c r="DU22" s="22">
        <f t="shared" si="20"/>
        <v>105574.09454921207</v>
      </c>
      <c r="DV22" s="22">
        <f t="shared" si="20"/>
        <v>105574.09454921207</v>
      </c>
      <c r="DW22" s="22">
        <f t="shared" si="20"/>
        <v>105574.09454921207</v>
      </c>
      <c r="DX22" s="22">
        <f t="shared" si="20"/>
        <v>105574.09454921207</v>
      </c>
      <c r="DY22" s="22">
        <f t="shared" si="4"/>
        <v>105574.09454921207</v>
      </c>
      <c r="DZ22" s="4">
        <f>'CCaMC-AFOaMCpUC US'!B22</f>
        <v>105574.09454921207</v>
      </c>
      <c r="EA22" s="4">
        <f t="shared" si="18"/>
        <v>105574.09454921207</v>
      </c>
      <c r="EB22" s="4">
        <f t="shared" si="18"/>
        <v>105574.09454921207</v>
      </c>
      <c r="EC22" s="4">
        <f t="shared" si="18"/>
        <v>105574.09454921207</v>
      </c>
      <c r="ED22" s="4">
        <f t="shared" si="18"/>
        <v>105574.09454921207</v>
      </c>
      <c r="EE22" s="4">
        <f t="shared" si="18"/>
        <v>105574.09454921207</v>
      </c>
      <c r="EF22" s="4">
        <f t="shared" si="18"/>
        <v>105574.09454921207</v>
      </c>
      <c r="EG22" s="4">
        <f t="shared" si="18"/>
        <v>105574.09454921207</v>
      </c>
      <c r="EH22" s="4">
        <f t="shared" si="18"/>
        <v>105574.09454921207</v>
      </c>
      <c r="EI22" s="4">
        <f t="shared" si="18"/>
        <v>105574.09454921207</v>
      </c>
      <c r="EJ22" s="4">
        <f t="shared" si="18"/>
        <v>105574.09454921207</v>
      </c>
      <c r="EK22" s="4">
        <f t="shared" si="18"/>
        <v>105574.09454921207</v>
      </c>
      <c r="EL22" s="4">
        <f t="shared" si="18"/>
        <v>105574.09454921207</v>
      </c>
      <c r="EM22" s="4">
        <f t="shared" si="18"/>
        <v>105574.09454921207</v>
      </c>
      <c r="EN22" s="4">
        <f t="shared" si="18"/>
        <v>105574.09454921207</v>
      </c>
      <c r="EO22" s="4">
        <f t="shared" si="18"/>
        <v>105574.09454921207</v>
      </c>
      <c r="EP22" s="4">
        <f t="shared" si="18"/>
        <v>105574.09454921207</v>
      </c>
      <c r="EQ22" s="4">
        <f t="shared" si="19"/>
        <v>105574.09454921207</v>
      </c>
      <c r="ER22" s="4">
        <f t="shared" si="19"/>
        <v>105574.09454921207</v>
      </c>
      <c r="ES22" s="4">
        <f t="shared" si="19"/>
        <v>105574.09454921207</v>
      </c>
      <c r="ET22" s="4">
        <f t="shared" si="19"/>
        <v>105574.09454921207</v>
      </c>
      <c r="EU22" s="4">
        <f t="shared" si="19"/>
        <v>105574.09454921207</v>
      </c>
      <c r="EV22" s="4">
        <f t="shared" si="19"/>
        <v>105574.09454921207</v>
      </c>
      <c r="EW22" s="4">
        <f t="shared" si="19"/>
        <v>105574.09454921207</v>
      </c>
      <c r="EX22" s="4">
        <f t="shared" si="19"/>
        <v>105574.09454921207</v>
      </c>
      <c r="EY22" s="4">
        <f t="shared" si="19"/>
        <v>105574.09454921207</v>
      </c>
      <c r="EZ22" s="4">
        <f t="shared" si="19"/>
        <v>105574.09454921207</v>
      </c>
      <c r="FA22" s="4">
        <f t="shared" si="19"/>
        <v>105574.09454921207</v>
      </c>
      <c r="FB22" s="4">
        <f t="shared" si="19"/>
        <v>105574.09454921207</v>
      </c>
      <c r="FC22" s="4">
        <f t="shared" si="19"/>
        <v>105574.09454921207</v>
      </c>
      <c r="FD22" s="4">
        <f t="shared" si="19"/>
        <v>105574.09454921207</v>
      </c>
      <c r="FE22" s="4">
        <f t="shared" si="19"/>
        <v>105574.09454921207</v>
      </c>
      <c r="FF22" s="4">
        <f t="shared" si="16"/>
        <v>105574.09454921207</v>
      </c>
      <c r="FG22" s="4">
        <f t="shared" si="16"/>
        <v>105574.09454921207</v>
      </c>
      <c r="FH22" s="4">
        <f t="shared" si="16"/>
        <v>105574.09454921207</v>
      </c>
      <c r="FI22" s="4">
        <f t="shared" si="16"/>
        <v>105574.09454921207</v>
      </c>
      <c r="FJ22" s="4">
        <f t="shared" si="16"/>
        <v>105574.09454921207</v>
      </c>
      <c r="FK22" s="4">
        <f t="shared" si="16"/>
        <v>105574.09454921207</v>
      </c>
      <c r="FL22" s="4">
        <f t="shared" si="16"/>
        <v>105574.09454921207</v>
      </c>
      <c r="FM22" s="4">
        <f t="shared" si="16"/>
        <v>105574.09454921207</v>
      </c>
      <c r="FN22" s="4">
        <f t="shared" si="16"/>
        <v>105574.09454921207</v>
      </c>
      <c r="FO22" s="4">
        <f t="shared" si="16"/>
        <v>105574.09454921207</v>
      </c>
      <c r="FP22" s="4">
        <f t="shared" si="16"/>
        <v>105574.09454921207</v>
      </c>
      <c r="FQ22" s="4">
        <f t="shared" si="16"/>
        <v>105574.09454921207</v>
      </c>
      <c r="FR22" s="4">
        <f t="shared" si="16"/>
        <v>105574.09454921207</v>
      </c>
      <c r="FS22" s="4">
        <f t="shared" si="16"/>
        <v>105574.09454921207</v>
      </c>
      <c r="FT22" s="4">
        <f t="shared" si="16"/>
        <v>105574.09454921207</v>
      </c>
      <c r="FU22" s="4">
        <f t="shared" si="16"/>
        <v>105574.09454921207</v>
      </c>
      <c r="FV22" s="4">
        <f t="shared" si="16"/>
        <v>105574.09454921207</v>
      </c>
      <c r="FW22" s="4">
        <f t="shared" si="16"/>
        <v>105574.09454921207</v>
      </c>
      <c r="FX22" s="4">
        <f t="shared" si="16"/>
        <v>105574.09454921207</v>
      </c>
      <c r="FY22" s="4">
        <f t="shared" si="16"/>
        <v>105574.09454921207</v>
      </c>
      <c r="FZ22" s="4">
        <f t="shared" si="16"/>
        <v>105574.09454921207</v>
      </c>
      <c r="GA22" s="4">
        <f t="shared" ref="FF22:HC25" si="22">$DZ22</f>
        <v>105574.09454921207</v>
      </c>
      <c r="GB22" s="4">
        <f t="shared" si="22"/>
        <v>105574.09454921207</v>
      </c>
      <c r="GC22" s="4">
        <f t="shared" si="22"/>
        <v>105574.09454921207</v>
      </c>
      <c r="GD22" s="4">
        <f t="shared" si="22"/>
        <v>105574.09454921207</v>
      </c>
      <c r="GE22" s="4">
        <f t="shared" si="22"/>
        <v>105574.09454921207</v>
      </c>
      <c r="GF22" s="4">
        <f t="shared" si="22"/>
        <v>105574.09454921207</v>
      </c>
      <c r="GG22" s="4">
        <f t="shared" si="22"/>
        <v>105574.09454921207</v>
      </c>
      <c r="GH22" s="4">
        <f t="shared" si="22"/>
        <v>105574.09454921207</v>
      </c>
      <c r="GI22" s="4">
        <f t="shared" si="22"/>
        <v>105574.09454921207</v>
      </c>
      <c r="GJ22" s="4">
        <f t="shared" si="22"/>
        <v>105574.09454921207</v>
      </c>
      <c r="GK22" s="4">
        <f t="shared" si="22"/>
        <v>105574.09454921207</v>
      </c>
      <c r="GL22" s="4">
        <f t="shared" si="22"/>
        <v>105574.09454921207</v>
      </c>
      <c r="GM22" s="4">
        <f t="shared" si="22"/>
        <v>105574.09454921207</v>
      </c>
      <c r="GN22" s="4">
        <f t="shared" si="22"/>
        <v>105574.09454921207</v>
      </c>
      <c r="GO22" s="4">
        <f t="shared" si="22"/>
        <v>105574.09454921207</v>
      </c>
      <c r="GP22" s="4">
        <f t="shared" si="22"/>
        <v>105574.09454921207</v>
      </c>
      <c r="GQ22" s="4">
        <f t="shared" si="22"/>
        <v>105574.09454921207</v>
      </c>
      <c r="GR22" s="4">
        <f t="shared" si="22"/>
        <v>105574.09454921207</v>
      </c>
      <c r="GS22" s="4">
        <f t="shared" si="22"/>
        <v>105574.09454921207</v>
      </c>
      <c r="GT22" s="4">
        <f t="shared" si="22"/>
        <v>105574.09454921207</v>
      </c>
      <c r="GU22" s="4">
        <f t="shared" si="22"/>
        <v>105574.09454921207</v>
      </c>
      <c r="GV22" s="4">
        <f t="shared" si="22"/>
        <v>105574.09454921207</v>
      </c>
      <c r="GW22" s="4">
        <f t="shared" si="22"/>
        <v>105574.09454921207</v>
      </c>
      <c r="GX22" s="4">
        <f t="shared" si="22"/>
        <v>105574.09454921207</v>
      </c>
      <c r="GY22" s="4">
        <f t="shared" si="22"/>
        <v>105574.09454921207</v>
      </c>
      <c r="GZ22" s="4">
        <f t="shared" si="22"/>
        <v>105574.09454921207</v>
      </c>
      <c r="HA22" s="4">
        <f t="shared" si="22"/>
        <v>105574.09454921207</v>
      </c>
      <c r="HB22" s="4">
        <f t="shared" si="22"/>
        <v>105574.09454921207</v>
      </c>
      <c r="HC22" s="4">
        <f t="shared" si="22"/>
        <v>105574.09454921207</v>
      </c>
    </row>
    <row r="23" spans="1:211">
      <c r="A23" t="s">
        <v>81</v>
      </c>
      <c r="B23">
        <v>100659.7305974831</v>
      </c>
      <c r="C23">
        <f t="shared" si="21"/>
        <v>100659.7305974831</v>
      </c>
      <c r="D23">
        <f t="shared" si="21"/>
        <v>100659.7305974831</v>
      </c>
      <c r="E23">
        <f t="shared" si="21"/>
        <v>100659.7305974831</v>
      </c>
      <c r="F23">
        <f t="shared" si="21"/>
        <v>100659.7305974831</v>
      </c>
      <c r="G23">
        <f t="shared" si="21"/>
        <v>100659.7305974831</v>
      </c>
      <c r="H23">
        <f t="shared" si="21"/>
        <v>100659.7305974831</v>
      </c>
      <c r="I23">
        <f t="shared" si="21"/>
        <v>100659.7305974831</v>
      </c>
      <c r="J23">
        <f t="shared" si="21"/>
        <v>100659.7305974831</v>
      </c>
      <c r="K23">
        <f t="shared" si="21"/>
        <v>100659.7305974831</v>
      </c>
      <c r="L23">
        <f t="shared" si="21"/>
        <v>100659.7305974831</v>
      </c>
      <c r="M23">
        <f t="shared" si="21"/>
        <v>100659.7305974831</v>
      </c>
      <c r="N23">
        <f t="shared" si="21"/>
        <v>100659.7305974831</v>
      </c>
      <c r="O23">
        <f t="shared" si="21"/>
        <v>100659.7305974831</v>
      </c>
      <c r="P23">
        <f t="shared" si="21"/>
        <v>100659.7305974831</v>
      </c>
      <c r="Q23">
        <f t="shared" si="21"/>
        <v>100659.7305974831</v>
      </c>
      <c r="R23">
        <f t="shared" si="21"/>
        <v>100659.7305974831</v>
      </c>
      <c r="S23">
        <f t="shared" si="21"/>
        <v>100659.7305974831</v>
      </c>
      <c r="T23">
        <f t="shared" si="21"/>
        <v>100659.7305974831</v>
      </c>
      <c r="U23">
        <f t="shared" si="21"/>
        <v>100659.7305974831</v>
      </c>
      <c r="V23">
        <f t="shared" si="21"/>
        <v>100659.7305974831</v>
      </c>
      <c r="W23">
        <f t="shared" si="21"/>
        <v>100659.7305974831</v>
      </c>
      <c r="X23">
        <f t="shared" si="21"/>
        <v>100659.7305974831</v>
      </c>
      <c r="Y23">
        <f t="shared" si="21"/>
        <v>100659.7305974831</v>
      </c>
      <c r="Z23">
        <f t="shared" si="21"/>
        <v>100659.7305974831</v>
      </c>
      <c r="AA23">
        <f t="shared" si="21"/>
        <v>100659.7305974831</v>
      </c>
      <c r="AB23">
        <f t="shared" si="21"/>
        <v>100659.7305974831</v>
      </c>
      <c r="AC23">
        <f t="shared" si="21"/>
        <v>100659.7305974831</v>
      </c>
      <c r="AD23">
        <f t="shared" si="21"/>
        <v>100659.7305974831</v>
      </c>
      <c r="AE23">
        <f t="shared" si="21"/>
        <v>100659.7305974831</v>
      </c>
      <c r="AF23">
        <f t="shared" si="21"/>
        <v>100659.7305974831</v>
      </c>
      <c r="AG23">
        <f t="shared" si="21"/>
        <v>100659.7305974831</v>
      </c>
      <c r="AH23">
        <f t="shared" si="21"/>
        <v>100659.7305974831</v>
      </c>
      <c r="AI23">
        <f t="shared" si="21"/>
        <v>100659.7305974831</v>
      </c>
      <c r="AJ23">
        <f t="shared" si="21"/>
        <v>100659.7305974831</v>
      </c>
      <c r="AK23">
        <f t="shared" si="21"/>
        <v>100659.7305974831</v>
      </c>
      <c r="AL23">
        <f t="shared" si="21"/>
        <v>100659.7305974831</v>
      </c>
      <c r="AM23">
        <f t="shared" si="21"/>
        <v>100659.7305974831</v>
      </c>
      <c r="AN23">
        <f t="shared" si="21"/>
        <v>100659.7305974831</v>
      </c>
      <c r="AO23">
        <f t="shared" si="21"/>
        <v>100659.7305974831</v>
      </c>
      <c r="AP23">
        <f t="shared" si="21"/>
        <v>100659.7305974831</v>
      </c>
      <c r="AQ23">
        <f t="shared" si="21"/>
        <v>100659.7305974831</v>
      </c>
      <c r="AR23">
        <f t="shared" si="21"/>
        <v>100659.7305974831</v>
      </c>
      <c r="AS23">
        <f t="shared" si="21"/>
        <v>100659.7305974831</v>
      </c>
      <c r="AT23">
        <f t="shared" si="21"/>
        <v>100659.7305974831</v>
      </c>
      <c r="AU23">
        <f t="shared" si="21"/>
        <v>100659.7305974831</v>
      </c>
      <c r="AV23">
        <f t="shared" si="21"/>
        <v>100659.7305974831</v>
      </c>
      <c r="AW23">
        <f t="shared" si="21"/>
        <v>100659.7305974831</v>
      </c>
      <c r="AX23">
        <f t="shared" si="21"/>
        <v>100659.7305974831</v>
      </c>
      <c r="AY23">
        <f t="shared" si="21"/>
        <v>100659.7305974831</v>
      </c>
      <c r="AZ23">
        <f t="shared" si="21"/>
        <v>100659.7305974831</v>
      </c>
      <c r="BA23">
        <f t="shared" si="21"/>
        <v>100659.7305974831</v>
      </c>
      <c r="BB23">
        <f t="shared" si="21"/>
        <v>100659.7305974831</v>
      </c>
      <c r="BC23">
        <f t="shared" si="21"/>
        <v>100659.7305974831</v>
      </c>
      <c r="BD23">
        <f t="shared" si="21"/>
        <v>100659.7305974831</v>
      </c>
      <c r="BE23">
        <f t="shared" si="21"/>
        <v>100659.7305974831</v>
      </c>
      <c r="BF23">
        <f t="shared" si="21"/>
        <v>100659.7305974831</v>
      </c>
      <c r="BG23">
        <f t="shared" si="21"/>
        <v>100659.7305974831</v>
      </c>
      <c r="BH23">
        <f t="shared" si="21"/>
        <v>100659.7305974831</v>
      </c>
      <c r="BI23">
        <f t="shared" si="21"/>
        <v>100659.7305974831</v>
      </c>
      <c r="BJ23">
        <f t="shared" si="21"/>
        <v>100659.7305974831</v>
      </c>
      <c r="BK23">
        <f t="shared" si="21"/>
        <v>100659.7305974831</v>
      </c>
      <c r="BL23">
        <f t="shared" si="21"/>
        <v>100659.7305974831</v>
      </c>
      <c r="BM23">
        <f t="shared" si="21"/>
        <v>100659.7305974831</v>
      </c>
      <c r="BN23">
        <f t="shared" si="21"/>
        <v>100659.7305974831</v>
      </c>
      <c r="BO23">
        <f t="shared" si="20"/>
        <v>100659.7305974831</v>
      </c>
      <c r="BP23">
        <f t="shared" si="20"/>
        <v>100659.7305974831</v>
      </c>
      <c r="BQ23">
        <f t="shared" si="20"/>
        <v>100659.7305974831</v>
      </c>
      <c r="BR23">
        <f t="shared" si="20"/>
        <v>100659.7305974831</v>
      </c>
      <c r="BS23">
        <f t="shared" si="20"/>
        <v>100659.7305974831</v>
      </c>
      <c r="BT23">
        <f t="shared" si="20"/>
        <v>100659.7305974831</v>
      </c>
      <c r="BU23">
        <f t="shared" si="20"/>
        <v>100659.7305974831</v>
      </c>
      <c r="BV23">
        <f t="shared" si="20"/>
        <v>100659.7305974831</v>
      </c>
      <c r="BW23">
        <f t="shared" si="20"/>
        <v>100659.7305974831</v>
      </c>
      <c r="BX23">
        <f t="shared" si="20"/>
        <v>100659.7305974831</v>
      </c>
      <c r="BY23">
        <f t="shared" si="20"/>
        <v>100659.7305974831</v>
      </c>
      <c r="BZ23">
        <f t="shared" si="20"/>
        <v>100659.7305974831</v>
      </c>
      <c r="CA23">
        <f t="shared" si="20"/>
        <v>100659.7305974831</v>
      </c>
      <c r="CB23">
        <f t="shared" si="20"/>
        <v>100659.7305974831</v>
      </c>
      <c r="CC23">
        <f t="shared" si="20"/>
        <v>100659.7305974831</v>
      </c>
      <c r="CD23">
        <f t="shared" si="20"/>
        <v>100659.7305974831</v>
      </c>
      <c r="CE23">
        <f t="shared" si="20"/>
        <v>100659.7305974831</v>
      </c>
      <c r="CF23">
        <f t="shared" si="20"/>
        <v>100659.7305974831</v>
      </c>
      <c r="CG23">
        <f t="shared" si="20"/>
        <v>100659.7305974831</v>
      </c>
      <c r="CH23">
        <f t="shared" si="20"/>
        <v>100659.7305974831</v>
      </c>
      <c r="CI23">
        <f t="shared" si="20"/>
        <v>100659.7305974831</v>
      </c>
      <c r="CJ23">
        <f t="shared" si="20"/>
        <v>100659.7305974831</v>
      </c>
      <c r="CK23">
        <f t="shared" si="20"/>
        <v>100659.7305974831</v>
      </c>
      <c r="CL23">
        <f t="shared" si="20"/>
        <v>100659.7305974831</v>
      </c>
      <c r="CM23">
        <f t="shared" si="20"/>
        <v>100659.7305974831</v>
      </c>
      <c r="CN23">
        <f t="shared" si="20"/>
        <v>100659.7305974831</v>
      </c>
      <c r="CO23">
        <f t="shared" si="20"/>
        <v>100659.7305974831</v>
      </c>
      <c r="CP23">
        <f t="shared" si="20"/>
        <v>100659.7305974831</v>
      </c>
      <c r="CQ23">
        <f t="shared" si="20"/>
        <v>100659.7305974831</v>
      </c>
      <c r="CR23">
        <f t="shared" si="20"/>
        <v>100659.7305974831</v>
      </c>
      <c r="CS23">
        <f t="shared" si="20"/>
        <v>100659.7305974831</v>
      </c>
      <c r="CT23">
        <f t="shared" si="20"/>
        <v>100659.7305974831</v>
      </c>
      <c r="CU23">
        <f t="shared" si="20"/>
        <v>100659.7305974831</v>
      </c>
      <c r="CV23">
        <f t="shared" si="20"/>
        <v>100659.7305974831</v>
      </c>
      <c r="CW23">
        <f t="shared" si="20"/>
        <v>100659.7305974831</v>
      </c>
      <c r="CX23">
        <f t="shared" si="20"/>
        <v>100659.7305974831</v>
      </c>
      <c r="CY23">
        <f t="shared" si="20"/>
        <v>100659.7305974831</v>
      </c>
      <c r="CZ23">
        <f t="shared" si="20"/>
        <v>100659.7305974831</v>
      </c>
      <c r="DA23">
        <f t="shared" si="20"/>
        <v>100659.7305974831</v>
      </c>
      <c r="DB23">
        <f t="shared" si="20"/>
        <v>100659.7305974831</v>
      </c>
      <c r="DC23">
        <f t="shared" si="20"/>
        <v>100659.7305974831</v>
      </c>
      <c r="DD23">
        <f t="shared" si="20"/>
        <v>100659.7305974831</v>
      </c>
      <c r="DE23">
        <f t="shared" si="20"/>
        <v>100659.7305974831</v>
      </c>
      <c r="DF23">
        <f t="shared" si="20"/>
        <v>100659.7305974831</v>
      </c>
      <c r="DG23">
        <f t="shared" si="20"/>
        <v>100659.7305974831</v>
      </c>
      <c r="DH23">
        <f t="shared" si="20"/>
        <v>100659.7305974831</v>
      </c>
      <c r="DI23">
        <f t="shared" si="20"/>
        <v>100659.7305974831</v>
      </c>
      <c r="DJ23">
        <f t="shared" si="20"/>
        <v>100659.7305974831</v>
      </c>
      <c r="DK23">
        <f t="shared" si="20"/>
        <v>100659.7305974831</v>
      </c>
      <c r="DL23">
        <f t="shared" si="20"/>
        <v>100659.7305974831</v>
      </c>
      <c r="DM23">
        <f t="shared" si="20"/>
        <v>100659.7305974831</v>
      </c>
      <c r="DN23">
        <f t="shared" si="20"/>
        <v>100659.7305974831</v>
      </c>
      <c r="DO23">
        <f t="shared" si="20"/>
        <v>100659.7305974831</v>
      </c>
      <c r="DP23">
        <f t="shared" si="20"/>
        <v>100659.7305974831</v>
      </c>
      <c r="DQ23">
        <f t="shared" si="20"/>
        <v>100659.7305974831</v>
      </c>
      <c r="DR23">
        <f t="shared" si="20"/>
        <v>100659.7305974831</v>
      </c>
      <c r="DS23">
        <f t="shared" si="20"/>
        <v>100659.7305974831</v>
      </c>
      <c r="DT23">
        <f t="shared" si="20"/>
        <v>100659.7305974831</v>
      </c>
      <c r="DU23">
        <f t="shared" si="20"/>
        <v>100659.7305974831</v>
      </c>
      <c r="DV23">
        <f t="shared" si="20"/>
        <v>100659.7305974831</v>
      </c>
      <c r="DW23">
        <f t="shared" si="20"/>
        <v>100659.7305974831</v>
      </c>
      <c r="DX23">
        <f t="shared" si="20"/>
        <v>100659.7305974831</v>
      </c>
      <c r="DY23">
        <f t="shared" si="4"/>
        <v>100659.7305974831</v>
      </c>
      <c r="DZ23" s="4">
        <f>'CCaMC-AFOaMCpUC US'!B23</f>
        <v>100659.7305974831</v>
      </c>
      <c r="EA23" s="4">
        <f t="shared" si="18"/>
        <v>100659.7305974831</v>
      </c>
      <c r="EB23" s="4">
        <f t="shared" si="18"/>
        <v>100659.7305974831</v>
      </c>
      <c r="EC23" s="4">
        <f t="shared" si="18"/>
        <v>100659.7305974831</v>
      </c>
      <c r="ED23" s="4">
        <f t="shared" si="18"/>
        <v>100659.7305974831</v>
      </c>
      <c r="EE23" s="4">
        <f t="shared" si="18"/>
        <v>100659.7305974831</v>
      </c>
      <c r="EF23" s="4">
        <f t="shared" si="18"/>
        <v>100659.7305974831</v>
      </c>
      <c r="EG23" s="4">
        <f t="shared" si="18"/>
        <v>100659.7305974831</v>
      </c>
      <c r="EH23" s="4">
        <f t="shared" si="18"/>
        <v>100659.7305974831</v>
      </c>
      <c r="EI23" s="4">
        <f t="shared" si="18"/>
        <v>100659.7305974831</v>
      </c>
      <c r="EJ23" s="4">
        <f t="shared" si="18"/>
        <v>100659.7305974831</v>
      </c>
      <c r="EK23" s="4">
        <f t="shared" si="18"/>
        <v>100659.7305974831</v>
      </c>
      <c r="EL23" s="4">
        <f t="shared" si="18"/>
        <v>100659.7305974831</v>
      </c>
      <c r="EM23" s="4">
        <f t="shared" si="18"/>
        <v>100659.7305974831</v>
      </c>
      <c r="EN23" s="4">
        <f t="shared" si="18"/>
        <v>100659.7305974831</v>
      </c>
      <c r="EO23" s="4">
        <f t="shared" si="18"/>
        <v>100659.7305974831</v>
      </c>
      <c r="EP23" s="4">
        <f t="shared" si="18"/>
        <v>100659.7305974831</v>
      </c>
      <c r="EQ23" s="4">
        <f t="shared" si="19"/>
        <v>100659.7305974831</v>
      </c>
      <c r="ER23" s="4">
        <f t="shared" si="19"/>
        <v>100659.7305974831</v>
      </c>
      <c r="ES23" s="4">
        <f t="shared" si="19"/>
        <v>100659.7305974831</v>
      </c>
      <c r="ET23" s="4">
        <f t="shared" si="19"/>
        <v>100659.7305974831</v>
      </c>
      <c r="EU23" s="4">
        <f t="shared" si="19"/>
        <v>100659.7305974831</v>
      </c>
      <c r="EV23" s="4">
        <f t="shared" si="19"/>
        <v>100659.7305974831</v>
      </c>
      <c r="EW23" s="4">
        <f t="shared" si="19"/>
        <v>100659.7305974831</v>
      </c>
      <c r="EX23" s="4">
        <f t="shared" si="19"/>
        <v>100659.7305974831</v>
      </c>
      <c r="EY23" s="4">
        <f t="shared" si="19"/>
        <v>100659.7305974831</v>
      </c>
      <c r="EZ23" s="4">
        <f t="shared" si="19"/>
        <v>100659.7305974831</v>
      </c>
      <c r="FA23" s="4">
        <f t="shared" si="19"/>
        <v>100659.7305974831</v>
      </c>
      <c r="FB23" s="4">
        <f t="shared" si="19"/>
        <v>100659.7305974831</v>
      </c>
      <c r="FC23" s="4">
        <f t="shared" si="19"/>
        <v>100659.7305974831</v>
      </c>
      <c r="FD23" s="4">
        <f t="shared" si="19"/>
        <v>100659.7305974831</v>
      </c>
      <c r="FE23" s="4">
        <f t="shared" si="19"/>
        <v>100659.7305974831</v>
      </c>
      <c r="FF23" s="4">
        <f t="shared" si="22"/>
        <v>100659.7305974831</v>
      </c>
      <c r="FG23" s="4">
        <f t="shared" si="22"/>
        <v>100659.7305974831</v>
      </c>
      <c r="FH23" s="4">
        <f t="shared" si="22"/>
        <v>100659.7305974831</v>
      </c>
      <c r="FI23" s="4">
        <f t="shared" si="22"/>
        <v>100659.7305974831</v>
      </c>
      <c r="FJ23" s="4">
        <f t="shared" si="22"/>
        <v>100659.7305974831</v>
      </c>
      <c r="FK23" s="4">
        <f t="shared" si="22"/>
        <v>100659.7305974831</v>
      </c>
      <c r="FL23" s="4">
        <f t="shared" si="22"/>
        <v>100659.7305974831</v>
      </c>
      <c r="FM23" s="4">
        <f t="shared" si="22"/>
        <v>100659.7305974831</v>
      </c>
      <c r="FN23" s="4">
        <f t="shared" si="22"/>
        <v>100659.7305974831</v>
      </c>
      <c r="FO23" s="4">
        <f t="shared" si="22"/>
        <v>100659.7305974831</v>
      </c>
      <c r="FP23" s="4">
        <f t="shared" si="22"/>
        <v>100659.7305974831</v>
      </c>
      <c r="FQ23" s="4">
        <f t="shared" si="22"/>
        <v>100659.7305974831</v>
      </c>
      <c r="FR23" s="4">
        <f t="shared" si="22"/>
        <v>100659.7305974831</v>
      </c>
      <c r="FS23" s="4">
        <f t="shared" si="22"/>
        <v>100659.7305974831</v>
      </c>
      <c r="FT23" s="4">
        <f t="shared" si="22"/>
        <v>100659.7305974831</v>
      </c>
      <c r="FU23" s="4">
        <f t="shared" si="22"/>
        <v>100659.7305974831</v>
      </c>
      <c r="FV23" s="4">
        <f t="shared" si="22"/>
        <v>100659.7305974831</v>
      </c>
      <c r="FW23" s="4">
        <f t="shared" si="22"/>
        <v>100659.7305974831</v>
      </c>
      <c r="FX23" s="4">
        <f t="shared" si="22"/>
        <v>100659.7305974831</v>
      </c>
      <c r="FY23" s="4">
        <f t="shared" si="22"/>
        <v>100659.7305974831</v>
      </c>
      <c r="FZ23" s="4">
        <f t="shared" si="22"/>
        <v>100659.7305974831</v>
      </c>
      <c r="GA23" s="4">
        <f t="shared" si="22"/>
        <v>100659.7305974831</v>
      </c>
      <c r="GB23" s="4">
        <f t="shared" si="22"/>
        <v>100659.7305974831</v>
      </c>
      <c r="GC23" s="4">
        <f t="shared" si="22"/>
        <v>100659.7305974831</v>
      </c>
      <c r="GD23" s="4">
        <f t="shared" si="22"/>
        <v>100659.7305974831</v>
      </c>
      <c r="GE23" s="4">
        <f t="shared" si="22"/>
        <v>100659.7305974831</v>
      </c>
      <c r="GF23" s="4">
        <f t="shared" si="22"/>
        <v>100659.7305974831</v>
      </c>
      <c r="GG23" s="4">
        <f t="shared" si="22"/>
        <v>100659.7305974831</v>
      </c>
      <c r="GH23" s="4">
        <f t="shared" si="22"/>
        <v>100659.7305974831</v>
      </c>
      <c r="GI23" s="4">
        <f t="shared" si="22"/>
        <v>100659.7305974831</v>
      </c>
      <c r="GJ23" s="4">
        <f t="shared" si="22"/>
        <v>100659.7305974831</v>
      </c>
      <c r="GK23" s="4">
        <f t="shared" si="22"/>
        <v>100659.7305974831</v>
      </c>
      <c r="GL23" s="4">
        <f t="shared" si="22"/>
        <v>100659.7305974831</v>
      </c>
      <c r="GM23" s="4">
        <f t="shared" si="22"/>
        <v>100659.7305974831</v>
      </c>
      <c r="GN23" s="4">
        <f t="shared" si="22"/>
        <v>100659.7305974831</v>
      </c>
      <c r="GO23" s="4">
        <f t="shared" si="22"/>
        <v>100659.7305974831</v>
      </c>
      <c r="GP23" s="4">
        <f t="shared" si="22"/>
        <v>100659.7305974831</v>
      </c>
      <c r="GQ23" s="4">
        <f t="shared" si="22"/>
        <v>100659.7305974831</v>
      </c>
      <c r="GR23" s="4">
        <f t="shared" si="22"/>
        <v>100659.7305974831</v>
      </c>
      <c r="GS23" s="4">
        <f t="shared" si="22"/>
        <v>100659.7305974831</v>
      </c>
      <c r="GT23" s="4">
        <f t="shared" si="22"/>
        <v>100659.7305974831</v>
      </c>
      <c r="GU23" s="4">
        <f t="shared" si="22"/>
        <v>100659.7305974831</v>
      </c>
      <c r="GV23" s="4">
        <f t="shared" si="22"/>
        <v>100659.7305974831</v>
      </c>
      <c r="GW23" s="4">
        <f t="shared" si="22"/>
        <v>100659.7305974831</v>
      </c>
      <c r="GX23" s="4">
        <f t="shared" si="22"/>
        <v>100659.7305974831</v>
      </c>
      <c r="GY23" s="4">
        <f t="shared" si="22"/>
        <v>100659.7305974831</v>
      </c>
      <c r="GZ23" s="4">
        <f t="shared" si="22"/>
        <v>100659.7305974831</v>
      </c>
      <c r="HA23" s="4">
        <f t="shared" si="22"/>
        <v>100659.7305974831</v>
      </c>
      <c r="HB23" s="4">
        <f t="shared" si="22"/>
        <v>100659.7305974831</v>
      </c>
      <c r="HC23" s="4">
        <f t="shared" si="22"/>
        <v>100659.7305974831</v>
      </c>
    </row>
    <row r="24" spans="1:211">
      <c r="A24" s="24" t="s">
        <v>82</v>
      </c>
      <c r="B24" s="4">
        <v>7144.2571203304669</v>
      </c>
      <c r="C24" s="4">
        <f t="shared" si="21"/>
        <v>7144.2571203304669</v>
      </c>
      <c r="D24" s="4">
        <f t="shared" si="21"/>
        <v>7144.2571203304669</v>
      </c>
      <c r="E24" s="4">
        <f t="shared" si="21"/>
        <v>7144.2571203304669</v>
      </c>
      <c r="F24" s="4">
        <f t="shared" si="21"/>
        <v>7144.2571203304669</v>
      </c>
      <c r="G24" s="4">
        <f t="shared" si="21"/>
        <v>7144.2571203304669</v>
      </c>
      <c r="H24" s="4">
        <f t="shared" si="21"/>
        <v>7144.2571203304669</v>
      </c>
      <c r="I24" s="4">
        <f t="shared" si="21"/>
        <v>7144.2571203304669</v>
      </c>
      <c r="J24" s="4">
        <f t="shared" si="21"/>
        <v>7144.2571203304669</v>
      </c>
      <c r="K24" s="4">
        <f t="shared" si="21"/>
        <v>7144.2571203304669</v>
      </c>
      <c r="L24" s="4">
        <f t="shared" si="21"/>
        <v>7144.2571203304669</v>
      </c>
      <c r="M24" s="4">
        <f t="shared" si="21"/>
        <v>7144.2571203304669</v>
      </c>
      <c r="N24" s="4">
        <f t="shared" si="21"/>
        <v>7144.2571203304669</v>
      </c>
      <c r="O24" s="4">
        <f t="shared" si="21"/>
        <v>7144.2571203304669</v>
      </c>
      <c r="P24" s="4">
        <f t="shared" si="21"/>
        <v>7144.2571203304669</v>
      </c>
      <c r="Q24" s="4">
        <f t="shared" si="21"/>
        <v>7144.2571203304669</v>
      </c>
      <c r="R24" s="4">
        <f t="shared" si="21"/>
        <v>7144.2571203304669</v>
      </c>
      <c r="S24" s="4">
        <f t="shared" si="21"/>
        <v>7144.2571203304669</v>
      </c>
      <c r="T24" s="4">
        <f t="shared" si="21"/>
        <v>7144.2571203304669</v>
      </c>
      <c r="U24" s="4">
        <f t="shared" si="21"/>
        <v>7144.2571203304669</v>
      </c>
      <c r="V24" s="4">
        <f t="shared" si="21"/>
        <v>7144.2571203304669</v>
      </c>
      <c r="W24" s="4">
        <f t="shared" si="21"/>
        <v>7144.2571203304669</v>
      </c>
      <c r="X24" s="4">
        <f t="shared" si="21"/>
        <v>7144.2571203304669</v>
      </c>
      <c r="Y24" s="4">
        <f t="shared" si="21"/>
        <v>7144.2571203304669</v>
      </c>
      <c r="Z24" s="4">
        <f t="shared" si="21"/>
        <v>7144.2571203304669</v>
      </c>
      <c r="AA24" s="4">
        <f t="shared" si="21"/>
        <v>7144.2571203304669</v>
      </c>
      <c r="AB24" s="4">
        <f t="shared" si="21"/>
        <v>7144.2571203304669</v>
      </c>
      <c r="AC24" s="4">
        <f t="shared" si="21"/>
        <v>7144.2571203304669</v>
      </c>
      <c r="AD24" s="4">
        <f t="shared" si="21"/>
        <v>7144.2571203304669</v>
      </c>
      <c r="AE24" s="4">
        <f t="shared" si="21"/>
        <v>7144.2571203304669</v>
      </c>
      <c r="AF24" s="4">
        <f t="shared" si="21"/>
        <v>7144.2571203304669</v>
      </c>
      <c r="AG24" s="4">
        <f t="shared" si="21"/>
        <v>7144.2571203304669</v>
      </c>
      <c r="AH24" s="4">
        <f t="shared" si="21"/>
        <v>7144.2571203304669</v>
      </c>
      <c r="AI24" s="4">
        <f t="shared" si="21"/>
        <v>7144.2571203304669</v>
      </c>
      <c r="AJ24" s="4">
        <f t="shared" si="21"/>
        <v>7144.2571203304669</v>
      </c>
      <c r="AK24" s="4">
        <f t="shared" si="21"/>
        <v>7144.2571203304669</v>
      </c>
      <c r="AL24" s="4">
        <f t="shared" si="21"/>
        <v>7144.2571203304669</v>
      </c>
      <c r="AM24" s="4">
        <f t="shared" si="21"/>
        <v>7144.2571203304669</v>
      </c>
      <c r="AN24" s="4">
        <f t="shared" si="21"/>
        <v>7144.2571203304669</v>
      </c>
      <c r="AO24" s="4">
        <f t="shared" si="21"/>
        <v>7144.2571203304669</v>
      </c>
      <c r="AP24" s="4">
        <f t="shared" si="21"/>
        <v>7144.2571203304669</v>
      </c>
      <c r="AQ24" s="4">
        <f t="shared" si="21"/>
        <v>7144.2571203304669</v>
      </c>
      <c r="AR24" s="4">
        <f t="shared" si="21"/>
        <v>7144.2571203304669</v>
      </c>
      <c r="AS24" s="4">
        <f t="shared" si="21"/>
        <v>7144.2571203304669</v>
      </c>
      <c r="AT24" s="4">
        <f t="shared" si="21"/>
        <v>7144.2571203304669</v>
      </c>
      <c r="AU24" s="4">
        <f t="shared" si="21"/>
        <v>7144.2571203304669</v>
      </c>
      <c r="AV24" s="4">
        <f t="shared" si="21"/>
        <v>7144.2571203304669</v>
      </c>
      <c r="AW24" s="4">
        <f t="shared" si="21"/>
        <v>7144.2571203304669</v>
      </c>
      <c r="AX24" s="4">
        <f t="shared" si="21"/>
        <v>7144.2571203304669</v>
      </c>
      <c r="AY24" s="4">
        <f t="shared" si="21"/>
        <v>7144.2571203304669</v>
      </c>
      <c r="AZ24" s="4">
        <f t="shared" si="21"/>
        <v>7144.2571203304669</v>
      </c>
      <c r="BA24" s="4">
        <f t="shared" si="21"/>
        <v>7144.2571203304669</v>
      </c>
      <c r="BB24" s="4">
        <f t="shared" si="21"/>
        <v>7144.2571203304669</v>
      </c>
      <c r="BC24" s="4">
        <f t="shared" si="21"/>
        <v>7144.2571203304669</v>
      </c>
      <c r="BD24" s="4">
        <f t="shared" si="21"/>
        <v>7144.2571203304669</v>
      </c>
      <c r="BE24" s="4">
        <f t="shared" si="21"/>
        <v>7144.2571203304669</v>
      </c>
      <c r="BF24" s="4">
        <f t="shared" si="21"/>
        <v>7144.2571203304669</v>
      </c>
      <c r="BG24" s="4">
        <f t="shared" si="21"/>
        <v>7144.2571203304669</v>
      </c>
      <c r="BH24" s="4">
        <f t="shared" si="21"/>
        <v>7144.2571203304669</v>
      </c>
      <c r="BI24" s="4">
        <f t="shared" si="21"/>
        <v>7144.2571203304669</v>
      </c>
      <c r="BJ24" s="4">
        <f t="shared" si="21"/>
        <v>7144.2571203304669</v>
      </c>
      <c r="BK24" s="4">
        <f t="shared" si="21"/>
        <v>7144.2571203304669</v>
      </c>
      <c r="BL24" s="4">
        <f t="shared" si="21"/>
        <v>7144.2571203304669</v>
      </c>
      <c r="BM24" s="4">
        <f t="shared" si="21"/>
        <v>7144.2571203304669</v>
      </c>
      <c r="BN24" s="4">
        <f t="shared" si="21"/>
        <v>7144.2571203304669</v>
      </c>
      <c r="BO24" s="4">
        <f t="shared" si="20"/>
        <v>7144.2571203304669</v>
      </c>
      <c r="BP24" s="4">
        <f t="shared" si="20"/>
        <v>7144.2571203304669</v>
      </c>
      <c r="BQ24" s="4">
        <f t="shared" si="20"/>
        <v>7144.2571203304669</v>
      </c>
      <c r="BR24" s="4">
        <f t="shared" si="20"/>
        <v>7144.2571203304669</v>
      </c>
      <c r="BS24" s="4">
        <f t="shared" si="20"/>
        <v>7144.2571203304669</v>
      </c>
      <c r="BT24" s="4">
        <f t="shared" si="20"/>
        <v>7144.2571203304669</v>
      </c>
      <c r="BU24" s="4">
        <f t="shared" si="20"/>
        <v>7144.2571203304669</v>
      </c>
      <c r="BV24" s="4">
        <f t="shared" si="20"/>
        <v>7144.2571203304669</v>
      </c>
      <c r="BW24" s="4">
        <f t="shared" si="20"/>
        <v>7144.2571203304669</v>
      </c>
      <c r="BX24" s="4">
        <f t="shared" si="20"/>
        <v>7144.2571203304669</v>
      </c>
      <c r="BY24" s="4">
        <f t="shared" si="20"/>
        <v>7144.2571203304669</v>
      </c>
      <c r="BZ24" s="4">
        <f t="shared" si="20"/>
        <v>7144.2571203304669</v>
      </c>
      <c r="CA24" s="4">
        <f t="shared" si="20"/>
        <v>7144.2571203304669</v>
      </c>
      <c r="CB24" s="4">
        <f t="shared" si="20"/>
        <v>7144.2571203304669</v>
      </c>
      <c r="CC24" s="4">
        <f t="shared" si="20"/>
        <v>7144.2571203304669</v>
      </c>
      <c r="CD24" s="4">
        <f t="shared" si="20"/>
        <v>7144.2571203304669</v>
      </c>
      <c r="CE24" s="4">
        <f t="shared" si="20"/>
        <v>7144.2571203304669</v>
      </c>
      <c r="CF24" s="4">
        <f t="shared" si="20"/>
        <v>7144.2571203304669</v>
      </c>
      <c r="CG24" s="4">
        <f t="shared" si="20"/>
        <v>7144.2571203304669</v>
      </c>
      <c r="CH24" s="4">
        <f t="shared" si="20"/>
        <v>7144.2571203304669</v>
      </c>
      <c r="CI24" s="4">
        <f t="shared" si="20"/>
        <v>7144.2571203304669</v>
      </c>
      <c r="CJ24" s="4">
        <f t="shared" si="20"/>
        <v>7144.2571203304669</v>
      </c>
      <c r="CK24" s="4">
        <f t="shared" si="20"/>
        <v>7144.2571203304669</v>
      </c>
      <c r="CL24" s="4">
        <f t="shared" si="20"/>
        <v>7144.2571203304669</v>
      </c>
      <c r="CM24" s="4">
        <f t="shared" si="20"/>
        <v>7144.2571203304669</v>
      </c>
      <c r="CN24" s="4">
        <f t="shared" si="20"/>
        <v>7144.2571203304669</v>
      </c>
      <c r="CO24" s="4">
        <f t="shared" si="20"/>
        <v>7144.2571203304669</v>
      </c>
      <c r="CP24" s="4">
        <f t="shared" si="20"/>
        <v>7144.2571203304669</v>
      </c>
      <c r="CQ24" s="4">
        <f t="shared" si="20"/>
        <v>7144.2571203304669</v>
      </c>
      <c r="CR24" s="4">
        <f t="shared" si="20"/>
        <v>7144.2571203304669</v>
      </c>
      <c r="CS24" s="4">
        <f t="shared" si="20"/>
        <v>7144.2571203304669</v>
      </c>
      <c r="CT24" s="4">
        <f t="shared" si="20"/>
        <v>7144.2571203304669</v>
      </c>
      <c r="CU24" s="4">
        <f t="shared" si="20"/>
        <v>7144.2571203304669</v>
      </c>
      <c r="CV24" s="4">
        <f t="shared" si="20"/>
        <v>7144.2571203304669</v>
      </c>
      <c r="CW24" s="4">
        <f t="shared" si="20"/>
        <v>7144.2571203304669</v>
      </c>
      <c r="CX24" s="4">
        <f t="shared" si="20"/>
        <v>7144.2571203304669</v>
      </c>
      <c r="CY24" s="4">
        <f t="shared" si="20"/>
        <v>7144.2571203304669</v>
      </c>
      <c r="CZ24" s="4">
        <f t="shared" si="20"/>
        <v>7144.2571203304669</v>
      </c>
      <c r="DA24" s="4">
        <f t="shared" si="20"/>
        <v>7144.2571203304669</v>
      </c>
      <c r="DB24" s="4">
        <f t="shared" si="20"/>
        <v>7144.2571203304669</v>
      </c>
      <c r="DC24" s="4">
        <f t="shared" si="20"/>
        <v>7144.2571203304669</v>
      </c>
      <c r="DD24" s="4">
        <f t="shared" si="20"/>
        <v>7144.2571203304669</v>
      </c>
      <c r="DE24" s="4">
        <f t="shared" si="20"/>
        <v>7144.2571203304669</v>
      </c>
      <c r="DF24" s="4">
        <f t="shared" si="20"/>
        <v>7144.2571203304669</v>
      </c>
      <c r="DG24" s="4">
        <f t="shared" si="20"/>
        <v>7144.2571203304669</v>
      </c>
      <c r="DH24" s="4">
        <f t="shared" si="20"/>
        <v>7144.2571203304669</v>
      </c>
      <c r="DI24" s="4">
        <f t="shared" si="20"/>
        <v>7144.2571203304669</v>
      </c>
      <c r="DJ24" s="4">
        <f t="shared" si="20"/>
        <v>7144.2571203304669</v>
      </c>
      <c r="DK24" s="4">
        <f t="shared" si="20"/>
        <v>7144.2571203304669</v>
      </c>
      <c r="DL24" s="4">
        <f t="shared" si="20"/>
        <v>7144.2571203304669</v>
      </c>
      <c r="DM24" s="4">
        <f t="shared" si="20"/>
        <v>7144.2571203304669</v>
      </c>
      <c r="DN24" s="4">
        <f t="shared" si="20"/>
        <v>7144.2571203304669</v>
      </c>
      <c r="DO24" s="4">
        <f t="shared" si="20"/>
        <v>7144.2571203304669</v>
      </c>
      <c r="DP24" s="4">
        <f t="shared" si="20"/>
        <v>7144.2571203304669</v>
      </c>
      <c r="DQ24" s="4">
        <f t="shared" si="20"/>
        <v>7144.2571203304669</v>
      </c>
      <c r="DR24" s="4">
        <f t="shared" si="20"/>
        <v>7144.2571203304669</v>
      </c>
      <c r="DS24" s="4">
        <f t="shared" si="20"/>
        <v>7144.2571203304669</v>
      </c>
      <c r="DT24" s="4">
        <f t="shared" si="20"/>
        <v>7144.2571203304669</v>
      </c>
      <c r="DU24" s="4">
        <f t="shared" si="20"/>
        <v>7144.2571203304669</v>
      </c>
      <c r="DV24" s="4">
        <f t="shared" si="20"/>
        <v>7144.2571203304669</v>
      </c>
      <c r="DW24" s="4">
        <f t="shared" si="20"/>
        <v>7144.2571203304669</v>
      </c>
      <c r="DX24" s="4">
        <f t="shared" si="20"/>
        <v>7144.2571203304669</v>
      </c>
      <c r="DY24" s="4">
        <f t="shared" si="4"/>
        <v>7144.2571203304669</v>
      </c>
      <c r="DZ24" s="4">
        <f>'CCaMC-AFOaMCpUC US'!B24</f>
        <v>7144.2571203304669</v>
      </c>
      <c r="EA24" s="4">
        <f t="shared" si="18"/>
        <v>7144.2571203304669</v>
      </c>
      <c r="EB24" s="4">
        <f t="shared" si="18"/>
        <v>7144.2571203304669</v>
      </c>
      <c r="EC24" s="4">
        <f t="shared" si="18"/>
        <v>7144.2571203304669</v>
      </c>
      <c r="ED24" s="4">
        <f t="shared" si="18"/>
        <v>7144.2571203304669</v>
      </c>
      <c r="EE24" s="4">
        <f t="shared" si="18"/>
        <v>7144.2571203304669</v>
      </c>
      <c r="EF24" s="4">
        <f t="shared" si="18"/>
        <v>7144.2571203304669</v>
      </c>
      <c r="EG24" s="4">
        <f t="shared" si="18"/>
        <v>7144.2571203304669</v>
      </c>
      <c r="EH24" s="4">
        <f t="shared" si="18"/>
        <v>7144.2571203304669</v>
      </c>
      <c r="EI24" s="4">
        <f t="shared" si="18"/>
        <v>7144.2571203304669</v>
      </c>
      <c r="EJ24" s="4">
        <f t="shared" si="18"/>
        <v>7144.2571203304669</v>
      </c>
      <c r="EK24" s="4">
        <f t="shared" si="18"/>
        <v>7144.2571203304669</v>
      </c>
      <c r="EL24" s="4">
        <f t="shared" si="18"/>
        <v>7144.2571203304669</v>
      </c>
      <c r="EM24" s="4">
        <f t="shared" si="18"/>
        <v>7144.2571203304669</v>
      </c>
      <c r="EN24" s="4">
        <f t="shared" si="18"/>
        <v>7144.2571203304669</v>
      </c>
      <c r="EO24" s="4">
        <f t="shared" si="18"/>
        <v>7144.2571203304669</v>
      </c>
      <c r="EP24" s="4">
        <f t="shared" si="18"/>
        <v>7144.2571203304669</v>
      </c>
      <c r="EQ24" s="4">
        <f t="shared" si="19"/>
        <v>7144.2571203304669</v>
      </c>
      <c r="ER24" s="4">
        <f t="shared" si="19"/>
        <v>7144.2571203304669</v>
      </c>
      <c r="ES24" s="4">
        <f t="shared" si="19"/>
        <v>7144.2571203304669</v>
      </c>
      <c r="ET24" s="4">
        <f t="shared" si="19"/>
        <v>7144.2571203304669</v>
      </c>
      <c r="EU24" s="4">
        <f t="shared" si="19"/>
        <v>7144.2571203304669</v>
      </c>
      <c r="EV24" s="4">
        <f t="shared" si="19"/>
        <v>7144.2571203304669</v>
      </c>
      <c r="EW24" s="4">
        <f t="shared" si="19"/>
        <v>7144.2571203304669</v>
      </c>
      <c r="EX24" s="4">
        <f t="shared" si="19"/>
        <v>7144.2571203304669</v>
      </c>
      <c r="EY24" s="4">
        <f t="shared" si="19"/>
        <v>7144.2571203304669</v>
      </c>
      <c r="EZ24" s="4">
        <f t="shared" si="19"/>
        <v>7144.2571203304669</v>
      </c>
      <c r="FA24" s="4">
        <f t="shared" si="19"/>
        <v>7144.2571203304669</v>
      </c>
      <c r="FB24" s="4">
        <f t="shared" si="19"/>
        <v>7144.2571203304669</v>
      </c>
      <c r="FC24" s="4">
        <f t="shared" si="19"/>
        <v>7144.2571203304669</v>
      </c>
      <c r="FD24" s="4">
        <f t="shared" si="19"/>
        <v>7144.2571203304669</v>
      </c>
      <c r="FE24" s="4">
        <f t="shared" si="19"/>
        <v>7144.2571203304669</v>
      </c>
      <c r="FF24" s="4">
        <f t="shared" si="22"/>
        <v>7144.2571203304669</v>
      </c>
      <c r="FG24" s="4">
        <f t="shared" si="22"/>
        <v>7144.2571203304669</v>
      </c>
      <c r="FH24" s="4">
        <f t="shared" si="22"/>
        <v>7144.2571203304669</v>
      </c>
      <c r="FI24" s="4">
        <f t="shared" si="22"/>
        <v>7144.2571203304669</v>
      </c>
      <c r="FJ24" s="4">
        <f t="shared" si="22"/>
        <v>7144.2571203304669</v>
      </c>
      <c r="FK24" s="4">
        <f t="shared" si="22"/>
        <v>7144.2571203304669</v>
      </c>
      <c r="FL24" s="4">
        <f t="shared" si="22"/>
        <v>7144.2571203304669</v>
      </c>
      <c r="FM24" s="4">
        <f t="shared" si="22"/>
        <v>7144.2571203304669</v>
      </c>
      <c r="FN24" s="4">
        <f t="shared" si="22"/>
        <v>7144.2571203304669</v>
      </c>
      <c r="FO24" s="4">
        <f t="shared" si="22"/>
        <v>7144.2571203304669</v>
      </c>
      <c r="FP24" s="4">
        <f t="shared" si="22"/>
        <v>7144.2571203304669</v>
      </c>
      <c r="FQ24" s="4">
        <f t="shared" si="22"/>
        <v>7144.2571203304669</v>
      </c>
      <c r="FR24" s="4">
        <f t="shared" si="22"/>
        <v>7144.2571203304669</v>
      </c>
      <c r="FS24" s="4">
        <f t="shared" si="22"/>
        <v>7144.2571203304669</v>
      </c>
      <c r="FT24" s="4">
        <f t="shared" si="22"/>
        <v>7144.2571203304669</v>
      </c>
      <c r="FU24" s="4">
        <f t="shared" si="22"/>
        <v>7144.2571203304669</v>
      </c>
      <c r="FV24" s="4">
        <f t="shared" si="22"/>
        <v>7144.2571203304669</v>
      </c>
      <c r="FW24" s="4">
        <f t="shared" si="22"/>
        <v>7144.2571203304669</v>
      </c>
      <c r="FX24" s="4">
        <f t="shared" si="22"/>
        <v>7144.2571203304669</v>
      </c>
      <c r="FY24" s="4">
        <f t="shared" si="22"/>
        <v>7144.2571203304669</v>
      </c>
      <c r="FZ24" s="4">
        <f t="shared" si="22"/>
        <v>7144.2571203304669</v>
      </c>
      <c r="GA24" s="4">
        <f t="shared" si="22"/>
        <v>7144.2571203304669</v>
      </c>
      <c r="GB24" s="4">
        <f t="shared" si="22"/>
        <v>7144.2571203304669</v>
      </c>
      <c r="GC24" s="4">
        <f t="shared" si="22"/>
        <v>7144.2571203304669</v>
      </c>
      <c r="GD24" s="4">
        <f t="shared" si="22"/>
        <v>7144.2571203304669</v>
      </c>
      <c r="GE24" s="4">
        <f t="shared" si="22"/>
        <v>7144.2571203304669</v>
      </c>
      <c r="GF24" s="4">
        <f t="shared" si="22"/>
        <v>7144.2571203304669</v>
      </c>
      <c r="GG24" s="4">
        <f t="shared" si="22"/>
        <v>7144.2571203304669</v>
      </c>
      <c r="GH24" s="4">
        <f t="shared" si="22"/>
        <v>7144.2571203304669</v>
      </c>
      <c r="GI24" s="4">
        <f t="shared" si="22"/>
        <v>7144.2571203304669</v>
      </c>
      <c r="GJ24" s="4">
        <f t="shared" si="22"/>
        <v>7144.2571203304669</v>
      </c>
      <c r="GK24" s="4">
        <f t="shared" si="22"/>
        <v>7144.2571203304669</v>
      </c>
      <c r="GL24" s="4">
        <f t="shared" si="22"/>
        <v>7144.2571203304669</v>
      </c>
      <c r="GM24" s="4">
        <f t="shared" si="22"/>
        <v>7144.2571203304669</v>
      </c>
      <c r="GN24" s="4">
        <f t="shared" si="22"/>
        <v>7144.2571203304669</v>
      </c>
      <c r="GO24" s="4">
        <f t="shared" si="22"/>
        <v>7144.2571203304669</v>
      </c>
      <c r="GP24" s="4">
        <f t="shared" si="22"/>
        <v>7144.2571203304669</v>
      </c>
      <c r="GQ24" s="4">
        <f t="shared" si="22"/>
        <v>7144.2571203304669</v>
      </c>
      <c r="GR24" s="4">
        <f t="shared" si="22"/>
        <v>7144.2571203304669</v>
      </c>
      <c r="GS24" s="4">
        <f t="shared" si="22"/>
        <v>7144.2571203304669</v>
      </c>
      <c r="GT24" s="4">
        <f t="shared" si="22"/>
        <v>7144.2571203304669</v>
      </c>
      <c r="GU24" s="4">
        <f t="shared" si="22"/>
        <v>7144.2571203304669</v>
      </c>
      <c r="GV24" s="4">
        <f t="shared" si="22"/>
        <v>7144.2571203304669</v>
      </c>
      <c r="GW24" s="4">
        <f t="shared" si="22"/>
        <v>7144.2571203304669</v>
      </c>
      <c r="GX24" s="4">
        <f t="shared" si="22"/>
        <v>7144.2571203304669</v>
      </c>
      <c r="GY24" s="4">
        <f t="shared" si="22"/>
        <v>7144.2571203304669</v>
      </c>
      <c r="GZ24" s="4">
        <f t="shared" si="22"/>
        <v>7144.2571203304669</v>
      </c>
      <c r="HA24" s="4">
        <f t="shared" si="22"/>
        <v>7144.2571203304669</v>
      </c>
      <c r="HB24" s="4">
        <f t="shared" si="22"/>
        <v>7144.2571203304669</v>
      </c>
      <c r="HC24" s="4">
        <f t="shared" si="22"/>
        <v>7144.2571203304669</v>
      </c>
    </row>
    <row r="25" spans="1:211">
      <c r="A25" s="24" t="s">
        <v>83</v>
      </c>
      <c r="B25" s="4">
        <v>8958.697621129344</v>
      </c>
      <c r="C25" s="4">
        <f t="shared" si="21"/>
        <v>8958.697621129344</v>
      </c>
      <c r="D25" s="4">
        <f t="shared" si="21"/>
        <v>8958.697621129344</v>
      </c>
      <c r="E25" s="4">
        <f t="shared" si="21"/>
        <v>8958.697621129344</v>
      </c>
      <c r="F25" s="4">
        <f t="shared" si="21"/>
        <v>8958.697621129344</v>
      </c>
      <c r="G25" s="4">
        <f t="shared" si="21"/>
        <v>8958.697621129344</v>
      </c>
      <c r="H25" s="4">
        <f t="shared" si="21"/>
        <v>8958.697621129344</v>
      </c>
      <c r="I25" s="4">
        <f t="shared" si="21"/>
        <v>8958.697621129344</v>
      </c>
      <c r="J25" s="4">
        <f t="shared" si="21"/>
        <v>8958.697621129344</v>
      </c>
      <c r="K25" s="4">
        <f t="shared" si="21"/>
        <v>8958.697621129344</v>
      </c>
      <c r="L25" s="4">
        <f t="shared" si="21"/>
        <v>8958.697621129344</v>
      </c>
      <c r="M25" s="4">
        <f t="shared" si="21"/>
        <v>8958.697621129344</v>
      </c>
      <c r="N25" s="4">
        <f t="shared" si="21"/>
        <v>8958.697621129344</v>
      </c>
      <c r="O25" s="4">
        <f t="shared" si="21"/>
        <v>8958.697621129344</v>
      </c>
      <c r="P25" s="4">
        <f t="shared" si="21"/>
        <v>8958.697621129344</v>
      </c>
      <c r="Q25" s="4">
        <f t="shared" si="21"/>
        <v>8958.697621129344</v>
      </c>
      <c r="R25" s="4">
        <f t="shared" si="21"/>
        <v>8958.697621129344</v>
      </c>
      <c r="S25" s="4">
        <f t="shared" si="21"/>
        <v>8958.697621129344</v>
      </c>
      <c r="T25" s="4">
        <f t="shared" si="21"/>
        <v>8958.697621129344</v>
      </c>
      <c r="U25" s="4">
        <f t="shared" si="21"/>
        <v>8958.697621129344</v>
      </c>
      <c r="V25" s="4">
        <f t="shared" si="21"/>
        <v>8958.697621129344</v>
      </c>
      <c r="W25" s="4">
        <f t="shared" si="21"/>
        <v>8958.697621129344</v>
      </c>
      <c r="X25" s="4">
        <f t="shared" si="21"/>
        <v>8958.697621129344</v>
      </c>
      <c r="Y25" s="4">
        <f t="shared" si="21"/>
        <v>8958.697621129344</v>
      </c>
      <c r="Z25" s="4">
        <f t="shared" si="21"/>
        <v>8958.697621129344</v>
      </c>
      <c r="AA25" s="4">
        <f t="shared" si="21"/>
        <v>8958.697621129344</v>
      </c>
      <c r="AB25" s="4">
        <f t="shared" si="21"/>
        <v>8958.697621129344</v>
      </c>
      <c r="AC25" s="4">
        <f t="shared" si="21"/>
        <v>8958.697621129344</v>
      </c>
      <c r="AD25" s="4">
        <f t="shared" si="21"/>
        <v>8958.697621129344</v>
      </c>
      <c r="AE25" s="4">
        <f t="shared" si="21"/>
        <v>8958.697621129344</v>
      </c>
      <c r="AF25" s="4">
        <f t="shared" si="21"/>
        <v>8958.697621129344</v>
      </c>
      <c r="AG25" s="4">
        <f t="shared" si="21"/>
        <v>8958.697621129344</v>
      </c>
      <c r="AH25" s="4">
        <f t="shared" si="21"/>
        <v>8958.697621129344</v>
      </c>
      <c r="AI25" s="4">
        <f t="shared" si="21"/>
        <v>8958.697621129344</v>
      </c>
      <c r="AJ25" s="4">
        <f t="shared" si="21"/>
        <v>8958.697621129344</v>
      </c>
      <c r="AK25" s="4">
        <f t="shared" si="21"/>
        <v>8958.697621129344</v>
      </c>
      <c r="AL25" s="4">
        <f t="shared" si="21"/>
        <v>8958.697621129344</v>
      </c>
      <c r="AM25" s="4">
        <f t="shared" si="21"/>
        <v>8958.697621129344</v>
      </c>
      <c r="AN25" s="4">
        <f t="shared" si="21"/>
        <v>8958.697621129344</v>
      </c>
      <c r="AO25" s="4">
        <f t="shared" si="21"/>
        <v>8958.697621129344</v>
      </c>
      <c r="AP25" s="4">
        <f t="shared" si="21"/>
        <v>8958.697621129344</v>
      </c>
      <c r="AQ25" s="4">
        <f t="shared" si="21"/>
        <v>8958.697621129344</v>
      </c>
      <c r="AR25" s="4">
        <f t="shared" si="21"/>
        <v>8958.697621129344</v>
      </c>
      <c r="AS25" s="4">
        <f t="shared" si="21"/>
        <v>8958.697621129344</v>
      </c>
      <c r="AT25" s="4">
        <f t="shared" si="21"/>
        <v>8958.697621129344</v>
      </c>
      <c r="AU25" s="4">
        <f t="shared" si="21"/>
        <v>8958.697621129344</v>
      </c>
      <c r="AV25" s="4">
        <f t="shared" si="21"/>
        <v>8958.697621129344</v>
      </c>
      <c r="AW25" s="4">
        <f t="shared" si="21"/>
        <v>8958.697621129344</v>
      </c>
      <c r="AX25" s="4">
        <f t="shared" si="21"/>
        <v>8958.697621129344</v>
      </c>
      <c r="AY25" s="4">
        <f t="shared" si="21"/>
        <v>8958.697621129344</v>
      </c>
      <c r="AZ25" s="4">
        <f t="shared" si="21"/>
        <v>8958.697621129344</v>
      </c>
      <c r="BA25" s="4">
        <f t="shared" si="21"/>
        <v>8958.697621129344</v>
      </c>
      <c r="BB25" s="4">
        <f t="shared" si="21"/>
        <v>8958.697621129344</v>
      </c>
      <c r="BC25" s="4">
        <f t="shared" si="21"/>
        <v>8958.697621129344</v>
      </c>
      <c r="BD25" s="4">
        <f t="shared" si="21"/>
        <v>8958.697621129344</v>
      </c>
      <c r="BE25" s="4">
        <f t="shared" si="21"/>
        <v>8958.697621129344</v>
      </c>
      <c r="BF25" s="4">
        <f t="shared" si="21"/>
        <v>8958.697621129344</v>
      </c>
      <c r="BG25" s="4">
        <f t="shared" si="21"/>
        <v>8958.697621129344</v>
      </c>
      <c r="BH25" s="4">
        <f t="shared" si="21"/>
        <v>8958.697621129344</v>
      </c>
      <c r="BI25" s="4">
        <f t="shared" si="21"/>
        <v>8958.697621129344</v>
      </c>
      <c r="BJ25" s="4">
        <f t="shared" si="21"/>
        <v>8958.697621129344</v>
      </c>
      <c r="BK25" s="4">
        <f t="shared" si="21"/>
        <v>8958.697621129344</v>
      </c>
      <c r="BL25" s="4">
        <f t="shared" si="21"/>
        <v>8958.697621129344</v>
      </c>
      <c r="BM25" s="4">
        <f t="shared" si="21"/>
        <v>8958.697621129344</v>
      </c>
      <c r="BN25" s="4">
        <f t="shared" ref="BN25:DX25" si="23">BO25</f>
        <v>8958.697621129344</v>
      </c>
      <c r="BO25" s="4">
        <f t="shared" si="23"/>
        <v>8958.697621129344</v>
      </c>
      <c r="BP25" s="4">
        <f t="shared" si="23"/>
        <v>8958.697621129344</v>
      </c>
      <c r="BQ25" s="4">
        <f t="shared" si="23"/>
        <v>8958.697621129344</v>
      </c>
      <c r="BR25" s="4">
        <f t="shared" si="23"/>
        <v>8958.697621129344</v>
      </c>
      <c r="BS25" s="4">
        <f t="shared" si="23"/>
        <v>8958.697621129344</v>
      </c>
      <c r="BT25" s="4">
        <f t="shared" si="23"/>
        <v>8958.697621129344</v>
      </c>
      <c r="BU25" s="4">
        <f t="shared" si="23"/>
        <v>8958.697621129344</v>
      </c>
      <c r="BV25" s="4">
        <f t="shared" si="23"/>
        <v>8958.697621129344</v>
      </c>
      <c r="BW25" s="4">
        <f t="shared" si="23"/>
        <v>8958.697621129344</v>
      </c>
      <c r="BX25" s="4">
        <f t="shared" si="23"/>
        <v>8958.697621129344</v>
      </c>
      <c r="BY25" s="4">
        <f t="shared" si="23"/>
        <v>8958.697621129344</v>
      </c>
      <c r="BZ25" s="4">
        <f t="shared" si="23"/>
        <v>8958.697621129344</v>
      </c>
      <c r="CA25" s="4">
        <f t="shared" si="23"/>
        <v>8958.697621129344</v>
      </c>
      <c r="CB25" s="4">
        <f t="shared" si="23"/>
        <v>8958.697621129344</v>
      </c>
      <c r="CC25" s="4">
        <f t="shared" si="23"/>
        <v>8958.697621129344</v>
      </c>
      <c r="CD25" s="4">
        <f t="shared" si="23"/>
        <v>8958.697621129344</v>
      </c>
      <c r="CE25" s="4">
        <f t="shared" si="23"/>
        <v>8958.697621129344</v>
      </c>
      <c r="CF25" s="4">
        <f t="shared" si="23"/>
        <v>8958.697621129344</v>
      </c>
      <c r="CG25" s="4">
        <f t="shared" si="23"/>
        <v>8958.697621129344</v>
      </c>
      <c r="CH25" s="4">
        <f t="shared" si="23"/>
        <v>8958.697621129344</v>
      </c>
      <c r="CI25" s="4">
        <f t="shared" si="23"/>
        <v>8958.697621129344</v>
      </c>
      <c r="CJ25" s="4">
        <f t="shared" si="23"/>
        <v>8958.697621129344</v>
      </c>
      <c r="CK25" s="4">
        <f t="shared" si="23"/>
        <v>8958.697621129344</v>
      </c>
      <c r="CL25" s="4">
        <f t="shared" si="23"/>
        <v>8958.697621129344</v>
      </c>
      <c r="CM25" s="4">
        <f t="shared" si="23"/>
        <v>8958.697621129344</v>
      </c>
      <c r="CN25" s="4">
        <f t="shared" si="23"/>
        <v>8958.697621129344</v>
      </c>
      <c r="CO25" s="4">
        <f t="shared" si="23"/>
        <v>8958.697621129344</v>
      </c>
      <c r="CP25" s="4">
        <f t="shared" si="23"/>
        <v>8958.697621129344</v>
      </c>
      <c r="CQ25" s="4">
        <f t="shared" si="23"/>
        <v>8958.697621129344</v>
      </c>
      <c r="CR25" s="4">
        <f t="shared" si="23"/>
        <v>8958.697621129344</v>
      </c>
      <c r="CS25" s="4">
        <f t="shared" si="23"/>
        <v>8958.697621129344</v>
      </c>
      <c r="CT25" s="4">
        <f t="shared" si="23"/>
        <v>8958.697621129344</v>
      </c>
      <c r="CU25" s="4">
        <f t="shared" si="23"/>
        <v>8958.697621129344</v>
      </c>
      <c r="CV25" s="4">
        <f t="shared" si="23"/>
        <v>8958.697621129344</v>
      </c>
      <c r="CW25" s="4">
        <f t="shared" si="23"/>
        <v>8958.697621129344</v>
      </c>
      <c r="CX25" s="4">
        <f t="shared" si="23"/>
        <v>8958.697621129344</v>
      </c>
      <c r="CY25" s="4">
        <f t="shared" si="23"/>
        <v>8958.697621129344</v>
      </c>
      <c r="CZ25" s="4">
        <f t="shared" si="23"/>
        <v>8958.697621129344</v>
      </c>
      <c r="DA25" s="4">
        <f t="shared" si="23"/>
        <v>8958.697621129344</v>
      </c>
      <c r="DB25" s="4">
        <f t="shared" si="23"/>
        <v>8958.697621129344</v>
      </c>
      <c r="DC25" s="4">
        <f t="shared" si="23"/>
        <v>8958.697621129344</v>
      </c>
      <c r="DD25" s="4">
        <f t="shared" si="23"/>
        <v>8958.697621129344</v>
      </c>
      <c r="DE25" s="4">
        <f t="shared" si="23"/>
        <v>8958.697621129344</v>
      </c>
      <c r="DF25" s="4">
        <f t="shared" si="23"/>
        <v>8958.697621129344</v>
      </c>
      <c r="DG25" s="4">
        <f t="shared" si="23"/>
        <v>8958.697621129344</v>
      </c>
      <c r="DH25" s="4">
        <f t="shared" si="23"/>
        <v>8958.697621129344</v>
      </c>
      <c r="DI25" s="4">
        <f t="shared" si="23"/>
        <v>8958.697621129344</v>
      </c>
      <c r="DJ25" s="4">
        <f t="shared" si="23"/>
        <v>8958.697621129344</v>
      </c>
      <c r="DK25" s="4">
        <f t="shared" si="23"/>
        <v>8958.697621129344</v>
      </c>
      <c r="DL25" s="4">
        <f t="shared" si="23"/>
        <v>8958.697621129344</v>
      </c>
      <c r="DM25" s="4">
        <f t="shared" si="23"/>
        <v>8958.697621129344</v>
      </c>
      <c r="DN25" s="4">
        <f t="shared" si="23"/>
        <v>8958.697621129344</v>
      </c>
      <c r="DO25" s="4">
        <f t="shared" si="23"/>
        <v>8958.697621129344</v>
      </c>
      <c r="DP25" s="4">
        <f t="shared" si="23"/>
        <v>8958.697621129344</v>
      </c>
      <c r="DQ25" s="4">
        <f t="shared" si="23"/>
        <v>8958.697621129344</v>
      </c>
      <c r="DR25" s="4">
        <f t="shared" si="23"/>
        <v>8958.697621129344</v>
      </c>
      <c r="DS25" s="4">
        <f t="shared" si="23"/>
        <v>8958.697621129344</v>
      </c>
      <c r="DT25" s="4">
        <f t="shared" si="23"/>
        <v>8958.697621129344</v>
      </c>
      <c r="DU25" s="4">
        <f t="shared" si="23"/>
        <v>8958.697621129344</v>
      </c>
      <c r="DV25" s="4">
        <f t="shared" si="23"/>
        <v>8958.697621129344</v>
      </c>
      <c r="DW25" s="4">
        <f t="shared" si="23"/>
        <v>8958.697621129344</v>
      </c>
      <c r="DX25" s="4">
        <f t="shared" si="23"/>
        <v>8958.697621129344</v>
      </c>
      <c r="DY25" s="4">
        <f t="shared" si="4"/>
        <v>8958.697621129344</v>
      </c>
      <c r="DZ25" s="4">
        <f>'CCaMC-AFOaMCpUC US'!B25</f>
        <v>8958.697621129344</v>
      </c>
      <c r="EA25" s="4">
        <f t="shared" si="18"/>
        <v>8958.697621129344</v>
      </c>
      <c r="EB25" s="4">
        <f t="shared" si="18"/>
        <v>8958.697621129344</v>
      </c>
      <c r="EC25" s="4">
        <f t="shared" si="18"/>
        <v>8958.697621129344</v>
      </c>
      <c r="ED25" s="4">
        <f t="shared" si="18"/>
        <v>8958.697621129344</v>
      </c>
      <c r="EE25" s="4">
        <f t="shared" si="18"/>
        <v>8958.697621129344</v>
      </c>
      <c r="EF25" s="4">
        <f t="shared" si="18"/>
        <v>8958.697621129344</v>
      </c>
      <c r="EG25" s="4">
        <f t="shared" si="18"/>
        <v>8958.697621129344</v>
      </c>
      <c r="EH25" s="4">
        <f t="shared" si="18"/>
        <v>8958.697621129344</v>
      </c>
      <c r="EI25" s="4">
        <f t="shared" si="18"/>
        <v>8958.697621129344</v>
      </c>
      <c r="EJ25" s="4">
        <f t="shared" si="18"/>
        <v>8958.697621129344</v>
      </c>
      <c r="EK25" s="4">
        <f t="shared" si="18"/>
        <v>8958.697621129344</v>
      </c>
      <c r="EL25" s="4">
        <f t="shared" si="18"/>
        <v>8958.697621129344</v>
      </c>
      <c r="EM25" s="4">
        <f t="shared" si="18"/>
        <v>8958.697621129344</v>
      </c>
      <c r="EN25" s="4">
        <f t="shared" si="18"/>
        <v>8958.697621129344</v>
      </c>
      <c r="EO25" s="4">
        <f t="shared" si="18"/>
        <v>8958.697621129344</v>
      </c>
      <c r="EP25" s="4">
        <f t="shared" si="18"/>
        <v>8958.697621129344</v>
      </c>
      <c r="EQ25" s="4">
        <f t="shared" si="19"/>
        <v>8958.697621129344</v>
      </c>
      <c r="ER25" s="4">
        <f t="shared" si="19"/>
        <v>8958.697621129344</v>
      </c>
      <c r="ES25" s="4">
        <f t="shared" si="19"/>
        <v>8958.697621129344</v>
      </c>
      <c r="ET25" s="4">
        <f t="shared" si="19"/>
        <v>8958.697621129344</v>
      </c>
      <c r="EU25" s="4">
        <f t="shared" si="19"/>
        <v>8958.697621129344</v>
      </c>
      <c r="EV25" s="4">
        <f t="shared" si="19"/>
        <v>8958.697621129344</v>
      </c>
      <c r="EW25" s="4">
        <f t="shared" si="19"/>
        <v>8958.697621129344</v>
      </c>
      <c r="EX25" s="4">
        <f t="shared" si="19"/>
        <v>8958.697621129344</v>
      </c>
      <c r="EY25" s="4">
        <f t="shared" si="19"/>
        <v>8958.697621129344</v>
      </c>
      <c r="EZ25" s="4">
        <f t="shared" si="19"/>
        <v>8958.697621129344</v>
      </c>
      <c r="FA25" s="4">
        <f t="shared" si="19"/>
        <v>8958.697621129344</v>
      </c>
      <c r="FB25" s="4">
        <f t="shared" si="19"/>
        <v>8958.697621129344</v>
      </c>
      <c r="FC25" s="4">
        <f t="shared" si="19"/>
        <v>8958.697621129344</v>
      </c>
      <c r="FD25" s="4">
        <f t="shared" si="19"/>
        <v>8958.697621129344</v>
      </c>
      <c r="FE25" s="4">
        <f t="shared" si="19"/>
        <v>8958.697621129344</v>
      </c>
      <c r="FF25" s="4">
        <f t="shared" si="22"/>
        <v>8958.697621129344</v>
      </c>
      <c r="FG25" s="4">
        <f t="shared" si="22"/>
        <v>8958.697621129344</v>
      </c>
      <c r="FH25" s="4">
        <f t="shared" si="22"/>
        <v>8958.697621129344</v>
      </c>
      <c r="FI25" s="4">
        <f t="shared" si="22"/>
        <v>8958.697621129344</v>
      </c>
      <c r="FJ25" s="4">
        <f t="shared" si="22"/>
        <v>8958.697621129344</v>
      </c>
      <c r="FK25" s="4">
        <f t="shared" si="22"/>
        <v>8958.697621129344</v>
      </c>
      <c r="FL25" s="4">
        <f t="shared" si="22"/>
        <v>8958.697621129344</v>
      </c>
      <c r="FM25" s="4">
        <f t="shared" si="22"/>
        <v>8958.697621129344</v>
      </c>
      <c r="FN25" s="4">
        <f t="shared" si="22"/>
        <v>8958.697621129344</v>
      </c>
      <c r="FO25" s="4">
        <f t="shared" si="22"/>
        <v>8958.697621129344</v>
      </c>
      <c r="FP25" s="4">
        <f t="shared" si="22"/>
        <v>8958.697621129344</v>
      </c>
      <c r="FQ25" s="4">
        <f t="shared" si="22"/>
        <v>8958.697621129344</v>
      </c>
      <c r="FR25" s="4">
        <f t="shared" si="22"/>
        <v>8958.697621129344</v>
      </c>
      <c r="FS25" s="4">
        <f t="shared" si="22"/>
        <v>8958.697621129344</v>
      </c>
      <c r="FT25" s="4">
        <f t="shared" si="22"/>
        <v>8958.697621129344</v>
      </c>
      <c r="FU25" s="4">
        <f t="shared" si="22"/>
        <v>8958.697621129344</v>
      </c>
      <c r="FV25" s="4">
        <f t="shared" si="22"/>
        <v>8958.697621129344</v>
      </c>
      <c r="FW25" s="4">
        <f t="shared" si="22"/>
        <v>8958.697621129344</v>
      </c>
      <c r="FX25" s="4">
        <f t="shared" si="22"/>
        <v>8958.697621129344</v>
      </c>
      <c r="FY25" s="4">
        <f t="shared" si="22"/>
        <v>8958.697621129344</v>
      </c>
      <c r="FZ25" s="4">
        <f t="shared" si="22"/>
        <v>8958.697621129344</v>
      </c>
      <c r="GA25" s="4">
        <f t="shared" si="22"/>
        <v>8958.697621129344</v>
      </c>
      <c r="GB25" s="4">
        <f t="shared" si="22"/>
        <v>8958.697621129344</v>
      </c>
      <c r="GC25" s="4">
        <f t="shared" si="22"/>
        <v>8958.697621129344</v>
      </c>
      <c r="GD25" s="4">
        <f t="shared" si="22"/>
        <v>8958.697621129344</v>
      </c>
      <c r="GE25" s="4">
        <f t="shared" si="22"/>
        <v>8958.697621129344</v>
      </c>
      <c r="GF25" s="4">
        <f t="shared" si="22"/>
        <v>8958.697621129344</v>
      </c>
      <c r="GG25" s="4">
        <f t="shared" si="22"/>
        <v>8958.697621129344</v>
      </c>
      <c r="GH25" s="4">
        <f t="shared" si="22"/>
        <v>8958.697621129344</v>
      </c>
      <c r="GI25" s="4">
        <f t="shared" si="22"/>
        <v>8958.697621129344</v>
      </c>
      <c r="GJ25" s="4">
        <f t="shared" si="22"/>
        <v>8958.697621129344</v>
      </c>
      <c r="GK25" s="4">
        <f t="shared" si="22"/>
        <v>8958.697621129344</v>
      </c>
      <c r="GL25" s="4">
        <f t="shared" si="22"/>
        <v>8958.697621129344</v>
      </c>
      <c r="GM25" s="4">
        <f t="shared" si="22"/>
        <v>8958.697621129344</v>
      </c>
      <c r="GN25" s="4">
        <f t="shared" si="22"/>
        <v>8958.697621129344</v>
      </c>
      <c r="GO25" s="4">
        <f t="shared" si="22"/>
        <v>8958.697621129344</v>
      </c>
      <c r="GP25" s="4">
        <f t="shared" si="22"/>
        <v>8958.697621129344</v>
      </c>
      <c r="GQ25" s="4">
        <f t="shared" si="22"/>
        <v>8958.697621129344</v>
      </c>
      <c r="GR25" s="4">
        <f t="shared" si="22"/>
        <v>8958.697621129344</v>
      </c>
      <c r="GS25" s="4">
        <f t="shared" si="22"/>
        <v>8958.697621129344</v>
      </c>
      <c r="GT25" s="4">
        <f t="shared" si="22"/>
        <v>8958.697621129344</v>
      </c>
      <c r="GU25" s="4">
        <f t="shared" si="22"/>
        <v>8958.697621129344</v>
      </c>
      <c r="GV25" s="4">
        <f t="shared" si="22"/>
        <v>8958.697621129344</v>
      </c>
      <c r="GW25" s="4">
        <f t="shared" si="22"/>
        <v>8958.697621129344</v>
      </c>
      <c r="GX25" s="4">
        <f t="shared" si="22"/>
        <v>8958.697621129344</v>
      </c>
      <c r="GY25" s="4">
        <f t="shared" si="22"/>
        <v>8958.697621129344</v>
      </c>
      <c r="GZ25" s="4">
        <f t="shared" si="22"/>
        <v>8958.697621129344</v>
      </c>
      <c r="HA25" s="4">
        <f t="shared" si="22"/>
        <v>8958.697621129344</v>
      </c>
      <c r="HB25" s="4">
        <f t="shared" si="22"/>
        <v>8958.697621129344</v>
      </c>
      <c r="HC25" s="4">
        <f t="shared" si="22"/>
        <v>8958.697621129344</v>
      </c>
    </row>
  </sheetData>
  <phoneticPr fontId="3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HC25"/>
  <sheetViews>
    <sheetView workbookViewId="0">
      <selection activeCell="B9" sqref="B9"/>
    </sheetView>
  </sheetViews>
  <sheetFormatPr defaultColWidth="9.08984375" defaultRowHeight="14.5"/>
  <cols>
    <col min="1" max="1" width="31.08984375" bestFit="1" customWidth="1"/>
    <col min="2" max="2" width="31.08984375" customWidth="1"/>
    <col min="3" max="3" width="9.08984375" customWidth="1"/>
  </cols>
  <sheetData>
    <row r="1" spans="1:211" s="9" customFormat="1">
      <c r="A1" s="14" t="s">
        <v>84</v>
      </c>
      <c r="B1" s="27" t="s">
        <v>177</v>
      </c>
      <c r="C1" s="27" t="s">
        <v>178</v>
      </c>
      <c r="D1" s="27" t="s">
        <v>179</v>
      </c>
      <c r="E1" s="27" t="s">
        <v>180</v>
      </c>
      <c r="F1" s="27" t="s">
        <v>181</v>
      </c>
      <c r="G1" s="27" t="s">
        <v>182</v>
      </c>
      <c r="H1" s="27" t="s">
        <v>183</v>
      </c>
      <c r="I1" s="27" t="s">
        <v>184</v>
      </c>
      <c r="J1" s="27" t="s">
        <v>185</v>
      </c>
      <c r="K1" s="27" t="s">
        <v>186</v>
      </c>
      <c r="L1" s="27" t="s">
        <v>187</v>
      </c>
      <c r="M1" s="27" t="s">
        <v>188</v>
      </c>
      <c r="N1" s="27" t="s">
        <v>189</v>
      </c>
      <c r="O1" s="27" t="s">
        <v>190</v>
      </c>
      <c r="P1" s="27" t="s">
        <v>191</v>
      </c>
      <c r="Q1" s="27" t="s">
        <v>192</v>
      </c>
      <c r="R1" s="27" t="s">
        <v>193</v>
      </c>
      <c r="S1" s="27" t="s">
        <v>194</v>
      </c>
      <c r="T1" s="27" t="s">
        <v>195</v>
      </c>
      <c r="U1" s="27" t="s">
        <v>196</v>
      </c>
      <c r="V1" s="27" t="s">
        <v>197</v>
      </c>
      <c r="W1" s="27" t="s">
        <v>198</v>
      </c>
      <c r="X1" s="27" t="s">
        <v>199</v>
      </c>
      <c r="Y1" s="27" t="s">
        <v>200</v>
      </c>
      <c r="Z1" s="27" t="s">
        <v>201</v>
      </c>
      <c r="AA1" s="27" t="s">
        <v>202</v>
      </c>
      <c r="AB1" s="27" t="s">
        <v>203</v>
      </c>
      <c r="AC1" s="27" t="s">
        <v>204</v>
      </c>
      <c r="AD1" s="27" t="s">
        <v>205</v>
      </c>
      <c r="AE1" s="27" t="s">
        <v>206</v>
      </c>
      <c r="AF1" s="27" t="s">
        <v>207</v>
      </c>
      <c r="AG1" s="27" t="s">
        <v>208</v>
      </c>
      <c r="AH1" s="27" t="s">
        <v>209</v>
      </c>
      <c r="AI1" s="27" t="s">
        <v>210</v>
      </c>
      <c r="AJ1" s="27" t="s">
        <v>211</v>
      </c>
      <c r="AK1" s="27" t="s">
        <v>212</v>
      </c>
      <c r="AL1" s="27" t="s">
        <v>213</v>
      </c>
      <c r="AM1" s="27" t="s">
        <v>214</v>
      </c>
      <c r="AN1" s="27" t="s">
        <v>215</v>
      </c>
      <c r="AO1" s="27" t="s">
        <v>216</v>
      </c>
      <c r="AP1" s="27" t="s">
        <v>217</v>
      </c>
      <c r="AQ1" s="27" t="s">
        <v>218</v>
      </c>
      <c r="AR1" s="27" t="s">
        <v>219</v>
      </c>
      <c r="AS1" s="27" t="s">
        <v>220</v>
      </c>
      <c r="AT1" s="27" t="s">
        <v>221</v>
      </c>
      <c r="AU1" s="27" t="s">
        <v>222</v>
      </c>
      <c r="AV1" s="27" t="s">
        <v>223</v>
      </c>
      <c r="AW1" s="27" t="s">
        <v>224</v>
      </c>
      <c r="AX1" s="27" t="s">
        <v>225</v>
      </c>
      <c r="AY1" s="27" t="s">
        <v>226</v>
      </c>
      <c r="AZ1" s="27" t="s">
        <v>227</v>
      </c>
      <c r="BA1" s="27" t="s">
        <v>228</v>
      </c>
      <c r="BB1" s="27" t="s">
        <v>229</v>
      </c>
      <c r="BC1" s="27" t="s">
        <v>230</v>
      </c>
      <c r="BD1" s="27" t="s">
        <v>231</v>
      </c>
      <c r="BE1" s="27" t="s">
        <v>232</v>
      </c>
      <c r="BF1" s="27" t="s">
        <v>233</v>
      </c>
      <c r="BG1" s="27" t="s">
        <v>234</v>
      </c>
      <c r="BH1" s="27" t="s">
        <v>235</v>
      </c>
      <c r="BI1" s="27" t="s">
        <v>236</v>
      </c>
      <c r="BJ1" s="27" t="s">
        <v>237</v>
      </c>
      <c r="BK1" s="27" t="s">
        <v>238</v>
      </c>
      <c r="BL1" s="27" t="s">
        <v>239</v>
      </c>
      <c r="BM1" s="27" t="s">
        <v>240</v>
      </c>
      <c r="BN1" s="27" t="s">
        <v>241</v>
      </c>
      <c r="BO1" s="27" t="s">
        <v>242</v>
      </c>
      <c r="BP1" s="27" t="s">
        <v>243</v>
      </c>
      <c r="BQ1" s="27" t="s">
        <v>244</v>
      </c>
      <c r="BR1" s="27" t="s">
        <v>245</v>
      </c>
      <c r="BS1" s="27" t="s">
        <v>246</v>
      </c>
      <c r="BT1" s="27" t="s">
        <v>247</v>
      </c>
      <c r="BU1" s="27" t="s">
        <v>248</v>
      </c>
      <c r="BV1" s="27" t="s">
        <v>249</v>
      </c>
      <c r="BW1" s="27" t="s">
        <v>250</v>
      </c>
      <c r="BX1" s="27" t="s">
        <v>251</v>
      </c>
      <c r="BY1" s="27" t="s">
        <v>252</v>
      </c>
      <c r="BZ1" s="27" t="s">
        <v>253</v>
      </c>
      <c r="CA1" s="27" t="s">
        <v>254</v>
      </c>
      <c r="CB1" s="27" t="s">
        <v>255</v>
      </c>
      <c r="CC1" s="27" t="s">
        <v>256</v>
      </c>
      <c r="CD1" s="27" t="s">
        <v>257</v>
      </c>
      <c r="CE1" s="27" t="s">
        <v>258</v>
      </c>
      <c r="CF1" s="27" t="s">
        <v>259</v>
      </c>
      <c r="CG1" s="27" t="s">
        <v>260</v>
      </c>
      <c r="CH1" s="27" t="s">
        <v>261</v>
      </c>
      <c r="CI1" s="27" t="s">
        <v>262</v>
      </c>
      <c r="CJ1" s="27" t="s">
        <v>263</v>
      </c>
      <c r="CK1" s="27" t="s">
        <v>264</v>
      </c>
      <c r="CL1" s="27" t="s">
        <v>265</v>
      </c>
      <c r="CM1" s="27" t="s">
        <v>266</v>
      </c>
      <c r="CN1" s="27" t="s">
        <v>267</v>
      </c>
      <c r="CO1" s="27" t="s">
        <v>268</v>
      </c>
      <c r="CP1" s="27" t="s">
        <v>269</v>
      </c>
      <c r="CQ1" s="27" t="s">
        <v>270</v>
      </c>
      <c r="CR1" s="27" t="s">
        <v>271</v>
      </c>
      <c r="CS1" s="27" t="s">
        <v>272</v>
      </c>
      <c r="CT1" s="27" t="s">
        <v>273</v>
      </c>
      <c r="CU1" s="27" t="s">
        <v>274</v>
      </c>
      <c r="CV1" s="27" t="s">
        <v>275</v>
      </c>
      <c r="CW1" s="27" t="s">
        <v>276</v>
      </c>
      <c r="CX1" s="27" t="s">
        <v>277</v>
      </c>
      <c r="CY1" s="27" t="s">
        <v>278</v>
      </c>
      <c r="CZ1" s="27" t="s">
        <v>279</v>
      </c>
      <c r="DA1" s="27" t="s">
        <v>280</v>
      </c>
      <c r="DB1" s="27" t="s">
        <v>281</v>
      </c>
      <c r="DC1" s="27" t="s">
        <v>282</v>
      </c>
      <c r="DD1" s="27" t="s">
        <v>283</v>
      </c>
      <c r="DE1" s="27" t="s">
        <v>284</v>
      </c>
      <c r="DF1" s="27" t="s">
        <v>285</v>
      </c>
      <c r="DG1" s="27" t="s">
        <v>286</v>
      </c>
      <c r="DH1" s="27" t="s">
        <v>287</v>
      </c>
      <c r="DI1" s="27" t="s">
        <v>288</v>
      </c>
      <c r="DJ1" s="27" t="s">
        <v>289</v>
      </c>
      <c r="DK1" s="27" t="s">
        <v>290</v>
      </c>
      <c r="DL1" s="27" t="s">
        <v>291</v>
      </c>
      <c r="DM1" s="27" t="s">
        <v>292</v>
      </c>
      <c r="DN1" s="27" t="s">
        <v>293</v>
      </c>
      <c r="DO1" s="27" t="s">
        <v>294</v>
      </c>
      <c r="DP1" s="27" t="s">
        <v>295</v>
      </c>
      <c r="DQ1" s="27" t="s">
        <v>296</v>
      </c>
      <c r="DR1" s="27" t="s">
        <v>297</v>
      </c>
      <c r="DS1" s="27" t="s">
        <v>298</v>
      </c>
      <c r="DT1" s="27" t="s">
        <v>299</v>
      </c>
      <c r="DU1" s="27" t="s">
        <v>300</v>
      </c>
      <c r="DV1" s="27" t="s">
        <v>301</v>
      </c>
      <c r="DW1" s="27" t="s">
        <v>302</v>
      </c>
      <c r="DX1" s="27" t="s">
        <v>303</v>
      </c>
      <c r="DY1" s="27" t="s">
        <v>304</v>
      </c>
      <c r="DZ1" s="27" t="s">
        <v>91</v>
      </c>
      <c r="EA1" s="27" t="s">
        <v>92</v>
      </c>
      <c r="EB1" s="27" t="s">
        <v>93</v>
      </c>
      <c r="EC1" s="27" t="s">
        <v>94</v>
      </c>
      <c r="ED1" s="27" t="s">
        <v>95</v>
      </c>
      <c r="EE1" s="27" t="s">
        <v>96</v>
      </c>
      <c r="EF1" s="27" t="s">
        <v>97</v>
      </c>
      <c r="EG1" s="27" t="s">
        <v>98</v>
      </c>
      <c r="EH1" s="27" t="s">
        <v>99</v>
      </c>
      <c r="EI1" s="27" t="s">
        <v>100</v>
      </c>
      <c r="EJ1" s="27" t="s">
        <v>101</v>
      </c>
      <c r="EK1" s="27" t="s">
        <v>102</v>
      </c>
      <c r="EL1" s="27" t="s">
        <v>103</v>
      </c>
      <c r="EM1" s="27" t="s">
        <v>104</v>
      </c>
      <c r="EN1" s="27" t="s">
        <v>105</v>
      </c>
      <c r="EO1" s="27" t="s">
        <v>106</v>
      </c>
      <c r="EP1" s="27" t="s">
        <v>107</v>
      </c>
      <c r="EQ1" s="27" t="s">
        <v>108</v>
      </c>
      <c r="ER1" s="27" t="s">
        <v>109</v>
      </c>
      <c r="ES1" s="27" t="s">
        <v>110</v>
      </c>
      <c r="ET1" s="27" t="s">
        <v>111</v>
      </c>
      <c r="EU1" s="27" t="s">
        <v>112</v>
      </c>
      <c r="EV1" s="27" t="s">
        <v>113</v>
      </c>
      <c r="EW1" s="27" t="s">
        <v>114</v>
      </c>
      <c r="EX1" s="27" t="s">
        <v>115</v>
      </c>
      <c r="EY1" s="27" t="s">
        <v>116</v>
      </c>
      <c r="EZ1" s="27" t="s">
        <v>117</v>
      </c>
      <c r="FA1" s="27" t="s">
        <v>118</v>
      </c>
      <c r="FB1" s="27" t="s">
        <v>119</v>
      </c>
      <c r="FC1" s="27" t="s">
        <v>120</v>
      </c>
      <c r="FD1" s="27" t="s">
        <v>121</v>
      </c>
      <c r="FE1" s="27" t="s">
        <v>122</v>
      </c>
      <c r="FF1" s="27" t="s">
        <v>305</v>
      </c>
      <c r="FG1" s="27" t="s">
        <v>306</v>
      </c>
      <c r="FH1" s="27" t="s">
        <v>307</v>
      </c>
      <c r="FI1" s="27" t="s">
        <v>308</v>
      </c>
      <c r="FJ1" s="27" t="s">
        <v>309</v>
      </c>
      <c r="FK1" s="27" t="s">
        <v>310</v>
      </c>
      <c r="FL1" s="27" t="s">
        <v>311</v>
      </c>
      <c r="FM1" s="27" t="s">
        <v>312</v>
      </c>
      <c r="FN1" s="27" t="s">
        <v>313</v>
      </c>
      <c r="FO1" s="27" t="s">
        <v>314</v>
      </c>
      <c r="FP1" s="27" t="s">
        <v>315</v>
      </c>
      <c r="FQ1" s="27" t="s">
        <v>316</v>
      </c>
      <c r="FR1" s="27" t="s">
        <v>317</v>
      </c>
      <c r="FS1" s="27" t="s">
        <v>318</v>
      </c>
      <c r="FT1" s="27" t="s">
        <v>319</v>
      </c>
      <c r="FU1" s="27" t="s">
        <v>320</v>
      </c>
      <c r="FV1" s="27" t="s">
        <v>321</v>
      </c>
      <c r="FW1" s="27" t="s">
        <v>322</v>
      </c>
      <c r="FX1" s="27" t="s">
        <v>323</v>
      </c>
      <c r="FY1" s="27" t="s">
        <v>324</v>
      </c>
      <c r="FZ1" s="27" t="s">
        <v>325</v>
      </c>
      <c r="GA1" s="27" t="s">
        <v>326</v>
      </c>
      <c r="GB1" s="27" t="s">
        <v>327</v>
      </c>
      <c r="GC1" s="27" t="s">
        <v>328</v>
      </c>
      <c r="GD1" s="27" t="s">
        <v>329</v>
      </c>
      <c r="GE1" s="27" t="s">
        <v>330</v>
      </c>
      <c r="GF1" s="27" t="s">
        <v>331</v>
      </c>
      <c r="GG1" s="27" t="s">
        <v>332</v>
      </c>
      <c r="GH1" s="27" t="s">
        <v>333</v>
      </c>
      <c r="GI1" s="27" t="s">
        <v>334</v>
      </c>
      <c r="GJ1" s="27" t="s">
        <v>335</v>
      </c>
      <c r="GK1" s="27" t="s">
        <v>336</v>
      </c>
      <c r="GL1" s="27" t="s">
        <v>337</v>
      </c>
      <c r="GM1" s="27" t="s">
        <v>338</v>
      </c>
      <c r="GN1" s="27" t="s">
        <v>339</v>
      </c>
      <c r="GO1" s="27" t="s">
        <v>340</v>
      </c>
      <c r="GP1" s="27" t="s">
        <v>341</v>
      </c>
      <c r="GQ1" s="27" t="s">
        <v>342</v>
      </c>
      <c r="GR1" s="27" t="s">
        <v>343</v>
      </c>
      <c r="GS1" s="27" t="s">
        <v>344</v>
      </c>
      <c r="GT1" s="27" t="s">
        <v>345</v>
      </c>
      <c r="GU1" s="27" t="s">
        <v>346</v>
      </c>
      <c r="GV1" s="27" t="s">
        <v>347</v>
      </c>
      <c r="GW1" s="27" t="s">
        <v>348</v>
      </c>
      <c r="GX1" s="27" t="s">
        <v>349</v>
      </c>
      <c r="GY1" s="27" t="s">
        <v>350</v>
      </c>
      <c r="GZ1" s="27" t="s">
        <v>351</v>
      </c>
      <c r="HA1" s="27" t="s">
        <v>352</v>
      </c>
      <c r="HB1" s="27" t="s">
        <v>353</v>
      </c>
      <c r="HC1" s="27" t="s">
        <v>354</v>
      </c>
    </row>
    <row r="2" spans="1:211">
      <c r="A2" t="s">
        <v>16</v>
      </c>
      <c r="B2" s="10">
        <f>Calculation!B93</f>
        <v>1.0973821305272335</v>
      </c>
      <c r="C2" s="10">
        <f>$B2</f>
        <v>1.0973821305272335</v>
      </c>
      <c r="D2" s="10">
        <f t="shared" ref="D2:S3" si="0">$B2</f>
        <v>1.0973821305272335</v>
      </c>
      <c r="E2" s="10">
        <f t="shared" si="0"/>
        <v>1.0973821305272335</v>
      </c>
      <c r="F2" s="10">
        <f t="shared" si="0"/>
        <v>1.0973821305272335</v>
      </c>
      <c r="G2" s="10">
        <f t="shared" si="0"/>
        <v>1.0973821305272335</v>
      </c>
      <c r="H2" s="10">
        <f t="shared" si="0"/>
        <v>1.0973821305272335</v>
      </c>
      <c r="I2" s="10">
        <f t="shared" si="0"/>
        <v>1.0973821305272335</v>
      </c>
      <c r="J2" s="10">
        <f t="shared" si="0"/>
        <v>1.0973821305272335</v>
      </c>
      <c r="K2" s="10">
        <f t="shared" si="0"/>
        <v>1.0973821305272335</v>
      </c>
      <c r="L2" s="10">
        <f t="shared" si="0"/>
        <v>1.0973821305272335</v>
      </c>
      <c r="M2" s="10">
        <f t="shared" si="0"/>
        <v>1.0973821305272335</v>
      </c>
      <c r="N2" s="10">
        <f t="shared" si="0"/>
        <v>1.0973821305272335</v>
      </c>
      <c r="O2" s="10">
        <f t="shared" si="0"/>
        <v>1.0973821305272335</v>
      </c>
      <c r="P2" s="10">
        <f t="shared" si="0"/>
        <v>1.0973821305272335</v>
      </c>
      <c r="Q2" s="10">
        <f t="shared" si="0"/>
        <v>1.0973821305272335</v>
      </c>
      <c r="R2" s="10">
        <f t="shared" si="0"/>
        <v>1.0973821305272335</v>
      </c>
      <c r="S2" s="10">
        <f t="shared" si="0"/>
        <v>1.0973821305272335</v>
      </c>
      <c r="T2" s="10">
        <f t="shared" ref="G2:AH4" si="1">$B2</f>
        <v>1.0973821305272335</v>
      </c>
      <c r="U2" s="10">
        <f t="shared" si="1"/>
        <v>1.0973821305272335</v>
      </c>
      <c r="V2" s="10">
        <f t="shared" si="1"/>
        <v>1.0973821305272335</v>
      </c>
      <c r="W2" s="10">
        <f t="shared" si="1"/>
        <v>1.0973821305272335</v>
      </c>
      <c r="X2" s="10">
        <f t="shared" si="1"/>
        <v>1.0973821305272335</v>
      </c>
      <c r="Y2" s="10">
        <f t="shared" si="1"/>
        <v>1.0973821305272335</v>
      </c>
      <c r="Z2" s="10">
        <f t="shared" si="1"/>
        <v>1.0973821305272335</v>
      </c>
      <c r="AA2" s="10">
        <f t="shared" si="1"/>
        <v>1.0973821305272335</v>
      </c>
      <c r="AB2" s="10">
        <f t="shared" si="1"/>
        <v>1.0973821305272335</v>
      </c>
      <c r="AC2" s="10">
        <f t="shared" si="1"/>
        <v>1.0973821305272335</v>
      </c>
      <c r="AD2" s="10">
        <f t="shared" si="1"/>
        <v>1.0973821305272335</v>
      </c>
      <c r="AE2" s="10">
        <f t="shared" si="1"/>
        <v>1.0973821305272335</v>
      </c>
      <c r="AF2" s="10">
        <f t="shared" si="1"/>
        <v>1.0973821305272335</v>
      </c>
      <c r="AG2" s="10">
        <f t="shared" si="1"/>
        <v>1.0973821305272335</v>
      </c>
      <c r="AH2" s="10">
        <f t="shared" si="1"/>
        <v>1.0973821305272335</v>
      </c>
      <c r="AI2" s="10">
        <f t="shared" ref="AI2:CT5" si="2">$B2</f>
        <v>1.0973821305272335</v>
      </c>
      <c r="AJ2" s="10">
        <f t="shared" si="2"/>
        <v>1.0973821305272335</v>
      </c>
      <c r="AK2" s="10">
        <f t="shared" si="2"/>
        <v>1.0973821305272335</v>
      </c>
      <c r="AL2" s="10">
        <f t="shared" si="2"/>
        <v>1.0973821305272335</v>
      </c>
      <c r="AM2" s="10">
        <f t="shared" si="2"/>
        <v>1.0973821305272335</v>
      </c>
      <c r="AN2" s="10">
        <f t="shared" si="2"/>
        <v>1.0973821305272335</v>
      </c>
      <c r="AO2" s="10">
        <f t="shared" si="2"/>
        <v>1.0973821305272335</v>
      </c>
      <c r="AP2" s="10">
        <f t="shared" si="2"/>
        <v>1.0973821305272335</v>
      </c>
      <c r="AQ2" s="10">
        <f t="shared" si="2"/>
        <v>1.0973821305272335</v>
      </c>
      <c r="AR2" s="10">
        <f t="shared" si="2"/>
        <v>1.0973821305272335</v>
      </c>
      <c r="AS2" s="10">
        <f t="shared" si="2"/>
        <v>1.0973821305272335</v>
      </c>
      <c r="AT2" s="10">
        <f t="shared" si="2"/>
        <v>1.0973821305272335</v>
      </c>
      <c r="AU2" s="10">
        <f t="shared" si="2"/>
        <v>1.0973821305272335</v>
      </c>
      <c r="AV2" s="10">
        <f t="shared" si="2"/>
        <v>1.0973821305272335</v>
      </c>
      <c r="AW2" s="10">
        <f t="shared" si="2"/>
        <v>1.0973821305272335</v>
      </c>
      <c r="AX2" s="10">
        <f t="shared" si="2"/>
        <v>1.0973821305272335</v>
      </c>
      <c r="AY2" s="10">
        <f t="shared" si="2"/>
        <v>1.0973821305272335</v>
      </c>
      <c r="AZ2" s="10">
        <f t="shared" si="2"/>
        <v>1.0973821305272335</v>
      </c>
      <c r="BA2" s="10">
        <f t="shared" si="2"/>
        <v>1.0973821305272335</v>
      </c>
      <c r="BB2" s="10">
        <f t="shared" si="2"/>
        <v>1.0973821305272335</v>
      </c>
      <c r="BC2" s="10">
        <f t="shared" si="2"/>
        <v>1.0973821305272335</v>
      </c>
      <c r="BD2" s="10">
        <f t="shared" si="2"/>
        <v>1.0973821305272335</v>
      </c>
      <c r="BE2" s="10">
        <f t="shared" si="2"/>
        <v>1.0973821305272335</v>
      </c>
      <c r="BF2" s="10">
        <f t="shared" si="2"/>
        <v>1.0973821305272335</v>
      </c>
      <c r="BG2" s="10">
        <f t="shared" si="2"/>
        <v>1.0973821305272335</v>
      </c>
      <c r="BH2" s="10">
        <f t="shared" si="2"/>
        <v>1.0973821305272335</v>
      </c>
      <c r="BI2" s="10">
        <f t="shared" si="2"/>
        <v>1.0973821305272335</v>
      </c>
      <c r="BJ2" s="10">
        <f t="shared" si="2"/>
        <v>1.0973821305272335</v>
      </c>
      <c r="BK2" s="10">
        <f t="shared" si="2"/>
        <v>1.0973821305272335</v>
      </c>
      <c r="BL2" s="10">
        <f t="shared" si="2"/>
        <v>1.0973821305272335</v>
      </c>
      <c r="BM2" s="10">
        <f t="shared" si="2"/>
        <v>1.0973821305272335</v>
      </c>
      <c r="BN2" s="10">
        <f t="shared" si="2"/>
        <v>1.0973821305272335</v>
      </c>
      <c r="BO2" s="10">
        <f t="shared" si="2"/>
        <v>1.0973821305272335</v>
      </c>
      <c r="BP2" s="10">
        <f t="shared" si="2"/>
        <v>1.0973821305272335</v>
      </c>
      <c r="BQ2" s="10">
        <f t="shared" si="2"/>
        <v>1.0973821305272335</v>
      </c>
      <c r="BR2" s="10">
        <f t="shared" si="2"/>
        <v>1.0973821305272335</v>
      </c>
      <c r="BS2" s="10">
        <f t="shared" si="2"/>
        <v>1.0973821305272335</v>
      </c>
      <c r="BT2" s="10">
        <f t="shared" si="2"/>
        <v>1.0973821305272335</v>
      </c>
      <c r="BU2" s="10">
        <f t="shared" si="2"/>
        <v>1.0973821305272335</v>
      </c>
      <c r="BV2" s="10">
        <f t="shared" si="2"/>
        <v>1.0973821305272335</v>
      </c>
      <c r="BW2" s="10">
        <f t="shared" si="2"/>
        <v>1.0973821305272335</v>
      </c>
      <c r="BX2" s="10">
        <f t="shared" si="2"/>
        <v>1.0973821305272335</v>
      </c>
      <c r="BY2" s="10">
        <f t="shared" si="2"/>
        <v>1.0973821305272335</v>
      </c>
      <c r="BZ2" s="10">
        <f t="shared" si="2"/>
        <v>1.0973821305272335</v>
      </c>
      <c r="CA2" s="10">
        <f t="shared" si="2"/>
        <v>1.0973821305272335</v>
      </c>
      <c r="CB2" s="10">
        <f t="shared" si="2"/>
        <v>1.0973821305272335</v>
      </c>
      <c r="CC2" s="10">
        <f t="shared" si="2"/>
        <v>1.0973821305272335</v>
      </c>
      <c r="CD2" s="10">
        <f t="shared" si="2"/>
        <v>1.0973821305272335</v>
      </c>
      <c r="CE2" s="10">
        <f t="shared" si="2"/>
        <v>1.0973821305272335</v>
      </c>
      <c r="CF2" s="10">
        <f t="shared" si="2"/>
        <v>1.0973821305272335</v>
      </c>
      <c r="CG2" s="10">
        <f t="shared" si="2"/>
        <v>1.0973821305272335</v>
      </c>
      <c r="CH2" s="10">
        <f t="shared" si="2"/>
        <v>1.0973821305272335</v>
      </c>
      <c r="CI2" s="10">
        <f t="shared" si="2"/>
        <v>1.0973821305272335</v>
      </c>
      <c r="CJ2" s="10">
        <f t="shared" si="2"/>
        <v>1.0973821305272335</v>
      </c>
      <c r="CK2" s="10">
        <f t="shared" si="2"/>
        <v>1.0973821305272335</v>
      </c>
      <c r="CL2" s="10">
        <f t="shared" si="2"/>
        <v>1.0973821305272335</v>
      </c>
      <c r="CM2" s="10">
        <f t="shared" si="2"/>
        <v>1.0973821305272335</v>
      </c>
      <c r="CN2" s="10">
        <f t="shared" si="2"/>
        <v>1.0973821305272335</v>
      </c>
      <c r="CO2" s="10">
        <f t="shared" si="2"/>
        <v>1.0973821305272335</v>
      </c>
      <c r="CP2" s="10">
        <f t="shared" si="2"/>
        <v>1.0973821305272335</v>
      </c>
      <c r="CQ2" s="10">
        <f t="shared" si="2"/>
        <v>1.0973821305272335</v>
      </c>
      <c r="CR2" s="10">
        <f t="shared" si="2"/>
        <v>1.0973821305272335</v>
      </c>
      <c r="CS2" s="10">
        <f t="shared" si="2"/>
        <v>1.0973821305272335</v>
      </c>
      <c r="CT2" s="10">
        <f t="shared" si="2"/>
        <v>1.0973821305272335</v>
      </c>
      <c r="CU2" s="10">
        <f t="shared" ref="CU2:FF5" si="3">$B2</f>
        <v>1.0973821305272335</v>
      </c>
      <c r="CV2" s="10">
        <f t="shared" si="3"/>
        <v>1.0973821305272335</v>
      </c>
      <c r="CW2" s="10">
        <f t="shared" si="3"/>
        <v>1.0973821305272335</v>
      </c>
      <c r="CX2" s="10">
        <f t="shared" si="3"/>
        <v>1.0973821305272335</v>
      </c>
      <c r="CY2" s="10">
        <f t="shared" si="3"/>
        <v>1.0973821305272335</v>
      </c>
      <c r="CZ2" s="10">
        <f t="shared" si="3"/>
        <v>1.0973821305272335</v>
      </c>
      <c r="DA2" s="10">
        <f t="shared" si="3"/>
        <v>1.0973821305272335</v>
      </c>
      <c r="DB2" s="10">
        <f t="shared" si="3"/>
        <v>1.0973821305272335</v>
      </c>
      <c r="DC2" s="10">
        <f t="shared" si="3"/>
        <v>1.0973821305272335</v>
      </c>
      <c r="DD2" s="10">
        <f t="shared" si="3"/>
        <v>1.0973821305272335</v>
      </c>
      <c r="DE2" s="10">
        <f t="shared" si="3"/>
        <v>1.0973821305272335</v>
      </c>
      <c r="DF2" s="10">
        <f t="shared" si="3"/>
        <v>1.0973821305272335</v>
      </c>
      <c r="DG2" s="10">
        <f t="shared" si="3"/>
        <v>1.0973821305272335</v>
      </c>
      <c r="DH2" s="10">
        <f t="shared" si="3"/>
        <v>1.0973821305272335</v>
      </c>
      <c r="DI2" s="10">
        <f t="shared" si="3"/>
        <v>1.0973821305272335</v>
      </c>
      <c r="DJ2" s="10">
        <f t="shared" si="3"/>
        <v>1.0973821305272335</v>
      </c>
      <c r="DK2" s="10">
        <f t="shared" si="3"/>
        <v>1.0973821305272335</v>
      </c>
      <c r="DL2" s="10">
        <f t="shared" si="3"/>
        <v>1.0973821305272335</v>
      </c>
      <c r="DM2" s="10">
        <f t="shared" si="3"/>
        <v>1.0973821305272335</v>
      </c>
      <c r="DN2" s="10">
        <f t="shared" si="3"/>
        <v>1.0973821305272335</v>
      </c>
      <c r="DO2" s="10">
        <f t="shared" si="3"/>
        <v>1.0973821305272335</v>
      </c>
      <c r="DP2" s="10">
        <f t="shared" si="3"/>
        <v>1.0973821305272335</v>
      </c>
      <c r="DQ2" s="10">
        <f t="shared" si="3"/>
        <v>1.0973821305272335</v>
      </c>
      <c r="DR2" s="10">
        <f t="shared" si="3"/>
        <v>1.0973821305272335</v>
      </c>
      <c r="DS2" s="10">
        <f t="shared" si="3"/>
        <v>1.0973821305272335</v>
      </c>
      <c r="DT2" s="10">
        <f t="shared" si="3"/>
        <v>1.0973821305272335</v>
      </c>
      <c r="DU2" s="10">
        <f t="shared" si="3"/>
        <v>1.0973821305272335</v>
      </c>
      <c r="DV2" s="10">
        <f t="shared" si="3"/>
        <v>1.0973821305272335</v>
      </c>
      <c r="DW2" s="10">
        <f t="shared" si="3"/>
        <v>1.0973821305272335</v>
      </c>
      <c r="DX2" s="10">
        <f t="shared" si="3"/>
        <v>1.0973821305272335</v>
      </c>
      <c r="DY2" s="10">
        <f t="shared" si="3"/>
        <v>1.0973821305272335</v>
      </c>
      <c r="DZ2" s="10">
        <f t="shared" si="3"/>
        <v>1.0973821305272335</v>
      </c>
      <c r="EA2" s="10">
        <f t="shared" si="3"/>
        <v>1.0973821305272335</v>
      </c>
      <c r="EB2" s="10">
        <f t="shared" si="3"/>
        <v>1.0973821305272335</v>
      </c>
      <c r="EC2" s="10">
        <f t="shared" si="3"/>
        <v>1.0973821305272335</v>
      </c>
      <c r="ED2" s="10">
        <f t="shared" si="3"/>
        <v>1.0973821305272335</v>
      </c>
      <c r="EE2" s="10">
        <f t="shared" si="3"/>
        <v>1.0973821305272335</v>
      </c>
      <c r="EF2" s="10">
        <f t="shared" si="3"/>
        <v>1.0973821305272335</v>
      </c>
      <c r="EG2" s="10">
        <f t="shared" si="3"/>
        <v>1.0973821305272335</v>
      </c>
      <c r="EH2" s="10">
        <f t="shared" si="3"/>
        <v>1.0973821305272335</v>
      </c>
      <c r="EI2" s="10">
        <f t="shared" si="3"/>
        <v>1.0973821305272335</v>
      </c>
      <c r="EJ2" s="10">
        <f t="shared" si="3"/>
        <v>1.0973821305272335</v>
      </c>
      <c r="EK2" s="10">
        <f t="shared" si="3"/>
        <v>1.0973821305272335</v>
      </c>
      <c r="EL2" s="10">
        <f t="shared" si="3"/>
        <v>1.0973821305272335</v>
      </c>
      <c r="EM2" s="10">
        <f t="shared" si="3"/>
        <v>1.0973821305272335</v>
      </c>
      <c r="EN2" s="10">
        <f t="shared" si="3"/>
        <v>1.0973821305272335</v>
      </c>
      <c r="EO2" s="10">
        <f t="shared" si="3"/>
        <v>1.0973821305272335</v>
      </c>
      <c r="EP2" s="10">
        <f t="shared" si="3"/>
        <v>1.0973821305272335</v>
      </c>
      <c r="EQ2" s="10">
        <f t="shared" si="3"/>
        <v>1.0973821305272335</v>
      </c>
      <c r="ER2" s="10">
        <f t="shared" si="3"/>
        <v>1.0973821305272335</v>
      </c>
      <c r="ES2" s="10">
        <f t="shared" si="3"/>
        <v>1.0973821305272335</v>
      </c>
      <c r="ET2" s="10">
        <f t="shared" si="3"/>
        <v>1.0973821305272335</v>
      </c>
      <c r="EU2" s="10">
        <f t="shared" si="3"/>
        <v>1.0973821305272335</v>
      </c>
      <c r="EV2" s="10">
        <f t="shared" si="3"/>
        <v>1.0973821305272335</v>
      </c>
      <c r="EW2" s="10">
        <f t="shared" si="3"/>
        <v>1.0973821305272335</v>
      </c>
      <c r="EX2" s="10">
        <f t="shared" si="3"/>
        <v>1.0973821305272335</v>
      </c>
      <c r="EY2" s="10">
        <f t="shared" si="3"/>
        <v>1.0973821305272335</v>
      </c>
      <c r="EZ2" s="10">
        <f t="shared" si="3"/>
        <v>1.0973821305272335</v>
      </c>
      <c r="FA2" s="10">
        <f t="shared" si="3"/>
        <v>1.0973821305272335</v>
      </c>
      <c r="FB2" s="10">
        <f t="shared" si="3"/>
        <v>1.0973821305272335</v>
      </c>
      <c r="FC2" s="10">
        <f t="shared" si="3"/>
        <v>1.0973821305272335</v>
      </c>
      <c r="FD2" s="10">
        <f t="shared" si="3"/>
        <v>1.0973821305272335</v>
      </c>
      <c r="FE2" s="10">
        <f t="shared" si="3"/>
        <v>1.0973821305272335</v>
      </c>
      <c r="FF2" s="10">
        <f t="shared" si="3"/>
        <v>1.0973821305272335</v>
      </c>
      <c r="FG2" s="10">
        <f t="shared" ref="FG2:HC4" si="4">$B2</f>
        <v>1.0973821305272335</v>
      </c>
      <c r="FH2" s="10">
        <f t="shared" si="4"/>
        <v>1.0973821305272335</v>
      </c>
      <c r="FI2" s="10">
        <f t="shared" si="4"/>
        <v>1.0973821305272335</v>
      </c>
      <c r="FJ2" s="10">
        <f t="shared" si="4"/>
        <v>1.0973821305272335</v>
      </c>
      <c r="FK2" s="10">
        <f t="shared" si="4"/>
        <v>1.0973821305272335</v>
      </c>
      <c r="FL2" s="10">
        <f t="shared" si="4"/>
        <v>1.0973821305272335</v>
      </c>
      <c r="FM2" s="10">
        <f t="shared" si="4"/>
        <v>1.0973821305272335</v>
      </c>
      <c r="FN2" s="10">
        <f t="shared" si="4"/>
        <v>1.0973821305272335</v>
      </c>
      <c r="FO2" s="10">
        <f t="shared" si="4"/>
        <v>1.0973821305272335</v>
      </c>
      <c r="FP2" s="10">
        <f t="shared" si="4"/>
        <v>1.0973821305272335</v>
      </c>
      <c r="FQ2" s="10">
        <f t="shared" si="4"/>
        <v>1.0973821305272335</v>
      </c>
      <c r="FR2" s="10">
        <f t="shared" si="4"/>
        <v>1.0973821305272335</v>
      </c>
      <c r="FS2" s="10">
        <f t="shared" si="4"/>
        <v>1.0973821305272335</v>
      </c>
      <c r="FT2" s="10">
        <f t="shared" si="4"/>
        <v>1.0973821305272335</v>
      </c>
      <c r="FU2" s="10">
        <f t="shared" si="4"/>
        <v>1.0973821305272335</v>
      </c>
      <c r="FV2" s="10">
        <f t="shared" si="4"/>
        <v>1.0973821305272335</v>
      </c>
      <c r="FW2" s="10">
        <f t="shared" si="4"/>
        <v>1.0973821305272335</v>
      </c>
      <c r="FX2" s="10">
        <f t="shared" si="4"/>
        <v>1.0973821305272335</v>
      </c>
      <c r="FY2" s="10">
        <f t="shared" si="4"/>
        <v>1.0973821305272335</v>
      </c>
      <c r="FZ2" s="10">
        <f t="shared" si="4"/>
        <v>1.0973821305272335</v>
      </c>
      <c r="GA2" s="10">
        <f t="shared" si="4"/>
        <v>1.0973821305272335</v>
      </c>
      <c r="GB2" s="10">
        <f t="shared" si="4"/>
        <v>1.0973821305272335</v>
      </c>
      <c r="GC2" s="10">
        <f t="shared" si="4"/>
        <v>1.0973821305272335</v>
      </c>
      <c r="GD2" s="10">
        <f t="shared" si="4"/>
        <v>1.0973821305272335</v>
      </c>
      <c r="GE2" s="10">
        <f t="shared" si="4"/>
        <v>1.0973821305272335</v>
      </c>
      <c r="GF2" s="10">
        <f t="shared" si="4"/>
        <v>1.0973821305272335</v>
      </c>
      <c r="GG2" s="10">
        <f t="shared" si="4"/>
        <v>1.0973821305272335</v>
      </c>
      <c r="GH2" s="10">
        <f t="shared" si="4"/>
        <v>1.0973821305272335</v>
      </c>
      <c r="GI2" s="10">
        <f t="shared" si="4"/>
        <v>1.0973821305272335</v>
      </c>
      <c r="GJ2" s="10">
        <f t="shared" si="4"/>
        <v>1.0973821305272335</v>
      </c>
      <c r="GK2" s="10">
        <f t="shared" si="4"/>
        <v>1.0973821305272335</v>
      </c>
      <c r="GL2" s="10">
        <f t="shared" si="4"/>
        <v>1.0973821305272335</v>
      </c>
      <c r="GM2" s="10">
        <f t="shared" si="4"/>
        <v>1.0973821305272335</v>
      </c>
      <c r="GN2" s="10">
        <f t="shared" si="4"/>
        <v>1.0973821305272335</v>
      </c>
      <c r="GO2" s="10">
        <f t="shared" si="4"/>
        <v>1.0973821305272335</v>
      </c>
      <c r="GP2" s="10">
        <f t="shared" si="4"/>
        <v>1.0973821305272335</v>
      </c>
      <c r="GQ2" s="10">
        <f t="shared" si="4"/>
        <v>1.0973821305272335</v>
      </c>
      <c r="GR2" s="10">
        <f t="shared" si="4"/>
        <v>1.0973821305272335</v>
      </c>
      <c r="GS2" s="10">
        <f t="shared" si="4"/>
        <v>1.0973821305272335</v>
      </c>
      <c r="GT2" s="10">
        <f t="shared" si="4"/>
        <v>1.0973821305272335</v>
      </c>
      <c r="GU2" s="10">
        <f t="shared" si="4"/>
        <v>1.0973821305272335</v>
      </c>
      <c r="GV2" s="10">
        <f t="shared" si="4"/>
        <v>1.0973821305272335</v>
      </c>
      <c r="GW2" s="10">
        <f t="shared" si="4"/>
        <v>1.0973821305272335</v>
      </c>
      <c r="GX2" s="10">
        <f t="shared" si="4"/>
        <v>1.0973821305272335</v>
      </c>
      <c r="GY2" s="10">
        <f t="shared" si="4"/>
        <v>1.0973821305272335</v>
      </c>
      <c r="GZ2" s="10">
        <f t="shared" si="4"/>
        <v>1.0973821305272335</v>
      </c>
      <c r="HA2" s="10">
        <f t="shared" si="4"/>
        <v>1.0973821305272335</v>
      </c>
      <c r="HB2" s="10">
        <f t="shared" si="4"/>
        <v>1.0973821305272335</v>
      </c>
      <c r="HC2" s="10">
        <f t="shared" si="4"/>
        <v>1.0973821305272335</v>
      </c>
    </row>
    <row r="3" spans="1:211">
      <c r="A3" t="s">
        <v>75</v>
      </c>
      <c r="B3">
        <f>Calculation!B94</f>
        <v>0.59519030808256734</v>
      </c>
      <c r="C3" s="10">
        <f>$B3</f>
        <v>0.59519030808256734</v>
      </c>
      <c r="D3" s="10">
        <f t="shared" si="0"/>
        <v>0.59519030808256734</v>
      </c>
      <c r="E3" s="10">
        <f t="shared" si="0"/>
        <v>0.59519030808256734</v>
      </c>
      <c r="F3" s="10">
        <f t="shared" si="0"/>
        <v>0.59519030808256734</v>
      </c>
      <c r="G3" s="10">
        <f t="shared" si="1"/>
        <v>0.59519030808256734</v>
      </c>
      <c r="H3" s="10">
        <f t="shared" si="1"/>
        <v>0.59519030808256734</v>
      </c>
      <c r="I3" s="10">
        <f t="shared" si="0"/>
        <v>0.59519030808256734</v>
      </c>
      <c r="J3" s="10">
        <f t="shared" si="1"/>
        <v>0.59519030808256734</v>
      </c>
      <c r="K3" s="10">
        <f t="shared" si="1"/>
        <v>0.59519030808256734</v>
      </c>
      <c r="L3" s="10">
        <f t="shared" si="0"/>
        <v>0.59519030808256734</v>
      </c>
      <c r="M3" s="10">
        <f t="shared" si="1"/>
        <v>0.59519030808256734</v>
      </c>
      <c r="N3" s="10">
        <f t="shared" si="1"/>
        <v>0.59519030808256734</v>
      </c>
      <c r="O3" s="10">
        <f t="shared" si="0"/>
        <v>0.59519030808256734</v>
      </c>
      <c r="P3" s="10">
        <f t="shared" si="1"/>
        <v>0.59519030808256734</v>
      </c>
      <c r="Q3" s="10">
        <f t="shared" si="1"/>
        <v>0.59519030808256734</v>
      </c>
      <c r="R3" s="10">
        <f t="shared" si="0"/>
        <v>0.59519030808256734</v>
      </c>
      <c r="S3" s="10">
        <f t="shared" si="1"/>
        <v>0.59519030808256734</v>
      </c>
      <c r="T3" s="10">
        <f t="shared" si="1"/>
        <v>0.59519030808256734</v>
      </c>
      <c r="U3" s="10">
        <f t="shared" si="1"/>
        <v>0.59519030808256734</v>
      </c>
      <c r="V3" s="10">
        <f t="shared" si="1"/>
        <v>0.59519030808256734</v>
      </c>
      <c r="W3" s="10">
        <f t="shared" si="1"/>
        <v>0.59519030808256734</v>
      </c>
      <c r="X3" s="10">
        <f t="shared" si="1"/>
        <v>0.59519030808256734</v>
      </c>
      <c r="Y3" s="10">
        <f t="shared" si="1"/>
        <v>0.59519030808256734</v>
      </c>
      <c r="Z3" s="10">
        <f t="shared" si="1"/>
        <v>0.59519030808256734</v>
      </c>
      <c r="AA3" s="10">
        <f t="shared" si="1"/>
        <v>0.59519030808256734</v>
      </c>
      <c r="AB3" s="10">
        <f t="shared" si="1"/>
        <v>0.59519030808256734</v>
      </c>
      <c r="AC3" s="10">
        <f t="shared" si="1"/>
        <v>0.59519030808256734</v>
      </c>
      <c r="AD3" s="10">
        <f t="shared" si="1"/>
        <v>0.59519030808256734</v>
      </c>
      <c r="AE3" s="10">
        <f t="shared" si="1"/>
        <v>0.59519030808256734</v>
      </c>
      <c r="AF3" s="10">
        <f t="shared" si="1"/>
        <v>0.59519030808256734</v>
      </c>
      <c r="AG3" s="10">
        <f t="shared" si="1"/>
        <v>0.59519030808256734</v>
      </c>
      <c r="AH3" s="10">
        <f t="shared" ref="AH3:CS6" si="5">$B3</f>
        <v>0.59519030808256734</v>
      </c>
      <c r="AI3" s="10">
        <f t="shared" si="5"/>
        <v>0.59519030808256734</v>
      </c>
      <c r="AJ3" s="10">
        <f t="shared" si="5"/>
        <v>0.59519030808256734</v>
      </c>
      <c r="AK3" s="10">
        <f t="shared" si="5"/>
        <v>0.59519030808256734</v>
      </c>
      <c r="AL3" s="10">
        <f t="shared" si="5"/>
        <v>0.59519030808256734</v>
      </c>
      <c r="AM3" s="10">
        <f t="shared" si="5"/>
        <v>0.59519030808256734</v>
      </c>
      <c r="AN3" s="10">
        <f t="shared" si="5"/>
        <v>0.59519030808256734</v>
      </c>
      <c r="AO3" s="10">
        <f t="shared" si="5"/>
        <v>0.59519030808256734</v>
      </c>
      <c r="AP3" s="10">
        <f t="shared" si="5"/>
        <v>0.59519030808256734</v>
      </c>
      <c r="AQ3" s="10">
        <f t="shared" si="5"/>
        <v>0.59519030808256734</v>
      </c>
      <c r="AR3" s="10">
        <f t="shared" si="5"/>
        <v>0.59519030808256734</v>
      </c>
      <c r="AS3" s="10">
        <f t="shared" si="5"/>
        <v>0.59519030808256734</v>
      </c>
      <c r="AT3" s="10">
        <f t="shared" si="5"/>
        <v>0.59519030808256734</v>
      </c>
      <c r="AU3" s="10">
        <f t="shared" si="5"/>
        <v>0.59519030808256734</v>
      </c>
      <c r="AV3" s="10">
        <f t="shared" si="5"/>
        <v>0.59519030808256734</v>
      </c>
      <c r="AW3" s="10">
        <f t="shared" si="5"/>
        <v>0.59519030808256734</v>
      </c>
      <c r="AX3" s="10">
        <f t="shared" si="5"/>
        <v>0.59519030808256734</v>
      </c>
      <c r="AY3" s="10">
        <f t="shared" si="5"/>
        <v>0.59519030808256734</v>
      </c>
      <c r="AZ3" s="10">
        <f t="shared" si="5"/>
        <v>0.59519030808256734</v>
      </c>
      <c r="BA3" s="10">
        <f t="shared" si="5"/>
        <v>0.59519030808256734</v>
      </c>
      <c r="BB3" s="10">
        <f t="shared" si="5"/>
        <v>0.59519030808256734</v>
      </c>
      <c r="BC3" s="10">
        <f t="shared" si="5"/>
        <v>0.59519030808256734</v>
      </c>
      <c r="BD3" s="10">
        <f t="shared" si="5"/>
        <v>0.59519030808256734</v>
      </c>
      <c r="BE3" s="10">
        <f t="shared" si="5"/>
        <v>0.59519030808256734</v>
      </c>
      <c r="BF3" s="10">
        <f t="shared" si="5"/>
        <v>0.59519030808256734</v>
      </c>
      <c r="BG3" s="10">
        <f t="shared" si="5"/>
        <v>0.59519030808256734</v>
      </c>
      <c r="BH3" s="10">
        <f t="shared" si="5"/>
        <v>0.59519030808256734</v>
      </c>
      <c r="BI3" s="10">
        <f t="shared" si="5"/>
        <v>0.59519030808256734</v>
      </c>
      <c r="BJ3" s="10">
        <f t="shared" si="5"/>
        <v>0.59519030808256734</v>
      </c>
      <c r="BK3" s="10">
        <f t="shared" si="5"/>
        <v>0.59519030808256734</v>
      </c>
      <c r="BL3" s="10">
        <f t="shared" si="5"/>
        <v>0.59519030808256734</v>
      </c>
      <c r="BM3" s="10">
        <f t="shared" si="5"/>
        <v>0.59519030808256734</v>
      </c>
      <c r="BN3" s="10">
        <f t="shared" si="5"/>
        <v>0.59519030808256734</v>
      </c>
      <c r="BO3" s="10">
        <f t="shared" si="5"/>
        <v>0.59519030808256734</v>
      </c>
      <c r="BP3" s="10">
        <f t="shared" si="5"/>
        <v>0.59519030808256734</v>
      </c>
      <c r="BQ3" s="10">
        <f t="shared" si="5"/>
        <v>0.59519030808256734</v>
      </c>
      <c r="BR3" s="10">
        <f t="shared" si="5"/>
        <v>0.59519030808256734</v>
      </c>
      <c r="BS3" s="10">
        <f t="shared" si="5"/>
        <v>0.59519030808256734</v>
      </c>
      <c r="BT3" s="10">
        <f t="shared" si="5"/>
        <v>0.59519030808256734</v>
      </c>
      <c r="BU3" s="10">
        <f t="shared" si="5"/>
        <v>0.59519030808256734</v>
      </c>
      <c r="BV3" s="10">
        <f t="shared" si="5"/>
        <v>0.59519030808256734</v>
      </c>
      <c r="BW3" s="10">
        <f t="shared" si="5"/>
        <v>0.59519030808256734</v>
      </c>
      <c r="BX3" s="10">
        <f t="shared" si="5"/>
        <v>0.59519030808256734</v>
      </c>
      <c r="BY3" s="10">
        <f t="shared" si="5"/>
        <v>0.59519030808256734</v>
      </c>
      <c r="BZ3" s="10">
        <f t="shared" si="5"/>
        <v>0.59519030808256734</v>
      </c>
      <c r="CA3" s="10">
        <f t="shared" si="5"/>
        <v>0.59519030808256734</v>
      </c>
      <c r="CB3" s="10">
        <f t="shared" si="5"/>
        <v>0.59519030808256734</v>
      </c>
      <c r="CC3" s="10">
        <f t="shared" si="5"/>
        <v>0.59519030808256734</v>
      </c>
      <c r="CD3" s="10">
        <f t="shared" si="5"/>
        <v>0.59519030808256734</v>
      </c>
      <c r="CE3" s="10">
        <f t="shared" si="5"/>
        <v>0.59519030808256734</v>
      </c>
      <c r="CF3" s="10">
        <f t="shared" si="5"/>
        <v>0.59519030808256734</v>
      </c>
      <c r="CG3" s="10">
        <f t="shared" si="5"/>
        <v>0.59519030808256734</v>
      </c>
      <c r="CH3" s="10">
        <f t="shared" si="5"/>
        <v>0.59519030808256734</v>
      </c>
      <c r="CI3" s="10">
        <f t="shared" si="5"/>
        <v>0.59519030808256734</v>
      </c>
      <c r="CJ3" s="10">
        <f t="shared" si="5"/>
        <v>0.59519030808256734</v>
      </c>
      <c r="CK3" s="10">
        <f t="shared" si="5"/>
        <v>0.59519030808256734</v>
      </c>
      <c r="CL3" s="10">
        <f t="shared" si="5"/>
        <v>0.59519030808256734</v>
      </c>
      <c r="CM3" s="10">
        <f t="shared" si="5"/>
        <v>0.59519030808256734</v>
      </c>
      <c r="CN3" s="10">
        <f t="shared" si="5"/>
        <v>0.59519030808256734</v>
      </c>
      <c r="CO3" s="10">
        <f t="shared" si="5"/>
        <v>0.59519030808256734</v>
      </c>
      <c r="CP3" s="10">
        <f t="shared" si="5"/>
        <v>0.59519030808256734</v>
      </c>
      <c r="CQ3" s="10">
        <f t="shared" si="5"/>
        <v>0.59519030808256734</v>
      </c>
      <c r="CR3" s="10">
        <f t="shared" si="5"/>
        <v>0.59519030808256734</v>
      </c>
      <c r="CS3" s="10">
        <f t="shared" si="5"/>
        <v>0.59519030808256734</v>
      </c>
      <c r="CT3" s="10">
        <f t="shared" si="2"/>
        <v>0.59519030808256734</v>
      </c>
      <c r="CU3" s="10">
        <f t="shared" si="3"/>
        <v>0.59519030808256734</v>
      </c>
      <c r="CV3" s="10">
        <f t="shared" si="3"/>
        <v>0.59519030808256734</v>
      </c>
      <c r="CW3" s="10">
        <f t="shared" si="3"/>
        <v>0.59519030808256734</v>
      </c>
      <c r="CX3" s="10">
        <f t="shared" si="3"/>
        <v>0.59519030808256734</v>
      </c>
      <c r="CY3" s="10">
        <f t="shared" si="3"/>
        <v>0.59519030808256734</v>
      </c>
      <c r="CZ3" s="10">
        <f t="shared" si="3"/>
        <v>0.59519030808256734</v>
      </c>
      <c r="DA3" s="10">
        <f t="shared" si="3"/>
        <v>0.59519030808256734</v>
      </c>
      <c r="DB3" s="10">
        <f t="shared" si="3"/>
        <v>0.59519030808256734</v>
      </c>
      <c r="DC3" s="10">
        <f t="shared" si="3"/>
        <v>0.59519030808256734</v>
      </c>
      <c r="DD3" s="10">
        <f t="shared" si="3"/>
        <v>0.59519030808256734</v>
      </c>
      <c r="DE3" s="10">
        <f t="shared" si="3"/>
        <v>0.59519030808256734</v>
      </c>
      <c r="DF3" s="10">
        <f t="shared" si="3"/>
        <v>0.59519030808256734</v>
      </c>
      <c r="DG3" s="10">
        <f t="shared" si="3"/>
        <v>0.59519030808256734</v>
      </c>
      <c r="DH3" s="10">
        <f t="shared" si="3"/>
        <v>0.59519030808256734</v>
      </c>
      <c r="DI3" s="10">
        <f t="shared" si="3"/>
        <v>0.59519030808256734</v>
      </c>
      <c r="DJ3" s="10">
        <f t="shared" si="3"/>
        <v>0.59519030808256734</v>
      </c>
      <c r="DK3" s="10">
        <f t="shared" si="3"/>
        <v>0.59519030808256734</v>
      </c>
      <c r="DL3" s="10">
        <f t="shared" si="3"/>
        <v>0.59519030808256734</v>
      </c>
      <c r="DM3" s="10">
        <f t="shared" si="3"/>
        <v>0.59519030808256734</v>
      </c>
      <c r="DN3" s="10">
        <f t="shared" si="3"/>
        <v>0.59519030808256734</v>
      </c>
      <c r="DO3" s="10">
        <f t="shared" si="3"/>
        <v>0.59519030808256734</v>
      </c>
      <c r="DP3" s="10">
        <f t="shared" si="3"/>
        <v>0.59519030808256734</v>
      </c>
      <c r="DQ3" s="10">
        <f t="shared" si="3"/>
        <v>0.59519030808256734</v>
      </c>
      <c r="DR3" s="10">
        <f t="shared" si="3"/>
        <v>0.59519030808256734</v>
      </c>
      <c r="DS3" s="10">
        <f t="shared" si="3"/>
        <v>0.59519030808256734</v>
      </c>
      <c r="DT3" s="10">
        <f t="shared" si="3"/>
        <v>0.59519030808256734</v>
      </c>
      <c r="DU3" s="10">
        <f t="shared" si="3"/>
        <v>0.59519030808256734</v>
      </c>
      <c r="DV3" s="10">
        <f t="shared" si="3"/>
        <v>0.59519030808256734</v>
      </c>
      <c r="DW3" s="10">
        <f t="shared" si="3"/>
        <v>0.59519030808256734</v>
      </c>
      <c r="DX3" s="10">
        <f t="shared" si="3"/>
        <v>0.59519030808256734</v>
      </c>
      <c r="DY3" s="10">
        <f t="shared" si="3"/>
        <v>0.59519030808256734</v>
      </c>
      <c r="DZ3" s="10">
        <f t="shared" si="3"/>
        <v>0.59519030808256734</v>
      </c>
      <c r="EA3" s="10">
        <f t="shared" si="3"/>
        <v>0.59519030808256734</v>
      </c>
      <c r="EB3" s="10">
        <f t="shared" si="3"/>
        <v>0.59519030808256734</v>
      </c>
      <c r="EC3" s="10">
        <f t="shared" si="3"/>
        <v>0.59519030808256734</v>
      </c>
      <c r="ED3" s="10">
        <f t="shared" si="3"/>
        <v>0.59519030808256734</v>
      </c>
      <c r="EE3" s="10">
        <f t="shared" si="3"/>
        <v>0.59519030808256734</v>
      </c>
      <c r="EF3" s="10">
        <f t="shared" si="3"/>
        <v>0.59519030808256734</v>
      </c>
      <c r="EG3" s="10">
        <f t="shared" si="3"/>
        <v>0.59519030808256734</v>
      </c>
      <c r="EH3" s="10">
        <f t="shared" si="3"/>
        <v>0.59519030808256734</v>
      </c>
      <c r="EI3" s="10">
        <f t="shared" si="3"/>
        <v>0.59519030808256734</v>
      </c>
      <c r="EJ3" s="10">
        <f t="shared" si="3"/>
        <v>0.59519030808256734</v>
      </c>
      <c r="EK3" s="10">
        <f t="shared" si="3"/>
        <v>0.59519030808256734</v>
      </c>
      <c r="EL3" s="10">
        <f t="shared" si="3"/>
        <v>0.59519030808256734</v>
      </c>
      <c r="EM3" s="10">
        <f t="shared" si="3"/>
        <v>0.59519030808256734</v>
      </c>
      <c r="EN3" s="10">
        <f t="shared" si="3"/>
        <v>0.59519030808256734</v>
      </c>
      <c r="EO3" s="10">
        <f t="shared" si="3"/>
        <v>0.59519030808256734</v>
      </c>
      <c r="EP3" s="10">
        <f t="shared" si="3"/>
        <v>0.59519030808256734</v>
      </c>
      <c r="EQ3" s="10">
        <f t="shared" si="3"/>
        <v>0.59519030808256734</v>
      </c>
      <c r="ER3" s="10">
        <f t="shared" si="3"/>
        <v>0.59519030808256734</v>
      </c>
      <c r="ES3" s="10">
        <f t="shared" si="3"/>
        <v>0.59519030808256734</v>
      </c>
      <c r="ET3" s="10">
        <f t="shared" si="3"/>
        <v>0.59519030808256734</v>
      </c>
      <c r="EU3" s="10">
        <f t="shared" si="3"/>
        <v>0.59519030808256734</v>
      </c>
      <c r="EV3" s="10">
        <f t="shared" si="3"/>
        <v>0.59519030808256734</v>
      </c>
      <c r="EW3" s="10">
        <f t="shared" si="3"/>
        <v>0.59519030808256734</v>
      </c>
      <c r="EX3" s="10">
        <f t="shared" si="3"/>
        <v>0.59519030808256734</v>
      </c>
      <c r="EY3" s="10">
        <f t="shared" si="3"/>
        <v>0.59519030808256734</v>
      </c>
      <c r="EZ3" s="10">
        <f t="shared" si="3"/>
        <v>0.59519030808256734</v>
      </c>
      <c r="FA3" s="10">
        <f t="shared" si="3"/>
        <v>0.59519030808256734</v>
      </c>
      <c r="FB3" s="10">
        <f t="shared" si="3"/>
        <v>0.59519030808256734</v>
      </c>
      <c r="FC3" s="10">
        <f t="shared" si="3"/>
        <v>0.59519030808256734</v>
      </c>
      <c r="FD3" s="10">
        <f t="shared" si="3"/>
        <v>0.59519030808256734</v>
      </c>
      <c r="FE3" s="10">
        <f t="shared" si="3"/>
        <v>0.59519030808256734</v>
      </c>
      <c r="FF3" s="10">
        <f t="shared" si="3"/>
        <v>0.59519030808256734</v>
      </c>
      <c r="FG3" s="10">
        <f t="shared" si="4"/>
        <v>0.59519030808256734</v>
      </c>
      <c r="FH3" s="10">
        <f t="shared" si="4"/>
        <v>0.59519030808256734</v>
      </c>
      <c r="FI3" s="10">
        <f t="shared" si="4"/>
        <v>0.59519030808256734</v>
      </c>
      <c r="FJ3" s="10">
        <f t="shared" si="4"/>
        <v>0.59519030808256734</v>
      </c>
      <c r="FK3" s="10">
        <f t="shared" si="4"/>
        <v>0.59519030808256734</v>
      </c>
      <c r="FL3" s="10">
        <f t="shared" si="4"/>
        <v>0.59519030808256734</v>
      </c>
      <c r="FM3" s="10">
        <f t="shared" si="4"/>
        <v>0.59519030808256734</v>
      </c>
      <c r="FN3" s="10">
        <f t="shared" si="4"/>
        <v>0.59519030808256734</v>
      </c>
      <c r="FO3" s="10">
        <f t="shared" si="4"/>
        <v>0.59519030808256734</v>
      </c>
      <c r="FP3" s="10">
        <f t="shared" si="4"/>
        <v>0.59519030808256734</v>
      </c>
      <c r="FQ3" s="10">
        <f t="shared" si="4"/>
        <v>0.59519030808256734</v>
      </c>
      <c r="FR3" s="10">
        <f t="shared" si="4"/>
        <v>0.59519030808256734</v>
      </c>
      <c r="FS3" s="10">
        <f t="shared" si="4"/>
        <v>0.59519030808256734</v>
      </c>
      <c r="FT3" s="10">
        <f t="shared" si="4"/>
        <v>0.59519030808256734</v>
      </c>
      <c r="FU3" s="10">
        <f t="shared" si="4"/>
        <v>0.59519030808256734</v>
      </c>
      <c r="FV3" s="10">
        <f t="shared" si="4"/>
        <v>0.59519030808256734</v>
      </c>
      <c r="FW3" s="10">
        <f t="shared" si="4"/>
        <v>0.59519030808256734</v>
      </c>
      <c r="FX3" s="10">
        <f t="shared" si="4"/>
        <v>0.59519030808256734</v>
      </c>
      <c r="FY3" s="10">
        <f t="shared" si="4"/>
        <v>0.59519030808256734</v>
      </c>
      <c r="FZ3" s="10">
        <f t="shared" si="4"/>
        <v>0.59519030808256734</v>
      </c>
      <c r="GA3" s="10">
        <f t="shared" si="4"/>
        <v>0.59519030808256734</v>
      </c>
      <c r="GB3" s="10">
        <f t="shared" si="4"/>
        <v>0.59519030808256734</v>
      </c>
      <c r="GC3" s="10">
        <f t="shared" si="4"/>
        <v>0.59519030808256734</v>
      </c>
      <c r="GD3" s="10">
        <f t="shared" si="4"/>
        <v>0.59519030808256734</v>
      </c>
      <c r="GE3" s="10">
        <f t="shared" si="4"/>
        <v>0.59519030808256734</v>
      </c>
      <c r="GF3" s="10">
        <f t="shared" si="4"/>
        <v>0.59519030808256734</v>
      </c>
      <c r="GG3" s="10">
        <f t="shared" si="4"/>
        <v>0.59519030808256734</v>
      </c>
      <c r="GH3" s="10">
        <f t="shared" si="4"/>
        <v>0.59519030808256734</v>
      </c>
      <c r="GI3" s="10">
        <f t="shared" si="4"/>
        <v>0.59519030808256734</v>
      </c>
      <c r="GJ3" s="10">
        <f t="shared" si="4"/>
        <v>0.59519030808256734</v>
      </c>
      <c r="GK3" s="10">
        <f t="shared" si="4"/>
        <v>0.59519030808256734</v>
      </c>
      <c r="GL3" s="10">
        <f t="shared" si="4"/>
        <v>0.59519030808256734</v>
      </c>
      <c r="GM3" s="10">
        <f t="shared" si="4"/>
        <v>0.59519030808256734</v>
      </c>
      <c r="GN3" s="10">
        <f t="shared" si="4"/>
        <v>0.59519030808256734</v>
      </c>
      <c r="GO3" s="10">
        <f t="shared" si="4"/>
        <v>0.59519030808256734</v>
      </c>
      <c r="GP3" s="10">
        <f t="shared" si="4"/>
        <v>0.59519030808256734</v>
      </c>
      <c r="GQ3" s="10">
        <f t="shared" si="4"/>
        <v>0.59519030808256734</v>
      </c>
      <c r="GR3" s="10">
        <f t="shared" si="4"/>
        <v>0.59519030808256734</v>
      </c>
      <c r="GS3" s="10">
        <f t="shared" si="4"/>
        <v>0.59519030808256734</v>
      </c>
      <c r="GT3" s="10">
        <f t="shared" si="4"/>
        <v>0.59519030808256734</v>
      </c>
      <c r="GU3" s="10">
        <f t="shared" si="4"/>
        <v>0.59519030808256734</v>
      </c>
      <c r="GV3" s="10">
        <f t="shared" si="4"/>
        <v>0.59519030808256734</v>
      </c>
      <c r="GW3" s="10">
        <f t="shared" si="4"/>
        <v>0.59519030808256734</v>
      </c>
      <c r="GX3" s="10">
        <f t="shared" si="4"/>
        <v>0.59519030808256734</v>
      </c>
      <c r="GY3" s="10">
        <f t="shared" si="4"/>
        <v>0.59519030808256734</v>
      </c>
      <c r="GZ3" s="10">
        <f t="shared" si="4"/>
        <v>0.59519030808256734</v>
      </c>
      <c r="HA3" s="10">
        <f t="shared" si="4"/>
        <v>0.59519030808256734</v>
      </c>
      <c r="HB3" s="10">
        <f t="shared" si="4"/>
        <v>0.59519030808256734</v>
      </c>
      <c r="HC3" s="10">
        <f t="shared" si="4"/>
        <v>0.59519030808256734</v>
      </c>
    </row>
    <row r="4" spans="1:211">
      <c r="A4" t="s">
        <v>76</v>
      </c>
      <c r="B4" s="10">
        <f>Calculation!B94</f>
        <v>0.59519030808256734</v>
      </c>
      <c r="C4" s="10">
        <f t="shared" ref="C4:R19" si="6">$B4</f>
        <v>0.59519030808256734</v>
      </c>
      <c r="D4" s="10">
        <f t="shared" si="6"/>
        <v>0.59519030808256734</v>
      </c>
      <c r="E4" s="10">
        <f t="shared" si="6"/>
        <v>0.59519030808256734</v>
      </c>
      <c r="F4" s="10">
        <f t="shared" si="6"/>
        <v>0.59519030808256734</v>
      </c>
      <c r="G4" s="10">
        <f t="shared" si="6"/>
        <v>0.59519030808256734</v>
      </c>
      <c r="H4" s="10">
        <f t="shared" si="6"/>
        <v>0.59519030808256734</v>
      </c>
      <c r="I4" s="10">
        <f t="shared" si="6"/>
        <v>0.59519030808256734</v>
      </c>
      <c r="J4" s="10">
        <f t="shared" si="6"/>
        <v>0.59519030808256734</v>
      </c>
      <c r="K4" s="10">
        <f t="shared" si="6"/>
        <v>0.59519030808256734</v>
      </c>
      <c r="L4" s="10">
        <f t="shared" si="6"/>
        <v>0.59519030808256734</v>
      </c>
      <c r="M4" s="10">
        <f t="shared" si="6"/>
        <v>0.59519030808256734</v>
      </c>
      <c r="N4" s="10">
        <f t="shared" si="6"/>
        <v>0.59519030808256734</v>
      </c>
      <c r="O4" s="10">
        <f t="shared" si="6"/>
        <v>0.59519030808256734</v>
      </c>
      <c r="P4" s="10">
        <f t="shared" si="6"/>
        <v>0.59519030808256734</v>
      </c>
      <c r="Q4" s="10">
        <f t="shared" si="6"/>
        <v>0.59519030808256734</v>
      </c>
      <c r="R4" s="10">
        <f t="shared" si="6"/>
        <v>0.59519030808256734</v>
      </c>
      <c r="S4" s="10">
        <f t="shared" si="1"/>
        <v>0.59519030808256734</v>
      </c>
      <c r="T4" s="10">
        <f t="shared" si="1"/>
        <v>0.59519030808256734</v>
      </c>
      <c r="U4" s="10">
        <f t="shared" si="1"/>
        <v>0.59519030808256734</v>
      </c>
      <c r="V4" s="10">
        <f t="shared" si="1"/>
        <v>0.59519030808256734</v>
      </c>
      <c r="W4" s="10">
        <f t="shared" si="1"/>
        <v>0.59519030808256734</v>
      </c>
      <c r="X4" s="10">
        <f t="shared" si="1"/>
        <v>0.59519030808256734</v>
      </c>
      <c r="Y4" s="10">
        <f t="shared" si="1"/>
        <v>0.59519030808256734</v>
      </c>
      <c r="Z4" s="10">
        <f t="shared" si="1"/>
        <v>0.59519030808256734</v>
      </c>
      <c r="AA4" s="10">
        <f t="shared" si="1"/>
        <v>0.59519030808256734</v>
      </c>
      <c r="AB4" s="10">
        <f t="shared" si="1"/>
        <v>0.59519030808256734</v>
      </c>
      <c r="AC4" s="10">
        <f t="shared" si="1"/>
        <v>0.59519030808256734</v>
      </c>
      <c r="AD4" s="10">
        <f t="shared" si="1"/>
        <v>0.59519030808256734</v>
      </c>
      <c r="AE4" s="10">
        <f t="shared" si="1"/>
        <v>0.59519030808256734</v>
      </c>
      <c r="AF4" s="10">
        <f t="shared" si="1"/>
        <v>0.59519030808256734</v>
      </c>
      <c r="AG4" s="10">
        <f t="shared" si="1"/>
        <v>0.59519030808256734</v>
      </c>
      <c r="AH4" s="10">
        <f t="shared" si="5"/>
        <v>0.59519030808256734</v>
      </c>
      <c r="AI4" s="10">
        <f t="shared" si="5"/>
        <v>0.59519030808256734</v>
      </c>
      <c r="AJ4" s="10">
        <f t="shared" si="5"/>
        <v>0.59519030808256734</v>
      </c>
      <c r="AK4" s="10">
        <f t="shared" si="5"/>
        <v>0.59519030808256734</v>
      </c>
      <c r="AL4" s="10">
        <f t="shared" si="5"/>
        <v>0.59519030808256734</v>
      </c>
      <c r="AM4" s="10">
        <f t="shared" si="5"/>
        <v>0.59519030808256734</v>
      </c>
      <c r="AN4" s="10">
        <f t="shared" si="5"/>
        <v>0.59519030808256734</v>
      </c>
      <c r="AO4" s="10">
        <f t="shared" si="5"/>
        <v>0.59519030808256734</v>
      </c>
      <c r="AP4" s="10">
        <f t="shared" si="5"/>
        <v>0.59519030808256734</v>
      </c>
      <c r="AQ4" s="10">
        <f t="shared" si="5"/>
        <v>0.59519030808256734</v>
      </c>
      <c r="AR4" s="10">
        <f t="shared" si="5"/>
        <v>0.59519030808256734</v>
      </c>
      <c r="AS4" s="10">
        <f t="shared" si="5"/>
        <v>0.59519030808256734</v>
      </c>
      <c r="AT4" s="10">
        <f t="shared" si="5"/>
        <v>0.59519030808256734</v>
      </c>
      <c r="AU4" s="10">
        <f t="shared" si="5"/>
        <v>0.59519030808256734</v>
      </c>
      <c r="AV4" s="10">
        <f t="shared" si="5"/>
        <v>0.59519030808256734</v>
      </c>
      <c r="AW4" s="10">
        <f t="shared" si="5"/>
        <v>0.59519030808256734</v>
      </c>
      <c r="AX4" s="10">
        <f t="shared" si="5"/>
        <v>0.59519030808256734</v>
      </c>
      <c r="AY4" s="10">
        <f t="shared" si="5"/>
        <v>0.59519030808256734</v>
      </c>
      <c r="AZ4" s="10">
        <f t="shared" si="5"/>
        <v>0.59519030808256734</v>
      </c>
      <c r="BA4" s="10">
        <f t="shared" si="5"/>
        <v>0.59519030808256734</v>
      </c>
      <c r="BB4" s="10">
        <f t="shared" si="5"/>
        <v>0.59519030808256734</v>
      </c>
      <c r="BC4" s="10">
        <f t="shared" si="5"/>
        <v>0.59519030808256734</v>
      </c>
      <c r="BD4" s="10">
        <f t="shared" si="5"/>
        <v>0.59519030808256734</v>
      </c>
      <c r="BE4" s="10">
        <f t="shared" si="5"/>
        <v>0.59519030808256734</v>
      </c>
      <c r="BF4" s="10">
        <f t="shared" si="5"/>
        <v>0.59519030808256734</v>
      </c>
      <c r="BG4" s="10">
        <f t="shared" si="5"/>
        <v>0.59519030808256734</v>
      </c>
      <c r="BH4" s="10">
        <f t="shared" si="5"/>
        <v>0.59519030808256734</v>
      </c>
      <c r="BI4" s="10">
        <f t="shared" si="5"/>
        <v>0.59519030808256734</v>
      </c>
      <c r="BJ4" s="10">
        <f t="shared" si="5"/>
        <v>0.59519030808256734</v>
      </c>
      <c r="BK4" s="10">
        <f t="shared" si="5"/>
        <v>0.59519030808256734</v>
      </c>
      <c r="BL4" s="10">
        <f t="shared" si="5"/>
        <v>0.59519030808256734</v>
      </c>
      <c r="BM4" s="10">
        <f t="shared" si="5"/>
        <v>0.59519030808256734</v>
      </c>
      <c r="BN4" s="10">
        <f t="shared" si="5"/>
        <v>0.59519030808256734</v>
      </c>
      <c r="BO4" s="10">
        <f t="shared" si="5"/>
        <v>0.59519030808256734</v>
      </c>
      <c r="BP4" s="10">
        <f t="shared" si="5"/>
        <v>0.59519030808256734</v>
      </c>
      <c r="BQ4" s="10">
        <f t="shared" si="5"/>
        <v>0.59519030808256734</v>
      </c>
      <c r="BR4" s="10">
        <f t="shared" si="5"/>
        <v>0.59519030808256734</v>
      </c>
      <c r="BS4" s="10">
        <f t="shared" si="5"/>
        <v>0.59519030808256734</v>
      </c>
      <c r="BT4" s="10">
        <f t="shared" si="5"/>
        <v>0.59519030808256734</v>
      </c>
      <c r="BU4" s="10">
        <f t="shared" si="5"/>
        <v>0.59519030808256734</v>
      </c>
      <c r="BV4" s="10">
        <f t="shared" si="5"/>
        <v>0.59519030808256734</v>
      </c>
      <c r="BW4" s="10">
        <f t="shared" si="5"/>
        <v>0.59519030808256734</v>
      </c>
      <c r="BX4" s="10">
        <f t="shared" si="5"/>
        <v>0.59519030808256734</v>
      </c>
      <c r="BY4" s="10">
        <f t="shared" si="5"/>
        <v>0.59519030808256734</v>
      </c>
      <c r="BZ4" s="10">
        <f t="shared" si="5"/>
        <v>0.59519030808256734</v>
      </c>
      <c r="CA4" s="10">
        <f t="shared" si="5"/>
        <v>0.59519030808256734</v>
      </c>
      <c r="CB4" s="10">
        <f t="shared" si="5"/>
        <v>0.59519030808256734</v>
      </c>
      <c r="CC4" s="10">
        <f t="shared" si="5"/>
        <v>0.59519030808256734</v>
      </c>
      <c r="CD4" s="10">
        <f t="shared" si="5"/>
        <v>0.59519030808256734</v>
      </c>
      <c r="CE4" s="10">
        <f t="shared" si="5"/>
        <v>0.59519030808256734</v>
      </c>
      <c r="CF4" s="10">
        <f t="shared" si="5"/>
        <v>0.59519030808256734</v>
      </c>
      <c r="CG4" s="10">
        <f t="shared" si="5"/>
        <v>0.59519030808256734</v>
      </c>
      <c r="CH4" s="10">
        <f t="shared" si="5"/>
        <v>0.59519030808256734</v>
      </c>
      <c r="CI4" s="10">
        <f t="shared" si="5"/>
        <v>0.59519030808256734</v>
      </c>
      <c r="CJ4" s="10">
        <f t="shared" si="5"/>
        <v>0.59519030808256734</v>
      </c>
      <c r="CK4" s="10">
        <f t="shared" si="5"/>
        <v>0.59519030808256734</v>
      </c>
      <c r="CL4" s="10">
        <f t="shared" si="5"/>
        <v>0.59519030808256734</v>
      </c>
      <c r="CM4" s="10">
        <f t="shared" si="5"/>
        <v>0.59519030808256734</v>
      </c>
      <c r="CN4" s="10">
        <f t="shared" si="5"/>
        <v>0.59519030808256734</v>
      </c>
      <c r="CO4" s="10">
        <f t="shared" si="5"/>
        <v>0.59519030808256734</v>
      </c>
      <c r="CP4" s="10">
        <f t="shared" si="5"/>
        <v>0.59519030808256734</v>
      </c>
      <c r="CQ4" s="10">
        <f t="shared" si="5"/>
        <v>0.59519030808256734</v>
      </c>
      <c r="CR4" s="10">
        <f t="shared" si="5"/>
        <v>0.59519030808256734</v>
      </c>
      <c r="CS4" s="10">
        <f t="shared" si="5"/>
        <v>0.59519030808256734</v>
      </c>
      <c r="CT4" s="10">
        <f t="shared" si="2"/>
        <v>0.59519030808256734</v>
      </c>
      <c r="CU4" s="10">
        <f t="shared" si="3"/>
        <v>0.59519030808256734</v>
      </c>
      <c r="CV4" s="10">
        <f t="shared" si="3"/>
        <v>0.59519030808256734</v>
      </c>
      <c r="CW4" s="10">
        <f t="shared" si="3"/>
        <v>0.59519030808256734</v>
      </c>
      <c r="CX4" s="10">
        <f t="shared" si="3"/>
        <v>0.59519030808256734</v>
      </c>
      <c r="CY4" s="10">
        <f t="shared" si="3"/>
        <v>0.59519030808256734</v>
      </c>
      <c r="CZ4" s="10">
        <f t="shared" si="3"/>
        <v>0.59519030808256734</v>
      </c>
      <c r="DA4" s="10">
        <f t="shared" si="3"/>
        <v>0.59519030808256734</v>
      </c>
      <c r="DB4" s="10">
        <f t="shared" si="3"/>
        <v>0.59519030808256734</v>
      </c>
      <c r="DC4" s="10">
        <f t="shared" si="3"/>
        <v>0.59519030808256734</v>
      </c>
      <c r="DD4" s="10">
        <f t="shared" si="3"/>
        <v>0.59519030808256734</v>
      </c>
      <c r="DE4" s="10">
        <f t="shared" si="3"/>
        <v>0.59519030808256734</v>
      </c>
      <c r="DF4" s="10">
        <f t="shared" si="3"/>
        <v>0.59519030808256734</v>
      </c>
      <c r="DG4" s="10">
        <f t="shared" si="3"/>
        <v>0.59519030808256734</v>
      </c>
      <c r="DH4" s="10">
        <f t="shared" si="3"/>
        <v>0.59519030808256734</v>
      </c>
      <c r="DI4" s="10">
        <f t="shared" si="3"/>
        <v>0.59519030808256734</v>
      </c>
      <c r="DJ4" s="10">
        <f t="shared" si="3"/>
        <v>0.59519030808256734</v>
      </c>
      <c r="DK4" s="10">
        <f t="shared" si="3"/>
        <v>0.59519030808256734</v>
      </c>
      <c r="DL4" s="10">
        <f t="shared" si="3"/>
        <v>0.59519030808256734</v>
      </c>
      <c r="DM4" s="10">
        <f t="shared" si="3"/>
        <v>0.59519030808256734</v>
      </c>
      <c r="DN4" s="10">
        <f t="shared" si="3"/>
        <v>0.59519030808256734</v>
      </c>
      <c r="DO4" s="10">
        <f t="shared" si="3"/>
        <v>0.59519030808256734</v>
      </c>
      <c r="DP4" s="10">
        <f t="shared" si="3"/>
        <v>0.59519030808256734</v>
      </c>
      <c r="DQ4" s="10">
        <f t="shared" si="3"/>
        <v>0.59519030808256734</v>
      </c>
      <c r="DR4" s="10">
        <f t="shared" si="3"/>
        <v>0.59519030808256734</v>
      </c>
      <c r="DS4" s="10">
        <f t="shared" si="3"/>
        <v>0.59519030808256734</v>
      </c>
      <c r="DT4" s="10">
        <f t="shared" si="3"/>
        <v>0.59519030808256734</v>
      </c>
      <c r="DU4" s="10">
        <f t="shared" si="3"/>
        <v>0.59519030808256734</v>
      </c>
      <c r="DV4" s="10">
        <f t="shared" si="3"/>
        <v>0.59519030808256734</v>
      </c>
      <c r="DW4" s="10">
        <f t="shared" si="3"/>
        <v>0.59519030808256734</v>
      </c>
      <c r="DX4" s="10">
        <f t="shared" si="3"/>
        <v>0.59519030808256734</v>
      </c>
      <c r="DY4" s="10">
        <f t="shared" si="3"/>
        <v>0.59519030808256734</v>
      </c>
      <c r="DZ4" s="10">
        <f t="shared" si="3"/>
        <v>0.59519030808256734</v>
      </c>
      <c r="EA4" s="10">
        <f t="shared" si="3"/>
        <v>0.59519030808256734</v>
      </c>
      <c r="EB4" s="10">
        <f t="shared" si="3"/>
        <v>0.59519030808256734</v>
      </c>
      <c r="EC4" s="10">
        <f t="shared" si="3"/>
        <v>0.59519030808256734</v>
      </c>
      <c r="ED4" s="10">
        <f t="shared" si="3"/>
        <v>0.59519030808256734</v>
      </c>
      <c r="EE4" s="10">
        <f t="shared" si="3"/>
        <v>0.59519030808256734</v>
      </c>
      <c r="EF4" s="10">
        <f t="shared" si="3"/>
        <v>0.59519030808256734</v>
      </c>
      <c r="EG4" s="10">
        <f t="shared" si="3"/>
        <v>0.59519030808256734</v>
      </c>
      <c r="EH4" s="10">
        <f t="shared" si="3"/>
        <v>0.59519030808256734</v>
      </c>
      <c r="EI4" s="10">
        <f t="shared" si="3"/>
        <v>0.59519030808256734</v>
      </c>
      <c r="EJ4" s="10">
        <f t="shared" si="3"/>
        <v>0.59519030808256734</v>
      </c>
      <c r="EK4" s="10">
        <f t="shared" si="3"/>
        <v>0.59519030808256734</v>
      </c>
      <c r="EL4" s="10">
        <f t="shared" si="3"/>
        <v>0.59519030808256734</v>
      </c>
      <c r="EM4" s="10">
        <f t="shared" si="3"/>
        <v>0.59519030808256734</v>
      </c>
      <c r="EN4" s="10">
        <f t="shared" si="3"/>
        <v>0.59519030808256734</v>
      </c>
      <c r="EO4" s="10">
        <f t="shared" si="3"/>
        <v>0.59519030808256734</v>
      </c>
      <c r="EP4" s="10">
        <f t="shared" si="3"/>
        <v>0.59519030808256734</v>
      </c>
      <c r="EQ4" s="10">
        <f t="shared" si="3"/>
        <v>0.59519030808256734</v>
      </c>
      <c r="ER4" s="10">
        <f t="shared" si="3"/>
        <v>0.59519030808256734</v>
      </c>
      <c r="ES4" s="10">
        <f t="shared" si="3"/>
        <v>0.59519030808256734</v>
      </c>
      <c r="ET4" s="10">
        <f t="shared" si="3"/>
        <v>0.59519030808256734</v>
      </c>
      <c r="EU4" s="10">
        <f t="shared" si="3"/>
        <v>0.59519030808256734</v>
      </c>
      <c r="EV4" s="10">
        <f t="shared" si="3"/>
        <v>0.59519030808256734</v>
      </c>
      <c r="EW4" s="10">
        <f t="shared" si="3"/>
        <v>0.59519030808256734</v>
      </c>
      <c r="EX4" s="10">
        <f t="shared" si="3"/>
        <v>0.59519030808256734</v>
      </c>
      <c r="EY4" s="10">
        <f t="shared" si="3"/>
        <v>0.59519030808256734</v>
      </c>
      <c r="EZ4" s="10">
        <f t="shared" si="3"/>
        <v>0.59519030808256734</v>
      </c>
      <c r="FA4" s="10">
        <f t="shared" si="3"/>
        <v>0.59519030808256734</v>
      </c>
      <c r="FB4" s="10">
        <f t="shared" si="3"/>
        <v>0.59519030808256734</v>
      </c>
      <c r="FC4" s="10">
        <f t="shared" si="3"/>
        <v>0.59519030808256734</v>
      </c>
      <c r="FD4" s="10">
        <f t="shared" si="3"/>
        <v>0.59519030808256734</v>
      </c>
      <c r="FE4" s="10">
        <f t="shared" si="3"/>
        <v>0.59519030808256734</v>
      </c>
      <c r="FF4" s="10">
        <f t="shared" si="3"/>
        <v>0.59519030808256734</v>
      </c>
      <c r="FG4" s="10">
        <f t="shared" si="4"/>
        <v>0.59519030808256734</v>
      </c>
      <c r="FH4" s="10">
        <f t="shared" si="4"/>
        <v>0.59519030808256734</v>
      </c>
      <c r="FI4" s="10">
        <f t="shared" si="4"/>
        <v>0.59519030808256734</v>
      </c>
      <c r="FJ4" s="10">
        <f t="shared" si="4"/>
        <v>0.59519030808256734</v>
      </c>
      <c r="FK4" s="10">
        <f t="shared" si="4"/>
        <v>0.59519030808256734</v>
      </c>
      <c r="FL4" s="10">
        <f t="shared" si="4"/>
        <v>0.59519030808256734</v>
      </c>
      <c r="FM4" s="10">
        <f t="shared" si="4"/>
        <v>0.59519030808256734</v>
      </c>
      <c r="FN4" s="10">
        <f t="shared" si="4"/>
        <v>0.59519030808256734</v>
      </c>
      <c r="FO4" s="10">
        <f t="shared" si="4"/>
        <v>0.59519030808256734</v>
      </c>
      <c r="FP4" s="10">
        <f t="shared" si="4"/>
        <v>0.59519030808256734</v>
      </c>
      <c r="FQ4" s="10">
        <f t="shared" si="4"/>
        <v>0.59519030808256734</v>
      </c>
      <c r="FR4" s="10">
        <f t="shared" si="4"/>
        <v>0.59519030808256734</v>
      </c>
      <c r="FS4" s="10">
        <f t="shared" si="4"/>
        <v>0.59519030808256734</v>
      </c>
      <c r="FT4" s="10">
        <f t="shared" si="4"/>
        <v>0.59519030808256734</v>
      </c>
      <c r="FU4" s="10">
        <f t="shared" si="4"/>
        <v>0.59519030808256734</v>
      </c>
      <c r="FV4" s="10">
        <f t="shared" si="4"/>
        <v>0.59519030808256734</v>
      </c>
      <c r="FW4" s="10">
        <f t="shared" si="4"/>
        <v>0.59519030808256734</v>
      </c>
      <c r="FX4" s="10">
        <f t="shared" si="4"/>
        <v>0.59519030808256734</v>
      </c>
      <c r="FY4" s="10">
        <f t="shared" si="4"/>
        <v>0.59519030808256734</v>
      </c>
      <c r="FZ4" s="10">
        <f t="shared" si="4"/>
        <v>0.59519030808256734</v>
      </c>
      <c r="GA4" s="10">
        <f t="shared" si="4"/>
        <v>0.59519030808256734</v>
      </c>
      <c r="GB4" s="10">
        <f t="shared" si="4"/>
        <v>0.59519030808256734</v>
      </c>
      <c r="GC4" s="10">
        <f t="shared" si="4"/>
        <v>0.59519030808256734</v>
      </c>
      <c r="GD4" s="10">
        <f t="shared" si="4"/>
        <v>0.59519030808256734</v>
      </c>
      <c r="GE4" s="10">
        <f t="shared" si="4"/>
        <v>0.59519030808256734</v>
      </c>
      <c r="GF4" s="10">
        <f t="shared" si="4"/>
        <v>0.59519030808256734</v>
      </c>
      <c r="GG4" s="10">
        <f t="shared" si="4"/>
        <v>0.59519030808256734</v>
      </c>
      <c r="GH4" s="10">
        <f t="shared" si="4"/>
        <v>0.59519030808256734</v>
      </c>
      <c r="GI4" s="10">
        <f t="shared" si="4"/>
        <v>0.59519030808256734</v>
      </c>
      <c r="GJ4" s="10">
        <f t="shared" si="4"/>
        <v>0.59519030808256734</v>
      </c>
      <c r="GK4" s="10">
        <f t="shared" si="4"/>
        <v>0.59519030808256734</v>
      </c>
      <c r="GL4" s="10">
        <f t="shared" si="4"/>
        <v>0.59519030808256734</v>
      </c>
      <c r="GM4" s="10">
        <f t="shared" si="4"/>
        <v>0.59519030808256734</v>
      </c>
      <c r="GN4" s="10">
        <f t="shared" si="4"/>
        <v>0.59519030808256734</v>
      </c>
      <c r="GO4" s="10">
        <f t="shared" si="4"/>
        <v>0.59519030808256734</v>
      </c>
      <c r="GP4" s="10">
        <f t="shared" si="4"/>
        <v>0.59519030808256734</v>
      </c>
      <c r="GQ4" s="10">
        <f t="shared" si="4"/>
        <v>0.59519030808256734</v>
      </c>
      <c r="GR4" s="10">
        <f t="shared" si="4"/>
        <v>0.59519030808256734</v>
      </c>
      <c r="GS4" s="10">
        <f t="shared" si="4"/>
        <v>0.59519030808256734</v>
      </c>
      <c r="GT4" s="10">
        <f t="shared" si="4"/>
        <v>0.59519030808256734</v>
      </c>
      <c r="GU4" s="10">
        <f t="shared" si="4"/>
        <v>0.59519030808256734</v>
      </c>
      <c r="GV4" s="10">
        <f t="shared" si="4"/>
        <v>0.59519030808256734</v>
      </c>
      <c r="GW4" s="10">
        <f t="shared" si="4"/>
        <v>0.59519030808256734</v>
      </c>
      <c r="GX4" s="10">
        <f t="shared" si="4"/>
        <v>0.59519030808256734</v>
      </c>
      <c r="GY4" s="10">
        <f t="shared" si="4"/>
        <v>0.59519030808256734</v>
      </c>
      <c r="GZ4" s="10">
        <f t="shared" si="4"/>
        <v>0.59519030808256734</v>
      </c>
      <c r="HA4" s="10">
        <f t="shared" si="4"/>
        <v>0.59519030808256734</v>
      </c>
      <c r="HB4" s="10">
        <f t="shared" si="4"/>
        <v>0.59519030808256734</v>
      </c>
      <c r="HC4" s="10">
        <f t="shared" si="4"/>
        <v>0.59519030808256734</v>
      </c>
    </row>
    <row r="5" spans="1:211">
      <c r="A5" t="s">
        <v>5</v>
      </c>
      <c r="B5" s="10">
        <f>Calculation!B95</f>
        <v>1.850669864194233</v>
      </c>
      <c r="C5" s="10">
        <f t="shared" si="6"/>
        <v>1.850669864194233</v>
      </c>
      <c r="D5" s="10">
        <f t="shared" si="6"/>
        <v>1.850669864194233</v>
      </c>
      <c r="E5" s="10">
        <f t="shared" si="6"/>
        <v>1.850669864194233</v>
      </c>
      <c r="F5" s="10">
        <f t="shared" ref="F5:AG14" si="7">$B5</f>
        <v>1.850669864194233</v>
      </c>
      <c r="G5" s="10">
        <f t="shared" si="7"/>
        <v>1.850669864194233</v>
      </c>
      <c r="H5" s="10">
        <f t="shared" si="7"/>
        <v>1.850669864194233</v>
      </c>
      <c r="I5" s="10">
        <f t="shared" si="7"/>
        <v>1.850669864194233</v>
      </c>
      <c r="J5" s="10">
        <f t="shared" si="7"/>
        <v>1.850669864194233</v>
      </c>
      <c r="K5" s="10">
        <f t="shared" si="7"/>
        <v>1.850669864194233</v>
      </c>
      <c r="L5" s="10">
        <f t="shared" si="7"/>
        <v>1.850669864194233</v>
      </c>
      <c r="M5" s="10">
        <f t="shared" si="7"/>
        <v>1.850669864194233</v>
      </c>
      <c r="N5" s="10">
        <f t="shared" si="7"/>
        <v>1.850669864194233</v>
      </c>
      <c r="O5" s="10">
        <f t="shared" si="7"/>
        <v>1.850669864194233</v>
      </c>
      <c r="P5" s="10">
        <f t="shared" si="7"/>
        <v>1.850669864194233</v>
      </c>
      <c r="Q5" s="10">
        <f t="shared" si="7"/>
        <v>1.850669864194233</v>
      </c>
      <c r="R5" s="10">
        <f t="shared" si="7"/>
        <v>1.850669864194233</v>
      </c>
      <c r="S5" s="10">
        <f t="shared" si="7"/>
        <v>1.850669864194233</v>
      </c>
      <c r="T5" s="10">
        <f t="shared" si="7"/>
        <v>1.850669864194233</v>
      </c>
      <c r="U5" s="10">
        <f t="shared" si="7"/>
        <v>1.850669864194233</v>
      </c>
      <c r="V5" s="10">
        <f t="shared" si="7"/>
        <v>1.850669864194233</v>
      </c>
      <c r="W5" s="10">
        <f t="shared" si="7"/>
        <v>1.850669864194233</v>
      </c>
      <c r="X5" s="10">
        <f t="shared" si="7"/>
        <v>1.850669864194233</v>
      </c>
      <c r="Y5" s="10">
        <f t="shared" si="7"/>
        <v>1.850669864194233</v>
      </c>
      <c r="Z5" s="10">
        <f t="shared" si="7"/>
        <v>1.850669864194233</v>
      </c>
      <c r="AA5" s="10">
        <f t="shared" si="7"/>
        <v>1.850669864194233</v>
      </c>
      <c r="AB5" s="10">
        <f t="shared" si="7"/>
        <v>1.850669864194233</v>
      </c>
      <c r="AC5" s="10">
        <f t="shared" si="7"/>
        <v>1.850669864194233</v>
      </c>
      <c r="AD5" s="10">
        <f t="shared" si="7"/>
        <v>1.850669864194233</v>
      </c>
      <c r="AE5" s="10">
        <f t="shared" si="7"/>
        <v>1.850669864194233</v>
      </c>
      <c r="AF5" s="10">
        <f t="shared" si="7"/>
        <v>1.850669864194233</v>
      </c>
      <c r="AG5" s="10">
        <f t="shared" si="7"/>
        <v>1.850669864194233</v>
      </c>
      <c r="AH5" s="10">
        <f t="shared" si="5"/>
        <v>1.850669864194233</v>
      </c>
      <c r="AI5" s="10">
        <f t="shared" si="5"/>
        <v>1.850669864194233</v>
      </c>
      <c r="AJ5" s="10">
        <f t="shared" si="5"/>
        <v>1.850669864194233</v>
      </c>
      <c r="AK5" s="10">
        <f t="shared" si="5"/>
        <v>1.850669864194233</v>
      </c>
      <c r="AL5" s="10">
        <f t="shared" si="5"/>
        <v>1.850669864194233</v>
      </c>
      <c r="AM5" s="10">
        <f t="shared" si="5"/>
        <v>1.850669864194233</v>
      </c>
      <c r="AN5" s="10">
        <f t="shared" si="5"/>
        <v>1.850669864194233</v>
      </c>
      <c r="AO5" s="10">
        <f t="shared" si="5"/>
        <v>1.850669864194233</v>
      </c>
      <c r="AP5" s="10">
        <f t="shared" si="5"/>
        <v>1.850669864194233</v>
      </c>
      <c r="AQ5" s="10">
        <f t="shared" si="5"/>
        <v>1.850669864194233</v>
      </c>
      <c r="AR5" s="10">
        <f t="shared" si="5"/>
        <v>1.850669864194233</v>
      </c>
      <c r="AS5" s="10">
        <f t="shared" si="5"/>
        <v>1.850669864194233</v>
      </c>
      <c r="AT5" s="10">
        <f t="shared" si="5"/>
        <v>1.850669864194233</v>
      </c>
      <c r="AU5" s="10">
        <f t="shared" si="5"/>
        <v>1.850669864194233</v>
      </c>
      <c r="AV5" s="10">
        <f t="shared" si="5"/>
        <v>1.850669864194233</v>
      </c>
      <c r="AW5" s="10">
        <f t="shared" si="5"/>
        <v>1.850669864194233</v>
      </c>
      <c r="AX5" s="10">
        <f t="shared" si="5"/>
        <v>1.850669864194233</v>
      </c>
      <c r="AY5" s="10">
        <f t="shared" si="5"/>
        <v>1.850669864194233</v>
      </c>
      <c r="AZ5" s="10">
        <f t="shared" si="5"/>
        <v>1.850669864194233</v>
      </c>
      <c r="BA5" s="10">
        <f t="shared" si="5"/>
        <v>1.850669864194233</v>
      </c>
      <c r="BB5" s="10">
        <f t="shared" si="5"/>
        <v>1.850669864194233</v>
      </c>
      <c r="BC5" s="10">
        <f t="shared" si="5"/>
        <v>1.850669864194233</v>
      </c>
      <c r="BD5" s="10">
        <f t="shared" si="5"/>
        <v>1.850669864194233</v>
      </c>
      <c r="BE5" s="10">
        <f t="shared" si="5"/>
        <v>1.850669864194233</v>
      </c>
      <c r="BF5" s="10">
        <f t="shared" si="5"/>
        <v>1.850669864194233</v>
      </c>
      <c r="BG5" s="10">
        <f t="shared" si="5"/>
        <v>1.850669864194233</v>
      </c>
      <c r="BH5" s="10">
        <f t="shared" si="5"/>
        <v>1.850669864194233</v>
      </c>
      <c r="BI5" s="10">
        <f t="shared" si="5"/>
        <v>1.850669864194233</v>
      </c>
      <c r="BJ5" s="10">
        <f t="shared" si="5"/>
        <v>1.850669864194233</v>
      </c>
      <c r="BK5" s="10">
        <f t="shared" si="5"/>
        <v>1.850669864194233</v>
      </c>
      <c r="BL5" s="10">
        <f t="shared" si="5"/>
        <v>1.850669864194233</v>
      </c>
      <c r="BM5" s="10">
        <f t="shared" si="5"/>
        <v>1.850669864194233</v>
      </c>
      <c r="BN5" s="10">
        <f t="shared" si="5"/>
        <v>1.850669864194233</v>
      </c>
      <c r="BO5" s="10">
        <f t="shared" si="5"/>
        <v>1.850669864194233</v>
      </c>
      <c r="BP5" s="10">
        <f t="shared" si="5"/>
        <v>1.850669864194233</v>
      </c>
      <c r="BQ5" s="10">
        <f t="shared" si="5"/>
        <v>1.850669864194233</v>
      </c>
      <c r="BR5" s="10">
        <f t="shared" si="5"/>
        <v>1.850669864194233</v>
      </c>
      <c r="BS5" s="10">
        <f t="shared" si="5"/>
        <v>1.850669864194233</v>
      </c>
      <c r="BT5" s="10">
        <f t="shared" si="5"/>
        <v>1.850669864194233</v>
      </c>
      <c r="BU5" s="10">
        <f t="shared" si="5"/>
        <v>1.850669864194233</v>
      </c>
      <c r="BV5" s="10">
        <f t="shared" si="5"/>
        <v>1.850669864194233</v>
      </c>
      <c r="BW5" s="10">
        <f t="shared" si="5"/>
        <v>1.850669864194233</v>
      </c>
      <c r="BX5" s="10">
        <f t="shared" si="5"/>
        <v>1.850669864194233</v>
      </c>
      <c r="BY5" s="10">
        <f t="shared" si="5"/>
        <v>1.850669864194233</v>
      </c>
      <c r="BZ5" s="10">
        <f t="shared" si="5"/>
        <v>1.850669864194233</v>
      </c>
      <c r="CA5" s="10">
        <f t="shared" si="5"/>
        <v>1.850669864194233</v>
      </c>
      <c r="CB5" s="10">
        <f t="shared" si="5"/>
        <v>1.850669864194233</v>
      </c>
      <c r="CC5" s="10">
        <f t="shared" si="5"/>
        <v>1.850669864194233</v>
      </c>
      <c r="CD5" s="10">
        <f t="shared" si="5"/>
        <v>1.850669864194233</v>
      </c>
      <c r="CE5" s="10">
        <f t="shared" si="5"/>
        <v>1.850669864194233</v>
      </c>
      <c r="CF5" s="10">
        <f t="shared" si="5"/>
        <v>1.850669864194233</v>
      </c>
      <c r="CG5" s="10">
        <f t="shared" si="5"/>
        <v>1.850669864194233</v>
      </c>
      <c r="CH5" s="10">
        <f t="shared" si="5"/>
        <v>1.850669864194233</v>
      </c>
      <c r="CI5" s="10">
        <f t="shared" si="5"/>
        <v>1.850669864194233</v>
      </c>
      <c r="CJ5" s="10">
        <f t="shared" si="5"/>
        <v>1.850669864194233</v>
      </c>
      <c r="CK5" s="10">
        <f t="shared" si="5"/>
        <v>1.850669864194233</v>
      </c>
      <c r="CL5" s="10">
        <f t="shared" si="5"/>
        <v>1.850669864194233</v>
      </c>
      <c r="CM5" s="10">
        <f t="shared" si="5"/>
        <v>1.850669864194233</v>
      </c>
      <c r="CN5" s="10">
        <f t="shared" si="5"/>
        <v>1.850669864194233</v>
      </c>
      <c r="CO5" s="10">
        <f t="shared" si="5"/>
        <v>1.850669864194233</v>
      </c>
      <c r="CP5" s="10">
        <f t="shared" si="5"/>
        <v>1.850669864194233</v>
      </c>
      <c r="CQ5" s="10">
        <f t="shared" si="5"/>
        <v>1.850669864194233</v>
      </c>
      <c r="CR5" s="10">
        <f t="shared" si="5"/>
        <v>1.850669864194233</v>
      </c>
      <c r="CS5" s="10">
        <f t="shared" si="5"/>
        <v>1.850669864194233</v>
      </c>
      <c r="CT5" s="10">
        <f t="shared" si="2"/>
        <v>1.850669864194233</v>
      </c>
      <c r="CU5" s="10">
        <f t="shared" si="3"/>
        <v>1.850669864194233</v>
      </c>
      <c r="CV5" s="10">
        <f t="shared" si="3"/>
        <v>1.850669864194233</v>
      </c>
      <c r="CW5" s="10">
        <f t="shared" si="3"/>
        <v>1.850669864194233</v>
      </c>
      <c r="CX5" s="10">
        <f t="shared" si="3"/>
        <v>1.850669864194233</v>
      </c>
      <c r="CY5" s="10">
        <f t="shared" si="3"/>
        <v>1.850669864194233</v>
      </c>
      <c r="CZ5" s="10">
        <f t="shared" si="3"/>
        <v>1.850669864194233</v>
      </c>
      <c r="DA5" s="10">
        <f t="shared" si="3"/>
        <v>1.850669864194233</v>
      </c>
      <c r="DB5" s="10">
        <f t="shared" si="3"/>
        <v>1.850669864194233</v>
      </c>
      <c r="DC5" s="10">
        <f t="shared" si="3"/>
        <v>1.850669864194233</v>
      </c>
      <c r="DD5" s="10">
        <f t="shared" si="3"/>
        <v>1.850669864194233</v>
      </c>
      <c r="DE5" s="10">
        <f t="shared" si="3"/>
        <v>1.850669864194233</v>
      </c>
      <c r="DF5" s="10">
        <f t="shared" si="3"/>
        <v>1.850669864194233</v>
      </c>
      <c r="DG5" s="10">
        <f t="shared" si="3"/>
        <v>1.850669864194233</v>
      </c>
      <c r="DH5" s="10">
        <f t="shared" si="3"/>
        <v>1.850669864194233</v>
      </c>
      <c r="DI5" s="10">
        <f t="shared" si="3"/>
        <v>1.850669864194233</v>
      </c>
      <c r="DJ5" s="10">
        <f t="shared" si="3"/>
        <v>1.850669864194233</v>
      </c>
      <c r="DK5" s="10">
        <f t="shared" si="3"/>
        <v>1.850669864194233</v>
      </c>
      <c r="DL5" s="10">
        <f t="shared" si="3"/>
        <v>1.850669864194233</v>
      </c>
      <c r="DM5" s="10">
        <f t="shared" si="3"/>
        <v>1.850669864194233</v>
      </c>
      <c r="DN5" s="10">
        <f t="shared" si="3"/>
        <v>1.850669864194233</v>
      </c>
      <c r="DO5" s="10">
        <f t="shared" si="3"/>
        <v>1.850669864194233</v>
      </c>
      <c r="DP5" s="10">
        <f t="shared" si="3"/>
        <v>1.850669864194233</v>
      </c>
      <c r="DQ5" s="10">
        <f t="shared" si="3"/>
        <v>1.850669864194233</v>
      </c>
      <c r="DR5" s="10">
        <f t="shared" si="3"/>
        <v>1.850669864194233</v>
      </c>
      <c r="DS5" s="10">
        <f t="shared" si="3"/>
        <v>1.850669864194233</v>
      </c>
      <c r="DT5" s="10">
        <f t="shared" si="3"/>
        <v>1.850669864194233</v>
      </c>
      <c r="DU5" s="10">
        <f t="shared" si="3"/>
        <v>1.850669864194233</v>
      </c>
      <c r="DV5" s="10">
        <f t="shared" si="3"/>
        <v>1.850669864194233</v>
      </c>
      <c r="DW5" s="10">
        <f t="shared" si="3"/>
        <v>1.850669864194233</v>
      </c>
      <c r="DX5" s="10">
        <f t="shared" si="3"/>
        <v>1.850669864194233</v>
      </c>
      <c r="DY5" s="10">
        <f t="shared" si="3"/>
        <v>1.850669864194233</v>
      </c>
      <c r="DZ5" s="10">
        <f t="shared" si="3"/>
        <v>1.850669864194233</v>
      </c>
      <c r="EA5" s="10">
        <f t="shared" si="3"/>
        <v>1.850669864194233</v>
      </c>
      <c r="EB5" s="10">
        <f t="shared" si="3"/>
        <v>1.850669864194233</v>
      </c>
      <c r="EC5" s="10">
        <f t="shared" si="3"/>
        <v>1.850669864194233</v>
      </c>
      <c r="ED5" s="10">
        <f t="shared" si="3"/>
        <v>1.850669864194233</v>
      </c>
      <c r="EE5" s="10">
        <f t="shared" si="3"/>
        <v>1.850669864194233</v>
      </c>
      <c r="EF5" s="10">
        <f t="shared" si="3"/>
        <v>1.850669864194233</v>
      </c>
      <c r="EG5" s="10">
        <f t="shared" si="3"/>
        <v>1.850669864194233</v>
      </c>
      <c r="EH5" s="10">
        <f t="shared" si="3"/>
        <v>1.850669864194233</v>
      </c>
      <c r="EI5" s="10">
        <f t="shared" si="3"/>
        <v>1.850669864194233</v>
      </c>
      <c r="EJ5" s="10">
        <f t="shared" si="3"/>
        <v>1.850669864194233</v>
      </c>
      <c r="EK5" s="10">
        <f t="shared" si="3"/>
        <v>1.850669864194233</v>
      </c>
      <c r="EL5" s="10">
        <f t="shared" si="3"/>
        <v>1.850669864194233</v>
      </c>
      <c r="EM5" s="10">
        <f t="shared" si="3"/>
        <v>1.850669864194233</v>
      </c>
      <c r="EN5" s="10">
        <f t="shared" si="3"/>
        <v>1.850669864194233</v>
      </c>
      <c r="EO5" s="10">
        <f t="shared" si="3"/>
        <v>1.850669864194233</v>
      </c>
      <c r="EP5" s="10">
        <f t="shared" si="3"/>
        <v>1.850669864194233</v>
      </c>
      <c r="EQ5" s="10">
        <f t="shared" si="3"/>
        <v>1.850669864194233</v>
      </c>
      <c r="ER5" s="10">
        <f t="shared" si="3"/>
        <v>1.850669864194233</v>
      </c>
      <c r="ES5" s="10">
        <f t="shared" si="3"/>
        <v>1.850669864194233</v>
      </c>
      <c r="ET5" s="10">
        <f t="shared" si="3"/>
        <v>1.850669864194233</v>
      </c>
      <c r="EU5" s="10">
        <f t="shared" si="3"/>
        <v>1.850669864194233</v>
      </c>
      <c r="EV5" s="10">
        <f t="shared" si="3"/>
        <v>1.850669864194233</v>
      </c>
      <c r="EW5" s="10">
        <f t="shared" si="3"/>
        <v>1.850669864194233</v>
      </c>
      <c r="EX5" s="10">
        <f t="shared" si="3"/>
        <v>1.850669864194233</v>
      </c>
      <c r="EY5" s="10">
        <f t="shared" si="3"/>
        <v>1.850669864194233</v>
      </c>
      <c r="EZ5" s="10">
        <f t="shared" si="3"/>
        <v>1.850669864194233</v>
      </c>
      <c r="FA5" s="10">
        <f t="shared" si="3"/>
        <v>1.850669864194233</v>
      </c>
      <c r="FB5" s="10">
        <f t="shared" si="3"/>
        <v>1.850669864194233</v>
      </c>
      <c r="FC5" s="10">
        <f t="shared" si="3"/>
        <v>1.850669864194233</v>
      </c>
      <c r="FD5" s="10">
        <f t="shared" si="3"/>
        <v>1.850669864194233</v>
      </c>
      <c r="FE5" s="10">
        <f t="shared" si="3"/>
        <v>1.850669864194233</v>
      </c>
      <c r="FF5" s="10">
        <f t="shared" ref="FF5:HC5" si="8">$B5</f>
        <v>1.850669864194233</v>
      </c>
      <c r="FG5" s="10">
        <f t="shared" si="8"/>
        <v>1.850669864194233</v>
      </c>
      <c r="FH5" s="10">
        <f t="shared" si="8"/>
        <v>1.850669864194233</v>
      </c>
      <c r="FI5" s="10">
        <f t="shared" si="8"/>
        <v>1.850669864194233</v>
      </c>
      <c r="FJ5" s="10">
        <f t="shared" si="8"/>
        <v>1.850669864194233</v>
      </c>
      <c r="FK5" s="10">
        <f t="shared" si="8"/>
        <v>1.850669864194233</v>
      </c>
      <c r="FL5" s="10">
        <f t="shared" si="8"/>
        <v>1.850669864194233</v>
      </c>
      <c r="FM5" s="10">
        <f t="shared" si="8"/>
        <v>1.850669864194233</v>
      </c>
      <c r="FN5" s="10">
        <f t="shared" si="8"/>
        <v>1.850669864194233</v>
      </c>
      <c r="FO5" s="10">
        <f t="shared" si="8"/>
        <v>1.850669864194233</v>
      </c>
      <c r="FP5" s="10">
        <f t="shared" si="8"/>
        <v>1.850669864194233</v>
      </c>
      <c r="FQ5" s="10">
        <f t="shared" si="8"/>
        <v>1.850669864194233</v>
      </c>
      <c r="FR5" s="10">
        <f t="shared" si="8"/>
        <v>1.850669864194233</v>
      </c>
      <c r="FS5" s="10">
        <f t="shared" si="8"/>
        <v>1.850669864194233</v>
      </c>
      <c r="FT5" s="10">
        <f t="shared" si="8"/>
        <v>1.850669864194233</v>
      </c>
      <c r="FU5" s="10">
        <f t="shared" si="8"/>
        <v>1.850669864194233</v>
      </c>
      <c r="FV5" s="10">
        <f t="shared" si="8"/>
        <v>1.850669864194233</v>
      </c>
      <c r="FW5" s="10">
        <f t="shared" si="8"/>
        <v>1.850669864194233</v>
      </c>
      <c r="FX5" s="10">
        <f t="shared" si="8"/>
        <v>1.850669864194233</v>
      </c>
      <c r="FY5" s="10">
        <f t="shared" si="8"/>
        <v>1.850669864194233</v>
      </c>
      <c r="FZ5" s="10">
        <f t="shared" si="8"/>
        <v>1.850669864194233</v>
      </c>
      <c r="GA5" s="10">
        <f t="shared" si="8"/>
        <v>1.850669864194233</v>
      </c>
      <c r="GB5" s="10">
        <f t="shared" si="8"/>
        <v>1.850669864194233</v>
      </c>
      <c r="GC5" s="10">
        <f t="shared" si="8"/>
        <v>1.850669864194233</v>
      </c>
      <c r="GD5" s="10">
        <f t="shared" si="8"/>
        <v>1.850669864194233</v>
      </c>
      <c r="GE5" s="10">
        <f t="shared" si="8"/>
        <v>1.850669864194233</v>
      </c>
      <c r="GF5" s="10">
        <f t="shared" si="8"/>
        <v>1.850669864194233</v>
      </c>
      <c r="GG5" s="10">
        <f t="shared" si="8"/>
        <v>1.850669864194233</v>
      </c>
      <c r="GH5" s="10">
        <f t="shared" si="8"/>
        <v>1.850669864194233</v>
      </c>
      <c r="GI5" s="10">
        <f t="shared" si="8"/>
        <v>1.850669864194233</v>
      </c>
      <c r="GJ5" s="10">
        <f t="shared" si="8"/>
        <v>1.850669864194233</v>
      </c>
      <c r="GK5" s="10">
        <f t="shared" si="8"/>
        <v>1.850669864194233</v>
      </c>
      <c r="GL5" s="10">
        <f t="shared" si="8"/>
        <v>1.850669864194233</v>
      </c>
      <c r="GM5" s="10">
        <f t="shared" si="8"/>
        <v>1.850669864194233</v>
      </c>
      <c r="GN5" s="10">
        <f t="shared" si="8"/>
        <v>1.850669864194233</v>
      </c>
      <c r="GO5" s="10">
        <f t="shared" si="8"/>
        <v>1.850669864194233</v>
      </c>
      <c r="GP5" s="10">
        <f t="shared" si="8"/>
        <v>1.850669864194233</v>
      </c>
      <c r="GQ5" s="10">
        <f t="shared" si="8"/>
        <v>1.850669864194233</v>
      </c>
      <c r="GR5" s="10">
        <f t="shared" si="8"/>
        <v>1.850669864194233</v>
      </c>
      <c r="GS5" s="10">
        <f t="shared" si="8"/>
        <v>1.850669864194233</v>
      </c>
      <c r="GT5" s="10">
        <f t="shared" si="8"/>
        <v>1.850669864194233</v>
      </c>
      <c r="GU5" s="10">
        <f t="shared" si="8"/>
        <v>1.850669864194233</v>
      </c>
      <c r="GV5" s="10">
        <f t="shared" si="8"/>
        <v>1.850669864194233</v>
      </c>
      <c r="GW5" s="10">
        <f t="shared" si="8"/>
        <v>1.850669864194233</v>
      </c>
      <c r="GX5" s="10">
        <f t="shared" si="8"/>
        <v>1.850669864194233</v>
      </c>
      <c r="GY5" s="10">
        <f t="shared" si="8"/>
        <v>1.850669864194233</v>
      </c>
      <c r="GZ5" s="10">
        <f t="shared" si="8"/>
        <v>1.850669864194233</v>
      </c>
      <c r="HA5" s="10">
        <f t="shared" si="8"/>
        <v>1.850669864194233</v>
      </c>
      <c r="HB5" s="10">
        <f t="shared" si="8"/>
        <v>1.850669864194233</v>
      </c>
      <c r="HC5" s="10">
        <f t="shared" si="8"/>
        <v>1.850669864194233</v>
      </c>
    </row>
    <row r="6" spans="1:211">
      <c r="A6" t="s">
        <v>6</v>
      </c>
      <c r="B6" s="10">
        <f>'CCaMC-VOaMCpUC US'!B6</f>
        <v>0</v>
      </c>
      <c r="C6" s="10">
        <f t="shared" si="6"/>
        <v>0</v>
      </c>
      <c r="D6" s="10">
        <f t="shared" si="6"/>
        <v>0</v>
      </c>
      <c r="E6" s="10">
        <f t="shared" si="6"/>
        <v>0</v>
      </c>
      <c r="F6" s="10">
        <f t="shared" si="7"/>
        <v>0</v>
      </c>
      <c r="G6" s="10">
        <f t="shared" si="7"/>
        <v>0</v>
      </c>
      <c r="H6" s="10">
        <f t="shared" si="7"/>
        <v>0</v>
      </c>
      <c r="I6" s="10">
        <f t="shared" si="7"/>
        <v>0</v>
      </c>
      <c r="J6" s="10">
        <f t="shared" si="7"/>
        <v>0</v>
      </c>
      <c r="K6" s="10">
        <f t="shared" si="7"/>
        <v>0</v>
      </c>
      <c r="L6" s="10">
        <f t="shared" si="7"/>
        <v>0</v>
      </c>
      <c r="M6" s="10">
        <f t="shared" si="7"/>
        <v>0</v>
      </c>
      <c r="N6" s="10">
        <f t="shared" si="7"/>
        <v>0</v>
      </c>
      <c r="O6" s="10">
        <f t="shared" si="7"/>
        <v>0</v>
      </c>
      <c r="P6" s="10">
        <f t="shared" si="7"/>
        <v>0</v>
      </c>
      <c r="Q6" s="10">
        <f t="shared" si="7"/>
        <v>0</v>
      </c>
      <c r="R6" s="10">
        <f t="shared" si="7"/>
        <v>0</v>
      </c>
      <c r="S6" s="10">
        <f t="shared" si="7"/>
        <v>0</v>
      </c>
      <c r="T6" s="10">
        <f t="shared" si="7"/>
        <v>0</v>
      </c>
      <c r="U6" s="10">
        <f t="shared" si="7"/>
        <v>0</v>
      </c>
      <c r="V6" s="10">
        <f t="shared" si="7"/>
        <v>0</v>
      </c>
      <c r="W6" s="10">
        <f t="shared" si="7"/>
        <v>0</v>
      </c>
      <c r="X6" s="10">
        <f t="shared" si="7"/>
        <v>0</v>
      </c>
      <c r="Y6" s="10">
        <f t="shared" si="7"/>
        <v>0</v>
      </c>
      <c r="Z6" s="10">
        <f t="shared" si="7"/>
        <v>0</v>
      </c>
      <c r="AA6" s="10">
        <f t="shared" si="7"/>
        <v>0</v>
      </c>
      <c r="AB6" s="10">
        <f t="shared" si="7"/>
        <v>0</v>
      </c>
      <c r="AC6" s="10">
        <f t="shared" si="7"/>
        <v>0</v>
      </c>
      <c r="AD6" s="10">
        <f t="shared" si="7"/>
        <v>0</v>
      </c>
      <c r="AE6" s="10">
        <f t="shared" si="7"/>
        <v>0</v>
      </c>
      <c r="AF6" s="10">
        <f t="shared" si="7"/>
        <v>0</v>
      </c>
      <c r="AG6" s="10">
        <f t="shared" si="7"/>
        <v>0</v>
      </c>
      <c r="AH6" s="10">
        <f t="shared" si="5"/>
        <v>0</v>
      </c>
      <c r="AI6" s="10">
        <f t="shared" si="5"/>
        <v>0</v>
      </c>
      <c r="AJ6" s="10">
        <f t="shared" si="5"/>
        <v>0</v>
      </c>
      <c r="AK6" s="10">
        <f t="shared" si="5"/>
        <v>0</v>
      </c>
      <c r="AL6" s="10">
        <f t="shared" si="5"/>
        <v>0</v>
      </c>
      <c r="AM6" s="10">
        <f t="shared" si="5"/>
        <v>0</v>
      </c>
      <c r="AN6" s="10">
        <f t="shared" si="5"/>
        <v>0</v>
      </c>
      <c r="AO6" s="10">
        <f t="shared" si="5"/>
        <v>0</v>
      </c>
      <c r="AP6" s="10">
        <f t="shared" si="5"/>
        <v>0</v>
      </c>
      <c r="AQ6" s="10">
        <f t="shared" si="5"/>
        <v>0</v>
      </c>
      <c r="AR6" s="10">
        <f t="shared" si="5"/>
        <v>0</v>
      </c>
      <c r="AS6" s="10">
        <f t="shared" si="5"/>
        <v>0</v>
      </c>
      <c r="AT6" s="10">
        <f t="shared" si="5"/>
        <v>0</v>
      </c>
      <c r="AU6" s="10">
        <f t="shared" si="5"/>
        <v>0</v>
      </c>
      <c r="AV6" s="10">
        <f t="shared" si="5"/>
        <v>0</v>
      </c>
      <c r="AW6" s="10">
        <f t="shared" si="5"/>
        <v>0</v>
      </c>
      <c r="AX6" s="10">
        <f t="shared" si="5"/>
        <v>0</v>
      </c>
      <c r="AY6" s="10">
        <f t="shared" si="5"/>
        <v>0</v>
      </c>
      <c r="AZ6" s="10">
        <f t="shared" si="5"/>
        <v>0</v>
      </c>
      <c r="BA6" s="10">
        <f t="shared" si="5"/>
        <v>0</v>
      </c>
      <c r="BB6" s="10">
        <f t="shared" si="5"/>
        <v>0</v>
      </c>
      <c r="BC6" s="10">
        <f t="shared" si="5"/>
        <v>0</v>
      </c>
      <c r="BD6" s="10">
        <f t="shared" si="5"/>
        <v>0</v>
      </c>
      <c r="BE6" s="10">
        <f t="shared" si="5"/>
        <v>0</v>
      </c>
      <c r="BF6" s="10">
        <f t="shared" si="5"/>
        <v>0</v>
      </c>
      <c r="BG6" s="10">
        <f t="shared" si="5"/>
        <v>0</v>
      </c>
      <c r="BH6" s="10">
        <f t="shared" si="5"/>
        <v>0</v>
      </c>
      <c r="BI6" s="10">
        <f t="shared" si="5"/>
        <v>0</v>
      </c>
      <c r="BJ6" s="10">
        <f t="shared" si="5"/>
        <v>0</v>
      </c>
      <c r="BK6" s="10">
        <f t="shared" si="5"/>
        <v>0</v>
      </c>
      <c r="BL6" s="10">
        <f t="shared" si="5"/>
        <v>0</v>
      </c>
      <c r="BM6" s="10">
        <f t="shared" si="5"/>
        <v>0</v>
      </c>
      <c r="BN6" s="10">
        <f t="shared" si="5"/>
        <v>0</v>
      </c>
      <c r="BO6" s="10">
        <f t="shared" si="5"/>
        <v>0</v>
      </c>
      <c r="BP6" s="10">
        <f t="shared" si="5"/>
        <v>0</v>
      </c>
      <c r="BQ6" s="10">
        <f t="shared" si="5"/>
        <v>0</v>
      </c>
      <c r="BR6" s="10">
        <f t="shared" si="5"/>
        <v>0</v>
      </c>
      <c r="BS6" s="10">
        <f t="shared" si="5"/>
        <v>0</v>
      </c>
      <c r="BT6" s="10">
        <f t="shared" si="5"/>
        <v>0</v>
      </c>
      <c r="BU6" s="10">
        <f t="shared" si="5"/>
        <v>0</v>
      </c>
      <c r="BV6" s="10">
        <f t="shared" si="5"/>
        <v>0</v>
      </c>
      <c r="BW6" s="10">
        <f t="shared" si="5"/>
        <v>0</v>
      </c>
      <c r="BX6" s="10">
        <f t="shared" si="5"/>
        <v>0</v>
      </c>
      <c r="BY6" s="10">
        <f t="shared" si="5"/>
        <v>0</v>
      </c>
      <c r="BZ6" s="10">
        <f t="shared" si="5"/>
        <v>0</v>
      </c>
      <c r="CA6" s="10">
        <f t="shared" si="5"/>
        <v>0</v>
      </c>
      <c r="CB6" s="10">
        <f t="shared" si="5"/>
        <v>0</v>
      </c>
      <c r="CC6" s="10">
        <f t="shared" si="5"/>
        <v>0</v>
      </c>
      <c r="CD6" s="10">
        <f t="shared" si="5"/>
        <v>0</v>
      </c>
      <c r="CE6" s="10">
        <f t="shared" si="5"/>
        <v>0</v>
      </c>
      <c r="CF6" s="10">
        <f t="shared" si="5"/>
        <v>0</v>
      </c>
      <c r="CG6" s="10">
        <f t="shared" si="5"/>
        <v>0</v>
      </c>
      <c r="CH6" s="10">
        <f t="shared" si="5"/>
        <v>0</v>
      </c>
      <c r="CI6" s="10">
        <f t="shared" si="5"/>
        <v>0</v>
      </c>
      <c r="CJ6" s="10">
        <f t="shared" si="5"/>
        <v>0</v>
      </c>
      <c r="CK6" s="10">
        <f t="shared" si="5"/>
        <v>0</v>
      </c>
      <c r="CL6" s="10">
        <f t="shared" si="5"/>
        <v>0</v>
      </c>
      <c r="CM6" s="10">
        <f t="shared" si="5"/>
        <v>0</v>
      </c>
      <c r="CN6" s="10">
        <f t="shared" si="5"/>
        <v>0</v>
      </c>
      <c r="CO6" s="10">
        <f t="shared" si="5"/>
        <v>0</v>
      </c>
      <c r="CP6" s="10">
        <f t="shared" si="5"/>
        <v>0</v>
      </c>
      <c r="CQ6" s="10">
        <f t="shared" si="5"/>
        <v>0</v>
      </c>
      <c r="CR6" s="10">
        <f t="shared" si="5"/>
        <v>0</v>
      </c>
      <c r="CS6" s="10">
        <f t="shared" ref="CS6:FD9" si="9">$B6</f>
        <v>0</v>
      </c>
      <c r="CT6" s="10">
        <f t="shared" si="9"/>
        <v>0</v>
      </c>
      <c r="CU6" s="10">
        <f t="shared" si="9"/>
        <v>0</v>
      </c>
      <c r="CV6" s="10">
        <f t="shared" si="9"/>
        <v>0</v>
      </c>
      <c r="CW6" s="10">
        <f t="shared" si="9"/>
        <v>0</v>
      </c>
      <c r="CX6" s="10">
        <f t="shared" si="9"/>
        <v>0</v>
      </c>
      <c r="CY6" s="10">
        <f t="shared" si="9"/>
        <v>0</v>
      </c>
      <c r="CZ6" s="10">
        <f t="shared" si="9"/>
        <v>0</v>
      </c>
      <c r="DA6" s="10">
        <f t="shared" si="9"/>
        <v>0</v>
      </c>
      <c r="DB6" s="10">
        <f t="shared" si="9"/>
        <v>0</v>
      </c>
      <c r="DC6" s="10">
        <f t="shared" si="9"/>
        <v>0</v>
      </c>
      <c r="DD6" s="10">
        <f t="shared" si="9"/>
        <v>0</v>
      </c>
      <c r="DE6" s="10">
        <f t="shared" si="9"/>
        <v>0</v>
      </c>
      <c r="DF6" s="10">
        <f t="shared" si="9"/>
        <v>0</v>
      </c>
      <c r="DG6" s="10">
        <f t="shared" si="9"/>
        <v>0</v>
      </c>
      <c r="DH6" s="10">
        <f t="shared" si="9"/>
        <v>0</v>
      </c>
      <c r="DI6" s="10">
        <f t="shared" si="9"/>
        <v>0</v>
      </c>
      <c r="DJ6" s="10">
        <f t="shared" si="9"/>
        <v>0</v>
      </c>
      <c r="DK6" s="10">
        <f t="shared" si="9"/>
        <v>0</v>
      </c>
      <c r="DL6" s="10">
        <f t="shared" si="9"/>
        <v>0</v>
      </c>
      <c r="DM6" s="10">
        <f t="shared" si="9"/>
        <v>0</v>
      </c>
      <c r="DN6" s="10">
        <f t="shared" si="9"/>
        <v>0</v>
      </c>
      <c r="DO6" s="10">
        <f t="shared" si="9"/>
        <v>0</v>
      </c>
      <c r="DP6" s="10">
        <f t="shared" si="9"/>
        <v>0</v>
      </c>
      <c r="DQ6" s="10">
        <f t="shared" si="9"/>
        <v>0</v>
      </c>
      <c r="DR6" s="10">
        <f t="shared" si="9"/>
        <v>0</v>
      </c>
      <c r="DS6" s="10">
        <f t="shared" si="9"/>
        <v>0</v>
      </c>
      <c r="DT6" s="10">
        <f t="shared" si="9"/>
        <v>0</v>
      </c>
      <c r="DU6" s="10">
        <f t="shared" si="9"/>
        <v>0</v>
      </c>
      <c r="DV6" s="10">
        <f t="shared" si="9"/>
        <v>0</v>
      </c>
      <c r="DW6" s="10">
        <f t="shared" si="9"/>
        <v>0</v>
      </c>
      <c r="DX6" s="10">
        <f t="shared" si="9"/>
        <v>0</v>
      </c>
      <c r="DY6" s="10">
        <f t="shared" si="9"/>
        <v>0</v>
      </c>
      <c r="DZ6" s="10">
        <f t="shared" si="9"/>
        <v>0</v>
      </c>
      <c r="EA6" s="10">
        <f t="shared" si="9"/>
        <v>0</v>
      </c>
      <c r="EB6" s="10">
        <f t="shared" si="9"/>
        <v>0</v>
      </c>
      <c r="EC6" s="10">
        <f t="shared" si="9"/>
        <v>0</v>
      </c>
      <c r="ED6" s="10">
        <f t="shared" si="9"/>
        <v>0</v>
      </c>
      <c r="EE6" s="10">
        <f t="shared" si="9"/>
        <v>0</v>
      </c>
      <c r="EF6" s="10">
        <f t="shared" si="9"/>
        <v>0</v>
      </c>
      <c r="EG6" s="10">
        <f t="shared" si="9"/>
        <v>0</v>
      </c>
      <c r="EH6" s="10">
        <f t="shared" si="9"/>
        <v>0</v>
      </c>
      <c r="EI6" s="10">
        <f t="shared" si="9"/>
        <v>0</v>
      </c>
      <c r="EJ6" s="10">
        <f t="shared" si="9"/>
        <v>0</v>
      </c>
      <c r="EK6" s="10">
        <f t="shared" si="9"/>
        <v>0</v>
      </c>
      <c r="EL6" s="10">
        <f t="shared" si="9"/>
        <v>0</v>
      </c>
      <c r="EM6" s="10">
        <f t="shared" si="9"/>
        <v>0</v>
      </c>
      <c r="EN6" s="10">
        <f t="shared" si="9"/>
        <v>0</v>
      </c>
      <c r="EO6" s="10">
        <f t="shared" si="9"/>
        <v>0</v>
      </c>
      <c r="EP6" s="10">
        <f t="shared" si="9"/>
        <v>0</v>
      </c>
      <c r="EQ6" s="10">
        <f t="shared" si="9"/>
        <v>0</v>
      </c>
      <c r="ER6" s="10">
        <f t="shared" si="9"/>
        <v>0</v>
      </c>
      <c r="ES6" s="10">
        <f t="shared" si="9"/>
        <v>0</v>
      </c>
      <c r="ET6" s="10">
        <f t="shared" si="9"/>
        <v>0</v>
      </c>
      <c r="EU6" s="10">
        <f t="shared" si="9"/>
        <v>0</v>
      </c>
      <c r="EV6" s="10">
        <f t="shared" si="9"/>
        <v>0</v>
      </c>
      <c r="EW6" s="10">
        <f t="shared" si="9"/>
        <v>0</v>
      </c>
      <c r="EX6" s="10">
        <f t="shared" si="9"/>
        <v>0</v>
      </c>
      <c r="EY6" s="10">
        <f t="shared" si="9"/>
        <v>0</v>
      </c>
      <c r="EZ6" s="10">
        <f t="shared" si="9"/>
        <v>0</v>
      </c>
      <c r="FA6" s="10">
        <f t="shared" si="9"/>
        <v>0</v>
      </c>
      <c r="FB6" s="10">
        <f t="shared" si="9"/>
        <v>0</v>
      </c>
      <c r="FC6" s="10">
        <f t="shared" si="9"/>
        <v>0</v>
      </c>
      <c r="FD6" s="10">
        <f t="shared" si="9"/>
        <v>0</v>
      </c>
      <c r="FE6" s="10">
        <f t="shared" ref="FE6:HC10" si="10">$B6</f>
        <v>0</v>
      </c>
      <c r="FF6" s="10">
        <f t="shared" si="10"/>
        <v>0</v>
      </c>
      <c r="FG6" s="10">
        <f t="shared" si="10"/>
        <v>0</v>
      </c>
      <c r="FH6" s="10">
        <f t="shared" si="10"/>
        <v>0</v>
      </c>
      <c r="FI6" s="10">
        <f t="shared" si="10"/>
        <v>0</v>
      </c>
      <c r="FJ6" s="10">
        <f t="shared" si="10"/>
        <v>0</v>
      </c>
      <c r="FK6" s="10">
        <f t="shared" si="10"/>
        <v>0</v>
      </c>
      <c r="FL6" s="10">
        <f t="shared" si="10"/>
        <v>0</v>
      </c>
      <c r="FM6" s="10">
        <f t="shared" si="10"/>
        <v>0</v>
      </c>
      <c r="FN6" s="10">
        <f t="shared" si="10"/>
        <v>0</v>
      </c>
      <c r="FO6" s="10">
        <f t="shared" si="10"/>
        <v>0</v>
      </c>
      <c r="FP6" s="10">
        <f t="shared" si="10"/>
        <v>0</v>
      </c>
      <c r="FQ6" s="10">
        <f t="shared" si="10"/>
        <v>0</v>
      </c>
      <c r="FR6" s="10">
        <f t="shared" si="10"/>
        <v>0</v>
      </c>
      <c r="FS6" s="10">
        <f t="shared" si="10"/>
        <v>0</v>
      </c>
      <c r="FT6" s="10">
        <f t="shared" si="10"/>
        <v>0</v>
      </c>
      <c r="FU6" s="10">
        <f t="shared" si="10"/>
        <v>0</v>
      </c>
      <c r="FV6" s="10">
        <f t="shared" si="10"/>
        <v>0</v>
      </c>
      <c r="FW6" s="10">
        <f t="shared" si="10"/>
        <v>0</v>
      </c>
      <c r="FX6" s="10">
        <f t="shared" si="10"/>
        <v>0</v>
      </c>
      <c r="FY6" s="10">
        <f t="shared" si="10"/>
        <v>0</v>
      </c>
      <c r="FZ6" s="10">
        <f t="shared" si="10"/>
        <v>0</v>
      </c>
      <c r="GA6" s="10">
        <f t="shared" si="10"/>
        <v>0</v>
      </c>
      <c r="GB6" s="10">
        <f t="shared" si="10"/>
        <v>0</v>
      </c>
      <c r="GC6" s="10">
        <f t="shared" si="10"/>
        <v>0</v>
      </c>
      <c r="GD6" s="10">
        <f t="shared" si="10"/>
        <v>0</v>
      </c>
      <c r="GE6" s="10">
        <f t="shared" si="10"/>
        <v>0</v>
      </c>
      <c r="GF6" s="10">
        <f t="shared" si="10"/>
        <v>0</v>
      </c>
      <c r="GG6" s="10">
        <f t="shared" si="10"/>
        <v>0</v>
      </c>
      <c r="GH6" s="10">
        <f t="shared" si="10"/>
        <v>0</v>
      </c>
      <c r="GI6" s="10">
        <f t="shared" si="10"/>
        <v>0</v>
      </c>
      <c r="GJ6" s="10">
        <f t="shared" si="10"/>
        <v>0</v>
      </c>
      <c r="GK6" s="10">
        <f t="shared" si="10"/>
        <v>0</v>
      </c>
      <c r="GL6" s="10">
        <f t="shared" si="10"/>
        <v>0</v>
      </c>
      <c r="GM6" s="10">
        <f t="shared" si="10"/>
        <v>0</v>
      </c>
      <c r="GN6" s="10">
        <f t="shared" si="10"/>
        <v>0</v>
      </c>
      <c r="GO6" s="10">
        <f t="shared" si="10"/>
        <v>0</v>
      </c>
      <c r="GP6" s="10">
        <f t="shared" si="10"/>
        <v>0</v>
      </c>
      <c r="GQ6" s="10">
        <f t="shared" si="10"/>
        <v>0</v>
      </c>
      <c r="GR6" s="10">
        <f t="shared" si="10"/>
        <v>0</v>
      </c>
      <c r="GS6" s="10">
        <f t="shared" si="10"/>
        <v>0</v>
      </c>
      <c r="GT6" s="10">
        <f t="shared" si="10"/>
        <v>0</v>
      </c>
      <c r="GU6" s="10">
        <f t="shared" si="10"/>
        <v>0</v>
      </c>
      <c r="GV6" s="10">
        <f t="shared" si="10"/>
        <v>0</v>
      </c>
      <c r="GW6" s="10">
        <f t="shared" si="10"/>
        <v>0</v>
      </c>
      <c r="GX6" s="10">
        <f t="shared" si="10"/>
        <v>0</v>
      </c>
      <c r="GY6" s="10">
        <f t="shared" si="10"/>
        <v>0</v>
      </c>
      <c r="GZ6" s="10">
        <f t="shared" si="10"/>
        <v>0</v>
      </c>
      <c r="HA6" s="10">
        <f t="shared" si="10"/>
        <v>0</v>
      </c>
      <c r="HB6" s="10">
        <f t="shared" si="10"/>
        <v>0</v>
      </c>
      <c r="HC6" s="10">
        <f t="shared" si="10"/>
        <v>0</v>
      </c>
    </row>
    <row r="7" spans="1:211">
      <c r="A7" t="s">
        <v>18</v>
      </c>
      <c r="B7" s="10">
        <f>Calculation!B97</f>
        <v>9.2998485637901154E-2</v>
      </c>
      <c r="C7" s="10">
        <f t="shared" si="6"/>
        <v>9.2998485637901154E-2</v>
      </c>
      <c r="D7" s="10">
        <f t="shared" si="6"/>
        <v>9.2998485637901154E-2</v>
      </c>
      <c r="E7" s="10">
        <f t="shared" si="6"/>
        <v>9.2998485637901154E-2</v>
      </c>
      <c r="F7" s="10">
        <f t="shared" si="7"/>
        <v>9.2998485637901154E-2</v>
      </c>
      <c r="G7" s="10">
        <f t="shared" si="7"/>
        <v>9.2998485637901154E-2</v>
      </c>
      <c r="H7" s="10">
        <f t="shared" si="7"/>
        <v>9.2998485637901154E-2</v>
      </c>
      <c r="I7" s="10">
        <f t="shared" si="7"/>
        <v>9.2998485637901154E-2</v>
      </c>
      <c r="J7" s="10">
        <f t="shared" si="7"/>
        <v>9.2998485637901154E-2</v>
      </c>
      <c r="K7" s="10">
        <f t="shared" si="7"/>
        <v>9.2998485637901154E-2</v>
      </c>
      <c r="L7" s="10">
        <f t="shared" si="7"/>
        <v>9.2998485637901154E-2</v>
      </c>
      <c r="M7" s="10">
        <f t="shared" si="7"/>
        <v>9.2998485637901154E-2</v>
      </c>
      <c r="N7" s="10">
        <f t="shared" si="7"/>
        <v>9.2998485637901154E-2</v>
      </c>
      <c r="O7" s="10">
        <f t="shared" si="7"/>
        <v>9.2998485637901154E-2</v>
      </c>
      <c r="P7" s="10">
        <f t="shared" si="7"/>
        <v>9.2998485637901154E-2</v>
      </c>
      <c r="Q7" s="10">
        <f t="shared" si="7"/>
        <v>9.2998485637901154E-2</v>
      </c>
      <c r="R7" s="10">
        <f t="shared" si="7"/>
        <v>9.2998485637901154E-2</v>
      </c>
      <c r="S7" s="10">
        <f t="shared" si="7"/>
        <v>9.2998485637901154E-2</v>
      </c>
      <c r="T7" s="10">
        <f t="shared" si="7"/>
        <v>9.2998485637901154E-2</v>
      </c>
      <c r="U7" s="10">
        <f t="shared" si="7"/>
        <v>9.2998485637901154E-2</v>
      </c>
      <c r="V7" s="10">
        <f t="shared" si="7"/>
        <v>9.2998485637901154E-2</v>
      </c>
      <c r="W7" s="10">
        <f t="shared" si="7"/>
        <v>9.2998485637901154E-2</v>
      </c>
      <c r="X7" s="10">
        <f t="shared" si="7"/>
        <v>9.2998485637901154E-2</v>
      </c>
      <c r="Y7" s="10">
        <f t="shared" si="7"/>
        <v>9.2998485637901154E-2</v>
      </c>
      <c r="Z7" s="10">
        <f t="shared" si="7"/>
        <v>9.2998485637901154E-2</v>
      </c>
      <c r="AA7" s="10">
        <f t="shared" si="7"/>
        <v>9.2998485637901154E-2</v>
      </c>
      <c r="AB7" s="10">
        <f t="shared" si="7"/>
        <v>9.2998485637901154E-2</v>
      </c>
      <c r="AC7" s="10">
        <f t="shared" si="7"/>
        <v>9.2998485637901154E-2</v>
      </c>
      <c r="AD7" s="10">
        <f t="shared" si="7"/>
        <v>9.2998485637901154E-2</v>
      </c>
      <c r="AE7" s="10">
        <f t="shared" si="7"/>
        <v>9.2998485637901154E-2</v>
      </c>
      <c r="AF7" s="10">
        <f t="shared" si="7"/>
        <v>9.2998485637901154E-2</v>
      </c>
      <c r="AG7" s="10">
        <f t="shared" si="7"/>
        <v>9.2998485637901154E-2</v>
      </c>
      <c r="AH7" s="10">
        <f t="shared" ref="AH7:CS10" si="11">$B7</f>
        <v>9.2998485637901154E-2</v>
      </c>
      <c r="AI7" s="10">
        <f t="shared" si="11"/>
        <v>9.2998485637901154E-2</v>
      </c>
      <c r="AJ7" s="10">
        <f t="shared" si="11"/>
        <v>9.2998485637901154E-2</v>
      </c>
      <c r="AK7" s="10">
        <f t="shared" si="11"/>
        <v>9.2998485637901154E-2</v>
      </c>
      <c r="AL7" s="10">
        <f t="shared" si="11"/>
        <v>9.2998485637901154E-2</v>
      </c>
      <c r="AM7" s="10">
        <f t="shared" si="11"/>
        <v>9.2998485637901154E-2</v>
      </c>
      <c r="AN7" s="10">
        <f t="shared" si="11"/>
        <v>9.2998485637901154E-2</v>
      </c>
      <c r="AO7" s="10">
        <f t="shared" si="11"/>
        <v>9.2998485637901154E-2</v>
      </c>
      <c r="AP7" s="10">
        <f t="shared" si="11"/>
        <v>9.2998485637901154E-2</v>
      </c>
      <c r="AQ7" s="10">
        <f t="shared" si="11"/>
        <v>9.2998485637901154E-2</v>
      </c>
      <c r="AR7" s="10">
        <f t="shared" si="11"/>
        <v>9.2998485637901154E-2</v>
      </c>
      <c r="AS7" s="10">
        <f t="shared" si="11"/>
        <v>9.2998485637901154E-2</v>
      </c>
      <c r="AT7" s="10">
        <f t="shared" si="11"/>
        <v>9.2998485637901154E-2</v>
      </c>
      <c r="AU7" s="10">
        <f t="shared" si="11"/>
        <v>9.2998485637901154E-2</v>
      </c>
      <c r="AV7" s="10">
        <f t="shared" si="11"/>
        <v>9.2998485637901154E-2</v>
      </c>
      <c r="AW7" s="10">
        <f t="shared" si="11"/>
        <v>9.2998485637901154E-2</v>
      </c>
      <c r="AX7" s="10">
        <f t="shared" si="11"/>
        <v>9.2998485637901154E-2</v>
      </c>
      <c r="AY7" s="10">
        <f t="shared" si="11"/>
        <v>9.2998485637901154E-2</v>
      </c>
      <c r="AZ7" s="10">
        <f t="shared" si="11"/>
        <v>9.2998485637901154E-2</v>
      </c>
      <c r="BA7" s="10">
        <f t="shared" si="11"/>
        <v>9.2998485637901154E-2</v>
      </c>
      <c r="BB7" s="10">
        <f t="shared" si="11"/>
        <v>9.2998485637901154E-2</v>
      </c>
      <c r="BC7" s="10">
        <f t="shared" si="11"/>
        <v>9.2998485637901154E-2</v>
      </c>
      <c r="BD7" s="10">
        <f t="shared" si="11"/>
        <v>9.2998485637901154E-2</v>
      </c>
      <c r="BE7" s="10">
        <f t="shared" si="11"/>
        <v>9.2998485637901154E-2</v>
      </c>
      <c r="BF7" s="10">
        <f t="shared" si="11"/>
        <v>9.2998485637901154E-2</v>
      </c>
      <c r="BG7" s="10">
        <f t="shared" si="11"/>
        <v>9.2998485637901154E-2</v>
      </c>
      <c r="BH7" s="10">
        <f t="shared" si="11"/>
        <v>9.2998485637901154E-2</v>
      </c>
      <c r="BI7" s="10">
        <f t="shared" si="11"/>
        <v>9.2998485637901154E-2</v>
      </c>
      <c r="BJ7" s="10">
        <f t="shared" si="11"/>
        <v>9.2998485637901154E-2</v>
      </c>
      <c r="BK7" s="10">
        <f t="shared" si="11"/>
        <v>9.2998485637901154E-2</v>
      </c>
      <c r="BL7" s="10">
        <f t="shared" si="11"/>
        <v>9.2998485637901154E-2</v>
      </c>
      <c r="BM7" s="10">
        <f t="shared" si="11"/>
        <v>9.2998485637901154E-2</v>
      </c>
      <c r="BN7" s="10">
        <f t="shared" si="11"/>
        <v>9.2998485637901154E-2</v>
      </c>
      <c r="BO7" s="10">
        <f t="shared" si="11"/>
        <v>9.2998485637901154E-2</v>
      </c>
      <c r="BP7" s="10">
        <f t="shared" si="11"/>
        <v>9.2998485637901154E-2</v>
      </c>
      <c r="BQ7" s="10">
        <f t="shared" si="11"/>
        <v>9.2998485637901154E-2</v>
      </c>
      <c r="BR7" s="10">
        <f t="shared" si="11"/>
        <v>9.2998485637901154E-2</v>
      </c>
      <c r="BS7" s="10">
        <f t="shared" si="11"/>
        <v>9.2998485637901154E-2</v>
      </c>
      <c r="BT7" s="10">
        <f t="shared" si="11"/>
        <v>9.2998485637901154E-2</v>
      </c>
      <c r="BU7" s="10">
        <f t="shared" si="11"/>
        <v>9.2998485637901154E-2</v>
      </c>
      <c r="BV7" s="10">
        <f t="shared" si="11"/>
        <v>9.2998485637901154E-2</v>
      </c>
      <c r="BW7" s="10">
        <f t="shared" si="11"/>
        <v>9.2998485637901154E-2</v>
      </c>
      <c r="BX7" s="10">
        <f t="shared" si="11"/>
        <v>9.2998485637901154E-2</v>
      </c>
      <c r="BY7" s="10">
        <f t="shared" si="11"/>
        <v>9.2998485637901154E-2</v>
      </c>
      <c r="BZ7" s="10">
        <f t="shared" si="11"/>
        <v>9.2998485637901154E-2</v>
      </c>
      <c r="CA7" s="10">
        <f t="shared" si="11"/>
        <v>9.2998485637901154E-2</v>
      </c>
      <c r="CB7" s="10">
        <f t="shared" si="11"/>
        <v>9.2998485637901154E-2</v>
      </c>
      <c r="CC7" s="10">
        <f t="shared" si="11"/>
        <v>9.2998485637901154E-2</v>
      </c>
      <c r="CD7" s="10">
        <f t="shared" si="11"/>
        <v>9.2998485637901154E-2</v>
      </c>
      <c r="CE7" s="10">
        <f t="shared" si="11"/>
        <v>9.2998485637901154E-2</v>
      </c>
      <c r="CF7" s="10">
        <f t="shared" si="11"/>
        <v>9.2998485637901154E-2</v>
      </c>
      <c r="CG7" s="10">
        <f t="shared" si="11"/>
        <v>9.2998485637901154E-2</v>
      </c>
      <c r="CH7" s="10">
        <f t="shared" si="11"/>
        <v>9.2998485637901154E-2</v>
      </c>
      <c r="CI7" s="10">
        <f t="shared" si="11"/>
        <v>9.2998485637901154E-2</v>
      </c>
      <c r="CJ7" s="10">
        <f t="shared" si="11"/>
        <v>9.2998485637901154E-2</v>
      </c>
      <c r="CK7" s="10">
        <f t="shared" si="11"/>
        <v>9.2998485637901154E-2</v>
      </c>
      <c r="CL7" s="10">
        <f t="shared" si="11"/>
        <v>9.2998485637901154E-2</v>
      </c>
      <c r="CM7" s="10">
        <f t="shared" si="11"/>
        <v>9.2998485637901154E-2</v>
      </c>
      <c r="CN7" s="10">
        <f t="shared" si="11"/>
        <v>9.2998485637901154E-2</v>
      </c>
      <c r="CO7" s="10">
        <f t="shared" si="11"/>
        <v>9.2998485637901154E-2</v>
      </c>
      <c r="CP7" s="10">
        <f t="shared" si="11"/>
        <v>9.2998485637901154E-2</v>
      </c>
      <c r="CQ7" s="10">
        <f t="shared" si="11"/>
        <v>9.2998485637901154E-2</v>
      </c>
      <c r="CR7" s="10">
        <f t="shared" si="11"/>
        <v>9.2998485637901154E-2</v>
      </c>
      <c r="CS7" s="10">
        <f t="shared" si="11"/>
        <v>9.2998485637901154E-2</v>
      </c>
      <c r="CT7" s="10">
        <f t="shared" si="9"/>
        <v>9.2998485637901154E-2</v>
      </c>
      <c r="CU7" s="10">
        <f t="shared" si="9"/>
        <v>9.2998485637901154E-2</v>
      </c>
      <c r="CV7" s="10">
        <f t="shared" si="9"/>
        <v>9.2998485637901154E-2</v>
      </c>
      <c r="CW7" s="10">
        <f t="shared" si="9"/>
        <v>9.2998485637901154E-2</v>
      </c>
      <c r="CX7" s="10">
        <f t="shared" si="9"/>
        <v>9.2998485637901154E-2</v>
      </c>
      <c r="CY7" s="10">
        <f t="shared" si="9"/>
        <v>9.2998485637901154E-2</v>
      </c>
      <c r="CZ7" s="10">
        <f t="shared" si="9"/>
        <v>9.2998485637901154E-2</v>
      </c>
      <c r="DA7" s="10">
        <f t="shared" si="9"/>
        <v>9.2998485637901154E-2</v>
      </c>
      <c r="DB7" s="10">
        <f t="shared" si="9"/>
        <v>9.2998485637901154E-2</v>
      </c>
      <c r="DC7" s="10">
        <f t="shared" si="9"/>
        <v>9.2998485637901154E-2</v>
      </c>
      <c r="DD7" s="10">
        <f t="shared" si="9"/>
        <v>9.2998485637901154E-2</v>
      </c>
      <c r="DE7" s="10">
        <f t="shared" si="9"/>
        <v>9.2998485637901154E-2</v>
      </c>
      <c r="DF7" s="10">
        <f t="shared" si="9"/>
        <v>9.2998485637901154E-2</v>
      </c>
      <c r="DG7" s="10">
        <f t="shared" si="9"/>
        <v>9.2998485637901154E-2</v>
      </c>
      <c r="DH7" s="10">
        <f t="shared" si="9"/>
        <v>9.2998485637901154E-2</v>
      </c>
      <c r="DI7" s="10">
        <f t="shared" si="9"/>
        <v>9.2998485637901154E-2</v>
      </c>
      <c r="DJ7" s="10">
        <f t="shared" si="9"/>
        <v>9.2998485637901154E-2</v>
      </c>
      <c r="DK7" s="10">
        <f t="shared" si="9"/>
        <v>9.2998485637901154E-2</v>
      </c>
      <c r="DL7" s="10">
        <f t="shared" si="9"/>
        <v>9.2998485637901154E-2</v>
      </c>
      <c r="DM7" s="10">
        <f t="shared" si="9"/>
        <v>9.2998485637901154E-2</v>
      </c>
      <c r="DN7" s="10">
        <f t="shared" si="9"/>
        <v>9.2998485637901154E-2</v>
      </c>
      <c r="DO7" s="10">
        <f t="shared" si="9"/>
        <v>9.2998485637901154E-2</v>
      </c>
      <c r="DP7" s="10">
        <f t="shared" si="9"/>
        <v>9.2998485637901154E-2</v>
      </c>
      <c r="DQ7" s="10">
        <f t="shared" si="9"/>
        <v>9.2998485637901154E-2</v>
      </c>
      <c r="DR7" s="10">
        <f t="shared" si="9"/>
        <v>9.2998485637901154E-2</v>
      </c>
      <c r="DS7" s="10">
        <f t="shared" si="9"/>
        <v>9.2998485637901154E-2</v>
      </c>
      <c r="DT7" s="10">
        <f t="shared" si="9"/>
        <v>9.2998485637901154E-2</v>
      </c>
      <c r="DU7" s="10">
        <f t="shared" si="9"/>
        <v>9.2998485637901154E-2</v>
      </c>
      <c r="DV7" s="10">
        <f t="shared" si="9"/>
        <v>9.2998485637901154E-2</v>
      </c>
      <c r="DW7" s="10">
        <f t="shared" si="9"/>
        <v>9.2998485637901154E-2</v>
      </c>
      <c r="DX7" s="10">
        <f t="shared" si="9"/>
        <v>9.2998485637901154E-2</v>
      </c>
      <c r="DY7" s="10">
        <f t="shared" si="9"/>
        <v>9.2998485637901154E-2</v>
      </c>
      <c r="DZ7" s="10">
        <f t="shared" si="9"/>
        <v>9.2998485637901154E-2</v>
      </c>
      <c r="EA7" s="10">
        <f t="shared" si="9"/>
        <v>9.2998485637901154E-2</v>
      </c>
      <c r="EB7" s="10">
        <f t="shared" si="9"/>
        <v>9.2998485637901154E-2</v>
      </c>
      <c r="EC7" s="10">
        <f t="shared" si="9"/>
        <v>9.2998485637901154E-2</v>
      </c>
      <c r="ED7" s="10">
        <f t="shared" si="9"/>
        <v>9.2998485637901154E-2</v>
      </c>
      <c r="EE7" s="10">
        <f t="shared" si="9"/>
        <v>9.2998485637901154E-2</v>
      </c>
      <c r="EF7" s="10">
        <f t="shared" si="9"/>
        <v>9.2998485637901154E-2</v>
      </c>
      <c r="EG7" s="10">
        <f t="shared" si="9"/>
        <v>9.2998485637901154E-2</v>
      </c>
      <c r="EH7" s="10">
        <f t="shared" si="9"/>
        <v>9.2998485637901154E-2</v>
      </c>
      <c r="EI7" s="10">
        <f t="shared" si="9"/>
        <v>9.2998485637901154E-2</v>
      </c>
      <c r="EJ7" s="10">
        <f t="shared" si="9"/>
        <v>9.2998485637901154E-2</v>
      </c>
      <c r="EK7" s="10">
        <f t="shared" si="9"/>
        <v>9.2998485637901154E-2</v>
      </c>
      <c r="EL7" s="10">
        <f t="shared" si="9"/>
        <v>9.2998485637901154E-2</v>
      </c>
      <c r="EM7" s="10">
        <f t="shared" si="9"/>
        <v>9.2998485637901154E-2</v>
      </c>
      <c r="EN7" s="10">
        <f t="shared" si="9"/>
        <v>9.2998485637901154E-2</v>
      </c>
      <c r="EO7" s="10">
        <f t="shared" si="9"/>
        <v>9.2998485637901154E-2</v>
      </c>
      <c r="EP7" s="10">
        <f t="shared" si="9"/>
        <v>9.2998485637901154E-2</v>
      </c>
      <c r="EQ7" s="10">
        <f t="shared" si="9"/>
        <v>9.2998485637901154E-2</v>
      </c>
      <c r="ER7" s="10">
        <f t="shared" si="9"/>
        <v>9.2998485637901154E-2</v>
      </c>
      <c r="ES7" s="10">
        <f t="shared" si="9"/>
        <v>9.2998485637901154E-2</v>
      </c>
      <c r="ET7" s="10">
        <f t="shared" si="9"/>
        <v>9.2998485637901154E-2</v>
      </c>
      <c r="EU7" s="10">
        <f t="shared" si="9"/>
        <v>9.2998485637901154E-2</v>
      </c>
      <c r="EV7" s="10">
        <f t="shared" si="9"/>
        <v>9.2998485637901154E-2</v>
      </c>
      <c r="EW7" s="10">
        <f t="shared" si="9"/>
        <v>9.2998485637901154E-2</v>
      </c>
      <c r="EX7" s="10">
        <f t="shared" si="9"/>
        <v>9.2998485637901154E-2</v>
      </c>
      <c r="EY7" s="10">
        <f t="shared" si="9"/>
        <v>9.2998485637901154E-2</v>
      </c>
      <c r="EZ7" s="10">
        <f t="shared" si="9"/>
        <v>9.2998485637901154E-2</v>
      </c>
      <c r="FA7" s="10">
        <f t="shared" si="9"/>
        <v>9.2998485637901154E-2</v>
      </c>
      <c r="FB7" s="10">
        <f t="shared" si="9"/>
        <v>9.2998485637901154E-2</v>
      </c>
      <c r="FC7" s="10">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    </c>
      <c r="FF7" s="10">
        <f t="shared" si="10"/>
        <v>9.2998485637901154E-2</v>
      </c>
      <c r="FG7" s="10">
        <f t="shared" si="10"/>
        <v>9.2998485637901154E-2</v>
      </c>
      <c r="FH7" s="10">
        <f t="shared" si="10"/>
        <v>9.2998485637901154E-2</v>
      </c>
      <c r="FI7" s="10">
        <f t="shared" si="10"/>
        <v>9.2998485637901154E-2</v>
      </c>
      <c r="FJ7" s="10">
        <f t="shared" si="10"/>
        <v>9.2998485637901154E-2</v>
      </c>
      <c r="FK7" s="10">
        <f t="shared" si="10"/>
        <v>9.2998485637901154E-2</v>
      </c>
      <c r="FL7" s="10">
        <f t="shared" si="10"/>
        <v>9.2998485637901154E-2</v>
      </c>
      <c r="FM7" s="10">
        <f t="shared" si="10"/>
        <v>9.2998485637901154E-2</v>
      </c>
      <c r="FN7" s="10">
        <f t="shared" si="10"/>
        <v>9.2998485637901154E-2</v>
      </c>
      <c r="FO7" s="10">
        <f t="shared" si="10"/>
        <v>9.2998485637901154E-2</v>
      </c>
      <c r="FP7" s="10">
        <f t="shared" si="10"/>
        <v>9.2998485637901154E-2</v>
      </c>
      <c r="FQ7" s="10">
        <f t="shared" si="10"/>
        <v>9.2998485637901154E-2</v>
      </c>
      <c r="FR7" s="10">
        <f t="shared" si="10"/>
        <v>9.2998485637901154E-2</v>
      </c>
      <c r="FS7" s="10">
        <f t="shared" si="10"/>
        <v>9.2998485637901154E-2</v>
      </c>
      <c r="FT7" s="10">
        <f t="shared" si="10"/>
        <v>9.2998485637901154E-2</v>
      </c>
      <c r="FU7" s="10">
        <f t="shared" si="10"/>
        <v>9.2998485637901154E-2</v>
      </c>
      <c r="FV7" s="10">
        <f t="shared" si="10"/>
        <v>9.2998485637901154E-2</v>
      </c>
      <c r="FW7" s="10">
        <f t="shared" si="10"/>
        <v>9.2998485637901154E-2</v>
      </c>
      <c r="FX7" s="10">
        <f t="shared" si="10"/>
        <v>9.2998485637901154E-2</v>
      </c>
      <c r="FY7" s="10">
        <f t="shared" si="10"/>
        <v>9.2998485637901154E-2</v>
      </c>
      <c r="FZ7" s="10">
        <f t="shared" si="10"/>
        <v>9.2998485637901154E-2</v>
      </c>
      <c r="GA7" s="10">
        <f t="shared" si="10"/>
        <v>9.2998485637901154E-2</v>
      </c>
      <c r="GB7" s="10">
        <f t="shared" si="10"/>
        <v>9.2998485637901154E-2</v>
      </c>
      <c r="GC7" s="10">
        <f t="shared" si="10"/>
        <v>9.2998485637901154E-2</v>
      </c>
      <c r="GD7" s="10">
        <f t="shared" si="10"/>
        <v>9.2998485637901154E-2</v>
      </c>
      <c r="GE7" s="10">
        <f t="shared" si="10"/>
        <v>9.2998485637901154E-2</v>
      </c>
      <c r="GF7" s="10">
        <f t="shared" si="10"/>
        <v>9.2998485637901154E-2</v>
      </c>
      <c r="GG7" s="10">
        <f t="shared" si="10"/>
        <v>9.2998485637901154E-2</v>
      </c>
      <c r="GH7" s="10">
        <f t="shared" si="10"/>
        <v>9.2998485637901154E-2</v>
      </c>
      <c r="GI7" s="10">
        <f t="shared" si="10"/>
        <v>9.2998485637901154E-2</v>
      </c>
      <c r="GJ7" s="10">
        <f t="shared" si="10"/>
        <v>9.2998485637901154E-2</v>
      </c>
      <c r="GK7" s="10">
        <f t="shared" si="10"/>
        <v>9.2998485637901154E-2</v>
      </c>
      <c r="GL7" s="10">
        <f t="shared" si="10"/>
        <v>9.2998485637901154E-2</v>
      </c>
      <c r="GM7" s="10">
        <f t="shared" si="10"/>
        <v>9.2998485637901154E-2</v>
      </c>
      <c r="GN7" s="10">
        <f t="shared" si="10"/>
        <v>9.2998485637901154E-2</v>
      </c>
      <c r="GO7" s="10">
        <f t="shared" si="10"/>
        <v>9.2998485637901154E-2</v>
      </c>
      <c r="GP7" s="10">
        <f t="shared" si="10"/>
        <v>9.2998485637901154E-2</v>
      </c>
      <c r="GQ7" s="10">
        <f t="shared" si="10"/>
        <v>9.2998485637901154E-2</v>
      </c>
      <c r="GR7" s="10">
        <f t="shared" si="10"/>
        <v>9.2998485637901154E-2</v>
      </c>
      <c r="GS7" s="10">
        <f t="shared" si="10"/>
        <v>9.2998485637901154E-2</v>
      </c>
      <c r="GT7" s="10">
        <f t="shared" si="10"/>
        <v>9.2998485637901154E-2</v>
      </c>
      <c r="GU7" s="10">
        <f t="shared" si="10"/>
        <v>9.2998485637901154E-2</v>
      </c>
      <c r="GV7" s="10">
        <f t="shared" si="10"/>
        <v>9.2998485637901154E-2</v>
      </c>
      <c r="GW7" s="10">
        <f t="shared" si="10"/>
        <v>9.2998485637901154E-2</v>
      </c>
      <c r="GX7" s="10">
        <f t="shared" si="10"/>
        <v>9.2998485637901154E-2</v>
      </c>
      <c r="GY7" s="10">
        <f t="shared" si="10"/>
        <v>9.2998485637901154E-2</v>
      </c>
      <c r="GZ7" s="10">
        <f t="shared" si="10"/>
        <v>9.2998485637901154E-2</v>
      </c>
      <c r="HA7" s="10">
        <f t="shared" si="10"/>
        <v>9.2998485637901154E-2</v>
      </c>
      <c r="HB7" s="10">
        <f t="shared" si="10"/>
        <v>9.2998485637901154E-2</v>
      </c>
      <c r="HC7" s="10">
        <f t="shared" si="10"/>
        <v>9.2998485637901154E-2</v>
      </c>
    </row>
    <row r="8" spans="1:211">
      <c r="A8" t="s">
        <v>7</v>
      </c>
      <c r="B8" s="10">
        <f>Calculation!B98</f>
        <v>9.2998485637901154E-2</v>
      </c>
      <c r="C8" s="10">
        <f t="shared" si="6"/>
        <v>9.2998485637901154E-2</v>
      </c>
      <c r="D8" s="10">
        <f t="shared" si="6"/>
        <v>9.2998485637901154E-2</v>
      </c>
      <c r="E8" s="10">
        <f t="shared" si="6"/>
        <v>9.2998485637901154E-2</v>
      </c>
      <c r="F8" s="10">
        <f t="shared" si="7"/>
        <v>9.2998485637901154E-2</v>
      </c>
      <c r="G8" s="10">
        <f t="shared" si="7"/>
        <v>9.2998485637901154E-2</v>
      </c>
      <c r="H8" s="10">
        <f t="shared" si="7"/>
        <v>9.2998485637901154E-2</v>
      </c>
      <c r="I8" s="10">
        <f t="shared" si="7"/>
        <v>9.2998485637901154E-2</v>
      </c>
      <c r="J8" s="10">
        <f t="shared" si="7"/>
        <v>9.2998485637901154E-2</v>
      </c>
      <c r="K8" s="10">
        <f t="shared" si="7"/>
        <v>9.2998485637901154E-2</v>
      </c>
      <c r="L8" s="10">
        <f t="shared" si="7"/>
        <v>9.2998485637901154E-2</v>
      </c>
      <c r="M8" s="10">
        <f t="shared" si="7"/>
        <v>9.2998485637901154E-2</v>
      </c>
      <c r="N8" s="10">
        <f t="shared" si="7"/>
        <v>9.2998485637901154E-2</v>
      </c>
      <c r="O8" s="10">
        <f t="shared" si="7"/>
        <v>9.2998485637901154E-2</v>
      </c>
      <c r="P8" s="10">
        <f t="shared" si="7"/>
        <v>9.2998485637901154E-2</v>
      </c>
      <c r="Q8" s="10">
        <f t="shared" si="7"/>
        <v>9.2998485637901154E-2</v>
      </c>
      <c r="R8" s="10">
        <f t="shared" si="7"/>
        <v>9.2998485637901154E-2</v>
      </c>
      <c r="S8" s="10">
        <f t="shared" si="7"/>
        <v>9.2998485637901154E-2</v>
      </c>
      <c r="T8" s="10">
        <f t="shared" si="7"/>
        <v>9.2998485637901154E-2</v>
      </c>
      <c r="U8" s="10">
        <f t="shared" si="7"/>
        <v>9.2998485637901154E-2</v>
      </c>
      <c r="V8" s="10">
        <f t="shared" si="7"/>
        <v>9.2998485637901154E-2</v>
      </c>
      <c r="W8" s="10">
        <f t="shared" si="7"/>
        <v>9.2998485637901154E-2</v>
      </c>
      <c r="X8" s="10">
        <f t="shared" si="7"/>
        <v>9.2998485637901154E-2</v>
      </c>
      <c r="Y8" s="10">
        <f t="shared" si="7"/>
        <v>9.2998485637901154E-2</v>
      </c>
      <c r="Z8" s="10">
        <f t="shared" si="7"/>
        <v>9.2998485637901154E-2</v>
      </c>
      <c r="AA8" s="10">
        <f t="shared" si="7"/>
        <v>9.2998485637901154E-2</v>
      </c>
      <c r="AB8" s="10">
        <f t="shared" si="7"/>
        <v>9.2998485637901154E-2</v>
      </c>
      <c r="AC8" s="10">
        <f t="shared" si="7"/>
        <v>9.2998485637901154E-2</v>
      </c>
      <c r="AD8" s="10">
        <f t="shared" si="7"/>
        <v>9.2998485637901154E-2</v>
      </c>
      <c r="AE8" s="10">
        <f t="shared" si="7"/>
        <v>9.2998485637901154E-2</v>
      </c>
      <c r="AF8" s="10">
        <f t="shared" si="7"/>
        <v>9.2998485637901154E-2</v>
      </c>
      <c r="AG8" s="10">
        <f t="shared" si="7"/>
        <v>9.2998485637901154E-2</v>
      </c>
      <c r="AH8" s="10">
        <f t="shared" si="11"/>
        <v>9.2998485637901154E-2</v>
      </c>
      <c r="AI8" s="10">
        <f t="shared" si="11"/>
        <v>9.2998485637901154E-2</v>
      </c>
      <c r="AJ8" s="10">
        <f t="shared" si="11"/>
        <v>9.2998485637901154E-2</v>
      </c>
      <c r="AK8" s="10">
        <f t="shared" si="11"/>
        <v>9.2998485637901154E-2</v>
      </c>
      <c r="AL8" s="10">
        <f t="shared" si="11"/>
        <v>9.2998485637901154E-2</v>
      </c>
      <c r="AM8" s="10">
        <f t="shared" si="11"/>
        <v>9.2998485637901154E-2</v>
      </c>
      <c r="AN8" s="10">
        <f t="shared" si="11"/>
        <v>9.2998485637901154E-2</v>
      </c>
      <c r="AO8" s="10">
        <f t="shared" si="11"/>
        <v>9.2998485637901154E-2</v>
      </c>
      <c r="AP8" s="10">
        <f t="shared" si="11"/>
        <v>9.2998485637901154E-2</v>
      </c>
      <c r="AQ8" s="10">
        <f t="shared" si="11"/>
        <v>9.2998485637901154E-2</v>
      </c>
      <c r="AR8" s="10">
        <f t="shared" si="11"/>
        <v>9.2998485637901154E-2</v>
      </c>
      <c r="AS8" s="10">
        <f t="shared" si="11"/>
        <v>9.2998485637901154E-2</v>
      </c>
      <c r="AT8" s="10">
        <f t="shared" si="11"/>
        <v>9.2998485637901154E-2</v>
      </c>
      <c r="AU8" s="10">
        <f t="shared" si="11"/>
        <v>9.2998485637901154E-2</v>
      </c>
      <c r="AV8" s="10">
        <f t="shared" si="11"/>
        <v>9.2998485637901154E-2</v>
      </c>
      <c r="AW8" s="10">
        <f t="shared" si="11"/>
        <v>9.2998485637901154E-2</v>
      </c>
      <c r="AX8" s="10">
        <f t="shared" si="11"/>
        <v>9.2998485637901154E-2</v>
      </c>
      <c r="AY8" s="10">
        <f t="shared" si="11"/>
        <v>9.2998485637901154E-2</v>
      </c>
      <c r="AZ8" s="10">
        <f t="shared" si="11"/>
        <v>9.2998485637901154E-2</v>
      </c>
      <c r="BA8" s="10">
        <f t="shared" si="11"/>
        <v>9.2998485637901154E-2</v>
      </c>
      <c r="BB8" s="10">
        <f t="shared" si="11"/>
        <v>9.2998485637901154E-2</v>
      </c>
      <c r="BC8" s="10">
        <f t="shared" si="11"/>
        <v>9.2998485637901154E-2</v>
      </c>
      <c r="BD8" s="10">
        <f t="shared" si="11"/>
        <v>9.2998485637901154E-2</v>
      </c>
      <c r="BE8" s="10">
        <f t="shared" si="11"/>
        <v>9.2998485637901154E-2</v>
      </c>
      <c r="BF8" s="10">
        <f t="shared" si="11"/>
        <v>9.2998485637901154E-2</v>
      </c>
      <c r="BG8" s="10">
        <f t="shared" si="11"/>
        <v>9.2998485637901154E-2</v>
      </c>
      <c r="BH8" s="10">
        <f t="shared" si="11"/>
        <v>9.2998485637901154E-2</v>
      </c>
      <c r="BI8" s="10">
        <f t="shared" si="11"/>
        <v>9.2998485637901154E-2</v>
      </c>
      <c r="BJ8" s="10">
        <f t="shared" si="11"/>
        <v>9.2998485637901154E-2</v>
      </c>
      <c r="BK8" s="10">
        <f t="shared" si="11"/>
        <v>9.2998485637901154E-2</v>
      </c>
      <c r="BL8" s="10">
        <f t="shared" si="11"/>
        <v>9.2998485637901154E-2</v>
      </c>
      <c r="BM8" s="10">
        <f t="shared" si="11"/>
        <v>9.2998485637901154E-2</v>
      </c>
      <c r="BN8" s="10">
        <f t="shared" si="11"/>
        <v>9.2998485637901154E-2</v>
      </c>
      <c r="BO8" s="10">
        <f t="shared" si="11"/>
        <v>9.2998485637901154E-2</v>
      </c>
      <c r="BP8" s="10">
        <f t="shared" si="11"/>
        <v>9.2998485637901154E-2</v>
      </c>
      <c r="BQ8" s="10">
        <f t="shared" si="11"/>
        <v>9.2998485637901154E-2</v>
      </c>
      <c r="BR8" s="10">
        <f t="shared" si="11"/>
        <v>9.2998485637901154E-2</v>
      </c>
      <c r="BS8" s="10">
        <f t="shared" si="11"/>
        <v>9.2998485637901154E-2</v>
      </c>
      <c r="BT8" s="10">
        <f t="shared" si="11"/>
        <v>9.2998485637901154E-2</v>
      </c>
      <c r="BU8" s="10">
        <f t="shared" si="11"/>
        <v>9.2998485637901154E-2</v>
      </c>
      <c r="BV8" s="10">
        <f t="shared" si="11"/>
        <v>9.2998485637901154E-2</v>
      </c>
      <c r="BW8" s="10">
        <f t="shared" si="11"/>
        <v>9.2998485637901154E-2</v>
      </c>
      <c r="BX8" s="10">
        <f t="shared" si="11"/>
        <v>9.2998485637901154E-2</v>
      </c>
      <c r="BY8" s="10">
        <f t="shared" si="11"/>
        <v>9.2998485637901154E-2</v>
      </c>
      <c r="BZ8" s="10">
        <f t="shared" si="11"/>
        <v>9.2998485637901154E-2</v>
      </c>
      <c r="CA8" s="10">
        <f t="shared" si="11"/>
        <v>9.2998485637901154E-2</v>
      </c>
      <c r="CB8" s="10">
        <f t="shared" si="11"/>
        <v>9.2998485637901154E-2</v>
      </c>
      <c r="CC8" s="10">
        <f t="shared" si="11"/>
        <v>9.2998485637901154E-2</v>
      </c>
      <c r="CD8" s="10">
        <f t="shared" si="11"/>
        <v>9.2998485637901154E-2</v>
      </c>
      <c r="CE8" s="10">
        <f t="shared" si="11"/>
        <v>9.2998485637901154E-2</v>
      </c>
      <c r="CF8" s="10">
        <f t="shared" si="11"/>
        <v>9.2998485637901154E-2</v>
      </c>
      <c r="CG8" s="10">
        <f t="shared" si="11"/>
        <v>9.2998485637901154E-2</v>
      </c>
      <c r="CH8" s="10">
        <f t="shared" si="11"/>
        <v>9.2998485637901154E-2</v>
      </c>
      <c r="CI8" s="10">
        <f t="shared" si="11"/>
        <v>9.2998485637901154E-2</v>
      </c>
      <c r="CJ8" s="10">
        <f t="shared" si="11"/>
        <v>9.2998485637901154E-2</v>
      </c>
      <c r="CK8" s="10">
        <f t="shared" si="11"/>
        <v>9.2998485637901154E-2</v>
      </c>
      <c r="CL8" s="10">
        <f t="shared" si="11"/>
        <v>9.2998485637901154E-2</v>
      </c>
      <c r="CM8" s="10">
        <f t="shared" si="11"/>
        <v>9.2998485637901154E-2</v>
      </c>
      <c r="CN8" s="10">
        <f t="shared" si="11"/>
        <v>9.2998485637901154E-2</v>
      </c>
      <c r="CO8" s="10">
        <f t="shared" si="11"/>
        <v>9.2998485637901154E-2</v>
      </c>
      <c r="CP8" s="10">
        <f t="shared" si="11"/>
        <v>9.2998485637901154E-2</v>
      </c>
      <c r="CQ8" s="10">
        <f t="shared" si="11"/>
        <v>9.2998485637901154E-2</v>
      </c>
      <c r="CR8" s="10">
        <f t="shared" si="11"/>
        <v>9.2998485637901154E-2</v>
      </c>
      <c r="CS8" s="10">
        <f t="shared" si="11"/>
        <v>9.2998485637901154E-2</v>
      </c>
      <c r="CT8" s="10">
        <f t="shared" si="9"/>
        <v>9.2998485637901154E-2</v>
      </c>
      <c r="CU8" s="10">
        <f t="shared" si="9"/>
        <v>9.2998485637901154E-2</v>
      </c>
      <c r="CV8" s="10">
        <f t="shared" si="9"/>
        <v>9.2998485637901154E-2</v>
      </c>
      <c r="CW8" s="10">
        <f t="shared" si="9"/>
        <v>9.2998485637901154E-2</v>
      </c>
      <c r="CX8" s="10">
        <f t="shared" si="9"/>
        <v>9.2998485637901154E-2</v>
      </c>
      <c r="CY8" s="10">
        <f t="shared" si="9"/>
        <v>9.2998485637901154E-2</v>
      </c>
      <c r="CZ8" s="10">
        <f t="shared" si="9"/>
        <v>9.2998485637901154E-2</v>
      </c>
      <c r="DA8" s="10">
        <f t="shared" si="9"/>
        <v>9.2998485637901154E-2</v>
      </c>
      <c r="DB8" s="10">
        <f t="shared" si="9"/>
        <v>9.2998485637901154E-2</v>
      </c>
      <c r="DC8" s="10">
        <f t="shared" si="9"/>
        <v>9.2998485637901154E-2</v>
      </c>
      <c r="DD8" s="10">
        <f t="shared" si="9"/>
        <v>9.2998485637901154E-2</v>
      </c>
      <c r="DE8" s="10">
        <f t="shared" si="9"/>
        <v>9.2998485637901154E-2</v>
      </c>
      <c r="DF8" s="10">
        <f t="shared" si="9"/>
        <v>9.2998485637901154E-2</v>
      </c>
      <c r="DG8" s="10">
        <f t="shared" si="9"/>
        <v>9.2998485637901154E-2</v>
      </c>
      <c r="DH8" s="10">
        <f t="shared" si="9"/>
        <v>9.2998485637901154E-2</v>
      </c>
      <c r="DI8" s="10">
        <f t="shared" si="9"/>
        <v>9.2998485637901154E-2</v>
      </c>
      <c r="DJ8" s="10">
        <f t="shared" si="9"/>
        <v>9.2998485637901154E-2</v>
      </c>
      <c r="DK8" s="10">
        <f t="shared" si="9"/>
        <v>9.2998485637901154E-2</v>
      </c>
      <c r="DL8" s="10">
        <f t="shared" si="9"/>
        <v>9.2998485637901154E-2</v>
      </c>
      <c r="DM8" s="10">
        <f t="shared" si="9"/>
        <v>9.2998485637901154E-2</v>
      </c>
      <c r="DN8" s="10">
        <f t="shared" si="9"/>
        <v>9.2998485637901154E-2</v>
      </c>
      <c r="DO8" s="10">
        <f t="shared" si="9"/>
        <v>9.2998485637901154E-2</v>
      </c>
      <c r="DP8" s="10">
        <f t="shared" si="9"/>
        <v>9.2998485637901154E-2</v>
      </c>
      <c r="DQ8" s="10">
        <f t="shared" si="9"/>
        <v>9.2998485637901154E-2</v>
      </c>
      <c r="DR8" s="10">
        <f t="shared" si="9"/>
        <v>9.2998485637901154E-2</v>
      </c>
      <c r="DS8" s="10">
        <f t="shared" si="9"/>
        <v>9.2998485637901154E-2</v>
      </c>
      <c r="DT8" s="10">
        <f t="shared" si="9"/>
        <v>9.2998485637901154E-2</v>
      </c>
      <c r="DU8" s="10">
        <f t="shared" si="9"/>
        <v>9.2998485637901154E-2</v>
      </c>
      <c r="DV8" s="10">
        <f t="shared" si="9"/>
        <v>9.2998485637901154E-2</v>
      </c>
      <c r="DW8" s="10">
        <f t="shared" si="9"/>
        <v>9.2998485637901154E-2</v>
      </c>
      <c r="DX8" s="10">
        <f t="shared" si="9"/>
        <v>9.2998485637901154E-2</v>
      </c>
      <c r="DY8" s="10">
        <f t="shared" si="9"/>
        <v>9.2998485637901154E-2</v>
      </c>
      <c r="DZ8" s="10">
        <f t="shared" si="9"/>
        <v>9.2998485637901154E-2</v>
      </c>
      <c r="EA8" s="10">
        <f t="shared" si="9"/>
        <v>9.2998485637901154E-2</v>
      </c>
      <c r="EB8" s="10">
        <f t="shared" si="9"/>
        <v>9.2998485637901154E-2</v>
      </c>
      <c r="EC8" s="10">
        <f t="shared" si="9"/>
        <v>9.2998485637901154E-2</v>
      </c>
      <c r="ED8" s="10">
        <f t="shared" si="9"/>
        <v>9.2998485637901154E-2</v>
      </c>
      <c r="EE8" s="10">
        <f t="shared" si="9"/>
        <v>9.2998485637901154E-2</v>
      </c>
      <c r="EF8" s="10">
        <f t="shared" si="9"/>
        <v>9.2998485637901154E-2</v>
      </c>
      <c r="EG8" s="10">
        <f t="shared" si="9"/>
        <v>9.2998485637901154E-2</v>
      </c>
      <c r="EH8" s="10">
        <f t="shared" si="9"/>
        <v>9.2998485637901154E-2</v>
      </c>
      <c r="EI8" s="10">
        <f t="shared" si="9"/>
        <v>9.2998485637901154E-2</v>
      </c>
      <c r="EJ8" s="10">
        <f t="shared" si="9"/>
        <v>9.2998485637901154E-2</v>
      </c>
      <c r="EK8" s="10">
        <f t="shared" si="9"/>
        <v>9.2998485637901154E-2</v>
      </c>
      <c r="EL8" s="10">
        <f t="shared" si="9"/>
        <v>9.2998485637901154E-2</v>
      </c>
      <c r="EM8" s="10">
        <f t="shared" si="9"/>
        <v>9.2998485637901154E-2</v>
      </c>
      <c r="EN8" s="10">
        <f t="shared" si="9"/>
        <v>9.2998485637901154E-2</v>
      </c>
      <c r="EO8" s="10">
        <f t="shared" si="9"/>
        <v>9.2998485637901154E-2</v>
      </c>
      <c r="EP8" s="10">
        <f t="shared" si="9"/>
        <v>9.2998485637901154E-2</v>
      </c>
      <c r="EQ8" s="10">
        <f t="shared" si="9"/>
        <v>9.2998485637901154E-2</v>
      </c>
      <c r="ER8" s="10">
        <f t="shared" si="9"/>
        <v>9.2998485637901154E-2</v>
      </c>
      <c r="ES8" s="10">
        <f t="shared" si="9"/>
        <v>9.2998485637901154E-2</v>
      </c>
      <c r="ET8" s="10">
        <f t="shared" si="9"/>
        <v>9.2998485637901154E-2</v>
      </c>
      <c r="EU8" s="10">
        <f t="shared" si="9"/>
        <v>9.2998485637901154E-2</v>
      </c>
      <c r="EV8" s="10">
        <f t="shared" si="9"/>
        <v>9.2998485637901154E-2</v>
      </c>
      <c r="EW8" s="10">
        <f t="shared" si="9"/>
        <v>9.2998485637901154E-2</v>
      </c>
      <c r="EX8" s="10">
        <f t="shared" si="9"/>
        <v>9.2998485637901154E-2</v>
      </c>
      <c r="EY8" s="10">
        <f t="shared" si="9"/>
        <v>9.2998485637901154E-2</v>
      </c>
      <c r="EZ8" s="10">
        <f t="shared" si="9"/>
        <v>9.2998485637901154E-2</v>
      </c>
      <c r="FA8" s="10">
        <f t="shared" si="9"/>
        <v>9.2998485637901154E-2</v>
      </c>
      <c r="FB8" s="10">
        <f t="shared" si="9"/>
        <v>9.2998485637901154E-2</v>
      </c>
      <c r="FC8" s="10">
        <f t="shared" si="9"/>
        <v>9.2998485637901154E-2</v>
      </c>
      <c r="FD8" s="10">
        <f t="shared" si="9"/>
        <v>9.2998485637901154E-2</v>
      </c>
      <c r="FE8" s="10">
        <f t="shared" si="10"/>
        <v>9.2998485637901154E-2</v>
      </c>
      <c r="FF8" s="10">
        <f t="shared" si="10"/>
        <v>9.2998485637901154E-2</v>
      </c>
      <c r="FG8" s="10">
        <f t="shared" si="10"/>
        <v>9.2998485637901154E-2</v>
      </c>
      <c r="FH8" s="10">
        <f t="shared" si="10"/>
        <v>9.2998485637901154E-2</v>
      </c>
      <c r="FI8" s="10">
        <f t="shared" si="10"/>
        <v>9.2998485637901154E-2</v>
      </c>
      <c r="FJ8" s="10">
        <f t="shared" si="10"/>
        <v>9.2998485637901154E-2</v>
      </c>
      <c r="FK8" s="10">
        <f t="shared" si="10"/>
        <v>9.2998485637901154E-2</v>
      </c>
      <c r="FL8" s="10">
        <f t="shared" si="10"/>
        <v>9.2998485637901154E-2</v>
      </c>
      <c r="FM8" s="10">
        <f t="shared" si="10"/>
        <v>9.2998485637901154E-2</v>
      </c>
      <c r="FN8" s="10">
        <f t="shared" si="10"/>
        <v>9.2998485637901154E-2</v>
      </c>
      <c r="FO8" s="10">
        <f t="shared" si="10"/>
        <v>9.2998485637901154E-2</v>
      </c>
      <c r="FP8" s="10">
        <f t="shared" si="10"/>
        <v>9.2998485637901154E-2</v>
      </c>
      <c r="FQ8" s="10">
        <f t="shared" si="10"/>
        <v>9.2998485637901154E-2</v>
      </c>
      <c r="FR8" s="10">
        <f t="shared" si="10"/>
        <v>9.2998485637901154E-2</v>
      </c>
      <c r="FS8" s="10">
        <f t="shared" si="10"/>
        <v>9.2998485637901154E-2</v>
      </c>
      <c r="FT8" s="10">
        <f t="shared" si="10"/>
        <v>9.2998485637901154E-2</v>
      </c>
      <c r="FU8" s="10">
        <f t="shared" si="10"/>
        <v>9.2998485637901154E-2</v>
      </c>
      <c r="FV8" s="10">
        <f t="shared" si="10"/>
        <v>9.2998485637901154E-2</v>
      </c>
      <c r="FW8" s="10">
        <f t="shared" si="10"/>
        <v>9.2998485637901154E-2</v>
      </c>
      <c r="FX8" s="10">
        <f t="shared" si="10"/>
        <v>9.2998485637901154E-2</v>
      </c>
      <c r="FY8" s="10">
        <f t="shared" si="10"/>
        <v>9.2998485637901154E-2</v>
      </c>
      <c r="FZ8" s="10">
        <f t="shared" si="10"/>
        <v>9.2998485637901154E-2</v>
      </c>
      <c r="GA8" s="10">
        <f t="shared" si="10"/>
        <v>9.2998485637901154E-2</v>
      </c>
      <c r="GB8" s="10">
        <f t="shared" si="10"/>
        <v>9.2998485637901154E-2</v>
      </c>
      <c r="GC8" s="10">
        <f t="shared" si="10"/>
        <v>9.2998485637901154E-2</v>
      </c>
      <c r="GD8" s="10">
        <f t="shared" si="10"/>
        <v>9.2998485637901154E-2</v>
      </c>
      <c r="GE8" s="10">
        <f t="shared" si="10"/>
        <v>9.2998485637901154E-2</v>
      </c>
      <c r="GF8" s="10">
        <f t="shared" si="10"/>
        <v>9.2998485637901154E-2</v>
      </c>
      <c r="GG8" s="10">
        <f t="shared" si="10"/>
        <v>9.2998485637901154E-2</v>
      </c>
      <c r="GH8" s="10">
        <f t="shared" si="10"/>
        <v>9.2998485637901154E-2</v>
      </c>
      <c r="GI8" s="10">
        <f t="shared" si="10"/>
        <v>9.2998485637901154E-2</v>
      </c>
      <c r="GJ8" s="10">
        <f t="shared" si="10"/>
        <v>9.2998485637901154E-2</v>
      </c>
      <c r="GK8" s="10">
        <f t="shared" si="10"/>
        <v>9.2998485637901154E-2</v>
      </c>
      <c r="GL8" s="10">
        <f t="shared" si="10"/>
        <v>9.2998485637901154E-2</v>
      </c>
      <c r="GM8" s="10">
        <f t="shared" si="10"/>
        <v>9.2998485637901154E-2</v>
      </c>
      <c r="GN8" s="10">
        <f t="shared" si="10"/>
        <v>9.2998485637901154E-2</v>
      </c>
      <c r="GO8" s="10">
        <f t="shared" si="10"/>
        <v>9.2998485637901154E-2</v>
      </c>
      <c r="GP8" s="10">
        <f t="shared" si="10"/>
        <v>9.2998485637901154E-2</v>
      </c>
      <c r="GQ8" s="10">
        <f t="shared" si="10"/>
        <v>9.2998485637901154E-2</v>
      </c>
      <c r="GR8" s="10">
        <f t="shared" si="10"/>
        <v>9.2998485637901154E-2</v>
      </c>
      <c r="GS8" s="10">
        <f t="shared" si="10"/>
        <v>9.2998485637901154E-2</v>
      </c>
      <c r="GT8" s="10">
        <f t="shared" si="10"/>
        <v>9.2998485637901154E-2</v>
      </c>
      <c r="GU8" s="10">
        <f t="shared" si="10"/>
        <v>9.2998485637901154E-2</v>
      </c>
      <c r="GV8" s="10">
        <f t="shared" si="10"/>
        <v>9.2998485637901154E-2</v>
      </c>
      <c r="GW8" s="10">
        <f t="shared" si="10"/>
        <v>9.2998485637901154E-2</v>
      </c>
      <c r="GX8" s="10">
        <f t="shared" si="10"/>
        <v>9.2998485637901154E-2</v>
      </c>
      <c r="GY8" s="10">
        <f t="shared" si="10"/>
        <v>9.2998485637901154E-2</v>
      </c>
      <c r="GZ8" s="10">
        <f t="shared" si="10"/>
        <v>9.2998485637901154E-2</v>
      </c>
      <c r="HA8" s="10">
        <f t="shared" si="10"/>
        <v>9.2998485637901154E-2</v>
      </c>
      <c r="HB8" s="10">
        <f t="shared" si="10"/>
        <v>9.2998485637901154E-2</v>
      </c>
      <c r="HC8" s="10">
        <f t="shared" si="10"/>
        <v>9.2998485637901154E-2</v>
      </c>
    </row>
    <row r="9" spans="1:211">
      <c r="A9" t="s">
        <v>8</v>
      </c>
      <c r="B9" s="10">
        <f>'CCaMC-VOaMCpUC US'!B9</f>
        <v>0</v>
      </c>
      <c r="C9" s="10">
        <f t="shared" si="6"/>
        <v>0</v>
      </c>
      <c r="D9" s="10">
        <f t="shared" si="6"/>
        <v>0</v>
      </c>
      <c r="E9" s="10">
        <f t="shared" si="6"/>
        <v>0</v>
      </c>
      <c r="F9" s="10">
        <f t="shared" si="7"/>
        <v>0</v>
      </c>
      <c r="G9" s="10">
        <f t="shared" si="7"/>
        <v>0</v>
      </c>
      <c r="H9" s="10">
        <f t="shared" si="7"/>
        <v>0</v>
      </c>
      <c r="I9" s="10">
        <f t="shared" si="7"/>
        <v>0</v>
      </c>
      <c r="J9" s="10">
        <f t="shared" si="7"/>
        <v>0</v>
      </c>
      <c r="K9" s="10">
        <f t="shared" si="7"/>
        <v>0</v>
      </c>
      <c r="L9" s="10">
        <f t="shared" si="7"/>
        <v>0</v>
      </c>
      <c r="M9" s="10">
        <f t="shared" si="7"/>
        <v>0</v>
      </c>
      <c r="N9" s="10">
        <f t="shared" si="7"/>
        <v>0</v>
      </c>
      <c r="O9" s="10">
        <f t="shared" si="7"/>
        <v>0</v>
      </c>
      <c r="P9" s="10">
        <f t="shared" si="7"/>
        <v>0</v>
      </c>
      <c r="Q9" s="10">
        <f t="shared" si="7"/>
        <v>0</v>
      </c>
      <c r="R9" s="10">
        <f t="shared" si="7"/>
        <v>0</v>
      </c>
      <c r="S9" s="10">
        <f t="shared" si="7"/>
        <v>0</v>
      </c>
      <c r="T9" s="10">
        <f t="shared" si="7"/>
        <v>0</v>
      </c>
      <c r="U9" s="10">
        <f t="shared" si="7"/>
        <v>0</v>
      </c>
      <c r="V9" s="10">
        <f t="shared" si="7"/>
        <v>0</v>
      </c>
      <c r="W9" s="10">
        <f t="shared" si="7"/>
        <v>0</v>
      </c>
      <c r="X9" s="10">
        <f t="shared" si="7"/>
        <v>0</v>
      </c>
      <c r="Y9" s="10">
        <f t="shared" si="7"/>
        <v>0</v>
      </c>
      <c r="Z9" s="10">
        <f t="shared" si="7"/>
        <v>0</v>
      </c>
      <c r="AA9" s="10">
        <f t="shared" si="7"/>
        <v>0</v>
      </c>
      <c r="AB9" s="10">
        <f t="shared" si="7"/>
        <v>0</v>
      </c>
      <c r="AC9" s="10">
        <f t="shared" si="7"/>
        <v>0</v>
      </c>
      <c r="AD9" s="10">
        <f t="shared" si="7"/>
        <v>0</v>
      </c>
      <c r="AE9" s="10">
        <f t="shared" si="7"/>
        <v>0</v>
      </c>
      <c r="AF9" s="10">
        <f t="shared" si="7"/>
        <v>0</v>
      </c>
      <c r="AG9" s="10">
        <f t="shared" si="7"/>
        <v>0</v>
      </c>
      <c r="AH9" s="10">
        <f t="shared" si="11"/>
        <v>0</v>
      </c>
      <c r="AI9" s="10">
        <f t="shared" si="11"/>
        <v>0</v>
      </c>
      <c r="AJ9" s="10">
        <f t="shared" si="11"/>
        <v>0</v>
      </c>
      <c r="AK9" s="10">
        <f t="shared" si="11"/>
        <v>0</v>
      </c>
      <c r="AL9" s="10">
        <f t="shared" si="11"/>
        <v>0</v>
      </c>
      <c r="AM9" s="10">
        <f t="shared" si="11"/>
        <v>0</v>
      </c>
      <c r="AN9" s="10">
        <f t="shared" si="11"/>
        <v>0</v>
      </c>
      <c r="AO9" s="10">
        <f t="shared" si="11"/>
        <v>0</v>
      </c>
      <c r="AP9" s="10">
        <f t="shared" si="11"/>
        <v>0</v>
      </c>
      <c r="AQ9" s="10">
        <f t="shared" si="11"/>
        <v>0</v>
      </c>
      <c r="AR9" s="10">
        <f t="shared" si="11"/>
        <v>0</v>
      </c>
      <c r="AS9" s="10">
        <f t="shared" si="11"/>
        <v>0</v>
      </c>
      <c r="AT9" s="10">
        <f t="shared" si="11"/>
        <v>0</v>
      </c>
      <c r="AU9" s="10">
        <f t="shared" si="11"/>
        <v>0</v>
      </c>
      <c r="AV9" s="10">
        <f t="shared" si="11"/>
        <v>0</v>
      </c>
      <c r="AW9" s="10">
        <f t="shared" si="11"/>
        <v>0</v>
      </c>
      <c r="AX9" s="10">
        <f t="shared" si="11"/>
        <v>0</v>
      </c>
      <c r="AY9" s="10">
        <f t="shared" si="11"/>
        <v>0</v>
      </c>
      <c r="AZ9" s="10">
        <f t="shared" si="11"/>
        <v>0</v>
      </c>
      <c r="BA9" s="10">
        <f t="shared" si="11"/>
        <v>0</v>
      </c>
      <c r="BB9" s="10">
        <f t="shared" si="11"/>
        <v>0</v>
      </c>
      <c r="BC9" s="10">
        <f t="shared" si="11"/>
        <v>0</v>
      </c>
      <c r="BD9" s="10">
        <f t="shared" si="11"/>
        <v>0</v>
      </c>
      <c r="BE9" s="10">
        <f t="shared" si="11"/>
        <v>0</v>
      </c>
      <c r="BF9" s="10">
        <f t="shared" si="11"/>
        <v>0</v>
      </c>
      <c r="BG9" s="10">
        <f t="shared" si="11"/>
        <v>0</v>
      </c>
      <c r="BH9" s="10">
        <f t="shared" si="11"/>
        <v>0</v>
      </c>
      <c r="BI9" s="10">
        <f t="shared" si="11"/>
        <v>0</v>
      </c>
      <c r="BJ9" s="10">
        <f t="shared" si="11"/>
        <v>0</v>
      </c>
      <c r="BK9" s="10">
        <f t="shared" si="11"/>
        <v>0</v>
      </c>
      <c r="BL9" s="10">
        <f t="shared" si="11"/>
        <v>0</v>
      </c>
      <c r="BM9" s="10">
        <f t="shared" si="11"/>
        <v>0</v>
      </c>
      <c r="BN9" s="10">
        <f t="shared" si="11"/>
        <v>0</v>
      </c>
      <c r="BO9" s="10">
        <f t="shared" si="11"/>
        <v>0</v>
      </c>
      <c r="BP9" s="10">
        <f t="shared" si="11"/>
        <v>0</v>
      </c>
      <c r="BQ9" s="10">
        <f t="shared" si="11"/>
        <v>0</v>
      </c>
      <c r="BR9" s="10">
        <f t="shared" si="11"/>
        <v>0</v>
      </c>
      <c r="BS9" s="10">
        <f t="shared" si="11"/>
        <v>0</v>
      </c>
      <c r="BT9" s="10">
        <f t="shared" si="11"/>
        <v>0</v>
      </c>
      <c r="BU9" s="10">
        <f t="shared" si="11"/>
        <v>0</v>
      </c>
      <c r="BV9" s="10">
        <f t="shared" si="11"/>
        <v>0</v>
      </c>
      <c r="BW9" s="10">
        <f t="shared" si="11"/>
        <v>0</v>
      </c>
      <c r="BX9" s="10">
        <f t="shared" si="11"/>
        <v>0</v>
      </c>
      <c r="BY9" s="10">
        <f t="shared" si="11"/>
        <v>0</v>
      </c>
      <c r="BZ9" s="10">
        <f t="shared" si="11"/>
        <v>0</v>
      </c>
      <c r="CA9" s="10">
        <f t="shared" si="11"/>
        <v>0</v>
      </c>
      <c r="CB9" s="10">
        <f t="shared" si="11"/>
        <v>0</v>
      </c>
      <c r="CC9" s="10">
        <f t="shared" si="11"/>
        <v>0</v>
      </c>
      <c r="CD9" s="10">
        <f t="shared" si="11"/>
        <v>0</v>
      </c>
      <c r="CE9" s="10">
        <f t="shared" si="11"/>
        <v>0</v>
      </c>
      <c r="CF9" s="10">
        <f t="shared" si="11"/>
        <v>0</v>
      </c>
      <c r="CG9" s="10">
        <f t="shared" si="11"/>
        <v>0</v>
      </c>
      <c r="CH9" s="10">
        <f t="shared" si="11"/>
        <v>0</v>
      </c>
      <c r="CI9" s="10">
        <f t="shared" si="11"/>
        <v>0</v>
      </c>
      <c r="CJ9" s="10">
        <f t="shared" si="11"/>
        <v>0</v>
      </c>
      <c r="CK9" s="10">
        <f t="shared" si="11"/>
        <v>0</v>
      </c>
      <c r="CL9" s="10">
        <f t="shared" si="11"/>
        <v>0</v>
      </c>
      <c r="CM9" s="10">
        <f t="shared" si="11"/>
        <v>0</v>
      </c>
      <c r="CN9" s="10">
        <f t="shared" si="11"/>
        <v>0</v>
      </c>
      <c r="CO9" s="10">
        <f t="shared" si="11"/>
        <v>0</v>
      </c>
      <c r="CP9" s="10">
        <f t="shared" si="11"/>
        <v>0</v>
      </c>
      <c r="CQ9" s="10">
        <f t="shared" si="11"/>
        <v>0</v>
      </c>
      <c r="CR9" s="10">
        <f t="shared" si="11"/>
        <v>0</v>
      </c>
      <c r="CS9" s="10">
        <f t="shared" si="11"/>
        <v>0</v>
      </c>
      <c r="CT9" s="10">
        <f t="shared" si="9"/>
        <v>0</v>
      </c>
      <c r="CU9" s="10">
        <f t="shared" si="9"/>
        <v>0</v>
      </c>
      <c r="CV9" s="10">
        <f t="shared" si="9"/>
        <v>0</v>
      </c>
      <c r="CW9" s="10">
        <f t="shared" si="9"/>
        <v>0</v>
      </c>
      <c r="CX9" s="10">
        <f t="shared" si="9"/>
        <v>0</v>
      </c>
      <c r="CY9" s="10">
        <f t="shared" si="9"/>
        <v>0</v>
      </c>
      <c r="CZ9" s="10">
        <f t="shared" si="9"/>
        <v>0</v>
      </c>
      <c r="DA9" s="10">
        <f t="shared" si="9"/>
        <v>0</v>
      </c>
      <c r="DB9" s="10">
        <f t="shared" si="9"/>
        <v>0</v>
      </c>
      <c r="DC9" s="10">
        <f t="shared" si="9"/>
        <v>0</v>
      </c>
      <c r="DD9" s="10">
        <f t="shared" si="9"/>
        <v>0</v>
      </c>
      <c r="DE9" s="10">
        <f t="shared" si="9"/>
        <v>0</v>
      </c>
      <c r="DF9" s="10">
        <f t="shared" si="9"/>
        <v>0</v>
      </c>
      <c r="DG9" s="10">
        <f t="shared" si="9"/>
        <v>0</v>
      </c>
      <c r="DH9" s="10">
        <f t="shared" si="9"/>
        <v>0</v>
      </c>
      <c r="DI9" s="10">
        <f t="shared" si="9"/>
        <v>0</v>
      </c>
      <c r="DJ9" s="10">
        <f t="shared" si="9"/>
        <v>0</v>
      </c>
      <c r="DK9" s="10">
        <f t="shared" si="9"/>
        <v>0</v>
      </c>
      <c r="DL9" s="10">
        <f t="shared" si="9"/>
        <v>0</v>
      </c>
      <c r="DM9" s="10">
        <f t="shared" si="9"/>
        <v>0</v>
      </c>
      <c r="DN9" s="10">
        <f t="shared" si="9"/>
        <v>0</v>
      </c>
      <c r="DO9" s="10">
        <f t="shared" si="9"/>
        <v>0</v>
      </c>
      <c r="DP9" s="10">
        <f t="shared" si="9"/>
        <v>0</v>
      </c>
      <c r="DQ9" s="10">
        <f t="shared" si="9"/>
        <v>0</v>
      </c>
      <c r="DR9" s="10">
        <f t="shared" si="9"/>
        <v>0</v>
      </c>
      <c r="DS9" s="10">
        <f t="shared" si="9"/>
        <v>0</v>
      </c>
      <c r="DT9" s="10">
        <f t="shared" si="9"/>
        <v>0</v>
      </c>
      <c r="DU9" s="10">
        <f t="shared" si="9"/>
        <v>0</v>
      </c>
      <c r="DV9" s="10">
        <f t="shared" si="9"/>
        <v>0</v>
      </c>
      <c r="DW9" s="10">
        <f t="shared" si="9"/>
        <v>0</v>
      </c>
      <c r="DX9" s="10">
        <f t="shared" si="9"/>
        <v>0</v>
      </c>
      <c r="DY9" s="10">
        <f t="shared" si="9"/>
        <v>0</v>
      </c>
      <c r="DZ9" s="10">
        <f t="shared" si="9"/>
        <v>0</v>
      </c>
      <c r="EA9" s="10">
        <f t="shared" si="9"/>
        <v>0</v>
      </c>
      <c r="EB9" s="10">
        <f t="shared" si="9"/>
        <v>0</v>
      </c>
      <c r="EC9" s="10">
        <f t="shared" si="9"/>
        <v>0</v>
      </c>
      <c r="ED9" s="10">
        <f t="shared" si="9"/>
        <v>0</v>
      </c>
      <c r="EE9" s="10">
        <f t="shared" si="9"/>
        <v>0</v>
      </c>
      <c r="EF9" s="10">
        <f t="shared" si="9"/>
        <v>0</v>
      </c>
      <c r="EG9" s="10">
        <f t="shared" si="9"/>
        <v>0</v>
      </c>
      <c r="EH9" s="10">
        <f t="shared" si="9"/>
        <v>0</v>
      </c>
      <c r="EI9" s="10">
        <f t="shared" si="9"/>
        <v>0</v>
      </c>
      <c r="EJ9" s="10">
        <f t="shared" si="9"/>
        <v>0</v>
      </c>
      <c r="EK9" s="10">
        <f t="shared" si="9"/>
        <v>0</v>
      </c>
      <c r="EL9" s="10">
        <f t="shared" si="9"/>
        <v>0</v>
      </c>
      <c r="EM9" s="10">
        <f t="shared" si="9"/>
        <v>0</v>
      </c>
      <c r="EN9" s="10">
        <f t="shared" si="9"/>
        <v>0</v>
      </c>
      <c r="EO9" s="10">
        <f t="shared" si="9"/>
        <v>0</v>
      </c>
      <c r="EP9" s="10">
        <f t="shared" si="9"/>
        <v>0</v>
      </c>
      <c r="EQ9" s="10">
        <f t="shared" si="9"/>
        <v>0</v>
      </c>
      <c r="ER9" s="10">
        <f t="shared" si="9"/>
        <v>0</v>
      </c>
      <c r="ES9" s="10">
        <f t="shared" si="9"/>
        <v>0</v>
      </c>
      <c r="ET9" s="10">
        <f t="shared" si="9"/>
        <v>0</v>
      </c>
      <c r="EU9" s="10">
        <f t="shared" si="9"/>
        <v>0</v>
      </c>
      <c r="EV9" s="10">
        <f t="shared" si="9"/>
        <v>0</v>
      </c>
      <c r="EW9" s="10">
        <f t="shared" si="9"/>
        <v>0</v>
      </c>
      <c r="EX9" s="10">
        <f t="shared" si="9"/>
        <v>0</v>
      </c>
      <c r="EY9" s="10">
        <f t="shared" si="9"/>
        <v>0</v>
      </c>
      <c r="EZ9" s="10">
        <f t="shared" si="9"/>
        <v>0</v>
      </c>
      <c r="FA9" s="10">
        <f t="shared" si="9"/>
        <v>0</v>
      </c>
      <c r="FB9" s="10">
        <f t="shared" si="9"/>
        <v>0</v>
      </c>
      <c r="FC9" s="10">
        <f t="shared" si="9"/>
        <v>0</v>
      </c>
      <c r="FD9" s="10">
        <f t="shared" si="9"/>
        <v>0</v>
      </c>
      <c r="FE9" s="10">
        <f t="shared" si="10"/>
        <v>0</v>
      </c>
      <c r="FF9" s="10">
        <f t="shared" si="10"/>
        <v>0</v>
      </c>
      <c r="FG9" s="10">
        <f t="shared" si="10"/>
        <v>0</v>
      </c>
      <c r="FH9" s="10">
        <f t="shared" si="10"/>
        <v>0</v>
      </c>
      <c r="FI9" s="10">
        <f t="shared" si="10"/>
        <v>0</v>
      </c>
      <c r="FJ9" s="10">
        <f t="shared" si="10"/>
        <v>0</v>
      </c>
      <c r="FK9" s="10">
        <f t="shared" si="10"/>
        <v>0</v>
      </c>
      <c r="FL9" s="10">
        <f t="shared" si="10"/>
        <v>0</v>
      </c>
      <c r="FM9" s="10">
        <f t="shared" si="10"/>
        <v>0</v>
      </c>
      <c r="FN9" s="10">
        <f t="shared" si="10"/>
        <v>0</v>
      </c>
      <c r="FO9" s="10">
        <f t="shared" si="10"/>
        <v>0</v>
      </c>
      <c r="FP9" s="10">
        <f t="shared" si="10"/>
        <v>0</v>
      </c>
      <c r="FQ9" s="10">
        <f t="shared" si="10"/>
        <v>0</v>
      </c>
      <c r="FR9" s="10">
        <f t="shared" si="10"/>
        <v>0</v>
      </c>
      <c r="FS9" s="10">
        <f t="shared" si="10"/>
        <v>0</v>
      </c>
      <c r="FT9" s="10">
        <f t="shared" si="10"/>
        <v>0</v>
      </c>
      <c r="FU9" s="10">
        <f t="shared" si="10"/>
        <v>0</v>
      </c>
      <c r="FV9" s="10">
        <f t="shared" si="10"/>
        <v>0</v>
      </c>
      <c r="FW9" s="10">
        <f t="shared" si="10"/>
        <v>0</v>
      </c>
      <c r="FX9" s="10">
        <f t="shared" si="10"/>
        <v>0</v>
      </c>
      <c r="FY9" s="10">
        <f t="shared" si="10"/>
        <v>0</v>
      </c>
      <c r="FZ9" s="10">
        <f t="shared" si="10"/>
        <v>0</v>
      </c>
      <c r="GA9" s="10">
        <f t="shared" si="10"/>
        <v>0</v>
      </c>
      <c r="GB9" s="10">
        <f t="shared" si="10"/>
        <v>0</v>
      </c>
      <c r="GC9" s="10">
        <f t="shared" si="10"/>
        <v>0</v>
      </c>
      <c r="GD9" s="10">
        <f t="shared" si="10"/>
        <v>0</v>
      </c>
      <c r="GE9" s="10">
        <f t="shared" si="10"/>
        <v>0</v>
      </c>
      <c r="GF9" s="10">
        <f t="shared" si="10"/>
        <v>0</v>
      </c>
      <c r="GG9" s="10">
        <f t="shared" si="10"/>
        <v>0</v>
      </c>
      <c r="GH9" s="10">
        <f t="shared" si="10"/>
        <v>0</v>
      </c>
      <c r="GI9" s="10">
        <f t="shared" si="10"/>
        <v>0</v>
      </c>
      <c r="GJ9" s="10">
        <f t="shared" si="10"/>
        <v>0</v>
      </c>
      <c r="GK9" s="10">
        <f t="shared" si="10"/>
        <v>0</v>
      </c>
      <c r="GL9" s="10">
        <f t="shared" si="10"/>
        <v>0</v>
      </c>
      <c r="GM9" s="10">
        <f t="shared" si="10"/>
        <v>0</v>
      </c>
      <c r="GN9" s="10">
        <f t="shared" si="10"/>
        <v>0</v>
      </c>
      <c r="GO9" s="10">
        <f t="shared" si="10"/>
        <v>0</v>
      </c>
      <c r="GP9" s="10">
        <f t="shared" si="10"/>
        <v>0</v>
      </c>
      <c r="GQ9" s="10">
        <f t="shared" si="10"/>
        <v>0</v>
      </c>
      <c r="GR9" s="10">
        <f t="shared" si="10"/>
        <v>0</v>
      </c>
      <c r="GS9" s="10">
        <f t="shared" si="10"/>
        <v>0</v>
      </c>
      <c r="GT9" s="10">
        <f t="shared" si="10"/>
        <v>0</v>
      </c>
      <c r="GU9" s="10">
        <f t="shared" si="10"/>
        <v>0</v>
      </c>
      <c r="GV9" s="10">
        <f t="shared" si="10"/>
        <v>0</v>
      </c>
      <c r="GW9" s="10">
        <f t="shared" si="10"/>
        <v>0</v>
      </c>
      <c r="GX9" s="10">
        <f t="shared" si="10"/>
        <v>0</v>
      </c>
      <c r="GY9" s="10">
        <f t="shared" si="10"/>
        <v>0</v>
      </c>
      <c r="GZ9" s="10">
        <f t="shared" si="10"/>
        <v>0</v>
      </c>
      <c r="HA9" s="10">
        <f t="shared" si="10"/>
        <v>0</v>
      </c>
      <c r="HB9" s="10">
        <f t="shared" si="10"/>
        <v>0</v>
      </c>
      <c r="HC9" s="10">
        <f t="shared" si="10"/>
        <v>0</v>
      </c>
    </row>
    <row r="10" spans="1:211">
      <c r="A10" t="s">
        <v>9</v>
      </c>
      <c r="B10" s="10">
        <f>'CCaMC-VOaMCpUC US'!B10</f>
        <v>6.0733272007042256</v>
      </c>
      <c r="C10" s="10">
        <f t="shared" si="6"/>
        <v>6.0733272007042256</v>
      </c>
      <c r="D10" s="10">
        <f t="shared" si="6"/>
        <v>6.0733272007042256</v>
      </c>
      <c r="E10" s="10">
        <f t="shared" si="6"/>
        <v>6.0733272007042256</v>
      </c>
      <c r="F10" s="10">
        <f t="shared" si="7"/>
        <v>6.0733272007042256</v>
      </c>
      <c r="G10" s="10">
        <f t="shared" si="7"/>
        <v>6.0733272007042256</v>
      </c>
      <c r="H10" s="10">
        <f t="shared" si="7"/>
        <v>6.0733272007042256</v>
      </c>
      <c r="I10" s="10">
        <f t="shared" si="7"/>
        <v>6.0733272007042256</v>
      </c>
      <c r="J10" s="10">
        <f t="shared" si="7"/>
        <v>6.0733272007042256</v>
      </c>
      <c r="K10" s="10">
        <f t="shared" si="7"/>
        <v>6.0733272007042256</v>
      </c>
      <c r="L10" s="10">
        <f t="shared" si="7"/>
        <v>6.0733272007042256</v>
      </c>
      <c r="M10" s="10">
        <f t="shared" si="7"/>
        <v>6.0733272007042256</v>
      </c>
      <c r="N10" s="10">
        <f t="shared" si="7"/>
        <v>6.0733272007042256</v>
      </c>
      <c r="O10" s="10">
        <f t="shared" si="7"/>
        <v>6.0733272007042256</v>
      </c>
      <c r="P10" s="10">
        <f t="shared" si="7"/>
        <v>6.0733272007042256</v>
      </c>
      <c r="Q10" s="10">
        <f t="shared" si="7"/>
        <v>6.0733272007042256</v>
      </c>
      <c r="R10" s="10">
        <f t="shared" si="7"/>
        <v>6.0733272007042256</v>
      </c>
      <c r="S10" s="10">
        <f t="shared" si="7"/>
        <v>6.0733272007042256</v>
      </c>
      <c r="T10" s="10">
        <f t="shared" si="7"/>
        <v>6.0733272007042256</v>
      </c>
      <c r="U10" s="10">
        <f t="shared" si="7"/>
        <v>6.0733272007042256</v>
      </c>
      <c r="V10" s="10">
        <f t="shared" si="7"/>
        <v>6.0733272007042256</v>
      </c>
      <c r="W10" s="10">
        <f t="shared" si="7"/>
        <v>6.0733272007042256</v>
      </c>
      <c r="X10" s="10">
        <f t="shared" si="7"/>
        <v>6.0733272007042256</v>
      </c>
      <c r="Y10" s="10">
        <f t="shared" si="7"/>
        <v>6.0733272007042256</v>
      </c>
      <c r="Z10" s="10">
        <f t="shared" si="7"/>
        <v>6.0733272007042256</v>
      </c>
      <c r="AA10" s="10">
        <f t="shared" si="7"/>
        <v>6.0733272007042256</v>
      </c>
      <c r="AB10" s="10">
        <f t="shared" si="7"/>
        <v>6.0733272007042256</v>
      </c>
      <c r="AC10" s="10">
        <f t="shared" si="7"/>
        <v>6.0733272007042256</v>
      </c>
      <c r="AD10" s="10">
        <f t="shared" si="7"/>
        <v>6.0733272007042256</v>
      </c>
      <c r="AE10" s="10">
        <f t="shared" si="7"/>
        <v>6.0733272007042256</v>
      </c>
      <c r="AF10" s="10">
        <f t="shared" si="7"/>
        <v>6.0733272007042256</v>
      </c>
      <c r="AG10" s="10">
        <f t="shared" si="7"/>
        <v>6.0733272007042256</v>
      </c>
      <c r="AH10" s="10">
        <f t="shared" si="11"/>
        <v>6.0733272007042256</v>
      </c>
      <c r="AI10" s="10">
        <f t="shared" si="11"/>
        <v>6.0733272007042256</v>
      </c>
      <c r="AJ10" s="10">
        <f t="shared" si="11"/>
        <v>6.0733272007042256</v>
      </c>
      <c r="AK10" s="10">
        <f t="shared" si="11"/>
        <v>6.0733272007042256</v>
      </c>
      <c r="AL10" s="10">
        <f t="shared" si="11"/>
        <v>6.0733272007042256</v>
      </c>
      <c r="AM10" s="10">
        <f t="shared" si="11"/>
        <v>6.0733272007042256</v>
      </c>
      <c r="AN10" s="10">
        <f t="shared" si="11"/>
        <v>6.0733272007042256</v>
      </c>
      <c r="AO10" s="10">
        <f t="shared" si="11"/>
        <v>6.0733272007042256</v>
      </c>
      <c r="AP10" s="10">
        <f t="shared" si="11"/>
        <v>6.0733272007042256</v>
      </c>
      <c r="AQ10" s="10">
        <f t="shared" si="11"/>
        <v>6.0733272007042256</v>
      </c>
      <c r="AR10" s="10">
        <f t="shared" si="11"/>
        <v>6.0733272007042256</v>
      </c>
      <c r="AS10" s="10">
        <f t="shared" si="11"/>
        <v>6.0733272007042256</v>
      </c>
      <c r="AT10" s="10">
        <f t="shared" si="11"/>
        <v>6.0733272007042256</v>
      </c>
      <c r="AU10" s="10">
        <f t="shared" si="11"/>
        <v>6.0733272007042256</v>
      </c>
      <c r="AV10" s="10">
        <f t="shared" si="11"/>
        <v>6.0733272007042256</v>
      </c>
      <c r="AW10" s="10">
        <f t="shared" si="11"/>
        <v>6.0733272007042256</v>
      </c>
      <c r="AX10" s="10">
        <f t="shared" si="11"/>
        <v>6.0733272007042256</v>
      </c>
      <c r="AY10" s="10">
        <f t="shared" si="11"/>
        <v>6.0733272007042256</v>
      </c>
      <c r="AZ10" s="10">
        <f t="shared" si="11"/>
        <v>6.0733272007042256</v>
      </c>
      <c r="BA10" s="10">
        <f t="shared" si="11"/>
        <v>6.0733272007042256</v>
      </c>
      <c r="BB10" s="10">
        <f t="shared" si="11"/>
        <v>6.0733272007042256</v>
      </c>
      <c r="BC10" s="10">
        <f t="shared" si="11"/>
        <v>6.0733272007042256</v>
      </c>
      <c r="BD10" s="10">
        <f t="shared" si="11"/>
        <v>6.0733272007042256</v>
      </c>
      <c r="BE10" s="10">
        <f t="shared" si="11"/>
        <v>6.0733272007042256</v>
      </c>
      <c r="BF10" s="10">
        <f t="shared" si="11"/>
        <v>6.0733272007042256</v>
      </c>
      <c r="BG10" s="10">
        <f t="shared" si="11"/>
        <v>6.0733272007042256</v>
      </c>
      <c r="BH10" s="10">
        <f t="shared" si="11"/>
        <v>6.0733272007042256</v>
      </c>
      <c r="BI10" s="10">
        <f t="shared" si="11"/>
        <v>6.0733272007042256</v>
      </c>
      <c r="BJ10" s="10">
        <f t="shared" si="11"/>
        <v>6.0733272007042256</v>
      </c>
      <c r="BK10" s="10">
        <f t="shared" si="11"/>
        <v>6.0733272007042256</v>
      </c>
      <c r="BL10" s="10">
        <f t="shared" si="11"/>
        <v>6.0733272007042256</v>
      </c>
      <c r="BM10" s="10">
        <f t="shared" si="11"/>
        <v>6.0733272007042256</v>
      </c>
      <c r="BN10" s="10">
        <f t="shared" si="11"/>
        <v>6.0733272007042256</v>
      </c>
      <c r="BO10" s="10">
        <f t="shared" si="11"/>
        <v>6.0733272007042256</v>
      </c>
      <c r="BP10" s="10">
        <f t="shared" si="11"/>
        <v>6.0733272007042256</v>
      </c>
      <c r="BQ10" s="10">
        <f t="shared" si="11"/>
        <v>6.0733272007042256</v>
      </c>
      <c r="BR10" s="10">
        <f t="shared" si="11"/>
        <v>6.0733272007042256</v>
      </c>
      <c r="BS10" s="10">
        <f t="shared" si="11"/>
        <v>6.0733272007042256</v>
      </c>
      <c r="BT10" s="10">
        <f t="shared" si="11"/>
        <v>6.0733272007042256</v>
      </c>
      <c r="BU10" s="10">
        <f t="shared" si="11"/>
        <v>6.0733272007042256</v>
      </c>
      <c r="BV10" s="10">
        <f t="shared" si="11"/>
        <v>6.0733272007042256</v>
      </c>
      <c r="BW10" s="10">
        <f t="shared" si="11"/>
        <v>6.0733272007042256</v>
      </c>
      <c r="BX10" s="10">
        <f t="shared" si="11"/>
        <v>6.0733272007042256</v>
      </c>
      <c r="BY10" s="10">
        <f t="shared" si="11"/>
        <v>6.0733272007042256</v>
      </c>
      <c r="BZ10" s="10">
        <f t="shared" si="11"/>
        <v>6.0733272007042256</v>
      </c>
      <c r="CA10" s="10">
        <f t="shared" si="11"/>
        <v>6.0733272007042256</v>
      </c>
      <c r="CB10" s="10">
        <f t="shared" si="11"/>
        <v>6.0733272007042256</v>
      </c>
      <c r="CC10" s="10">
        <f t="shared" si="11"/>
        <v>6.0733272007042256</v>
      </c>
      <c r="CD10" s="10">
        <f t="shared" si="11"/>
        <v>6.0733272007042256</v>
      </c>
      <c r="CE10" s="10">
        <f t="shared" si="11"/>
        <v>6.0733272007042256</v>
      </c>
      <c r="CF10" s="10">
        <f t="shared" si="11"/>
        <v>6.0733272007042256</v>
      </c>
      <c r="CG10" s="10">
        <f t="shared" si="11"/>
        <v>6.0733272007042256</v>
      </c>
      <c r="CH10" s="10">
        <f t="shared" si="11"/>
        <v>6.0733272007042256</v>
      </c>
      <c r="CI10" s="10">
        <f t="shared" si="11"/>
        <v>6.0733272007042256</v>
      </c>
      <c r="CJ10" s="10">
        <f t="shared" si="11"/>
        <v>6.0733272007042256</v>
      </c>
      <c r="CK10" s="10">
        <f t="shared" si="11"/>
        <v>6.0733272007042256</v>
      </c>
      <c r="CL10" s="10">
        <f t="shared" si="11"/>
        <v>6.0733272007042256</v>
      </c>
      <c r="CM10" s="10">
        <f t="shared" si="11"/>
        <v>6.0733272007042256</v>
      </c>
      <c r="CN10" s="10">
        <f t="shared" si="11"/>
        <v>6.0733272007042256</v>
      </c>
      <c r="CO10" s="10">
        <f t="shared" si="11"/>
        <v>6.0733272007042256</v>
      </c>
      <c r="CP10" s="10">
        <f t="shared" si="11"/>
        <v>6.0733272007042256</v>
      </c>
      <c r="CQ10" s="10">
        <f t="shared" si="11"/>
        <v>6.0733272007042256</v>
      </c>
      <c r="CR10" s="10">
        <f t="shared" si="11"/>
        <v>6.0733272007042256</v>
      </c>
      <c r="CS10" s="10">
        <f t="shared" ref="CS10:FD13" si="12">$B10</f>
        <v>6.0733272007042256</v>
      </c>
      <c r="CT10" s="10">
        <f t="shared" si="12"/>
        <v>6.0733272007042256</v>
      </c>
      <c r="CU10" s="10">
        <f t="shared" si="12"/>
        <v>6.0733272007042256</v>
      </c>
      <c r="CV10" s="10">
        <f t="shared" si="12"/>
        <v>6.0733272007042256</v>
      </c>
      <c r="CW10" s="10">
        <f t="shared" si="12"/>
        <v>6.0733272007042256</v>
      </c>
      <c r="CX10" s="10">
        <f t="shared" si="12"/>
        <v>6.0733272007042256</v>
      </c>
      <c r="CY10" s="10">
        <f t="shared" si="12"/>
        <v>6.0733272007042256</v>
      </c>
      <c r="CZ10" s="10">
        <f t="shared" si="12"/>
        <v>6.0733272007042256</v>
      </c>
      <c r="DA10" s="10">
        <f t="shared" si="12"/>
        <v>6.0733272007042256</v>
      </c>
      <c r="DB10" s="10">
        <f t="shared" si="12"/>
        <v>6.0733272007042256</v>
      </c>
      <c r="DC10" s="10">
        <f t="shared" si="12"/>
        <v>6.0733272007042256</v>
      </c>
      <c r="DD10" s="10">
        <f t="shared" si="12"/>
        <v>6.0733272007042256</v>
      </c>
      <c r="DE10" s="10">
        <f t="shared" si="12"/>
        <v>6.0733272007042256</v>
      </c>
      <c r="DF10" s="10">
        <f t="shared" si="12"/>
        <v>6.0733272007042256</v>
      </c>
      <c r="DG10" s="10">
        <f t="shared" si="12"/>
        <v>6.0733272007042256</v>
      </c>
      <c r="DH10" s="10">
        <f t="shared" si="12"/>
        <v>6.0733272007042256</v>
      </c>
      <c r="DI10" s="10">
        <f t="shared" si="12"/>
        <v>6.0733272007042256</v>
      </c>
      <c r="DJ10" s="10">
        <f t="shared" si="12"/>
        <v>6.0733272007042256</v>
      </c>
      <c r="DK10" s="10">
        <f t="shared" si="12"/>
        <v>6.0733272007042256</v>
      </c>
      <c r="DL10" s="10">
        <f t="shared" si="12"/>
        <v>6.0733272007042256</v>
      </c>
      <c r="DM10" s="10">
        <f t="shared" si="12"/>
        <v>6.0733272007042256</v>
      </c>
      <c r="DN10" s="10">
        <f t="shared" si="12"/>
        <v>6.0733272007042256</v>
      </c>
      <c r="DO10" s="10">
        <f t="shared" si="12"/>
        <v>6.0733272007042256</v>
      </c>
      <c r="DP10" s="10">
        <f t="shared" si="12"/>
        <v>6.0733272007042256</v>
      </c>
      <c r="DQ10" s="10">
        <f t="shared" si="12"/>
        <v>6.0733272007042256</v>
      </c>
      <c r="DR10" s="10">
        <f t="shared" si="12"/>
        <v>6.0733272007042256</v>
      </c>
      <c r="DS10" s="10">
        <f t="shared" si="12"/>
        <v>6.0733272007042256</v>
      </c>
      <c r="DT10" s="10">
        <f t="shared" si="12"/>
        <v>6.0733272007042256</v>
      </c>
      <c r="DU10" s="10">
        <f t="shared" si="12"/>
        <v>6.0733272007042256</v>
      </c>
      <c r="DV10" s="10">
        <f t="shared" si="12"/>
        <v>6.0733272007042256</v>
      </c>
      <c r="DW10" s="10">
        <f t="shared" si="12"/>
        <v>6.0733272007042256</v>
      </c>
      <c r="DX10" s="10">
        <f t="shared" si="12"/>
        <v>6.0733272007042256</v>
      </c>
      <c r="DY10" s="10">
        <f t="shared" si="12"/>
        <v>6.0733272007042256</v>
      </c>
      <c r="DZ10" s="10">
        <f t="shared" si="12"/>
        <v>6.0733272007042256</v>
      </c>
      <c r="EA10" s="10">
        <f t="shared" si="12"/>
        <v>6.0733272007042256</v>
      </c>
      <c r="EB10" s="10">
        <f t="shared" si="12"/>
        <v>6.0733272007042256</v>
      </c>
      <c r="EC10" s="10">
        <f t="shared" si="12"/>
        <v>6.0733272007042256</v>
      </c>
      <c r="ED10" s="10">
        <f t="shared" si="12"/>
        <v>6.0733272007042256</v>
      </c>
      <c r="EE10" s="10">
        <f t="shared" si="12"/>
        <v>6.0733272007042256</v>
      </c>
      <c r="EF10" s="10">
        <f t="shared" si="12"/>
        <v>6.0733272007042256</v>
      </c>
      <c r="EG10" s="10">
        <f t="shared" si="12"/>
        <v>6.0733272007042256</v>
      </c>
      <c r="EH10" s="10">
        <f t="shared" si="12"/>
        <v>6.0733272007042256</v>
      </c>
      <c r="EI10" s="10">
        <f t="shared" si="12"/>
        <v>6.0733272007042256</v>
      </c>
      <c r="EJ10" s="10">
        <f t="shared" si="12"/>
        <v>6.0733272007042256</v>
      </c>
      <c r="EK10" s="10">
        <f t="shared" si="12"/>
        <v>6.0733272007042256</v>
      </c>
      <c r="EL10" s="10">
        <f t="shared" si="12"/>
        <v>6.0733272007042256</v>
      </c>
      <c r="EM10" s="10">
        <f t="shared" si="12"/>
        <v>6.0733272007042256</v>
      </c>
      <c r="EN10" s="10">
        <f t="shared" si="12"/>
        <v>6.0733272007042256</v>
      </c>
      <c r="EO10" s="10">
        <f t="shared" si="12"/>
        <v>6.0733272007042256</v>
      </c>
      <c r="EP10" s="10">
        <f t="shared" si="12"/>
        <v>6.0733272007042256</v>
      </c>
      <c r="EQ10" s="10">
        <f t="shared" si="12"/>
        <v>6.0733272007042256</v>
      </c>
      <c r="ER10" s="10">
        <f t="shared" si="12"/>
        <v>6.0733272007042256</v>
      </c>
      <c r="ES10" s="10">
        <f t="shared" si="12"/>
        <v>6.0733272007042256</v>
      </c>
      <c r="ET10" s="10">
        <f t="shared" si="12"/>
        <v>6.0733272007042256</v>
      </c>
      <c r="EU10" s="10">
        <f t="shared" si="12"/>
        <v>6.0733272007042256</v>
      </c>
      <c r="EV10" s="10">
        <f t="shared" si="12"/>
        <v>6.0733272007042256</v>
      </c>
      <c r="EW10" s="10">
        <f t="shared" si="12"/>
        <v>6.0733272007042256</v>
      </c>
      <c r="EX10" s="10">
        <f t="shared" si="12"/>
        <v>6.0733272007042256</v>
      </c>
      <c r="EY10" s="10">
        <f t="shared" si="12"/>
        <v>6.0733272007042256</v>
      </c>
      <c r="EZ10" s="10">
        <f t="shared" si="12"/>
        <v>6.0733272007042256</v>
      </c>
      <c r="FA10" s="10">
        <f t="shared" si="12"/>
        <v>6.0733272007042256</v>
      </c>
      <c r="FB10" s="10">
        <f t="shared" si="12"/>
        <v>6.0733272007042256</v>
      </c>
      <c r="FC10" s="10">
        <f t="shared" si="12"/>
        <v>6.0733272007042256</v>
      </c>
      <c r="FD10" s="10">
        <f t="shared" si="12"/>
        <v>6.0733272007042256</v>
      </c>
      <c r="FE10" s="10">
        <f t="shared" si="10"/>
        <v>6.0733272007042256</v>
      </c>
      <c r="FF10" s="10">
        <f t="shared" si="10"/>
        <v>6.0733272007042256</v>
      </c>
      <c r="FG10" s="10">
        <f t="shared" si="10"/>
        <v>6.0733272007042256</v>
      </c>
      <c r="FH10" s="10">
        <f t="shared" si="10"/>
        <v>6.0733272007042256</v>
      </c>
      <c r="FI10" s="10">
        <f t="shared" si="10"/>
        <v>6.0733272007042256</v>
      </c>
      <c r="FJ10" s="10">
        <f t="shared" si="10"/>
        <v>6.0733272007042256</v>
      </c>
      <c r="FK10" s="10">
        <f t="shared" si="10"/>
        <v>6.0733272007042256</v>
      </c>
      <c r="FL10" s="10">
        <f t="shared" si="10"/>
        <v>6.0733272007042256</v>
      </c>
      <c r="FM10" s="10">
        <f t="shared" si="10"/>
        <v>6.0733272007042256</v>
      </c>
      <c r="FN10" s="10">
        <f t="shared" si="10"/>
        <v>6.0733272007042256</v>
      </c>
      <c r="FO10" s="10">
        <f t="shared" si="10"/>
        <v>6.0733272007042256</v>
      </c>
      <c r="FP10" s="10">
        <f t="shared" si="10"/>
        <v>6.0733272007042256</v>
      </c>
      <c r="FQ10" s="10">
        <f t="shared" si="10"/>
        <v>6.0733272007042256</v>
      </c>
      <c r="FR10" s="10">
        <f t="shared" si="10"/>
        <v>6.0733272007042256</v>
      </c>
      <c r="FS10" s="10">
        <f t="shared" si="10"/>
        <v>6.0733272007042256</v>
      </c>
      <c r="FT10" s="10">
        <f t="shared" si="10"/>
        <v>6.0733272007042256</v>
      </c>
      <c r="FU10" s="10">
        <f t="shared" si="10"/>
        <v>6.0733272007042256</v>
      </c>
      <c r="FV10" s="10">
        <f t="shared" si="10"/>
        <v>6.0733272007042256</v>
      </c>
      <c r="FW10" s="10">
        <f t="shared" si="10"/>
        <v>6.0733272007042256</v>
      </c>
      <c r="FX10" s="10">
        <f t="shared" si="10"/>
        <v>6.0733272007042256</v>
      </c>
      <c r="FY10" s="10">
        <f t="shared" si="10"/>
        <v>6.0733272007042256</v>
      </c>
      <c r="FZ10" s="10">
        <f t="shared" si="10"/>
        <v>6.0733272007042256</v>
      </c>
      <c r="GA10" s="10">
        <f t="shared" si="10"/>
        <v>6.0733272007042256</v>
      </c>
      <c r="GB10" s="10">
        <f t="shared" si="10"/>
        <v>6.0733272007042256</v>
      </c>
      <c r="GC10" s="10">
        <f t="shared" si="10"/>
        <v>6.0733272007042256</v>
      </c>
      <c r="GD10" s="10">
        <f t="shared" si="10"/>
        <v>6.0733272007042256</v>
      </c>
      <c r="GE10" s="10">
        <f t="shared" si="10"/>
        <v>6.0733272007042256</v>
      </c>
      <c r="GF10" s="10">
        <f t="shared" si="10"/>
        <v>6.0733272007042256</v>
      </c>
      <c r="GG10" s="10">
        <f t="shared" si="10"/>
        <v>6.0733272007042256</v>
      </c>
      <c r="GH10" s="10">
        <f t="shared" si="10"/>
        <v>6.0733272007042256</v>
      </c>
      <c r="GI10" s="10">
        <f t="shared" si="10"/>
        <v>6.0733272007042256</v>
      </c>
      <c r="GJ10" s="10">
        <f t="shared" si="10"/>
        <v>6.0733272007042256</v>
      </c>
      <c r="GK10" s="10">
        <f t="shared" si="10"/>
        <v>6.0733272007042256</v>
      </c>
      <c r="GL10" s="10">
        <f t="shared" si="10"/>
        <v>6.0733272007042256</v>
      </c>
      <c r="GM10" s="10">
        <f t="shared" si="10"/>
        <v>6.0733272007042256</v>
      </c>
      <c r="GN10" s="10">
        <f t="shared" si="10"/>
        <v>6.0733272007042256</v>
      </c>
      <c r="GO10" s="10">
        <f t="shared" si="10"/>
        <v>6.0733272007042256</v>
      </c>
      <c r="GP10" s="10">
        <f t="shared" si="10"/>
        <v>6.0733272007042256</v>
      </c>
      <c r="GQ10" s="10">
        <f t="shared" si="10"/>
        <v>6.0733272007042256</v>
      </c>
      <c r="GR10" s="10">
        <f t="shared" si="10"/>
        <v>6.0733272007042256</v>
      </c>
      <c r="GS10" s="10">
        <f t="shared" si="10"/>
        <v>6.0733272007042256</v>
      </c>
      <c r="GT10" s="10">
        <f t="shared" si="10"/>
        <v>6.0733272007042256</v>
      </c>
      <c r="GU10" s="10">
        <f t="shared" si="10"/>
        <v>6.0733272007042256</v>
      </c>
      <c r="GV10" s="10">
        <f t="shared" si="10"/>
        <v>6.0733272007042256</v>
      </c>
      <c r="GW10" s="10">
        <f t="shared" si="10"/>
        <v>6.0733272007042256</v>
      </c>
      <c r="GX10" s="10">
        <f t="shared" si="10"/>
        <v>6.0733272007042256</v>
      </c>
      <c r="GY10" s="10">
        <f t="shared" si="10"/>
        <v>6.0733272007042256</v>
      </c>
      <c r="GZ10" s="10">
        <f t="shared" si="10"/>
        <v>6.0733272007042256</v>
      </c>
      <c r="HA10" s="10">
        <f t="shared" si="10"/>
        <v>6.0733272007042256</v>
      </c>
      <c r="HB10" s="10">
        <f t="shared" si="10"/>
        <v>6.0733272007042256</v>
      </c>
      <c r="HC10" s="10">
        <f t="shared" si="10"/>
        <v>6.0733272007042256</v>
      </c>
    </row>
    <row r="11" spans="1:211">
      <c r="A11" t="s">
        <v>12</v>
      </c>
      <c r="B11" s="10">
        <f>'CCaMC-VOaMCpUC US'!B11</f>
        <v>0</v>
      </c>
      <c r="C11" s="10">
        <f t="shared" si="6"/>
        <v>0</v>
      </c>
      <c r="D11" s="10">
        <f t="shared" si="6"/>
        <v>0</v>
      </c>
      <c r="E11" s="10">
        <f t="shared" si="6"/>
        <v>0</v>
      </c>
      <c r="F11" s="10">
        <f t="shared" si="7"/>
        <v>0</v>
      </c>
      <c r="G11" s="10">
        <f t="shared" si="7"/>
        <v>0</v>
      </c>
      <c r="H11" s="10">
        <f t="shared" si="7"/>
        <v>0</v>
      </c>
      <c r="I11" s="10">
        <f t="shared" si="7"/>
        <v>0</v>
      </c>
      <c r="J11" s="10">
        <f t="shared" si="7"/>
        <v>0</v>
      </c>
      <c r="K11" s="10">
        <f t="shared" si="7"/>
        <v>0</v>
      </c>
      <c r="L11" s="10">
        <f t="shared" si="7"/>
        <v>0</v>
      </c>
      <c r="M11" s="10">
        <f t="shared" si="7"/>
        <v>0</v>
      </c>
      <c r="N11" s="10">
        <f t="shared" si="7"/>
        <v>0</v>
      </c>
      <c r="O11" s="10">
        <f t="shared" si="7"/>
        <v>0</v>
      </c>
      <c r="P11" s="10">
        <f t="shared" si="7"/>
        <v>0</v>
      </c>
      <c r="Q11" s="10">
        <f t="shared" si="7"/>
        <v>0</v>
      </c>
      <c r="R11" s="10">
        <f t="shared" si="7"/>
        <v>0</v>
      </c>
      <c r="S11" s="10">
        <f t="shared" si="7"/>
        <v>0</v>
      </c>
      <c r="T11" s="10">
        <f t="shared" si="7"/>
        <v>0</v>
      </c>
      <c r="U11" s="10">
        <f t="shared" si="7"/>
        <v>0</v>
      </c>
      <c r="V11" s="10">
        <f t="shared" si="7"/>
        <v>0</v>
      </c>
      <c r="W11" s="10">
        <f t="shared" si="7"/>
        <v>0</v>
      </c>
      <c r="X11" s="10">
        <f t="shared" si="7"/>
        <v>0</v>
      </c>
      <c r="Y11" s="10">
        <f t="shared" si="7"/>
        <v>0</v>
      </c>
      <c r="Z11" s="10">
        <f t="shared" si="7"/>
        <v>0</v>
      </c>
      <c r="AA11" s="10">
        <f t="shared" si="7"/>
        <v>0</v>
      </c>
      <c r="AB11" s="10">
        <f t="shared" si="7"/>
        <v>0</v>
      </c>
      <c r="AC11" s="10">
        <f t="shared" si="7"/>
        <v>0</v>
      </c>
      <c r="AD11" s="10">
        <f t="shared" si="7"/>
        <v>0</v>
      </c>
      <c r="AE11" s="10">
        <f t="shared" si="7"/>
        <v>0</v>
      </c>
      <c r="AF11" s="10">
        <f t="shared" si="7"/>
        <v>0</v>
      </c>
      <c r="AG11" s="10">
        <f t="shared" si="7"/>
        <v>0</v>
      </c>
      <c r="AH11" s="10">
        <f t="shared" ref="AH11:CS14" si="13">$B11</f>
        <v>0</v>
      </c>
      <c r="AI11" s="10">
        <f t="shared" si="13"/>
        <v>0</v>
      </c>
      <c r="AJ11" s="10">
        <f t="shared" si="13"/>
        <v>0</v>
      </c>
      <c r="AK11" s="10">
        <f t="shared" si="13"/>
        <v>0</v>
      </c>
      <c r="AL11" s="10">
        <f t="shared" si="13"/>
        <v>0</v>
      </c>
      <c r="AM11" s="10">
        <f t="shared" si="13"/>
        <v>0</v>
      </c>
      <c r="AN11" s="10">
        <f t="shared" si="13"/>
        <v>0</v>
      </c>
      <c r="AO11" s="10">
        <f t="shared" si="13"/>
        <v>0</v>
      </c>
      <c r="AP11" s="10">
        <f t="shared" si="13"/>
        <v>0</v>
      </c>
      <c r="AQ11" s="10">
        <f t="shared" si="13"/>
        <v>0</v>
      </c>
      <c r="AR11" s="10">
        <f t="shared" si="13"/>
        <v>0</v>
      </c>
      <c r="AS11" s="10">
        <f t="shared" si="13"/>
        <v>0</v>
      </c>
      <c r="AT11" s="10">
        <f t="shared" si="13"/>
        <v>0</v>
      </c>
      <c r="AU11" s="10">
        <f t="shared" si="13"/>
        <v>0</v>
      </c>
      <c r="AV11" s="10">
        <f t="shared" si="13"/>
        <v>0</v>
      </c>
      <c r="AW11" s="10">
        <f t="shared" si="13"/>
        <v>0</v>
      </c>
      <c r="AX11" s="10">
        <f t="shared" si="13"/>
        <v>0</v>
      </c>
      <c r="AY11" s="10">
        <f t="shared" si="13"/>
        <v>0</v>
      </c>
      <c r="AZ11" s="10">
        <f t="shared" si="13"/>
        <v>0</v>
      </c>
      <c r="BA11" s="10">
        <f t="shared" si="13"/>
        <v>0</v>
      </c>
      <c r="BB11" s="10">
        <f t="shared" si="13"/>
        <v>0</v>
      </c>
      <c r="BC11" s="10">
        <f t="shared" si="13"/>
        <v>0</v>
      </c>
      <c r="BD11" s="10">
        <f t="shared" si="13"/>
        <v>0</v>
      </c>
      <c r="BE11" s="10">
        <f t="shared" si="13"/>
        <v>0</v>
      </c>
      <c r="BF11" s="10">
        <f t="shared" si="13"/>
        <v>0</v>
      </c>
      <c r="BG11" s="10">
        <f t="shared" si="13"/>
        <v>0</v>
      </c>
      <c r="BH11" s="10">
        <f t="shared" si="13"/>
        <v>0</v>
      </c>
      <c r="BI11" s="10">
        <f t="shared" si="13"/>
        <v>0</v>
      </c>
      <c r="BJ11" s="10">
        <f t="shared" si="13"/>
        <v>0</v>
      </c>
      <c r="BK11" s="10">
        <f t="shared" si="13"/>
        <v>0</v>
      </c>
      <c r="BL11" s="10">
        <f t="shared" si="13"/>
        <v>0</v>
      </c>
      <c r="BM11" s="10">
        <f t="shared" si="13"/>
        <v>0</v>
      </c>
      <c r="BN11" s="10">
        <f t="shared" si="13"/>
        <v>0</v>
      </c>
      <c r="BO11" s="10">
        <f t="shared" si="13"/>
        <v>0</v>
      </c>
      <c r="BP11" s="10">
        <f t="shared" si="13"/>
        <v>0</v>
      </c>
      <c r="BQ11" s="10">
        <f t="shared" si="13"/>
        <v>0</v>
      </c>
      <c r="BR11" s="10">
        <f t="shared" si="13"/>
        <v>0</v>
      </c>
      <c r="BS11" s="10">
        <f t="shared" si="13"/>
        <v>0</v>
      </c>
      <c r="BT11" s="10">
        <f t="shared" si="13"/>
        <v>0</v>
      </c>
      <c r="BU11" s="10">
        <f t="shared" si="13"/>
        <v>0</v>
      </c>
      <c r="BV11" s="10">
        <f t="shared" si="13"/>
        <v>0</v>
      </c>
      <c r="BW11" s="10">
        <f t="shared" si="13"/>
        <v>0</v>
      </c>
      <c r="BX11" s="10">
        <f t="shared" si="13"/>
        <v>0</v>
      </c>
      <c r="BY11" s="10">
        <f t="shared" si="13"/>
        <v>0</v>
      </c>
      <c r="BZ11" s="10">
        <f t="shared" si="13"/>
        <v>0</v>
      </c>
      <c r="CA11" s="10">
        <f t="shared" si="13"/>
        <v>0</v>
      </c>
      <c r="CB11" s="10">
        <f t="shared" si="13"/>
        <v>0</v>
      </c>
      <c r="CC11" s="10">
        <f t="shared" si="13"/>
        <v>0</v>
      </c>
      <c r="CD11" s="10">
        <f t="shared" si="13"/>
        <v>0</v>
      </c>
      <c r="CE11" s="10">
        <f t="shared" si="13"/>
        <v>0</v>
      </c>
      <c r="CF11" s="10">
        <f t="shared" si="13"/>
        <v>0</v>
      </c>
      <c r="CG11" s="10">
        <f t="shared" si="13"/>
        <v>0</v>
      </c>
      <c r="CH11" s="10">
        <f t="shared" si="13"/>
        <v>0</v>
      </c>
      <c r="CI11" s="10">
        <f t="shared" si="13"/>
        <v>0</v>
      </c>
      <c r="CJ11" s="10">
        <f t="shared" si="13"/>
        <v>0</v>
      </c>
      <c r="CK11" s="10">
        <f t="shared" si="13"/>
        <v>0</v>
      </c>
      <c r="CL11" s="10">
        <f t="shared" si="13"/>
        <v>0</v>
      </c>
      <c r="CM11" s="10">
        <f t="shared" si="13"/>
        <v>0</v>
      </c>
      <c r="CN11" s="10">
        <f t="shared" si="13"/>
        <v>0</v>
      </c>
      <c r="CO11" s="10">
        <f t="shared" si="13"/>
        <v>0</v>
      </c>
      <c r="CP11" s="10">
        <f t="shared" si="13"/>
        <v>0</v>
      </c>
      <c r="CQ11" s="10">
        <f t="shared" si="13"/>
        <v>0</v>
      </c>
      <c r="CR11" s="10">
        <f t="shared" si="13"/>
        <v>0</v>
      </c>
      <c r="CS11" s="10">
        <f t="shared" si="13"/>
        <v>0</v>
      </c>
      <c r="CT11" s="10">
        <f t="shared" si="12"/>
        <v>0</v>
      </c>
      <c r="CU11" s="10">
        <f t="shared" si="12"/>
        <v>0</v>
      </c>
      <c r="CV11" s="10">
        <f t="shared" si="12"/>
        <v>0</v>
      </c>
      <c r="CW11" s="10">
        <f t="shared" si="12"/>
        <v>0</v>
      </c>
      <c r="CX11" s="10">
        <f t="shared" si="12"/>
        <v>0</v>
      </c>
      <c r="CY11" s="10">
        <f t="shared" si="12"/>
        <v>0</v>
      </c>
      <c r="CZ11" s="10">
        <f t="shared" si="12"/>
        <v>0</v>
      </c>
      <c r="DA11" s="10">
        <f t="shared" si="12"/>
        <v>0</v>
      </c>
      <c r="DB11" s="10">
        <f t="shared" si="12"/>
        <v>0</v>
      </c>
      <c r="DC11" s="10">
        <f t="shared" si="12"/>
        <v>0</v>
      </c>
      <c r="DD11" s="10">
        <f t="shared" si="12"/>
        <v>0</v>
      </c>
      <c r="DE11" s="10">
        <f t="shared" si="12"/>
        <v>0</v>
      </c>
      <c r="DF11" s="10">
        <f t="shared" si="12"/>
        <v>0</v>
      </c>
      <c r="DG11" s="10">
        <f t="shared" si="12"/>
        <v>0</v>
      </c>
      <c r="DH11" s="10">
        <f t="shared" si="12"/>
        <v>0</v>
      </c>
      <c r="DI11" s="10">
        <f t="shared" si="12"/>
        <v>0</v>
      </c>
      <c r="DJ11" s="10">
        <f t="shared" si="12"/>
        <v>0</v>
      </c>
      <c r="DK11" s="10">
        <f t="shared" si="12"/>
        <v>0</v>
      </c>
      <c r="DL11" s="10">
        <f t="shared" si="12"/>
        <v>0</v>
      </c>
      <c r="DM11" s="10">
        <f t="shared" si="12"/>
        <v>0</v>
      </c>
      <c r="DN11" s="10">
        <f t="shared" si="12"/>
        <v>0</v>
      </c>
      <c r="DO11" s="10">
        <f t="shared" si="12"/>
        <v>0</v>
      </c>
      <c r="DP11" s="10">
        <f t="shared" si="12"/>
        <v>0</v>
      </c>
      <c r="DQ11" s="10">
        <f t="shared" si="12"/>
        <v>0</v>
      </c>
      <c r="DR11" s="10">
        <f t="shared" si="12"/>
        <v>0</v>
      </c>
      <c r="DS11" s="10">
        <f t="shared" si="12"/>
        <v>0</v>
      </c>
      <c r="DT11" s="10">
        <f t="shared" si="12"/>
        <v>0</v>
      </c>
      <c r="DU11" s="10">
        <f t="shared" si="12"/>
        <v>0</v>
      </c>
      <c r="DV11" s="10">
        <f t="shared" si="12"/>
        <v>0</v>
      </c>
      <c r="DW11" s="10">
        <f t="shared" si="12"/>
        <v>0</v>
      </c>
      <c r="DX11" s="10">
        <f t="shared" si="12"/>
        <v>0</v>
      </c>
      <c r="DY11" s="10">
        <f t="shared" si="12"/>
        <v>0</v>
      </c>
      <c r="DZ11" s="10">
        <f t="shared" si="12"/>
        <v>0</v>
      </c>
      <c r="EA11" s="10">
        <f t="shared" si="12"/>
        <v>0</v>
      </c>
      <c r="EB11" s="10">
        <f t="shared" si="12"/>
        <v>0</v>
      </c>
      <c r="EC11" s="10">
        <f t="shared" si="12"/>
        <v>0</v>
      </c>
      <c r="ED11" s="10">
        <f t="shared" si="12"/>
        <v>0</v>
      </c>
      <c r="EE11" s="10">
        <f t="shared" si="12"/>
        <v>0</v>
      </c>
      <c r="EF11" s="10">
        <f t="shared" si="12"/>
        <v>0</v>
      </c>
      <c r="EG11" s="10">
        <f t="shared" si="12"/>
        <v>0</v>
      </c>
      <c r="EH11" s="10">
        <f t="shared" si="12"/>
        <v>0</v>
      </c>
      <c r="EI11" s="10">
        <f t="shared" si="12"/>
        <v>0</v>
      </c>
      <c r="EJ11" s="10">
        <f t="shared" si="12"/>
        <v>0</v>
      </c>
      <c r="EK11" s="10">
        <f t="shared" si="12"/>
        <v>0</v>
      </c>
      <c r="EL11" s="10">
        <f t="shared" si="12"/>
        <v>0</v>
      </c>
      <c r="EM11" s="10">
        <f t="shared" si="12"/>
        <v>0</v>
      </c>
      <c r="EN11" s="10">
        <f t="shared" si="12"/>
        <v>0</v>
      </c>
      <c r="EO11" s="10">
        <f t="shared" si="12"/>
        <v>0</v>
      </c>
      <c r="EP11" s="10">
        <f t="shared" si="12"/>
        <v>0</v>
      </c>
      <c r="EQ11" s="10">
        <f t="shared" si="12"/>
        <v>0</v>
      </c>
      <c r="ER11" s="10">
        <f t="shared" si="12"/>
        <v>0</v>
      </c>
      <c r="ES11" s="10">
        <f t="shared" si="12"/>
        <v>0</v>
      </c>
      <c r="ET11" s="10">
        <f t="shared" si="12"/>
        <v>0</v>
      </c>
      <c r="EU11" s="10">
        <f t="shared" si="12"/>
        <v>0</v>
      </c>
      <c r="EV11" s="10">
        <f t="shared" si="12"/>
        <v>0</v>
      </c>
      <c r="EW11" s="10">
        <f t="shared" si="12"/>
        <v>0</v>
      </c>
      <c r="EX11" s="10">
        <f t="shared" si="12"/>
        <v>0</v>
      </c>
      <c r="EY11" s="10">
        <f t="shared" si="12"/>
        <v>0</v>
      </c>
      <c r="EZ11" s="10">
        <f t="shared" si="12"/>
        <v>0</v>
      </c>
      <c r="FA11" s="10">
        <f t="shared" si="12"/>
        <v>0</v>
      </c>
      <c r="FB11" s="10">
        <f t="shared" si="12"/>
        <v>0</v>
      </c>
      <c r="FC11" s="10">
        <f t="shared" si="12"/>
        <v>0</v>
      </c>
      <c r="FD11" s="10">
        <f t="shared" si="12"/>
        <v>0</v>
      </c>
      <c r="FE11" s="10">
        <f t="shared" ref="FE11:HC15" si="14">$B11</f>
        <v>0</v>
      </c>
      <c r="FF11" s="10">
        <f t="shared" si="14"/>
        <v>0</v>
      </c>
      <c r="FG11" s="10">
        <f t="shared" si="14"/>
        <v>0</v>
      </c>
      <c r="FH11" s="10">
        <f t="shared" si="14"/>
        <v>0</v>
      </c>
      <c r="FI11" s="10">
        <f t="shared" si="14"/>
        <v>0</v>
      </c>
      <c r="FJ11" s="10">
        <f t="shared" si="14"/>
        <v>0</v>
      </c>
      <c r="FK11" s="10">
        <f t="shared" si="14"/>
        <v>0</v>
      </c>
      <c r="FL11" s="10">
        <f t="shared" si="14"/>
        <v>0</v>
      </c>
      <c r="FM11" s="10">
        <f t="shared" si="14"/>
        <v>0</v>
      </c>
      <c r="FN11" s="10">
        <f t="shared" si="14"/>
        <v>0</v>
      </c>
      <c r="FO11" s="10">
        <f t="shared" si="14"/>
        <v>0</v>
      </c>
      <c r="FP11" s="10">
        <f t="shared" si="14"/>
        <v>0</v>
      </c>
      <c r="FQ11" s="10">
        <f t="shared" si="14"/>
        <v>0</v>
      </c>
      <c r="FR11" s="10">
        <f t="shared" si="14"/>
        <v>0</v>
      </c>
      <c r="FS11" s="10">
        <f t="shared" si="14"/>
        <v>0</v>
      </c>
      <c r="FT11" s="10">
        <f t="shared" si="14"/>
        <v>0</v>
      </c>
      <c r="FU11" s="10">
        <f t="shared" si="14"/>
        <v>0</v>
      </c>
      <c r="FV11" s="10">
        <f t="shared" si="14"/>
        <v>0</v>
      </c>
      <c r="FW11" s="10">
        <f t="shared" si="14"/>
        <v>0</v>
      </c>
      <c r="FX11" s="10">
        <f t="shared" si="14"/>
        <v>0</v>
      </c>
      <c r="FY11" s="10">
        <f t="shared" si="14"/>
        <v>0</v>
      </c>
      <c r="FZ11" s="10">
        <f t="shared" si="14"/>
        <v>0</v>
      </c>
      <c r="GA11" s="10">
        <f t="shared" si="14"/>
        <v>0</v>
      </c>
      <c r="GB11" s="10">
        <f t="shared" si="14"/>
        <v>0</v>
      </c>
      <c r="GC11" s="10">
        <f t="shared" si="14"/>
        <v>0</v>
      </c>
      <c r="GD11" s="10">
        <f t="shared" si="14"/>
        <v>0</v>
      </c>
      <c r="GE11" s="10">
        <f t="shared" si="14"/>
        <v>0</v>
      </c>
      <c r="GF11" s="10">
        <f t="shared" si="14"/>
        <v>0</v>
      </c>
      <c r="GG11" s="10">
        <f t="shared" si="14"/>
        <v>0</v>
      </c>
      <c r="GH11" s="10">
        <f t="shared" si="14"/>
        <v>0</v>
      </c>
      <c r="GI11" s="10">
        <f t="shared" si="14"/>
        <v>0</v>
      </c>
      <c r="GJ11" s="10">
        <f t="shared" si="14"/>
        <v>0</v>
      </c>
      <c r="GK11" s="10">
        <f t="shared" si="14"/>
        <v>0</v>
      </c>
      <c r="GL11" s="10">
        <f t="shared" si="14"/>
        <v>0</v>
      </c>
      <c r="GM11" s="10">
        <f t="shared" si="14"/>
        <v>0</v>
      </c>
      <c r="GN11" s="10">
        <f t="shared" si="14"/>
        <v>0</v>
      </c>
      <c r="GO11" s="10">
        <f t="shared" si="14"/>
        <v>0</v>
      </c>
      <c r="GP11" s="10">
        <f t="shared" si="14"/>
        <v>0</v>
      </c>
      <c r="GQ11" s="10">
        <f t="shared" si="14"/>
        <v>0</v>
      </c>
      <c r="GR11" s="10">
        <f t="shared" si="14"/>
        <v>0</v>
      </c>
      <c r="GS11" s="10">
        <f t="shared" si="14"/>
        <v>0</v>
      </c>
      <c r="GT11" s="10">
        <f t="shared" si="14"/>
        <v>0</v>
      </c>
      <c r="GU11" s="10">
        <f t="shared" si="14"/>
        <v>0</v>
      </c>
      <c r="GV11" s="10">
        <f t="shared" si="14"/>
        <v>0</v>
      </c>
      <c r="GW11" s="10">
        <f t="shared" si="14"/>
        <v>0</v>
      </c>
      <c r="GX11" s="10">
        <f t="shared" si="14"/>
        <v>0</v>
      </c>
      <c r="GY11" s="10">
        <f t="shared" si="14"/>
        <v>0</v>
      </c>
      <c r="GZ11" s="10">
        <f t="shared" si="14"/>
        <v>0</v>
      </c>
      <c r="HA11" s="10">
        <f t="shared" si="14"/>
        <v>0</v>
      </c>
      <c r="HB11" s="10">
        <f t="shared" si="14"/>
        <v>0</v>
      </c>
      <c r="HC11" s="10">
        <f t="shared" si="14"/>
        <v>0</v>
      </c>
    </row>
    <row r="12" spans="1:211">
      <c r="A12" t="s">
        <v>13</v>
      </c>
      <c r="B12" s="10">
        <f>'CCaMC-VOaMCpUC US'!B12</f>
        <v>39.450873422962026</v>
      </c>
      <c r="C12" s="10">
        <f t="shared" si="6"/>
        <v>39.450873422962026</v>
      </c>
      <c r="D12" s="10">
        <f t="shared" si="6"/>
        <v>39.450873422962026</v>
      </c>
      <c r="E12" s="10">
        <f t="shared" si="6"/>
        <v>39.450873422962026</v>
      </c>
      <c r="F12" s="10">
        <f t="shared" si="7"/>
        <v>39.450873422962026</v>
      </c>
      <c r="G12" s="10">
        <f t="shared" si="7"/>
        <v>39.450873422962026</v>
      </c>
      <c r="H12" s="10">
        <f t="shared" si="7"/>
        <v>39.450873422962026</v>
      </c>
      <c r="I12" s="10">
        <f t="shared" si="7"/>
        <v>39.450873422962026</v>
      </c>
      <c r="J12" s="10">
        <f t="shared" si="7"/>
        <v>39.450873422962026</v>
      </c>
      <c r="K12" s="10">
        <f t="shared" si="7"/>
        <v>39.450873422962026</v>
      </c>
      <c r="L12" s="10">
        <f t="shared" si="7"/>
        <v>39.450873422962026</v>
      </c>
      <c r="M12" s="10">
        <f t="shared" si="7"/>
        <v>39.450873422962026</v>
      </c>
      <c r="N12" s="10">
        <f t="shared" si="7"/>
        <v>39.450873422962026</v>
      </c>
      <c r="O12" s="10">
        <f t="shared" si="7"/>
        <v>39.450873422962026</v>
      </c>
      <c r="P12" s="10">
        <f t="shared" si="7"/>
        <v>39.450873422962026</v>
      </c>
      <c r="Q12" s="10">
        <f t="shared" si="7"/>
        <v>39.450873422962026</v>
      </c>
      <c r="R12" s="10">
        <f t="shared" si="7"/>
        <v>39.450873422962026</v>
      </c>
      <c r="S12" s="10">
        <f t="shared" si="7"/>
        <v>39.450873422962026</v>
      </c>
      <c r="T12" s="10">
        <f t="shared" si="7"/>
        <v>39.450873422962026</v>
      </c>
      <c r="U12" s="10">
        <f t="shared" si="7"/>
        <v>39.450873422962026</v>
      </c>
      <c r="V12" s="10">
        <f t="shared" si="7"/>
        <v>39.450873422962026</v>
      </c>
      <c r="W12" s="10">
        <f t="shared" si="7"/>
        <v>39.450873422962026</v>
      </c>
      <c r="X12" s="10">
        <f t="shared" si="7"/>
        <v>39.450873422962026</v>
      </c>
      <c r="Y12" s="10">
        <f t="shared" si="7"/>
        <v>39.450873422962026</v>
      </c>
      <c r="Z12" s="10">
        <f t="shared" si="7"/>
        <v>39.450873422962026</v>
      </c>
      <c r="AA12" s="10">
        <f t="shared" si="7"/>
        <v>39.450873422962026</v>
      </c>
      <c r="AB12" s="10">
        <f t="shared" si="7"/>
        <v>39.450873422962026</v>
      </c>
      <c r="AC12" s="10">
        <f t="shared" si="7"/>
        <v>39.450873422962026</v>
      </c>
      <c r="AD12" s="10">
        <f t="shared" si="7"/>
        <v>39.450873422962026</v>
      </c>
      <c r="AE12" s="10">
        <f t="shared" si="7"/>
        <v>39.450873422962026</v>
      </c>
      <c r="AF12" s="10">
        <f t="shared" si="7"/>
        <v>39.450873422962026</v>
      </c>
      <c r="AG12" s="10">
        <f t="shared" si="7"/>
        <v>39.450873422962026</v>
      </c>
      <c r="AH12" s="10">
        <f t="shared" si="13"/>
        <v>39.450873422962026</v>
      </c>
      <c r="AI12" s="10">
        <f t="shared" si="13"/>
        <v>39.450873422962026</v>
      </c>
      <c r="AJ12" s="10">
        <f t="shared" si="13"/>
        <v>39.450873422962026</v>
      </c>
      <c r="AK12" s="10">
        <f t="shared" si="13"/>
        <v>39.450873422962026</v>
      </c>
      <c r="AL12" s="10">
        <f t="shared" si="13"/>
        <v>39.450873422962026</v>
      </c>
      <c r="AM12" s="10">
        <f t="shared" si="13"/>
        <v>39.450873422962026</v>
      </c>
      <c r="AN12" s="10">
        <f t="shared" si="13"/>
        <v>39.450873422962026</v>
      </c>
      <c r="AO12" s="10">
        <f t="shared" si="13"/>
        <v>39.450873422962026</v>
      </c>
      <c r="AP12" s="10">
        <f t="shared" si="13"/>
        <v>39.450873422962026</v>
      </c>
      <c r="AQ12" s="10">
        <f t="shared" si="13"/>
        <v>39.450873422962026</v>
      </c>
      <c r="AR12" s="10">
        <f t="shared" si="13"/>
        <v>39.450873422962026</v>
      </c>
      <c r="AS12" s="10">
        <f t="shared" si="13"/>
        <v>39.450873422962026</v>
      </c>
      <c r="AT12" s="10">
        <f t="shared" si="13"/>
        <v>39.450873422962026</v>
      </c>
      <c r="AU12" s="10">
        <f t="shared" si="13"/>
        <v>39.450873422962026</v>
      </c>
      <c r="AV12" s="10">
        <f t="shared" si="13"/>
        <v>39.450873422962026</v>
      </c>
      <c r="AW12" s="10">
        <f t="shared" si="13"/>
        <v>39.450873422962026</v>
      </c>
      <c r="AX12" s="10">
        <f t="shared" si="13"/>
        <v>39.450873422962026</v>
      </c>
      <c r="AY12" s="10">
        <f t="shared" si="13"/>
        <v>39.450873422962026</v>
      </c>
      <c r="AZ12" s="10">
        <f t="shared" si="13"/>
        <v>39.450873422962026</v>
      </c>
      <c r="BA12" s="10">
        <f t="shared" si="13"/>
        <v>39.450873422962026</v>
      </c>
      <c r="BB12" s="10">
        <f t="shared" si="13"/>
        <v>39.450873422962026</v>
      </c>
      <c r="BC12" s="10">
        <f t="shared" si="13"/>
        <v>39.450873422962026</v>
      </c>
      <c r="BD12" s="10">
        <f t="shared" si="13"/>
        <v>39.450873422962026</v>
      </c>
      <c r="BE12" s="10">
        <f t="shared" si="13"/>
        <v>39.450873422962026</v>
      </c>
      <c r="BF12" s="10">
        <f t="shared" si="13"/>
        <v>39.450873422962026</v>
      </c>
      <c r="BG12" s="10">
        <f t="shared" si="13"/>
        <v>39.450873422962026</v>
      </c>
      <c r="BH12" s="10">
        <f t="shared" si="13"/>
        <v>39.450873422962026</v>
      </c>
      <c r="BI12" s="10">
        <f t="shared" si="13"/>
        <v>39.450873422962026</v>
      </c>
      <c r="BJ12" s="10">
        <f t="shared" si="13"/>
        <v>39.450873422962026</v>
      </c>
      <c r="BK12" s="10">
        <f t="shared" si="13"/>
        <v>39.450873422962026</v>
      </c>
      <c r="BL12" s="10">
        <f t="shared" si="13"/>
        <v>39.450873422962026</v>
      </c>
      <c r="BM12" s="10">
        <f t="shared" si="13"/>
        <v>39.450873422962026</v>
      </c>
      <c r="BN12" s="10">
        <f t="shared" si="13"/>
        <v>39.450873422962026</v>
      </c>
      <c r="BO12" s="10">
        <f t="shared" si="13"/>
        <v>39.450873422962026</v>
      </c>
      <c r="BP12" s="10">
        <f t="shared" si="13"/>
        <v>39.450873422962026</v>
      </c>
      <c r="BQ12" s="10">
        <f t="shared" si="13"/>
        <v>39.450873422962026</v>
      </c>
      <c r="BR12" s="10">
        <f t="shared" si="13"/>
        <v>39.450873422962026</v>
      </c>
      <c r="BS12" s="10">
        <f t="shared" si="13"/>
        <v>39.450873422962026</v>
      </c>
      <c r="BT12" s="10">
        <f t="shared" si="13"/>
        <v>39.450873422962026</v>
      </c>
      <c r="BU12" s="10">
        <f t="shared" si="13"/>
        <v>39.450873422962026</v>
      </c>
      <c r="BV12" s="10">
        <f t="shared" si="13"/>
        <v>39.450873422962026</v>
      </c>
      <c r="BW12" s="10">
        <f t="shared" si="13"/>
        <v>39.450873422962026</v>
      </c>
      <c r="BX12" s="10">
        <f t="shared" si="13"/>
        <v>39.450873422962026</v>
      </c>
      <c r="BY12" s="10">
        <f t="shared" si="13"/>
        <v>39.450873422962026</v>
      </c>
      <c r="BZ12" s="10">
        <f t="shared" si="13"/>
        <v>39.450873422962026</v>
      </c>
      <c r="CA12" s="10">
        <f t="shared" si="13"/>
        <v>39.450873422962026</v>
      </c>
      <c r="CB12" s="10">
        <f t="shared" si="13"/>
        <v>39.450873422962026</v>
      </c>
      <c r="CC12" s="10">
        <f t="shared" si="13"/>
        <v>39.450873422962026</v>
      </c>
      <c r="CD12" s="10">
        <f t="shared" si="13"/>
        <v>39.450873422962026</v>
      </c>
      <c r="CE12" s="10">
        <f t="shared" si="13"/>
        <v>39.450873422962026</v>
      </c>
      <c r="CF12" s="10">
        <f t="shared" si="13"/>
        <v>39.450873422962026</v>
      </c>
      <c r="CG12" s="10">
        <f t="shared" si="13"/>
        <v>39.450873422962026</v>
      </c>
      <c r="CH12" s="10">
        <f t="shared" si="13"/>
        <v>39.450873422962026</v>
      </c>
      <c r="CI12" s="10">
        <f t="shared" si="13"/>
        <v>39.450873422962026</v>
      </c>
      <c r="CJ12" s="10">
        <f t="shared" si="13"/>
        <v>39.450873422962026</v>
      </c>
      <c r="CK12" s="10">
        <f t="shared" si="13"/>
        <v>39.450873422962026</v>
      </c>
      <c r="CL12" s="10">
        <f t="shared" si="13"/>
        <v>39.450873422962026</v>
      </c>
      <c r="CM12" s="10">
        <f t="shared" si="13"/>
        <v>39.450873422962026</v>
      </c>
      <c r="CN12" s="10">
        <f t="shared" si="13"/>
        <v>39.450873422962026</v>
      </c>
      <c r="CO12" s="10">
        <f t="shared" si="13"/>
        <v>39.450873422962026</v>
      </c>
      <c r="CP12" s="10">
        <f t="shared" si="13"/>
        <v>39.450873422962026</v>
      </c>
      <c r="CQ12" s="10">
        <f t="shared" si="13"/>
        <v>39.450873422962026</v>
      </c>
      <c r="CR12" s="10">
        <f t="shared" si="13"/>
        <v>39.450873422962026</v>
      </c>
      <c r="CS12" s="10">
        <f t="shared" si="13"/>
        <v>39.450873422962026</v>
      </c>
      <c r="CT12" s="10">
        <f t="shared" si="12"/>
        <v>39.450873422962026</v>
      </c>
      <c r="CU12" s="10">
        <f t="shared" si="12"/>
        <v>39.450873422962026</v>
      </c>
      <c r="CV12" s="10">
        <f t="shared" si="12"/>
        <v>39.450873422962026</v>
      </c>
      <c r="CW12" s="10">
        <f t="shared" si="12"/>
        <v>39.450873422962026</v>
      </c>
      <c r="CX12" s="10">
        <f t="shared" si="12"/>
        <v>39.450873422962026</v>
      </c>
      <c r="CY12" s="10">
        <f t="shared" si="12"/>
        <v>39.450873422962026</v>
      </c>
      <c r="CZ12" s="10">
        <f t="shared" si="12"/>
        <v>39.450873422962026</v>
      </c>
      <c r="DA12" s="10">
        <f t="shared" si="12"/>
        <v>39.450873422962026</v>
      </c>
      <c r="DB12" s="10">
        <f t="shared" si="12"/>
        <v>39.450873422962026</v>
      </c>
      <c r="DC12" s="10">
        <f t="shared" si="12"/>
        <v>39.450873422962026</v>
      </c>
      <c r="DD12" s="10">
        <f t="shared" si="12"/>
        <v>39.450873422962026</v>
      </c>
      <c r="DE12" s="10">
        <f t="shared" si="12"/>
        <v>39.450873422962026</v>
      </c>
      <c r="DF12" s="10">
        <f t="shared" si="12"/>
        <v>39.450873422962026</v>
      </c>
      <c r="DG12" s="10">
        <f t="shared" si="12"/>
        <v>39.450873422962026</v>
      </c>
      <c r="DH12" s="10">
        <f t="shared" si="12"/>
        <v>39.450873422962026</v>
      </c>
      <c r="DI12" s="10">
        <f t="shared" si="12"/>
        <v>39.450873422962026</v>
      </c>
      <c r="DJ12" s="10">
        <f t="shared" si="12"/>
        <v>39.450873422962026</v>
      </c>
      <c r="DK12" s="10">
        <f t="shared" si="12"/>
        <v>39.450873422962026</v>
      </c>
      <c r="DL12" s="10">
        <f t="shared" si="12"/>
        <v>39.450873422962026</v>
      </c>
      <c r="DM12" s="10">
        <f t="shared" si="12"/>
        <v>39.450873422962026</v>
      </c>
      <c r="DN12" s="10">
        <f t="shared" si="12"/>
        <v>39.450873422962026</v>
      </c>
      <c r="DO12" s="10">
        <f t="shared" si="12"/>
        <v>39.450873422962026</v>
      </c>
      <c r="DP12" s="10">
        <f t="shared" si="12"/>
        <v>39.450873422962026</v>
      </c>
      <c r="DQ12" s="10">
        <f t="shared" si="12"/>
        <v>39.450873422962026</v>
      </c>
      <c r="DR12" s="10">
        <f t="shared" si="12"/>
        <v>39.450873422962026</v>
      </c>
      <c r="DS12" s="10">
        <f t="shared" si="12"/>
        <v>39.450873422962026</v>
      </c>
      <c r="DT12" s="10">
        <f t="shared" si="12"/>
        <v>39.450873422962026</v>
      </c>
      <c r="DU12" s="10">
        <f t="shared" si="12"/>
        <v>39.450873422962026</v>
      </c>
      <c r="DV12" s="10">
        <f t="shared" si="12"/>
        <v>39.450873422962026</v>
      </c>
      <c r="DW12" s="10">
        <f t="shared" si="12"/>
        <v>39.450873422962026</v>
      </c>
      <c r="DX12" s="10">
        <f t="shared" si="12"/>
        <v>39.450873422962026</v>
      </c>
      <c r="DY12" s="10">
        <f t="shared" si="12"/>
        <v>39.450873422962026</v>
      </c>
      <c r="DZ12" s="10">
        <f t="shared" si="12"/>
        <v>39.450873422962026</v>
      </c>
      <c r="EA12" s="10">
        <f t="shared" si="12"/>
        <v>39.450873422962026</v>
      </c>
      <c r="EB12" s="10">
        <f t="shared" si="12"/>
        <v>39.450873422962026</v>
      </c>
      <c r="EC12" s="10">
        <f t="shared" si="12"/>
        <v>39.450873422962026</v>
      </c>
      <c r="ED12" s="10">
        <f t="shared" si="12"/>
        <v>39.450873422962026</v>
      </c>
      <c r="EE12" s="10">
        <f t="shared" si="12"/>
        <v>39.450873422962026</v>
      </c>
      <c r="EF12" s="10">
        <f t="shared" si="12"/>
        <v>39.450873422962026</v>
      </c>
      <c r="EG12" s="10">
        <f t="shared" si="12"/>
        <v>39.450873422962026</v>
      </c>
      <c r="EH12" s="10">
        <f t="shared" si="12"/>
        <v>39.450873422962026</v>
      </c>
      <c r="EI12" s="10">
        <f t="shared" si="12"/>
        <v>39.450873422962026</v>
      </c>
      <c r="EJ12" s="10">
        <f t="shared" si="12"/>
        <v>39.450873422962026</v>
      </c>
      <c r="EK12" s="10">
        <f t="shared" si="12"/>
        <v>39.450873422962026</v>
      </c>
      <c r="EL12" s="10">
        <f t="shared" si="12"/>
        <v>39.450873422962026</v>
      </c>
      <c r="EM12" s="10">
        <f t="shared" si="12"/>
        <v>39.450873422962026</v>
      </c>
      <c r="EN12" s="10">
        <f t="shared" si="12"/>
        <v>39.450873422962026</v>
      </c>
      <c r="EO12" s="10">
        <f t="shared" si="12"/>
        <v>39.450873422962026</v>
      </c>
      <c r="EP12" s="10">
        <f t="shared" si="12"/>
        <v>39.450873422962026</v>
      </c>
      <c r="EQ12" s="10">
        <f t="shared" si="12"/>
        <v>39.450873422962026</v>
      </c>
      <c r="ER12" s="10">
        <f t="shared" si="12"/>
        <v>39.450873422962026</v>
      </c>
      <c r="ES12" s="10">
        <f t="shared" si="12"/>
        <v>39.450873422962026</v>
      </c>
      <c r="ET12" s="10">
        <f t="shared" si="12"/>
        <v>39.450873422962026</v>
      </c>
      <c r="EU12" s="10">
        <f t="shared" si="12"/>
        <v>39.450873422962026</v>
      </c>
      <c r="EV12" s="10">
        <f t="shared" si="12"/>
        <v>39.450873422962026</v>
      </c>
      <c r="EW12" s="10">
        <f t="shared" si="12"/>
        <v>39.450873422962026</v>
      </c>
      <c r="EX12" s="10">
        <f t="shared" si="12"/>
        <v>39.450873422962026</v>
      </c>
      <c r="EY12" s="10">
        <f t="shared" si="12"/>
        <v>39.450873422962026</v>
      </c>
      <c r="EZ12" s="10">
        <f t="shared" si="12"/>
        <v>39.450873422962026</v>
      </c>
      <c r="FA12" s="10">
        <f t="shared" si="12"/>
        <v>39.450873422962026</v>
      </c>
      <c r="FB12" s="10">
        <f t="shared" si="12"/>
        <v>39.450873422962026</v>
      </c>
      <c r="FC12" s="10">
        <f t="shared" si="12"/>
        <v>39.450873422962026</v>
      </c>
      <c r="FD12" s="10">
        <f t="shared" si="12"/>
        <v>39.450873422962026</v>
      </c>
      <c r="FE12" s="10">
        <f t="shared" si="14"/>
        <v>39.450873422962026</v>
      </c>
      <c r="FF12" s="10">
        <f t="shared" si="14"/>
        <v>39.450873422962026</v>
      </c>
      <c r="FG12" s="10">
        <f t="shared" si="14"/>
        <v>39.450873422962026</v>
      </c>
      <c r="FH12" s="10">
        <f t="shared" si="14"/>
        <v>39.450873422962026</v>
      </c>
      <c r="FI12" s="10">
        <f t="shared" si="14"/>
        <v>39.450873422962026</v>
      </c>
      <c r="FJ12" s="10">
        <f t="shared" si="14"/>
        <v>39.450873422962026</v>
      </c>
      <c r="FK12" s="10">
        <f t="shared" si="14"/>
        <v>39.450873422962026</v>
      </c>
      <c r="FL12" s="10">
        <f t="shared" si="14"/>
        <v>39.450873422962026</v>
      </c>
      <c r="FM12" s="10">
        <f t="shared" si="14"/>
        <v>39.450873422962026</v>
      </c>
      <c r="FN12" s="10">
        <f t="shared" si="14"/>
        <v>39.450873422962026</v>
      </c>
      <c r="FO12" s="10">
        <f t="shared" si="14"/>
        <v>39.450873422962026</v>
      </c>
      <c r="FP12" s="10">
        <f t="shared" si="14"/>
        <v>39.450873422962026</v>
      </c>
      <c r="FQ12" s="10">
        <f t="shared" si="14"/>
        <v>39.450873422962026</v>
      </c>
      <c r="FR12" s="10">
        <f t="shared" si="14"/>
        <v>39.450873422962026</v>
      </c>
      <c r="FS12" s="10">
        <f t="shared" si="14"/>
        <v>39.450873422962026</v>
      </c>
      <c r="FT12" s="10">
        <f t="shared" si="14"/>
        <v>39.450873422962026</v>
      </c>
      <c r="FU12" s="10">
        <f t="shared" si="14"/>
        <v>39.450873422962026</v>
      </c>
      <c r="FV12" s="10">
        <f t="shared" si="14"/>
        <v>39.450873422962026</v>
      </c>
      <c r="FW12" s="10">
        <f t="shared" si="14"/>
        <v>39.450873422962026</v>
      </c>
      <c r="FX12" s="10">
        <f t="shared" si="14"/>
        <v>39.450873422962026</v>
      </c>
      <c r="FY12" s="10">
        <f t="shared" si="14"/>
        <v>39.450873422962026</v>
      </c>
      <c r="FZ12" s="10">
        <f t="shared" si="14"/>
        <v>39.450873422962026</v>
      </c>
      <c r="GA12" s="10">
        <f t="shared" si="14"/>
        <v>39.450873422962026</v>
      </c>
      <c r="GB12" s="10">
        <f t="shared" si="14"/>
        <v>39.450873422962026</v>
      </c>
      <c r="GC12" s="10">
        <f t="shared" si="14"/>
        <v>39.450873422962026</v>
      </c>
      <c r="GD12" s="10">
        <f t="shared" si="14"/>
        <v>39.450873422962026</v>
      </c>
      <c r="GE12" s="10">
        <f t="shared" si="14"/>
        <v>39.450873422962026</v>
      </c>
      <c r="GF12" s="10">
        <f t="shared" si="14"/>
        <v>39.450873422962026</v>
      </c>
      <c r="GG12" s="10">
        <f t="shared" si="14"/>
        <v>39.450873422962026</v>
      </c>
      <c r="GH12" s="10">
        <f t="shared" si="14"/>
        <v>39.450873422962026</v>
      </c>
      <c r="GI12" s="10">
        <f t="shared" si="14"/>
        <v>39.450873422962026</v>
      </c>
      <c r="GJ12" s="10">
        <f t="shared" si="14"/>
        <v>39.450873422962026</v>
      </c>
      <c r="GK12" s="10">
        <f t="shared" si="14"/>
        <v>39.450873422962026</v>
      </c>
      <c r="GL12" s="10">
        <f t="shared" si="14"/>
        <v>39.450873422962026</v>
      </c>
      <c r="GM12" s="10">
        <f t="shared" si="14"/>
        <v>39.450873422962026</v>
      </c>
      <c r="GN12" s="10">
        <f t="shared" si="14"/>
        <v>39.450873422962026</v>
      </c>
      <c r="GO12" s="10">
        <f t="shared" si="14"/>
        <v>39.450873422962026</v>
      </c>
      <c r="GP12" s="10">
        <f t="shared" si="14"/>
        <v>39.450873422962026</v>
      </c>
      <c r="GQ12" s="10">
        <f t="shared" si="14"/>
        <v>39.450873422962026</v>
      </c>
      <c r="GR12" s="10">
        <f t="shared" si="14"/>
        <v>39.450873422962026</v>
      </c>
      <c r="GS12" s="10">
        <f t="shared" si="14"/>
        <v>39.450873422962026</v>
      </c>
      <c r="GT12" s="10">
        <f t="shared" si="14"/>
        <v>39.450873422962026</v>
      </c>
      <c r="GU12" s="10">
        <f t="shared" si="14"/>
        <v>39.450873422962026</v>
      </c>
      <c r="GV12" s="10">
        <f t="shared" si="14"/>
        <v>39.450873422962026</v>
      </c>
      <c r="GW12" s="10">
        <f t="shared" si="14"/>
        <v>39.450873422962026</v>
      </c>
      <c r="GX12" s="10">
        <f t="shared" si="14"/>
        <v>39.450873422962026</v>
      </c>
      <c r="GY12" s="10">
        <f t="shared" si="14"/>
        <v>39.450873422962026</v>
      </c>
      <c r="GZ12" s="10">
        <f t="shared" si="14"/>
        <v>39.450873422962026</v>
      </c>
      <c r="HA12" s="10">
        <f t="shared" si="14"/>
        <v>39.450873422962026</v>
      </c>
      <c r="HB12" s="10">
        <f t="shared" si="14"/>
        <v>39.450873422962026</v>
      </c>
      <c r="HC12" s="10">
        <f t="shared" si="14"/>
        <v>39.450873422962026</v>
      </c>
    </row>
    <row r="13" spans="1:211">
      <c r="A13" t="s">
        <v>14</v>
      </c>
      <c r="B13" s="10">
        <f>'CCaMC-VOaMCpUC US'!B13</f>
        <v>5.9582422979712089</v>
      </c>
      <c r="C13" s="10">
        <f t="shared" si="6"/>
        <v>5.9582422979712089</v>
      </c>
      <c r="D13" s="10">
        <f t="shared" si="6"/>
        <v>5.9582422979712089</v>
      </c>
      <c r="E13" s="10">
        <f t="shared" si="6"/>
        <v>5.9582422979712089</v>
      </c>
      <c r="F13" s="10">
        <f t="shared" si="7"/>
        <v>5.9582422979712089</v>
      </c>
      <c r="G13" s="10">
        <f t="shared" si="7"/>
        <v>5.9582422979712089</v>
      </c>
      <c r="H13" s="10">
        <f t="shared" si="7"/>
        <v>5.9582422979712089</v>
      </c>
      <c r="I13" s="10">
        <f t="shared" si="7"/>
        <v>5.9582422979712089</v>
      </c>
      <c r="J13" s="10">
        <f t="shared" si="7"/>
        <v>5.9582422979712089</v>
      </c>
      <c r="K13" s="10">
        <f t="shared" si="7"/>
        <v>5.9582422979712089</v>
      </c>
      <c r="L13" s="10">
        <f t="shared" si="7"/>
        <v>5.9582422979712089</v>
      </c>
      <c r="M13" s="10">
        <f t="shared" si="7"/>
        <v>5.9582422979712089</v>
      </c>
      <c r="N13" s="10">
        <f t="shared" si="7"/>
        <v>5.9582422979712089</v>
      </c>
      <c r="O13" s="10">
        <f t="shared" si="7"/>
        <v>5.9582422979712089</v>
      </c>
      <c r="P13" s="10">
        <f t="shared" si="7"/>
        <v>5.9582422979712089</v>
      </c>
      <c r="Q13" s="10">
        <f t="shared" si="7"/>
        <v>5.9582422979712089</v>
      </c>
      <c r="R13" s="10">
        <f t="shared" si="7"/>
        <v>5.9582422979712089</v>
      </c>
      <c r="S13" s="10">
        <f t="shared" si="7"/>
        <v>5.9582422979712089</v>
      </c>
      <c r="T13" s="10">
        <f t="shared" si="7"/>
        <v>5.9582422979712089</v>
      </c>
      <c r="U13" s="10">
        <f t="shared" si="7"/>
        <v>5.9582422979712089</v>
      </c>
      <c r="V13" s="10">
        <f t="shared" si="7"/>
        <v>5.9582422979712089</v>
      </c>
      <c r="W13" s="10">
        <f t="shared" si="7"/>
        <v>5.9582422979712089</v>
      </c>
      <c r="X13" s="10">
        <f t="shared" si="7"/>
        <v>5.9582422979712089</v>
      </c>
      <c r="Y13" s="10">
        <f t="shared" si="7"/>
        <v>5.9582422979712089</v>
      </c>
      <c r="Z13" s="10">
        <f t="shared" si="7"/>
        <v>5.9582422979712089</v>
      </c>
      <c r="AA13" s="10">
        <f t="shared" si="7"/>
        <v>5.9582422979712089</v>
      </c>
      <c r="AB13" s="10">
        <f t="shared" si="7"/>
        <v>5.9582422979712089</v>
      </c>
      <c r="AC13" s="10">
        <f t="shared" si="7"/>
        <v>5.9582422979712089</v>
      </c>
      <c r="AD13" s="10">
        <f t="shared" si="7"/>
        <v>5.9582422979712089</v>
      </c>
      <c r="AE13" s="10">
        <f t="shared" si="7"/>
        <v>5.9582422979712089</v>
      </c>
      <c r="AF13" s="10">
        <f t="shared" si="7"/>
        <v>5.9582422979712089</v>
      </c>
      <c r="AG13" s="10">
        <f t="shared" si="7"/>
        <v>5.9582422979712089</v>
      </c>
      <c r="AH13" s="10">
        <f t="shared" si="13"/>
        <v>5.9582422979712089</v>
      </c>
      <c r="AI13" s="10">
        <f t="shared" si="13"/>
        <v>5.9582422979712089</v>
      </c>
      <c r="AJ13" s="10">
        <f t="shared" si="13"/>
        <v>5.9582422979712089</v>
      </c>
      <c r="AK13" s="10">
        <f t="shared" si="13"/>
        <v>5.9582422979712089</v>
      </c>
      <c r="AL13" s="10">
        <f t="shared" si="13"/>
        <v>5.9582422979712089</v>
      </c>
      <c r="AM13" s="10">
        <f t="shared" si="13"/>
        <v>5.9582422979712089</v>
      </c>
      <c r="AN13" s="10">
        <f t="shared" si="13"/>
        <v>5.9582422979712089</v>
      </c>
      <c r="AO13" s="10">
        <f t="shared" si="13"/>
        <v>5.9582422979712089</v>
      </c>
      <c r="AP13" s="10">
        <f t="shared" si="13"/>
        <v>5.9582422979712089</v>
      </c>
      <c r="AQ13" s="10">
        <f t="shared" si="13"/>
        <v>5.9582422979712089</v>
      </c>
      <c r="AR13" s="10">
        <f t="shared" si="13"/>
        <v>5.9582422979712089</v>
      </c>
      <c r="AS13" s="10">
        <f t="shared" si="13"/>
        <v>5.9582422979712089</v>
      </c>
      <c r="AT13" s="10">
        <f t="shared" si="13"/>
        <v>5.9582422979712089</v>
      </c>
      <c r="AU13" s="10">
        <f t="shared" si="13"/>
        <v>5.9582422979712089</v>
      </c>
      <c r="AV13" s="10">
        <f t="shared" si="13"/>
        <v>5.9582422979712089</v>
      </c>
      <c r="AW13" s="10">
        <f t="shared" si="13"/>
        <v>5.9582422979712089</v>
      </c>
      <c r="AX13" s="10">
        <f t="shared" si="13"/>
        <v>5.9582422979712089</v>
      </c>
      <c r="AY13" s="10">
        <f t="shared" si="13"/>
        <v>5.9582422979712089</v>
      </c>
      <c r="AZ13" s="10">
        <f t="shared" si="13"/>
        <v>5.9582422979712089</v>
      </c>
      <c r="BA13" s="10">
        <f t="shared" si="13"/>
        <v>5.9582422979712089</v>
      </c>
      <c r="BB13" s="10">
        <f t="shared" si="13"/>
        <v>5.9582422979712089</v>
      </c>
      <c r="BC13" s="10">
        <f t="shared" si="13"/>
        <v>5.9582422979712089</v>
      </c>
      <c r="BD13" s="10">
        <f t="shared" si="13"/>
        <v>5.9582422979712089</v>
      </c>
      <c r="BE13" s="10">
        <f t="shared" si="13"/>
        <v>5.9582422979712089</v>
      </c>
      <c r="BF13" s="10">
        <f t="shared" si="13"/>
        <v>5.9582422979712089</v>
      </c>
      <c r="BG13" s="10">
        <f t="shared" si="13"/>
        <v>5.9582422979712089</v>
      </c>
      <c r="BH13" s="10">
        <f t="shared" si="13"/>
        <v>5.9582422979712089</v>
      </c>
      <c r="BI13" s="10">
        <f t="shared" si="13"/>
        <v>5.9582422979712089</v>
      </c>
      <c r="BJ13" s="10">
        <f t="shared" si="13"/>
        <v>5.9582422979712089</v>
      </c>
      <c r="BK13" s="10">
        <f t="shared" si="13"/>
        <v>5.9582422979712089</v>
      </c>
      <c r="BL13" s="10">
        <f t="shared" si="13"/>
        <v>5.9582422979712089</v>
      </c>
      <c r="BM13" s="10">
        <f t="shared" si="13"/>
        <v>5.9582422979712089</v>
      </c>
      <c r="BN13" s="10">
        <f t="shared" si="13"/>
        <v>5.9582422979712089</v>
      </c>
      <c r="BO13" s="10">
        <f t="shared" si="13"/>
        <v>5.9582422979712089</v>
      </c>
      <c r="BP13" s="10">
        <f t="shared" si="13"/>
        <v>5.9582422979712089</v>
      </c>
      <c r="BQ13" s="10">
        <f t="shared" si="13"/>
        <v>5.9582422979712089</v>
      </c>
      <c r="BR13" s="10">
        <f t="shared" si="13"/>
        <v>5.9582422979712089</v>
      </c>
      <c r="BS13" s="10">
        <f t="shared" si="13"/>
        <v>5.9582422979712089</v>
      </c>
      <c r="BT13" s="10">
        <f t="shared" si="13"/>
        <v>5.9582422979712089</v>
      </c>
      <c r="BU13" s="10">
        <f t="shared" si="13"/>
        <v>5.9582422979712089</v>
      </c>
      <c r="BV13" s="10">
        <f t="shared" si="13"/>
        <v>5.9582422979712089</v>
      </c>
      <c r="BW13" s="10">
        <f t="shared" si="13"/>
        <v>5.9582422979712089</v>
      </c>
      <c r="BX13" s="10">
        <f t="shared" si="13"/>
        <v>5.9582422979712089</v>
      </c>
      <c r="BY13" s="10">
        <f t="shared" si="13"/>
        <v>5.9582422979712089</v>
      </c>
      <c r="BZ13" s="10">
        <f t="shared" si="13"/>
        <v>5.9582422979712089</v>
      </c>
      <c r="CA13" s="10">
        <f t="shared" si="13"/>
        <v>5.9582422979712089</v>
      </c>
      <c r="CB13" s="10">
        <f t="shared" si="13"/>
        <v>5.9582422979712089</v>
      </c>
      <c r="CC13" s="10">
        <f t="shared" si="13"/>
        <v>5.9582422979712089</v>
      </c>
      <c r="CD13" s="10">
        <f t="shared" si="13"/>
        <v>5.9582422979712089</v>
      </c>
      <c r="CE13" s="10">
        <f t="shared" si="13"/>
        <v>5.9582422979712089</v>
      </c>
      <c r="CF13" s="10">
        <f t="shared" si="13"/>
        <v>5.9582422979712089</v>
      </c>
      <c r="CG13" s="10">
        <f t="shared" si="13"/>
        <v>5.9582422979712089</v>
      </c>
      <c r="CH13" s="10">
        <f t="shared" si="13"/>
        <v>5.9582422979712089</v>
      </c>
      <c r="CI13" s="10">
        <f t="shared" si="13"/>
        <v>5.9582422979712089</v>
      </c>
      <c r="CJ13" s="10">
        <f t="shared" si="13"/>
        <v>5.9582422979712089</v>
      </c>
      <c r="CK13" s="10">
        <f t="shared" si="13"/>
        <v>5.9582422979712089</v>
      </c>
      <c r="CL13" s="10">
        <f t="shared" si="13"/>
        <v>5.9582422979712089</v>
      </c>
      <c r="CM13" s="10">
        <f t="shared" si="13"/>
        <v>5.9582422979712089</v>
      </c>
      <c r="CN13" s="10">
        <f t="shared" si="13"/>
        <v>5.9582422979712089</v>
      </c>
      <c r="CO13" s="10">
        <f t="shared" si="13"/>
        <v>5.9582422979712089</v>
      </c>
      <c r="CP13" s="10">
        <f t="shared" si="13"/>
        <v>5.9582422979712089</v>
      </c>
      <c r="CQ13" s="10">
        <f t="shared" si="13"/>
        <v>5.9582422979712089</v>
      </c>
      <c r="CR13" s="10">
        <f t="shared" si="13"/>
        <v>5.9582422979712089</v>
      </c>
      <c r="CS13" s="10">
        <f t="shared" si="13"/>
        <v>5.9582422979712089</v>
      </c>
      <c r="CT13" s="10">
        <f t="shared" si="12"/>
        <v>5.9582422979712089</v>
      </c>
      <c r="CU13" s="10">
        <f t="shared" si="12"/>
        <v>5.9582422979712089</v>
      </c>
      <c r="CV13" s="10">
        <f t="shared" si="12"/>
        <v>5.9582422979712089</v>
      </c>
      <c r="CW13" s="10">
        <f t="shared" si="12"/>
        <v>5.9582422979712089</v>
      </c>
      <c r="CX13" s="10">
        <f t="shared" si="12"/>
        <v>5.9582422979712089</v>
      </c>
      <c r="CY13" s="10">
        <f t="shared" si="12"/>
        <v>5.9582422979712089</v>
      </c>
      <c r="CZ13" s="10">
        <f t="shared" si="12"/>
        <v>5.9582422979712089</v>
      </c>
      <c r="DA13" s="10">
        <f t="shared" si="12"/>
        <v>5.9582422979712089</v>
      </c>
      <c r="DB13" s="10">
        <f t="shared" si="12"/>
        <v>5.9582422979712089</v>
      </c>
      <c r="DC13" s="10">
        <f t="shared" si="12"/>
        <v>5.9582422979712089</v>
      </c>
      <c r="DD13" s="10">
        <f t="shared" si="12"/>
        <v>5.9582422979712089</v>
      </c>
      <c r="DE13" s="10">
        <f t="shared" si="12"/>
        <v>5.9582422979712089</v>
      </c>
      <c r="DF13" s="10">
        <f t="shared" si="12"/>
        <v>5.9582422979712089</v>
      </c>
      <c r="DG13" s="10">
        <f t="shared" si="12"/>
        <v>5.9582422979712089</v>
      </c>
      <c r="DH13" s="10">
        <f t="shared" si="12"/>
        <v>5.9582422979712089</v>
      </c>
      <c r="DI13" s="10">
        <f t="shared" si="12"/>
        <v>5.9582422979712089</v>
      </c>
      <c r="DJ13" s="10">
        <f t="shared" si="12"/>
        <v>5.9582422979712089</v>
      </c>
      <c r="DK13" s="10">
        <f t="shared" si="12"/>
        <v>5.9582422979712089</v>
      </c>
      <c r="DL13" s="10">
        <f t="shared" si="12"/>
        <v>5.9582422979712089</v>
      </c>
      <c r="DM13" s="10">
        <f t="shared" si="12"/>
        <v>5.9582422979712089</v>
      </c>
      <c r="DN13" s="10">
        <f t="shared" si="12"/>
        <v>5.9582422979712089</v>
      </c>
      <c r="DO13" s="10">
        <f t="shared" si="12"/>
        <v>5.9582422979712089</v>
      </c>
      <c r="DP13" s="10">
        <f t="shared" si="12"/>
        <v>5.9582422979712089</v>
      </c>
      <c r="DQ13" s="10">
        <f t="shared" si="12"/>
        <v>5.9582422979712089</v>
      </c>
      <c r="DR13" s="10">
        <f t="shared" si="12"/>
        <v>5.9582422979712089</v>
      </c>
      <c r="DS13" s="10">
        <f t="shared" si="12"/>
        <v>5.9582422979712089</v>
      </c>
      <c r="DT13" s="10">
        <f t="shared" si="12"/>
        <v>5.9582422979712089</v>
      </c>
      <c r="DU13" s="10">
        <f t="shared" si="12"/>
        <v>5.9582422979712089</v>
      </c>
      <c r="DV13" s="10">
        <f t="shared" si="12"/>
        <v>5.9582422979712089</v>
      </c>
      <c r="DW13" s="10">
        <f t="shared" si="12"/>
        <v>5.9582422979712089</v>
      </c>
      <c r="DX13" s="10">
        <f t="shared" si="12"/>
        <v>5.9582422979712089</v>
      </c>
      <c r="DY13" s="10">
        <f t="shared" si="12"/>
        <v>5.9582422979712089</v>
      </c>
      <c r="DZ13" s="10">
        <f t="shared" si="12"/>
        <v>5.9582422979712089</v>
      </c>
      <c r="EA13" s="10">
        <f t="shared" si="12"/>
        <v>5.9582422979712089</v>
      </c>
      <c r="EB13" s="10">
        <f t="shared" si="12"/>
        <v>5.9582422979712089</v>
      </c>
      <c r="EC13" s="10">
        <f t="shared" si="12"/>
        <v>5.9582422979712089</v>
      </c>
      <c r="ED13" s="10">
        <f t="shared" si="12"/>
        <v>5.9582422979712089</v>
      </c>
      <c r="EE13" s="10">
        <f t="shared" si="12"/>
        <v>5.9582422979712089</v>
      </c>
      <c r="EF13" s="10">
        <f t="shared" si="12"/>
        <v>5.9582422979712089</v>
      </c>
      <c r="EG13" s="10">
        <f t="shared" si="12"/>
        <v>5.9582422979712089</v>
      </c>
      <c r="EH13" s="10">
        <f t="shared" si="12"/>
        <v>5.9582422979712089</v>
      </c>
      <c r="EI13" s="10">
        <f t="shared" si="12"/>
        <v>5.9582422979712089</v>
      </c>
      <c r="EJ13" s="10">
        <f t="shared" si="12"/>
        <v>5.9582422979712089</v>
      </c>
      <c r="EK13" s="10">
        <f t="shared" si="12"/>
        <v>5.9582422979712089</v>
      </c>
      <c r="EL13" s="10">
        <f t="shared" si="12"/>
        <v>5.9582422979712089</v>
      </c>
      <c r="EM13" s="10">
        <f t="shared" si="12"/>
        <v>5.9582422979712089</v>
      </c>
      <c r="EN13" s="10">
        <f t="shared" si="12"/>
        <v>5.9582422979712089</v>
      </c>
      <c r="EO13" s="10">
        <f t="shared" si="12"/>
        <v>5.9582422979712089</v>
      </c>
      <c r="EP13" s="10">
        <f t="shared" si="12"/>
        <v>5.9582422979712089</v>
      </c>
      <c r="EQ13" s="10">
        <f t="shared" si="12"/>
        <v>5.9582422979712089</v>
      </c>
      <c r="ER13" s="10">
        <f t="shared" si="12"/>
        <v>5.9582422979712089</v>
      </c>
      <c r="ES13" s="10">
        <f t="shared" si="12"/>
        <v>5.9582422979712089</v>
      </c>
      <c r="ET13" s="10">
        <f t="shared" si="12"/>
        <v>5.9582422979712089</v>
      </c>
      <c r="EU13" s="10">
        <f t="shared" si="12"/>
        <v>5.9582422979712089</v>
      </c>
      <c r="EV13" s="10">
        <f t="shared" si="12"/>
        <v>5.9582422979712089</v>
      </c>
      <c r="EW13" s="10">
        <f t="shared" si="12"/>
        <v>5.9582422979712089</v>
      </c>
      <c r="EX13" s="10">
        <f t="shared" si="12"/>
        <v>5.9582422979712089</v>
      </c>
      <c r="EY13" s="10">
        <f t="shared" si="12"/>
        <v>5.9582422979712089</v>
      </c>
      <c r="EZ13" s="10">
        <f t="shared" si="12"/>
        <v>5.9582422979712089</v>
      </c>
      <c r="FA13" s="10">
        <f t="shared" si="12"/>
        <v>5.9582422979712089</v>
      </c>
      <c r="FB13" s="10">
        <f t="shared" si="12"/>
        <v>5.9582422979712089</v>
      </c>
      <c r="FC13" s="10">
        <f t="shared" si="12"/>
        <v>5.9582422979712089</v>
      </c>
      <c r="FD13" s="10">
        <f t="shared" si="12"/>
        <v>5.9582422979712089</v>
      </c>
      <c r="FE13" s="10">
        <f t="shared" si="14"/>
        <v>5.9582422979712089</v>
      </c>
      <c r="FF13" s="10">
        <f t="shared" si="14"/>
        <v>5.9582422979712089</v>
      </c>
      <c r="FG13" s="10">
        <f t="shared" si="14"/>
        <v>5.9582422979712089</v>
      </c>
      <c r="FH13" s="10">
        <f t="shared" si="14"/>
        <v>5.9582422979712089</v>
      </c>
      <c r="FI13" s="10">
        <f t="shared" si="14"/>
        <v>5.9582422979712089</v>
      </c>
      <c r="FJ13" s="10">
        <f t="shared" si="14"/>
        <v>5.9582422979712089</v>
      </c>
      <c r="FK13" s="10">
        <f t="shared" si="14"/>
        <v>5.9582422979712089</v>
      </c>
      <c r="FL13" s="10">
        <f t="shared" si="14"/>
        <v>5.9582422979712089</v>
      </c>
      <c r="FM13" s="10">
        <f t="shared" si="14"/>
        <v>5.9582422979712089</v>
      </c>
      <c r="FN13" s="10">
        <f t="shared" si="14"/>
        <v>5.9582422979712089</v>
      </c>
      <c r="FO13" s="10">
        <f t="shared" si="14"/>
        <v>5.9582422979712089</v>
      </c>
      <c r="FP13" s="10">
        <f t="shared" si="14"/>
        <v>5.9582422979712089</v>
      </c>
      <c r="FQ13" s="10">
        <f t="shared" si="14"/>
        <v>5.9582422979712089</v>
      </c>
      <c r="FR13" s="10">
        <f t="shared" si="14"/>
        <v>5.9582422979712089</v>
      </c>
      <c r="FS13" s="10">
        <f t="shared" si="14"/>
        <v>5.9582422979712089</v>
      </c>
      <c r="FT13" s="10">
        <f t="shared" si="14"/>
        <v>5.9582422979712089</v>
      </c>
      <c r="FU13" s="10">
        <f t="shared" si="14"/>
        <v>5.9582422979712089</v>
      </c>
      <c r="FV13" s="10">
        <f t="shared" si="14"/>
        <v>5.9582422979712089</v>
      </c>
      <c r="FW13" s="10">
        <f t="shared" si="14"/>
        <v>5.9582422979712089</v>
      </c>
      <c r="FX13" s="10">
        <f t="shared" si="14"/>
        <v>5.9582422979712089</v>
      </c>
      <c r="FY13" s="10">
        <f t="shared" si="14"/>
        <v>5.9582422979712089</v>
      </c>
      <c r="FZ13" s="10">
        <f t="shared" si="14"/>
        <v>5.9582422979712089</v>
      </c>
      <c r="GA13" s="10">
        <f t="shared" si="14"/>
        <v>5.9582422979712089</v>
      </c>
      <c r="GB13" s="10">
        <f t="shared" si="14"/>
        <v>5.9582422979712089</v>
      </c>
      <c r="GC13" s="10">
        <f t="shared" si="14"/>
        <v>5.9582422979712089</v>
      </c>
      <c r="GD13" s="10">
        <f t="shared" si="14"/>
        <v>5.9582422979712089</v>
      </c>
      <c r="GE13" s="10">
        <f t="shared" si="14"/>
        <v>5.9582422979712089</v>
      </c>
      <c r="GF13" s="10">
        <f t="shared" si="14"/>
        <v>5.9582422979712089</v>
      </c>
      <c r="GG13" s="10">
        <f t="shared" si="14"/>
        <v>5.9582422979712089</v>
      </c>
      <c r="GH13" s="10">
        <f t="shared" si="14"/>
        <v>5.9582422979712089</v>
      </c>
      <c r="GI13" s="10">
        <f t="shared" si="14"/>
        <v>5.9582422979712089</v>
      </c>
      <c r="GJ13" s="10">
        <f t="shared" si="14"/>
        <v>5.9582422979712089</v>
      </c>
      <c r="GK13" s="10">
        <f t="shared" si="14"/>
        <v>5.9582422979712089</v>
      </c>
      <c r="GL13" s="10">
        <f t="shared" si="14"/>
        <v>5.9582422979712089</v>
      </c>
      <c r="GM13" s="10">
        <f t="shared" si="14"/>
        <v>5.9582422979712089</v>
      </c>
      <c r="GN13" s="10">
        <f t="shared" si="14"/>
        <v>5.9582422979712089</v>
      </c>
      <c r="GO13" s="10">
        <f t="shared" si="14"/>
        <v>5.9582422979712089</v>
      </c>
      <c r="GP13" s="10">
        <f t="shared" si="14"/>
        <v>5.9582422979712089</v>
      </c>
      <c r="GQ13" s="10">
        <f t="shared" si="14"/>
        <v>5.9582422979712089</v>
      </c>
      <c r="GR13" s="10">
        <f t="shared" si="14"/>
        <v>5.9582422979712089</v>
      </c>
      <c r="GS13" s="10">
        <f t="shared" si="14"/>
        <v>5.9582422979712089</v>
      </c>
      <c r="GT13" s="10">
        <f t="shared" si="14"/>
        <v>5.9582422979712089</v>
      </c>
      <c r="GU13" s="10">
        <f t="shared" si="14"/>
        <v>5.9582422979712089</v>
      </c>
      <c r="GV13" s="10">
        <f t="shared" si="14"/>
        <v>5.9582422979712089</v>
      </c>
      <c r="GW13" s="10">
        <f t="shared" si="14"/>
        <v>5.9582422979712089</v>
      </c>
      <c r="GX13" s="10">
        <f t="shared" si="14"/>
        <v>5.9582422979712089</v>
      </c>
      <c r="GY13" s="10">
        <f t="shared" si="14"/>
        <v>5.9582422979712089</v>
      </c>
      <c r="GZ13" s="10">
        <f t="shared" si="14"/>
        <v>5.9582422979712089</v>
      </c>
      <c r="HA13" s="10">
        <f t="shared" si="14"/>
        <v>5.9582422979712089</v>
      </c>
      <c r="HB13" s="10">
        <f t="shared" si="14"/>
        <v>5.9582422979712089</v>
      </c>
      <c r="HC13" s="10">
        <f t="shared" si="14"/>
        <v>5.9582422979712089</v>
      </c>
    </row>
    <row r="14" spans="1:211">
      <c r="A14" t="s">
        <v>19</v>
      </c>
      <c r="B14" s="10">
        <f>'CCaMC-VOaMCpUC US'!B14</f>
        <v>6.1423270460699575</v>
      </c>
      <c r="C14" s="10">
        <f t="shared" si="6"/>
        <v>6.1423270460699575</v>
      </c>
      <c r="D14" s="10">
        <f t="shared" si="6"/>
        <v>6.1423270460699575</v>
      </c>
      <c r="E14" s="10">
        <f t="shared" si="6"/>
        <v>6.1423270460699575</v>
      </c>
      <c r="F14" s="10">
        <f t="shared" si="7"/>
        <v>6.1423270460699575</v>
      </c>
      <c r="G14" s="10">
        <f t="shared" si="7"/>
        <v>6.1423270460699575</v>
      </c>
      <c r="H14" s="10">
        <f t="shared" si="7"/>
        <v>6.1423270460699575</v>
      </c>
      <c r="I14" s="10">
        <f t="shared" ref="F14:AG23" si="15">$B14</f>
        <v>6.1423270460699575</v>
      </c>
      <c r="J14" s="10">
        <f t="shared" si="15"/>
        <v>6.1423270460699575</v>
      </c>
      <c r="K14" s="10">
        <f t="shared" si="15"/>
        <v>6.1423270460699575</v>
      </c>
      <c r="L14" s="10">
        <f t="shared" si="15"/>
        <v>6.1423270460699575</v>
      </c>
      <c r="M14" s="10">
        <f t="shared" si="15"/>
        <v>6.1423270460699575</v>
      </c>
      <c r="N14" s="10">
        <f t="shared" si="15"/>
        <v>6.1423270460699575</v>
      </c>
      <c r="O14" s="10">
        <f t="shared" si="15"/>
        <v>6.1423270460699575</v>
      </c>
      <c r="P14" s="10">
        <f t="shared" si="15"/>
        <v>6.1423270460699575</v>
      </c>
      <c r="Q14" s="10">
        <f t="shared" si="15"/>
        <v>6.1423270460699575</v>
      </c>
      <c r="R14" s="10">
        <f t="shared" si="15"/>
        <v>6.1423270460699575</v>
      </c>
      <c r="S14" s="10">
        <f t="shared" si="15"/>
        <v>6.1423270460699575</v>
      </c>
      <c r="T14" s="10">
        <f t="shared" si="15"/>
        <v>6.1423270460699575</v>
      </c>
      <c r="U14" s="10">
        <f t="shared" si="15"/>
        <v>6.1423270460699575</v>
      </c>
      <c r="V14" s="10">
        <f t="shared" si="15"/>
        <v>6.1423270460699575</v>
      </c>
      <c r="W14" s="10">
        <f t="shared" si="15"/>
        <v>6.1423270460699575</v>
      </c>
      <c r="X14" s="10">
        <f t="shared" si="15"/>
        <v>6.1423270460699575</v>
      </c>
      <c r="Y14" s="10">
        <f t="shared" si="15"/>
        <v>6.1423270460699575</v>
      </c>
      <c r="Z14" s="10">
        <f t="shared" si="15"/>
        <v>6.1423270460699575</v>
      </c>
      <c r="AA14" s="10">
        <f t="shared" si="15"/>
        <v>6.1423270460699575</v>
      </c>
      <c r="AB14" s="10">
        <f t="shared" si="15"/>
        <v>6.1423270460699575</v>
      </c>
      <c r="AC14" s="10">
        <f t="shared" si="15"/>
        <v>6.1423270460699575</v>
      </c>
      <c r="AD14" s="10">
        <f t="shared" si="15"/>
        <v>6.1423270460699575</v>
      </c>
      <c r="AE14" s="10">
        <f t="shared" si="15"/>
        <v>6.1423270460699575</v>
      </c>
      <c r="AF14" s="10">
        <f t="shared" si="15"/>
        <v>6.1423270460699575</v>
      </c>
      <c r="AG14" s="10">
        <f t="shared" si="15"/>
        <v>6.1423270460699575</v>
      </c>
      <c r="AH14" s="10">
        <f t="shared" si="13"/>
        <v>6.1423270460699575</v>
      </c>
      <c r="AI14" s="10">
        <f t="shared" si="13"/>
        <v>6.1423270460699575</v>
      </c>
      <c r="AJ14" s="10">
        <f t="shared" si="13"/>
        <v>6.1423270460699575</v>
      </c>
      <c r="AK14" s="10">
        <f t="shared" si="13"/>
        <v>6.1423270460699575</v>
      </c>
      <c r="AL14" s="10">
        <f t="shared" si="13"/>
        <v>6.1423270460699575</v>
      </c>
      <c r="AM14" s="10">
        <f t="shared" si="13"/>
        <v>6.1423270460699575</v>
      </c>
      <c r="AN14" s="10">
        <f t="shared" si="13"/>
        <v>6.1423270460699575</v>
      </c>
      <c r="AO14" s="10">
        <f t="shared" si="13"/>
        <v>6.1423270460699575</v>
      </c>
      <c r="AP14" s="10">
        <f t="shared" si="13"/>
        <v>6.1423270460699575</v>
      </c>
      <c r="AQ14" s="10">
        <f t="shared" si="13"/>
        <v>6.1423270460699575</v>
      </c>
      <c r="AR14" s="10">
        <f t="shared" si="13"/>
        <v>6.1423270460699575</v>
      </c>
      <c r="AS14" s="10">
        <f t="shared" si="13"/>
        <v>6.1423270460699575</v>
      </c>
      <c r="AT14" s="10">
        <f t="shared" si="13"/>
        <v>6.1423270460699575</v>
      </c>
      <c r="AU14" s="10">
        <f t="shared" si="13"/>
        <v>6.1423270460699575</v>
      </c>
      <c r="AV14" s="10">
        <f t="shared" si="13"/>
        <v>6.1423270460699575</v>
      </c>
      <c r="AW14" s="10">
        <f t="shared" si="13"/>
        <v>6.1423270460699575</v>
      </c>
      <c r="AX14" s="10">
        <f t="shared" si="13"/>
        <v>6.1423270460699575</v>
      </c>
      <c r="AY14" s="10">
        <f t="shared" si="13"/>
        <v>6.1423270460699575</v>
      </c>
      <c r="AZ14" s="10">
        <f t="shared" si="13"/>
        <v>6.1423270460699575</v>
      </c>
      <c r="BA14" s="10">
        <f t="shared" si="13"/>
        <v>6.1423270460699575</v>
      </c>
      <c r="BB14" s="10">
        <f t="shared" si="13"/>
        <v>6.1423270460699575</v>
      </c>
      <c r="BC14" s="10">
        <f t="shared" si="13"/>
        <v>6.1423270460699575</v>
      </c>
      <c r="BD14" s="10">
        <f t="shared" si="13"/>
        <v>6.1423270460699575</v>
      </c>
      <c r="BE14" s="10">
        <f t="shared" si="13"/>
        <v>6.1423270460699575</v>
      </c>
      <c r="BF14" s="10">
        <f t="shared" si="13"/>
        <v>6.1423270460699575</v>
      </c>
      <c r="BG14" s="10">
        <f t="shared" si="13"/>
        <v>6.1423270460699575</v>
      </c>
      <c r="BH14" s="10">
        <f t="shared" si="13"/>
        <v>6.1423270460699575</v>
      </c>
      <c r="BI14" s="10">
        <f t="shared" si="13"/>
        <v>6.1423270460699575</v>
      </c>
      <c r="BJ14" s="10">
        <f t="shared" si="13"/>
        <v>6.1423270460699575</v>
      </c>
      <c r="BK14" s="10">
        <f t="shared" si="13"/>
        <v>6.1423270460699575</v>
      </c>
      <c r="BL14" s="10">
        <f t="shared" si="13"/>
        <v>6.1423270460699575</v>
      </c>
      <c r="BM14" s="10">
        <f t="shared" si="13"/>
        <v>6.1423270460699575</v>
      </c>
      <c r="BN14" s="10">
        <f t="shared" si="13"/>
        <v>6.1423270460699575</v>
      </c>
      <c r="BO14" s="10">
        <f t="shared" si="13"/>
        <v>6.1423270460699575</v>
      </c>
      <c r="BP14" s="10">
        <f t="shared" si="13"/>
        <v>6.1423270460699575</v>
      </c>
      <c r="BQ14" s="10">
        <f t="shared" si="13"/>
        <v>6.1423270460699575</v>
      </c>
      <c r="BR14" s="10">
        <f t="shared" si="13"/>
        <v>6.1423270460699575</v>
      </c>
      <c r="BS14" s="10">
        <f t="shared" si="13"/>
        <v>6.1423270460699575</v>
      </c>
      <c r="BT14" s="10">
        <f t="shared" si="13"/>
        <v>6.1423270460699575</v>
      </c>
      <c r="BU14" s="10">
        <f t="shared" si="13"/>
        <v>6.1423270460699575</v>
      </c>
      <c r="BV14" s="10">
        <f t="shared" si="13"/>
        <v>6.1423270460699575</v>
      </c>
      <c r="BW14" s="10">
        <f t="shared" si="13"/>
        <v>6.1423270460699575</v>
      </c>
      <c r="BX14" s="10">
        <f t="shared" si="13"/>
        <v>6.1423270460699575</v>
      </c>
      <c r="BY14" s="10">
        <f t="shared" si="13"/>
        <v>6.1423270460699575</v>
      </c>
      <c r="BZ14" s="10">
        <f t="shared" si="13"/>
        <v>6.1423270460699575</v>
      </c>
      <c r="CA14" s="10">
        <f t="shared" si="13"/>
        <v>6.1423270460699575</v>
      </c>
      <c r="CB14" s="10">
        <f t="shared" si="13"/>
        <v>6.1423270460699575</v>
      </c>
      <c r="CC14" s="10">
        <f t="shared" si="13"/>
        <v>6.1423270460699575</v>
      </c>
      <c r="CD14" s="10">
        <f t="shared" si="13"/>
        <v>6.1423270460699575</v>
      </c>
      <c r="CE14" s="10">
        <f t="shared" si="13"/>
        <v>6.1423270460699575</v>
      </c>
      <c r="CF14" s="10">
        <f t="shared" si="13"/>
        <v>6.1423270460699575</v>
      </c>
      <c r="CG14" s="10">
        <f t="shared" si="13"/>
        <v>6.1423270460699575</v>
      </c>
      <c r="CH14" s="10">
        <f t="shared" si="13"/>
        <v>6.1423270460699575</v>
      </c>
      <c r="CI14" s="10">
        <f t="shared" si="13"/>
        <v>6.1423270460699575</v>
      </c>
      <c r="CJ14" s="10">
        <f t="shared" si="13"/>
        <v>6.1423270460699575</v>
      </c>
      <c r="CK14" s="10">
        <f t="shared" si="13"/>
        <v>6.1423270460699575</v>
      </c>
      <c r="CL14" s="10">
        <f t="shared" si="13"/>
        <v>6.1423270460699575</v>
      </c>
      <c r="CM14" s="10">
        <f t="shared" si="13"/>
        <v>6.1423270460699575</v>
      </c>
      <c r="CN14" s="10">
        <f t="shared" si="13"/>
        <v>6.1423270460699575</v>
      </c>
      <c r="CO14" s="10">
        <f t="shared" si="13"/>
        <v>6.1423270460699575</v>
      </c>
      <c r="CP14" s="10">
        <f t="shared" si="13"/>
        <v>6.1423270460699575</v>
      </c>
      <c r="CQ14" s="10">
        <f t="shared" si="13"/>
        <v>6.1423270460699575</v>
      </c>
      <c r="CR14" s="10">
        <f t="shared" si="13"/>
        <v>6.1423270460699575</v>
      </c>
      <c r="CS14" s="10">
        <f t="shared" ref="CS14:FD17" si="16">$B14</f>
        <v>6.1423270460699575</v>
      </c>
      <c r="CT14" s="10">
        <f t="shared" si="16"/>
        <v>6.1423270460699575</v>
      </c>
      <c r="CU14" s="10">
        <f t="shared" si="16"/>
        <v>6.1423270460699575</v>
      </c>
      <c r="CV14" s="10">
        <f t="shared" si="16"/>
        <v>6.1423270460699575</v>
      </c>
      <c r="CW14" s="10">
        <f t="shared" si="16"/>
        <v>6.1423270460699575</v>
      </c>
      <c r="CX14" s="10">
        <f t="shared" si="16"/>
        <v>6.1423270460699575</v>
      </c>
      <c r="CY14" s="10">
        <f t="shared" si="16"/>
        <v>6.1423270460699575</v>
      </c>
      <c r="CZ14" s="10">
        <f t="shared" si="16"/>
        <v>6.1423270460699575</v>
      </c>
      <c r="DA14" s="10">
        <f t="shared" si="16"/>
        <v>6.1423270460699575</v>
      </c>
      <c r="DB14" s="10">
        <f t="shared" si="16"/>
        <v>6.1423270460699575</v>
      </c>
      <c r="DC14" s="10">
        <f t="shared" si="16"/>
        <v>6.1423270460699575</v>
      </c>
      <c r="DD14" s="10">
        <f t="shared" si="16"/>
        <v>6.1423270460699575</v>
      </c>
      <c r="DE14" s="10">
        <f t="shared" si="16"/>
        <v>6.1423270460699575</v>
      </c>
      <c r="DF14" s="10">
        <f t="shared" si="16"/>
        <v>6.1423270460699575</v>
      </c>
      <c r="DG14" s="10">
        <f t="shared" si="16"/>
        <v>6.1423270460699575</v>
      </c>
      <c r="DH14" s="10">
        <f t="shared" si="16"/>
        <v>6.1423270460699575</v>
      </c>
      <c r="DI14" s="10">
        <f t="shared" si="16"/>
        <v>6.1423270460699575</v>
      </c>
      <c r="DJ14" s="10">
        <f t="shared" si="16"/>
        <v>6.1423270460699575</v>
      </c>
      <c r="DK14" s="10">
        <f t="shared" si="16"/>
        <v>6.1423270460699575</v>
      </c>
      <c r="DL14" s="10">
        <f t="shared" si="16"/>
        <v>6.1423270460699575</v>
      </c>
      <c r="DM14" s="10">
        <f t="shared" si="16"/>
        <v>6.1423270460699575</v>
      </c>
      <c r="DN14" s="10">
        <f t="shared" si="16"/>
        <v>6.1423270460699575</v>
      </c>
      <c r="DO14" s="10">
        <f t="shared" si="16"/>
        <v>6.1423270460699575</v>
      </c>
      <c r="DP14" s="10">
        <f t="shared" si="16"/>
        <v>6.1423270460699575</v>
      </c>
      <c r="DQ14" s="10">
        <f t="shared" si="16"/>
        <v>6.1423270460699575</v>
      </c>
      <c r="DR14" s="10">
        <f t="shared" si="16"/>
        <v>6.1423270460699575</v>
      </c>
      <c r="DS14" s="10">
        <f t="shared" si="16"/>
        <v>6.1423270460699575</v>
      </c>
      <c r="DT14" s="10">
        <f t="shared" si="16"/>
        <v>6.1423270460699575</v>
      </c>
      <c r="DU14" s="10">
        <f t="shared" si="16"/>
        <v>6.1423270460699575</v>
      </c>
      <c r="DV14" s="10">
        <f t="shared" si="16"/>
        <v>6.1423270460699575</v>
      </c>
      <c r="DW14" s="10">
        <f t="shared" si="16"/>
        <v>6.1423270460699575</v>
      </c>
      <c r="DX14" s="10">
        <f t="shared" si="16"/>
        <v>6.1423270460699575</v>
      </c>
      <c r="DY14" s="10">
        <f t="shared" si="16"/>
        <v>6.1423270460699575</v>
      </c>
      <c r="DZ14" s="10">
        <f t="shared" si="16"/>
        <v>6.1423270460699575</v>
      </c>
      <c r="EA14" s="10">
        <f t="shared" si="16"/>
        <v>6.1423270460699575</v>
      </c>
      <c r="EB14" s="10">
        <f t="shared" si="16"/>
        <v>6.1423270460699575</v>
      </c>
      <c r="EC14" s="10">
        <f t="shared" si="16"/>
        <v>6.1423270460699575</v>
      </c>
      <c r="ED14" s="10">
        <f t="shared" si="16"/>
        <v>6.1423270460699575</v>
      </c>
      <c r="EE14" s="10">
        <f t="shared" si="16"/>
        <v>6.1423270460699575</v>
      </c>
      <c r="EF14" s="10">
        <f t="shared" si="16"/>
        <v>6.1423270460699575</v>
      </c>
      <c r="EG14" s="10">
        <f t="shared" si="16"/>
        <v>6.1423270460699575</v>
      </c>
      <c r="EH14" s="10">
        <f t="shared" si="16"/>
        <v>6.1423270460699575</v>
      </c>
      <c r="EI14" s="10">
        <f t="shared" si="16"/>
        <v>6.1423270460699575</v>
      </c>
      <c r="EJ14" s="10">
        <f t="shared" si="16"/>
        <v>6.1423270460699575</v>
      </c>
      <c r="EK14" s="10">
        <f t="shared" si="16"/>
        <v>6.1423270460699575</v>
      </c>
      <c r="EL14" s="10">
        <f t="shared" si="16"/>
        <v>6.1423270460699575</v>
      </c>
      <c r="EM14" s="10">
        <f t="shared" si="16"/>
        <v>6.1423270460699575</v>
      </c>
      <c r="EN14" s="10">
        <f t="shared" si="16"/>
        <v>6.1423270460699575</v>
      </c>
      <c r="EO14" s="10">
        <f t="shared" si="16"/>
        <v>6.1423270460699575</v>
      </c>
      <c r="EP14" s="10">
        <f t="shared" si="16"/>
        <v>6.1423270460699575</v>
      </c>
      <c r="EQ14" s="10">
        <f t="shared" si="16"/>
        <v>6.1423270460699575</v>
      </c>
      <c r="ER14" s="10">
        <f t="shared" si="16"/>
        <v>6.1423270460699575</v>
      </c>
      <c r="ES14" s="10">
        <f t="shared" si="16"/>
        <v>6.1423270460699575</v>
      </c>
      <c r="ET14" s="10">
        <f t="shared" si="16"/>
        <v>6.1423270460699575</v>
      </c>
      <c r="EU14" s="10">
        <f t="shared" si="16"/>
        <v>6.1423270460699575</v>
      </c>
      <c r="EV14" s="10">
        <f t="shared" si="16"/>
        <v>6.1423270460699575</v>
      </c>
      <c r="EW14" s="10">
        <f t="shared" si="16"/>
        <v>6.1423270460699575</v>
      </c>
      <c r="EX14" s="10">
        <f t="shared" si="16"/>
        <v>6.1423270460699575</v>
      </c>
      <c r="EY14" s="10">
        <f t="shared" si="16"/>
        <v>6.1423270460699575</v>
      </c>
      <c r="EZ14" s="10">
        <f t="shared" si="16"/>
        <v>6.1423270460699575</v>
      </c>
      <c r="FA14" s="10">
        <f t="shared" si="16"/>
        <v>6.1423270460699575</v>
      </c>
      <c r="FB14" s="10">
        <f t="shared" si="16"/>
        <v>6.1423270460699575</v>
      </c>
      <c r="FC14" s="10">
        <f t="shared" si="16"/>
        <v>6.1423270460699575</v>
      </c>
      <c r="FD14" s="10">
        <f t="shared" si="16"/>
        <v>6.1423270460699575</v>
      </c>
      <c r="FE14" s="10">
        <f t="shared" si="14"/>
        <v>6.1423270460699575</v>
      </c>
      <c r="FF14" s="10">
        <f t="shared" si="14"/>
        <v>6.1423270460699575</v>
      </c>
      <c r="FG14" s="10">
        <f t="shared" si="14"/>
        <v>6.1423270460699575</v>
      </c>
      <c r="FH14" s="10">
        <f t="shared" si="14"/>
        <v>6.1423270460699575</v>
      </c>
      <c r="FI14" s="10">
        <f t="shared" si="14"/>
        <v>6.1423270460699575</v>
      </c>
      <c r="FJ14" s="10">
        <f t="shared" si="14"/>
        <v>6.1423270460699575</v>
      </c>
      <c r="FK14" s="10">
        <f t="shared" si="14"/>
        <v>6.1423270460699575</v>
      </c>
      <c r="FL14" s="10">
        <f t="shared" si="14"/>
        <v>6.1423270460699575</v>
      </c>
      <c r="FM14" s="10">
        <f t="shared" si="14"/>
        <v>6.1423270460699575</v>
      </c>
      <c r="FN14" s="10">
        <f t="shared" si="14"/>
        <v>6.1423270460699575</v>
      </c>
      <c r="FO14" s="10">
        <f t="shared" si="14"/>
        <v>6.1423270460699575</v>
      </c>
      <c r="FP14" s="10">
        <f t="shared" si="14"/>
        <v>6.1423270460699575</v>
      </c>
      <c r="FQ14" s="10">
        <f t="shared" si="14"/>
        <v>6.1423270460699575</v>
      </c>
      <c r="FR14" s="10">
        <f t="shared" si="14"/>
        <v>6.1423270460699575</v>
      </c>
      <c r="FS14" s="10">
        <f t="shared" si="14"/>
        <v>6.1423270460699575</v>
      </c>
      <c r="FT14" s="10">
        <f t="shared" si="14"/>
        <v>6.1423270460699575</v>
      </c>
      <c r="FU14" s="10">
        <f t="shared" si="14"/>
        <v>6.1423270460699575</v>
      </c>
      <c r="FV14" s="10">
        <f t="shared" si="14"/>
        <v>6.1423270460699575</v>
      </c>
      <c r="FW14" s="10">
        <f t="shared" si="14"/>
        <v>6.1423270460699575</v>
      </c>
      <c r="FX14" s="10">
        <f t="shared" si="14"/>
        <v>6.1423270460699575</v>
      </c>
      <c r="FY14" s="10">
        <f t="shared" si="14"/>
        <v>6.1423270460699575</v>
      </c>
      <c r="FZ14" s="10">
        <f t="shared" si="14"/>
        <v>6.1423270460699575</v>
      </c>
      <c r="GA14" s="10">
        <f t="shared" si="14"/>
        <v>6.1423270460699575</v>
      </c>
      <c r="GB14" s="10">
        <f t="shared" si="14"/>
        <v>6.1423270460699575</v>
      </c>
      <c r="GC14" s="10">
        <f t="shared" si="14"/>
        <v>6.1423270460699575</v>
      </c>
      <c r="GD14" s="10">
        <f t="shared" si="14"/>
        <v>6.1423270460699575</v>
      </c>
      <c r="GE14" s="10">
        <f t="shared" si="14"/>
        <v>6.1423270460699575</v>
      </c>
      <c r="GF14" s="10">
        <f t="shared" si="14"/>
        <v>6.1423270460699575</v>
      </c>
      <c r="GG14" s="10">
        <f t="shared" si="14"/>
        <v>6.1423270460699575</v>
      </c>
      <c r="GH14" s="10">
        <f t="shared" si="14"/>
        <v>6.1423270460699575</v>
      </c>
      <c r="GI14" s="10">
        <f t="shared" si="14"/>
        <v>6.1423270460699575</v>
      </c>
      <c r="GJ14" s="10">
        <f t="shared" si="14"/>
        <v>6.1423270460699575</v>
      </c>
      <c r="GK14" s="10">
        <f t="shared" si="14"/>
        <v>6.1423270460699575</v>
      </c>
      <c r="GL14" s="10">
        <f t="shared" si="14"/>
        <v>6.1423270460699575</v>
      </c>
      <c r="GM14" s="10">
        <f t="shared" si="14"/>
        <v>6.1423270460699575</v>
      </c>
      <c r="GN14" s="10">
        <f t="shared" si="14"/>
        <v>6.1423270460699575</v>
      </c>
      <c r="GO14" s="10">
        <f t="shared" si="14"/>
        <v>6.1423270460699575</v>
      </c>
      <c r="GP14" s="10">
        <f t="shared" si="14"/>
        <v>6.1423270460699575</v>
      </c>
      <c r="GQ14" s="10">
        <f t="shared" si="14"/>
        <v>6.1423270460699575</v>
      </c>
      <c r="GR14" s="10">
        <f t="shared" si="14"/>
        <v>6.1423270460699575</v>
      </c>
      <c r="GS14" s="10">
        <f t="shared" si="14"/>
        <v>6.1423270460699575</v>
      </c>
      <c r="GT14" s="10">
        <f t="shared" si="14"/>
        <v>6.1423270460699575</v>
      </c>
      <c r="GU14" s="10">
        <f t="shared" si="14"/>
        <v>6.1423270460699575</v>
      </c>
      <c r="GV14" s="10">
        <f t="shared" si="14"/>
        <v>6.1423270460699575</v>
      </c>
      <c r="GW14" s="10">
        <f t="shared" si="14"/>
        <v>6.1423270460699575</v>
      </c>
      <c r="GX14" s="10">
        <f t="shared" si="14"/>
        <v>6.1423270460699575</v>
      </c>
      <c r="GY14" s="10">
        <f t="shared" si="14"/>
        <v>6.1423270460699575</v>
      </c>
      <c r="GZ14" s="10">
        <f t="shared" si="14"/>
        <v>6.1423270460699575</v>
      </c>
      <c r="HA14" s="10">
        <f t="shared" si="14"/>
        <v>6.1423270460699575</v>
      </c>
      <c r="HB14" s="10">
        <f t="shared" si="14"/>
        <v>6.1423270460699575</v>
      </c>
      <c r="HC14" s="10">
        <f t="shared" si="14"/>
        <v>6.1423270460699575</v>
      </c>
    </row>
    <row r="15" spans="1:211">
      <c r="A15" t="s">
        <v>17</v>
      </c>
      <c r="B15" s="10">
        <f>'CCaMC-VOaMCpUC US'!B15</f>
        <v>0</v>
      </c>
      <c r="C15" s="10">
        <f t="shared" si="6"/>
        <v>0</v>
      </c>
      <c r="D15" s="10">
        <f t="shared" si="6"/>
        <v>0</v>
      </c>
      <c r="E15" s="10">
        <f t="shared" si="6"/>
        <v>0</v>
      </c>
      <c r="F15" s="10">
        <f t="shared" si="15"/>
        <v>0</v>
      </c>
      <c r="G15" s="10">
        <f t="shared" si="15"/>
        <v>0</v>
      </c>
      <c r="H15" s="10">
        <f t="shared" si="15"/>
        <v>0</v>
      </c>
      <c r="I15" s="10">
        <f t="shared" si="15"/>
        <v>0</v>
      </c>
      <c r="J15" s="10">
        <f t="shared" si="15"/>
        <v>0</v>
      </c>
      <c r="K15" s="10">
        <f t="shared" si="15"/>
        <v>0</v>
      </c>
      <c r="L15" s="10">
        <f t="shared" si="15"/>
        <v>0</v>
      </c>
      <c r="M15" s="10">
        <f t="shared" si="15"/>
        <v>0</v>
      </c>
      <c r="N15" s="10">
        <f t="shared" si="15"/>
        <v>0</v>
      </c>
      <c r="O15" s="10">
        <f t="shared" si="15"/>
        <v>0</v>
      </c>
      <c r="P15" s="10">
        <f t="shared" si="15"/>
        <v>0</v>
      </c>
      <c r="Q15" s="10">
        <f t="shared" si="15"/>
        <v>0</v>
      </c>
      <c r="R15" s="10">
        <f t="shared" si="15"/>
        <v>0</v>
      </c>
      <c r="S15" s="10">
        <f t="shared" si="15"/>
        <v>0</v>
      </c>
      <c r="T15" s="10">
        <f t="shared" si="15"/>
        <v>0</v>
      </c>
      <c r="U15" s="10">
        <f t="shared" si="15"/>
        <v>0</v>
      </c>
      <c r="V15" s="10">
        <f t="shared" si="15"/>
        <v>0</v>
      </c>
      <c r="W15" s="10">
        <f t="shared" si="15"/>
        <v>0</v>
      </c>
      <c r="X15" s="10">
        <f t="shared" si="15"/>
        <v>0</v>
      </c>
      <c r="Y15" s="10">
        <f t="shared" si="15"/>
        <v>0</v>
      </c>
      <c r="Z15" s="10">
        <f t="shared" si="15"/>
        <v>0</v>
      </c>
      <c r="AA15" s="10">
        <f t="shared" si="15"/>
        <v>0</v>
      </c>
      <c r="AB15" s="10">
        <f t="shared" si="15"/>
        <v>0</v>
      </c>
      <c r="AC15" s="10">
        <f t="shared" si="15"/>
        <v>0</v>
      </c>
      <c r="AD15" s="10">
        <f t="shared" si="15"/>
        <v>0</v>
      </c>
      <c r="AE15" s="10">
        <f t="shared" si="15"/>
        <v>0</v>
      </c>
      <c r="AF15" s="10">
        <f t="shared" si="15"/>
        <v>0</v>
      </c>
      <c r="AG15" s="10">
        <f t="shared" si="15"/>
        <v>0</v>
      </c>
      <c r="AH15" s="10">
        <f t="shared" ref="AH15:CS18" si="17">$B15</f>
        <v>0</v>
      </c>
      <c r="AI15" s="10">
        <f t="shared" si="17"/>
        <v>0</v>
      </c>
      <c r="AJ15" s="10">
        <f t="shared" si="17"/>
        <v>0</v>
      </c>
      <c r="AK15" s="10">
        <f t="shared" si="17"/>
        <v>0</v>
      </c>
      <c r="AL15" s="10">
        <f t="shared" si="17"/>
        <v>0</v>
      </c>
      <c r="AM15" s="10">
        <f t="shared" si="17"/>
        <v>0</v>
      </c>
      <c r="AN15" s="10">
        <f t="shared" si="17"/>
        <v>0</v>
      </c>
      <c r="AO15" s="10">
        <f t="shared" si="17"/>
        <v>0</v>
      </c>
      <c r="AP15" s="10">
        <f t="shared" si="17"/>
        <v>0</v>
      </c>
      <c r="AQ15" s="10">
        <f t="shared" si="17"/>
        <v>0</v>
      </c>
      <c r="AR15" s="10">
        <f t="shared" si="17"/>
        <v>0</v>
      </c>
      <c r="AS15" s="10">
        <f t="shared" si="17"/>
        <v>0</v>
      </c>
      <c r="AT15" s="10">
        <f t="shared" si="17"/>
        <v>0</v>
      </c>
      <c r="AU15" s="10">
        <f t="shared" si="17"/>
        <v>0</v>
      </c>
      <c r="AV15" s="10">
        <f t="shared" si="17"/>
        <v>0</v>
      </c>
      <c r="AW15" s="10">
        <f t="shared" si="17"/>
        <v>0</v>
      </c>
      <c r="AX15" s="10">
        <f t="shared" si="17"/>
        <v>0</v>
      </c>
      <c r="AY15" s="10">
        <f t="shared" si="17"/>
        <v>0</v>
      </c>
      <c r="AZ15" s="10">
        <f t="shared" si="17"/>
        <v>0</v>
      </c>
      <c r="BA15" s="10">
        <f t="shared" si="17"/>
        <v>0</v>
      </c>
      <c r="BB15" s="10">
        <f t="shared" si="17"/>
        <v>0</v>
      </c>
      <c r="BC15" s="10">
        <f t="shared" si="17"/>
        <v>0</v>
      </c>
      <c r="BD15" s="10">
        <f t="shared" si="17"/>
        <v>0</v>
      </c>
      <c r="BE15" s="10">
        <f t="shared" si="17"/>
        <v>0</v>
      </c>
      <c r="BF15" s="10">
        <f t="shared" si="17"/>
        <v>0</v>
      </c>
      <c r="BG15" s="10">
        <f t="shared" si="17"/>
        <v>0</v>
      </c>
      <c r="BH15" s="10">
        <f t="shared" si="17"/>
        <v>0</v>
      </c>
      <c r="BI15" s="10">
        <f t="shared" si="17"/>
        <v>0</v>
      </c>
      <c r="BJ15" s="10">
        <f t="shared" si="17"/>
        <v>0</v>
      </c>
      <c r="BK15" s="10">
        <f t="shared" si="17"/>
        <v>0</v>
      </c>
      <c r="BL15" s="10">
        <f t="shared" si="17"/>
        <v>0</v>
      </c>
      <c r="BM15" s="10">
        <f t="shared" si="17"/>
        <v>0</v>
      </c>
      <c r="BN15" s="10">
        <f t="shared" si="17"/>
        <v>0</v>
      </c>
      <c r="BO15" s="10">
        <f t="shared" si="17"/>
        <v>0</v>
      </c>
      <c r="BP15" s="10">
        <f t="shared" si="17"/>
        <v>0</v>
      </c>
      <c r="BQ15" s="10">
        <f t="shared" si="17"/>
        <v>0</v>
      </c>
      <c r="BR15" s="10">
        <f t="shared" si="17"/>
        <v>0</v>
      </c>
      <c r="BS15" s="10">
        <f t="shared" si="17"/>
        <v>0</v>
      </c>
      <c r="BT15" s="10">
        <f t="shared" si="17"/>
        <v>0</v>
      </c>
      <c r="BU15" s="10">
        <f t="shared" si="17"/>
        <v>0</v>
      </c>
      <c r="BV15" s="10">
        <f t="shared" si="17"/>
        <v>0</v>
      </c>
      <c r="BW15" s="10">
        <f t="shared" si="17"/>
        <v>0</v>
      </c>
      <c r="BX15" s="10">
        <f t="shared" si="17"/>
        <v>0</v>
      </c>
      <c r="BY15" s="10">
        <f t="shared" si="17"/>
        <v>0</v>
      </c>
      <c r="BZ15" s="10">
        <f t="shared" si="17"/>
        <v>0</v>
      </c>
      <c r="CA15" s="10">
        <f t="shared" si="17"/>
        <v>0</v>
      </c>
      <c r="CB15" s="10">
        <f t="shared" si="17"/>
        <v>0</v>
      </c>
      <c r="CC15" s="10">
        <f t="shared" si="17"/>
        <v>0</v>
      </c>
      <c r="CD15" s="10">
        <f t="shared" si="17"/>
        <v>0</v>
      </c>
      <c r="CE15" s="10">
        <f t="shared" si="17"/>
        <v>0</v>
      </c>
      <c r="CF15" s="10">
        <f t="shared" si="17"/>
        <v>0</v>
      </c>
      <c r="CG15" s="10">
        <f t="shared" si="17"/>
        <v>0</v>
      </c>
      <c r="CH15" s="10">
        <f t="shared" si="17"/>
        <v>0</v>
      </c>
      <c r="CI15" s="10">
        <f t="shared" si="17"/>
        <v>0</v>
      </c>
      <c r="CJ15" s="10">
        <f t="shared" si="17"/>
        <v>0</v>
      </c>
      <c r="CK15" s="10">
        <f t="shared" si="17"/>
        <v>0</v>
      </c>
      <c r="CL15" s="10">
        <f t="shared" si="17"/>
        <v>0</v>
      </c>
      <c r="CM15" s="10">
        <f t="shared" si="17"/>
        <v>0</v>
      </c>
      <c r="CN15" s="10">
        <f t="shared" si="17"/>
        <v>0</v>
      </c>
      <c r="CO15" s="10">
        <f t="shared" si="17"/>
        <v>0</v>
      </c>
      <c r="CP15" s="10">
        <f t="shared" si="17"/>
        <v>0</v>
      </c>
      <c r="CQ15" s="10">
        <f t="shared" si="17"/>
        <v>0</v>
      </c>
      <c r="CR15" s="10">
        <f t="shared" si="17"/>
        <v>0</v>
      </c>
      <c r="CS15" s="10">
        <f t="shared" si="17"/>
        <v>0</v>
      </c>
      <c r="CT15" s="10">
        <f t="shared" si="16"/>
        <v>0</v>
      </c>
      <c r="CU15" s="10">
        <f t="shared" si="16"/>
        <v>0</v>
      </c>
      <c r="CV15" s="10">
        <f t="shared" si="16"/>
        <v>0</v>
      </c>
      <c r="CW15" s="10">
        <f t="shared" si="16"/>
        <v>0</v>
      </c>
      <c r="CX15" s="10">
        <f t="shared" si="16"/>
        <v>0</v>
      </c>
      <c r="CY15" s="10">
        <f t="shared" si="16"/>
        <v>0</v>
      </c>
      <c r="CZ15" s="10">
        <f t="shared" si="16"/>
        <v>0</v>
      </c>
      <c r="DA15" s="10">
        <f t="shared" si="16"/>
        <v>0</v>
      </c>
      <c r="DB15" s="10">
        <f t="shared" si="16"/>
        <v>0</v>
      </c>
      <c r="DC15" s="10">
        <f t="shared" si="16"/>
        <v>0</v>
      </c>
      <c r="DD15" s="10">
        <f t="shared" si="16"/>
        <v>0</v>
      </c>
      <c r="DE15" s="10">
        <f t="shared" si="16"/>
        <v>0</v>
      </c>
      <c r="DF15" s="10">
        <f t="shared" si="16"/>
        <v>0</v>
      </c>
      <c r="DG15" s="10">
        <f t="shared" si="16"/>
        <v>0</v>
      </c>
      <c r="DH15" s="10">
        <f t="shared" si="16"/>
        <v>0</v>
      </c>
      <c r="DI15" s="10">
        <f t="shared" si="16"/>
        <v>0</v>
      </c>
      <c r="DJ15" s="10">
        <f t="shared" si="16"/>
        <v>0</v>
      </c>
      <c r="DK15" s="10">
        <f t="shared" si="16"/>
        <v>0</v>
      </c>
      <c r="DL15" s="10">
        <f t="shared" si="16"/>
        <v>0</v>
      </c>
      <c r="DM15" s="10">
        <f t="shared" si="16"/>
        <v>0</v>
      </c>
      <c r="DN15" s="10">
        <f t="shared" si="16"/>
        <v>0</v>
      </c>
      <c r="DO15" s="10">
        <f t="shared" si="16"/>
        <v>0</v>
      </c>
      <c r="DP15" s="10">
        <f t="shared" si="16"/>
        <v>0</v>
      </c>
      <c r="DQ15" s="10">
        <f t="shared" si="16"/>
        <v>0</v>
      </c>
      <c r="DR15" s="10">
        <f t="shared" si="16"/>
        <v>0</v>
      </c>
      <c r="DS15" s="10">
        <f t="shared" si="16"/>
        <v>0</v>
      </c>
      <c r="DT15" s="10">
        <f t="shared" si="16"/>
        <v>0</v>
      </c>
      <c r="DU15" s="10">
        <f t="shared" si="16"/>
        <v>0</v>
      </c>
      <c r="DV15" s="10">
        <f t="shared" si="16"/>
        <v>0</v>
      </c>
      <c r="DW15" s="10">
        <f t="shared" si="16"/>
        <v>0</v>
      </c>
      <c r="DX15" s="10">
        <f t="shared" si="16"/>
        <v>0</v>
      </c>
      <c r="DY15" s="10">
        <f t="shared" si="16"/>
        <v>0</v>
      </c>
      <c r="DZ15" s="10">
        <f t="shared" si="16"/>
        <v>0</v>
      </c>
      <c r="EA15" s="10">
        <f t="shared" si="16"/>
        <v>0</v>
      </c>
      <c r="EB15" s="10">
        <f t="shared" si="16"/>
        <v>0</v>
      </c>
      <c r="EC15" s="10">
        <f t="shared" si="16"/>
        <v>0</v>
      </c>
      <c r="ED15" s="10">
        <f t="shared" si="16"/>
        <v>0</v>
      </c>
      <c r="EE15" s="10">
        <f t="shared" si="16"/>
        <v>0</v>
      </c>
      <c r="EF15" s="10">
        <f t="shared" si="16"/>
        <v>0</v>
      </c>
      <c r="EG15" s="10">
        <f t="shared" si="16"/>
        <v>0</v>
      </c>
      <c r="EH15" s="10">
        <f t="shared" si="16"/>
        <v>0</v>
      </c>
      <c r="EI15" s="10">
        <f t="shared" si="16"/>
        <v>0</v>
      </c>
      <c r="EJ15" s="10">
        <f t="shared" si="16"/>
        <v>0</v>
      </c>
      <c r="EK15" s="10">
        <f t="shared" si="16"/>
        <v>0</v>
      </c>
      <c r="EL15" s="10">
        <f t="shared" si="16"/>
        <v>0</v>
      </c>
      <c r="EM15" s="10">
        <f t="shared" si="16"/>
        <v>0</v>
      </c>
      <c r="EN15" s="10">
        <f t="shared" si="16"/>
        <v>0</v>
      </c>
      <c r="EO15" s="10">
        <f t="shared" si="16"/>
        <v>0</v>
      </c>
      <c r="EP15" s="10">
        <f t="shared" si="16"/>
        <v>0</v>
      </c>
      <c r="EQ15" s="10">
        <f t="shared" si="16"/>
        <v>0</v>
      </c>
      <c r="ER15" s="10">
        <f t="shared" si="16"/>
        <v>0</v>
      </c>
      <c r="ES15" s="10">
        <f t="shared" si="16"/>
        <v>0</v>
      </c>
      <c r="ET15" s="10">
        <f t="shared" si="16"/>
        <v>0</v>
      </c>
      <c r="EU15" s="10">
        <f t="shared" si="16"/>
        <v>0</v>
      </c>
      <c r="EV15" s="10">
        <f t="shared" si="16"/>
        <v>0</v>
      </c>
      <c r="EW15" s="10">
        <f t="shared" si="16"/>
        <v>0</v>
      </c>
      <c r="EX15" s="10">
        <f t="shared" si="16"/>
        <v>0</v>
      </c>
      <c r="EY15" s="10">
        <f t="shared" si="16"/>
        <v>0</v>
      </c>
      <c r="EZ15" s="10">
        <f t="shared" si="16"/>
        <v>0</v>
      </c>
      <c r="FA15" s="10">
        <f t="shared" si="16"/>
        <v>0</v>
      </c>
      <c r="FB15" s="10">
        <f t="shared" si="16"/>
        <v>0</v>
      </c>
      <c r="FC15" s="10">
        <f t="shared" si="16"/>
        <v>0</v>
      </c>
      <c r="FD15" s="10">
        <f t="shared" si="16"/>
        <v>0</v>
      </c>
      <c r="FE15" s="10">
        <f t="shared" si="14"/>
        <v>0</v>
      </c>
      <c r="FF15" s="10">
        <f t="shared" si="14"/>
        <v>0</v>
      </c>
      <c r="FG15" s="10">
        <f t="shared" si="14"/>
        <v>0</v>
      </c>
      <c r="FH15" s="10">
        <f t="shared" si="14"/>
        <v>0</v>
      </c>
      <c r="FI15" s="10">
        <f t="shared" si="14"/>
        <v>0</v>
      </c>
      <c r="FJ15" s="10">
        <f t="shared" si="14"/>
        <v>0</v>
      </c>
      <c r="FK15" s="10">
        <f t="shared" si="14"/>
        <v>0</v>
      </c>
      <c r="FL15" s="10">
        <f t="shared" si="14"/>
        <v>0</v>
      </c>
      <c r="FM15" s="10">
        <f t="shared" si="14"/>
        <v>0</v>
      </c>
      <c r="FN15" s="10">
        <f t="shared" si="14"/>
        <v>0</v>
      </c>
      <c r="FO15" s="10">
        <f t="shared" si="14"/>
        <v>0</v>
      </c>
      <c r="FP15" s="10">
        <f t="shared" si="14"/>
        <v>0</v>
      </c>
      <c r="FQ15" s="10">
        <f t="shared" si="14"/>
        <v>0</v>
      </c>
      <c r="FR15" s="10">
        <f t="shared" si="14"/>
        <v>0</v>
      </c>
      <c r="FS15" s="10">
        <f t="shared" si="14"/>
        <v>0</v>
      </c>
      <c r="FT15" s="10">
        <f t="shared" si="14"/>
        <v>0</v>
      </c>
      <c r="FU15" s="10">
        <f t="shared" si="14"/>
        <v>0</v>
      </c>
      <c r="FV15" s="10">
        <f t="shared" si="14"/>
        <v>0</v>
      </c>
      <c r="FW15" s="10">
        <f t="shared" si="14"/>
        <v>0</v>
      </c>
      <c r="FX15" s="10">
        <f t="shared" si="14"/>
        <v>0</v>
      </c>
      <c r="FY15" s="10">
        <f t="shared" si="14"/>
        <v>0</v>
      </c>
      <c r="FZ15" s="10">
        <f t="shared" si="14"/>
        <v>0</v>
      </c>
      <c r="GA15" s="10">
        <f t="shared" si="14"/>
        <v>0</v>
      </c>
      <c r="GB15" s="10">
        <f t="shared" si="14"/>
        <v>0</v>
      </c>
      <c r="GC15" s="10">
        <f t="shared" si="14"/>
        <v>0</v>
      </c>
      <c r="GD15" s="10">
        <f t="shared" si="14"/>
        <v>0</v>
      </c>
      <c r="GE15" s="10">
        <f t="shared" si="14"/>
        <v>0</v>
      </c>
      <c r="GF15" s="10">
        <f t="shared" si="14"/>
        <v>0</v>
      </c>
      <c r="GG15" s="10">
        <f t="shared" si="14"/>
        <v>0</v>
      </c>
      <c r="GH15" s="10">
        <f t="shared" si="14"/>
        <v>0</v>
      </c>
      <c r="GI15" s="10">
        <f t="shared" si="14"/>
        <v>0</v>
      </c>
      <c r="GJ15" s="10">
        <f t="shared" si="14"/>
        <v>0</v>
      </c>
      <c r="GK15" s="10">
        <f t="shared" si="14"/>
        <v>0</v>
      </c>
      <c r="GL15" s="10">
        <f t="shared" si="14"/>
        <v>0</v>
      </c>
      <c r="GM15" s="10">
        <f t="shared" si="14"/>
        <v>0</v>
      </c>
      <c r="GN15" s="10">
        <f t="shared" si="14"/>
        <v>0</v>
      </c>
      <c r="GO15" s="10">
        <f t="shared" si="14"/>
        <v>0</v>
      </c>
      <c r="GP15" s="10">
        <f t="shared" si="14"/>
        <v>0</v>
      </c>
      <c r="GQ15" s="10">
        <f t="shared" si="14"/>
        <v>0</v>
      </c>
      <c r="GR15" s="10">
        <f t="shared" si="14"/>
        <v>0</v>
      </c>
      <c r="GS15" s="10">
        <f t="shared" si="14"/>
        <v>0</v>
      </c>
      <c r="GT15" s="10">
        <f t="shared" si="14"/>
        <v>0</v>
      </c>
      <c r="GU15" s="10">
        <f t="shared" si="14"/>
        <v>0</v>
      </c>
      <c r="GV15" s="10">
        <f t="shared" si="14"/>
        <v>0</v>
      </c>
      <c r="GW15" s="10">
        <f t="shared" si="14"/>
        <v>0</v>
      </c>
      <c r="GX15" s="10">
        <f t="shared" si="14"/>
        <v>0</v>
      </c>
      <c r="GY15" s="10">
        <f t="shared" si="14"/>
        <v>0</v>
      </c>
      <c r="GZ15" s="10">
        <f t="shared" si="14"/>
        <v>0</v>
      </c>
      <c r="HA15" s="10">
        <f t="shared" si="14"/>
        <v>0</v>
      </c>
      <c r="HB15" s="10">
        <f t="shared" si="14"/>
        <v>0</v>
      </c>
      <c r="HC15" s="10">
        <f t="shared" si="14"/>
        <v>0</v>
      </c>
    </row>
    <row r="16" spans="1:211">
      <c r="A16" t="s">
        <v>20</v>
      </c>
      <c r="B16" s="10">
        <f>'CCaMC-VOaMCpUC US'!B16</f>
        <v>39.450873422962026</v>
      </c>
      <c r="C16" s="10">
        <f t="shared" si="6"/>
        <v>39.450873422962026</v>
      </c>
      <c r="D16" s="10">
        <f t="shared" si="6"/>
        <v>39.450873422962026</v>
      </c>
      <c r="E16" s="10">
        <f t="shared" si="6"/>
        <v>39.450873422962026</v>
      </c>
      <c r="F16" s="10">
        <f t="shared" si="15"/>
        <v>39.450873422962026</v>
      </c>
      <c r="G16" s="10">
        <f t="shared" si="15"/>
        <v>39.450873422962026</v>
      </c>
      <c r="H16" s="10">
        <f t="shared" si="15"/>
        <v>39.450873422962026</v>
      </c>
      <c r="I16" s="10">
        <f t="shared" si="15"/>
        <v>39.450873422962026</v>
      </c>
      <c r="J16" s="10">
        <f t="shared" si="15"/>
        <v>39.450873422962026</v>
      </c>
      <c r="K16" s="10">
        <f t="shared" si="15"/>
        <v>39.450873422962026</v>
      </c>
      <c r="L16" s="10">
        <f t="shared" si="15"/>
        <v>39.450873422962026</v>
      </c>
      <c r="M16" s="10">
        <f t="shared" si="15"/>
        <v>39.450873422962026</v>
      </c>
      <c r="N16" s="10">
        <f t="shared" si="15"/>
        <v>39.450873422962026</v>
      </c>
      <c r="O16" s="10">
        <f t="shared" si="15"/>
        <v>39.450873422962026</v>
      </c>
      <c r="P16" s="10">
        <f t="shared" si="15"/>
        <v>39.450873422962026</v>
      </c>
      <c r="Q16" s="10">
        <f t="shared" si="15"/>
        <v>39.450873422962026</v>
      </c>
      <c r="R16" s="10">
        <f t="shared" si="15"/>
        <v>39.450873422962026</v>
      </c>
      <c r="S16" s="10">
        <f t="shared" si="15"/>
        <v>39.450873422962026</v>
      </c>
      <c r="T16" s="10">
        <f t="shared" si="15"/>
        <v>39.450873422962026</v>
      </c>
      <c r="U16" s="10">
        <f t="shared" si="15"/>
        <v>39.450873422962026</v>
      </c>
      <c r="V16" s="10">
        <f t="shared" si="15"/>
        <v>39.450873422962026</v>
      </c>
      <c r="W16" s="10">
        <f t="shared" si="15"/>
        <v>39.450873422962026</v>
      </c>
      <c r="X16" s="10">
        <f t="shared" si="15"/>
        <v>39.450873422962026</v>
      </c>
      <c r="Y16" s="10">
        <f t="shared" si="15"/>
        <v>39.450873422962026</v>
      </c>
      <c r="Z16" s="10">
        <f t="shared" si="15"/>
        <v>39.450873422962026</v>
      </c>
      <c r="AA16" s="10">
        <f t="shared" si="15"/>
        <v>39.450873422962026</v>
      </c>
      <c r="AB16" s="10">
        <f t="shared" si="15"/>
        <v>39.450873422962026</v>
      </c>
      <c r="AC16" s="10">
        <f t="shared" si="15"/>
        <v>39.450873422962026</v>
      </c>
      <c r="AD16" s="10">
        <f t="shared" si="15"/>
        <v>39.450873422962026</v>
      </c>
      <c r="AE16" s="10">
        <f t="shared" si="15"/>
        <v>39.450873422962026</v>
      </c>
      <c r="AF16" s="10">
        <f t="shared" si="15"/>
        <v>39.450873422962026</v>
      </c>
      <c r="AG16" s="10">
        <f t="shared" si="15"/>
        <v>39.450873422962026</v>
      </c>
      <c r="AH16" s="10">
        <f t="shared" si="17"/>
        <v>39.450873422962026</v>
      </c>
      <c r="AI16" s="10">
        <f t="shared" si="17"/>
        <v>39.450873422962026</v>
      </c>
      <c r="AJ16" s="10">
        <f t="shared" si="17"/>
        <v>39.450873422962026</v>
      </c>
      <c r="AK16" s="10">
        <f t="shared" si="17"/>
        <v>39.450873422962026</v>
      </c>
      <c r="AL16" s="10">
        <f t="shared" si="17"/>
        <v>39.450873422962026</v>
      </c>
      <c r="AM16" s="10">
        <f t="shared" si="17"/>
        <v>39.450873422962026</v>
      </c>
      <c r="AN16" s="10">
        <f t="shared" si="17"/>
        <v>39.450873422962026</v>
      </c>
      <c r="AO16" s="10">
        <f t="shared" si="17"/>
        <v>39.450873422962026</v>
      </c>
      <c r="AP16" s="10">
        <f t="shared" si="17"/>
        <v>39.450873422962026</v>
      </c>
      <c r="AQ16" s="10">
        <f t="shared" si="17"/>
        <v>39.450873422962026</v>
      </c>
      <c r="AR16" s="10">
        <f t="shared" si="17"/>
        <v>39.450873422962026</v>
      </c>
      <c r="AS16" s="10">
        <f t="shared" si="17"/>
        <v>39.450873422962026</v>
      </c>
      <c r="AT16" s="10">
        <f t="shared" si="17"/>
        <v>39.450873422962026</v>
      </c>
      <c r="AU16" s="10">
        <f t="shared" si="17"/>
        <v>39.450873422962026</v>
      </c>
      <c r="AV16" s="10">
        <f t="shared" si="17"/>
        <v>39.450873422962026</v>
      </c>
      <c r="AW16" s="10">
        <f t="shared" si="17"/>
        <v>39.450873422962026</v>
      </c>
      <c r="AX16" s="10">
        <f t="shared" si="17"/>
        <v>39.450873422962026</v>
      </c>
      <c r="AY16" s="10">
        <f t="shared" si="17"/>
        <v>39.450873422962026</v>
      </c>
      <c r="AZ16" s="10">
        <f t="shared" si="17"/>
        <v>39.450873422962026</v>
      </c>
      <c r="BA16" s="10">
        <f t="shared" si="17"/>
        <v>39.450873422962026</v>
      </c>
      <c r="BB16" s="10">
        <f t="shared" si="17"/>
        <v>39.450873422962026</v>
      </c>
      <c r="BC16" s="10">
        <f t="shared" si="17"/>
        <v>39.450873422962026</v>
      </c>
      <c r="BD16" s="10">
        <f t="shared" si="17"/>
        <v>39.450873422962026</v>
      </c>
      <c r="BE16" s="10">
        <f t="shared" si="17"/>
        <v>39.450873422962026</v>
      </c>
      <c r="BF16" s="10">
        <f t="shared" si="17"/>
        <v>39.450873422962026</v>
      </c>
      <c r="BG16" s="10">
        <f t="shared" si="17"/>
        <v>39.450873422962026</v>
      </c>
      <c r="BH16" s="10">
        <f t="shared" si="17"/>
        <v>39.450873422962026</v>
      </c>
      <c r="BI16" s="10">
        <f t="shared" si="17"/>
        <v>39.450873422962026</v>
      </c>
      <c r="BJ16" s="10">
        <f t="shared" si="17"/>
        <v>39.450873422962026</v>
      </c>
      <c r="BK16" s="10">
        <f t="shared" si="17"/>
        <v>39.450873422962026</v>
      </c>
      <c r="BL16" s="10">
        <f t="shared" si="17"/>
        <v>39.450873422962026</v>
      </c>
      <c r="BM16" s="10">
        <f t="shared" si="17"/>
        <v>39.450873422962026</v>
      </c>
      <c r="BN16" s="10">
        <f t="shared" si="17"/>
        <v>39.450873422962026</v>
      </c>
      <c r="BO16" s="10">
        <f t="shared" si="17"/>
        <v>39.450873422962026</v>
      </c>
      <c r="BP16" s="10">
        <f t="shared" si="17"/>
        <v>39.450873422962026</v>
      </c>
      <c r="BQ16" s="10">
        <f t="shared" si="17"/>
        <v>39.450873422962026</v>
      </c>
      <c r="BR16" s="10">
        <f t="shared" si="17"/>
        <v>39.450873422962026</v>
      </c>
      <c r="BS16" s="10">
        <f t="shared" si="17"/>
        <v>39.450873422962026</v>
      </c>
      <c r="BT16" s="10">
        <f t="shared" si="17"/>
        <v>39.450873422962026</v>
      </c>
      <c r="BU16" s="10">
        <f t="shared" si="17"/>
        <v>39.450873422962026</v>
      </c>
      <c r="BV16" s="10">
        <f t="shared" si="17"/>
        <v>39.450873422962026</v>
      </c>
      <c r="BW16" s="10">
        <f t="shared" si="17"/>
        <v>39.450873422962026</v>
      </c>
      <c r="BX16" s="10">
        <f t="shared" si="17"/>
        <v>39.450873422962026</v>
      </c>
      <c r="BY16" s="10">
        <f t="shared" si="17"/>
        <v>39.450873422962026</v>
      </c>
      <c r="BZ16" s="10">
        <f t="shared" si="17"/>
        <v>39.450873422962026</v>
      </c>
      <c r="CA16" s="10">
        <f t="shared" si="17"/>
        <v>39.450873422962026</v>
      </c>
      <c r="CB16" s="10">
        <f t="shared" si="17"/>
        <v>39.450873422962026</v>
      </c>
      <c r="CC16" s="10">
        <f t="shared" si="17"/>
        <v>39.450873422962026</v>
      </c>
      <c r="CD16" s="10">
        <f t="shared" si="17"/>
        <v>39.450873422962026</v>
      </c>
      <c r="CE16" s="10">
        <f t="shared" si="17"/>
        <v>39.450873422962026</v>
      </c>
      <c r="CF16" s="10">
        <f t="shared" si="17"/>
        <v>39.450873422962026</v>
      </c>
      <c r="CG16" s="10">
        <f t="shared" si="17"/>
        <v>39.450873422962026</v>
      </c>
      <c r="CH16" s="10">
        <f t="shared" si="17"/>
        <v>39.450873422962026</v>
      </c>
      <c r="CI16" s="10">
        <f t="shared" si="17"/>
        <v>39.450873422962026</v>
      </c>
      <c r="CJ16" s="10">
        <f t="shared" si="17"/>
        <v>39.450873422962026</v>
      </c>
      <c r="CK16" s="10">
        <f t="shared" si="17"/>
        <v>39.450873422962026</v>
      </c>
      <c r="CL16" s="10">
        <f t="shared" si="17"/>
        <v>39.450873422962026</v>
      </c>
      <c r="CM16" s="10">
        <f t="shared" si="17"/>
        <v>39.450873422962026</v>
      </c>
      <c r="CN16" s="10">
        <f t="shared" si="17"/>
        <v>39.450873422962026</v>
      </c>
      <c r="CO16" s="10">
        <f t="shared" si="17"/>
        <v>39.450873422962026</v>
      </c>
      <c r="CP16" s="10">
        <f t="shared" si="17"/>
        <v>39.450873422962026</v>
      </c>
      <c r="CQ16" s="10">
        <f t="shared" si="17"/>
        <v>39.450873422962026</v>
      </c>
      <c r="CR16" s="10">
        <f t="shared" si="17"/>
        <v>39.450873422962026</v>
      </c>
      <c r="CS16" s="10">
        <f t="shared" si="17"/>
        <v>39.450873422962026</v>
      </c>
      <c r="CT16" s="10">
        <f t="shared" si="16"/>
        <v>39.450873422962026</v>
      </c>
      <c r="CU16" s="10">
        <f t="shared" si="16"/>
        <v>39.450873422962026</v>
      </c>
      <c r="CV16" s="10">
        <f t="shared" si="16"/>
        <v>39.450873422962026</v>
      </c>
      <c r="CW16" s="10">
        <f t="shared" si="16"/>
        <v>39.450873422962026</v>
      </c>
      <c r="CX16" s="10">
        <f t="shared" si="16"/>
        <v>39.450873422962026</v>
      </c>
      <c r="CY16" s="10">
        <f t="shared" si="16"/>
        <v>39.450873422962026</v>
      </c>
      <c r="CZ16" s="10">
        <f t="shared" si="16"/>
        <v>39.450873422962026</v>
      </c>
      <c r="DA16" s="10">
        <f t="shared" si="16"/>
        <v>39.450873422962026</v>
      </c>
      <c r="DB16" s="10">
        <f t="shared" si="16"/>
        <v>39.450873422962026</v>
      </c>
      <c r="DC16" s="10">
        <f t="shared" si="16"/>
        <v>39.450873422962026</v>
      </c>
      <c r="DD16" s="10">
        <f t="shared" si="16"/>
        <v>39.450873422962026</v>
      </c>
      <c r="DE16" s="10">
        <f t="shared" si="16"/>
        <v>39.450873422962026</v>
      </c>
      <c r="DF16" s="10">
        <f t="shared" si="16"/>
        <v>39.450873422962026</v>
      </c>
      <c r="DG16" s="10">
        <f t="shared" si="16"/>
        <v>39.450873422962026</v>
      </c>
      <c r="DH16" s="10">
        <f t="shared" si="16"/>
        <v>39.450873422962026</v>
      </c>
      <c r="DI16" s="10">
        <f t="shared" si="16"/>
        <v>39.450873422962026</v>
      </c>
      <c r="DJ16" s="10">
        <f t="shared" si="16"/>
        <v>39.450873422962026</v>
      </c>
      <c r="DK16" s="10">
        <f t="shared" si="16"/>
        <v>39.450873422962026</v>
      </c>
      <c r="DL16" s="10">
        <f t="shared" si="16"/>
        <v>39.450873422962026</v>
      </c>
      <c r="DM16" s="10">
        <f t="shared" si="16"/>
        <v>39.450873422962026</v>
      </c>
      <c r="DN16" s="10">
        <f t="shared" si="16"/>
        <v>39.450873422962026</v>
      </c>
      <c r="DO16" s="10">
        <f t="shared" si="16"/>
        <v>39.450873422962026</v>
      </c>
      <c r="DP16" s="10">
        <f t="shared" si="16"/>
        <v>39.450873422962026</v>
      </c>
      <c r="DQ16" s="10">
        <f t="shared" si="16"/>
        <v>39.450873422962026</v>
      </c>
      <c r="DR16" s="10">
        <f t="shared" si="16"/>
        <v>39.450873422962026</v>
      </c>
      <c r="DS16" s="10">
        <f t="shared" si="16"/>
        <v>39.450873422962026</v>
      </c>
      <c r="DT16" s="10">
        <f t="shared" si="16"/>
        <v>39.450873422962026</v>
      </c>
      <c r="DU16" s="10">
        <f t="shared" si="16"/>
        <v>39.450873422962026</v>
      </c>
      <c r="DV16" s="10">
        <f t="shared" si="16"/>
        <v>39.450873422962026</v>
      </c>
      <c r="DW16" s="10">
        <f t="shared" si="16"/>
        <v>39.450873422962026</v>
      </c>
      <c r="DX16" s="10">
        <f t="shared" si="16"/>
        <v>39.450873422962026</v>
      </c>
      <c r="DY16" s="10">
        <f t="shared" si="16"/>
        <v>39.450873422962026</v>
      </c>
      <c r="DZ16" s="10">
        <f t="shared" si="16"/>
        <v>39.450873422962026</v>
      </c>
      <c r="EA16" s="10">
        <f t="shared" si="16"/>
        <v>39.450873422962026</v>
      </c>
      <c r="EB16" s="10">
        <f t="shared" si="16"/>
        <v>39.450873422962026</v>
      </c>
      <c r="EC16" s="10">
        <f t="shared" si="16"/>
        <v>39.450873422962026</v>
      </c>
      <c r="ED16" s="10">
        <f t="shared" si="16"/>
        <v>39.450873422962026</v>
      </c>
      <c r="EE16" s="10">
        <f t="shared" si="16"/>
        <v>39.450873422962026</v>
      </c>
      <c r="EF16" s="10">
        <f t="shared" si="16"/>
        <v>39.450873422962026</v>
      </c>
      <c r="EG16" s="10">
        <f t="shared" si="16"/>
        <v>39.450873422962026</v>
      </c>
      <c r="EH16" s="10">
        <f t="shared" si="16"/>
        <v>39.450873422962026</v>
      </c>
      <c r="EI16" s="10">
        <f t="shared" si="16"/>
        <v>39.450873422962026</v>
      </c>
      <c r="EJ16" s="10">
        <f t="shared" si="16"/>
        <v>39.450873422962026</v>
      </c>
      <c r="EK16" s="10">
        <f t="shared" si="16"/>
        <v>39.450873422962026</v>
      </c>
      <c r="EL16" s="10">
        <f t="shared" si="16"/>
        <v>39.450873422962026</v>
      </c>
      <c r="EM16" s="10">
        <f t="shared" si="16"/>
        <v>39.450873422962026</v>
      </c>
      <c r="EN16" s="10">
        <f t="shared" si="16"/>
        <v>39.450873422962026</v>
      </c>
      <c r="EO16" s="10">
        <f t="shared" si="16"/>
        <v>39.450873422962026</v>
      </c>
      <c r="EP16" s="10">
        <f t="shared" si="16"/>
        <v>39.450873422962026</v>
      </c>
      <c r="EQ16" s="10">
        <f t="shared" si="16"/>
        <v>39.450873422962026</v>
      </c>
      <c r="ER16" s="10">
        <f t="shared" si="16"/>
        <v>39.450873422962026</v>
      </c>
      <c r="ES16" s="10">
        <f t="shared" si="16"/>
        <v>39.450873422962026</v>
      </c>
      <c r="ET16" s="10">
        <f t="shared" si="16"/>
        <v>39.450873422962026</v>
      </c>
      <c r="EU16" s="10">
        <f t="shared" si="16"/>
        <v>39.450873422962026</v>
      </c>
      <c r="EV16" s="10">
        <f t="shared" si="16"/>
        <v>39.450873422962026</v>
      </c>
      <c r="EW16" s="10">
        <f t="shared" si="16"/>
        <v>39.450873422962026</v>
      </c>
      <c r="EX16" s="10">
        <f t="shared" si="16"/>
        <v>39.450873422962026</v>
      </c>
      <c r="EY16" s="10">
        <f t="shared" si="16"/>
        <v>39.450873422962026</v>
      </c>
      <c r="EZ16" s="10">
        <f t="shared" si="16"/>
        <v>39.450873422962026</v>
      </c>
      <c r="FA16" s="10">
        <f t="shared" si="16"/>
        <v>39.450873422962026</v>
      </c>
      <c r="FB16" s="10">
        <f t="shared" si="16"/>
        <v>39.450873422962026</v>
      </c>
      <c r="FC16" s="10">
        <f t="shared" si="16"/>
        <v>39.450873422962026</v>
      </c>
      <c r="FD16" s="10">
        <f t="shared" si="16"/>
        <v>39.450873422962026</v>
      </c>
      <c r="FE16" s="10">
        <f t="shared" ref="FE16:HC20" si="18">$B16</f>
        <v>39.450873422962026</v>
      </c>
      <c r="FF16" s="10">
        <f t="shared" si="18"/>
        <v>39.450873422962026</v>
      </c>
      <c r="FG16" s="10">
        <f t="shared" si="18"/>
        <v>39.450873422962026</v>
      </c>
      <c r="FH16" s="10">
        <f t="shared" si="18"/>
        <v>39.450873422962026</v>
      </c>
      <c r="FI16" s="10">
        <f t="shared" si="18"/>
        <v>39.450873422962026</v>
      </c>
      <c r="FJ16" s="10">
        <f t="shared" si="18"/>
        <v>39.450873422962026</v>
      </c>
      <c r="FK16" s="10">
        <f t="shared" si="18"/>
        <v>39.450873422962026</v>
      </c>
      <c r="FL16" s="10">
        <f t="shared" si="18"/>
        <v>39.450873422962026</v>
      </c>
      <c r="FM16" s="10">
        <f t="shared" si="18"/>
        <v>39.450873422962026</v>
      </c>
      <c r="FN16" s="10">
        <f t="shared" si="18"/>
        <v>39.450873422962026</v>
      </c>
      <c r="FO16" s="10">
        <f t="shared" si="18"/>
        <v>39.450873422962026</v>
      </c>
      <c r="FP16" s="10">
        <f t="shared" si="18"/>
        <v>39.450873422962026</v>
      </c>
      <c r="FQ16" s="10">
        <f t="shared" si="18"/>
        <v>39.450873422962026</v>
      </c>
      <c r="FR16" s="10">
        <f t="shared" si="18"/>
        <v>39.450873422962026</v>
      </c>
      <c r="FS16" s="10">
        <f t="shared" si="18"/>
        <v>39.450873422962026</v>
      </c>
      <c r="FT16" s="10">
        <f t="shared" si="18"/>
        <v>39.450873422962026</v>
      </c>
      <c r="FU16" s="10">
        <f t="shared" si="18"/>
        <v>39.450873422962026</v>
      </c>
      <c r="FV16" s="10">
        <f t="shared" si="18"/>
        <v>39.450873422962026</v>
      </c>
      <c r="FW16" s="10">
        <f t="shared" si="18"/>
        <v>39.450873422962026</v>
      </c>
      <c r="FX16" s="10">
        <f t="shared" si="18"/>
        <v>39.450873422962026</v>
      </c>
      <c r="FY16" s="10">
        <f t="shared" si="18"/>
        <v>39.450873422962026</v>
      </c>
      <c r="FZ16" s="10">
        <f t="shared" si="18"/>
        <v>39.450873422962026</v>
      </c>
      <c r="GA16" s="10">
        <f t="shared" si="18"/>
        <v>39.450873422962026</v>
      </c>
      <c r="GB16" s="10">
        <f t="shared" si="18"/>
        <v>39.450873422962026</v>
      </c>
      <c r="GC16" s="10">
        <f t="shared" si="18"/>
        <v>39.450873422962026</v>
      </c>
      <c r="GD16" s="10">
        <f t="shared" si="18"/>
        <v>39.450873422962026</v>
      </c>
      <c r="GE16" s="10">
        <f t="shared" si="18"/>
        <v>39.450873422962026</v>
      </c>
      <c r="GF16" s="10">
        <f t="shared" si="18"/>
        <v>39.450873422962026</v>
      </c>
      <c r="GG16" s="10">
        <f t="shared" si="18"/>
        <v>39.450873422962026</v>
      </c>
      <c r="GH16" s="10">
        <f t="shared" si="18"/>
        <v>39.450873422962026</v>
      </c>
      <c r="GI16" s="10">
        <f t="shared" si="18"/>
        <v>39.450873422962026</v>
      </c>
      <c r="GJ16" s="10">
        <f t="shared" si="18"/>
        <v>39.450873422962026</v>
      </c>
      <c r="GK16" s="10">
        <f t="shared" si="18"/>
        <v>39.450873422962026</v>
      </c>
      <c r="GL16" s="10">
        <f t="shared" si="18"/>
        <v>39.450873422962026</v>
      </c>
      <c r="GM16" s="10">
        <f t="shared" si="18"/>
        <v>39.450873422962026</v>
      </c>
      <c r="GN16" s="10">
        <f t="shared" si="18"/>
        <v>39.450873422962026</v>
      </c>
      <c r="GO16" s="10">
        <f t="shared" si="18"/>
        <v>39.450873422962026</v>
      </c>
      <c r="GP16" s="10">
        <f t="shared" si="18"/>
        <v>39.450873422962026</v>
      </c>
      <c r="GQ16" s="10">
        <f t="shared" si="18"/>
        <v>39.450873422962026</v>
      </c>
      <c r="GR16" s="10">
        <f t="shared" si="18"/>
        <v>39.450873422962026</v>
      </c>
      <c r="GS16" s="10">
        <f t="shared" si="18"/>
        <v>39.450873422962026</v>
      </c>
      <c r="GT16" s="10">
        <f t="shared" si="18"/>
        <v>39.450873422962026</v>
      </c>
      <c r="GU16" s="10">
        <f t="shared" si="18"/>
        <v>39.450873422962026</v>
      </c>
      <c r="GV16" s="10">
        <f t="shared" si="18"/>
        <v>39.450873422962026</v>
      </c>
      <c r="GW16" s="10">
        <f t="shared" si="18"/>
        <v>39.450873422962026</v>
      </c>
      <c r="GX16" s="10">
        <f t="shared" si="18"/>
        <v>39.450873422962026</v>
      </c>
      <c r="GY16" s="10">
        <f t="shared" si="18"/>
        <v>39.450873422962026</v>
      </c>
      <c r="GZ16" s="10">
        <f t="shared" si="18"/>
        <v>39.450873422962026</v>
      </c>
      <c r="HA16" s="10">
        <f t="shared" si="18"/>
        <v>39.450873422962026</v>
      </c>
      <c r="HB16" s="10">
        <f t="shared" si="18"/>
        <v>39.450873422962026</v>
      </c>
      <c r="HC16" s="10">
        <f t="shared" si="18"/>
        <v>39.450873422962026</v>
      </c>
    </row>
    <row r="17" spans="1:211">
      <c r="A17" t="s">
        <v>21</v>
      </c>
      <c r="B17" s="10">
        <f>'CCaMC-VOaMCpUC US'!B17</f>
        <v>39.450873422962026</v>
      </c>
      <c r="C17" s="10">
        <f t="shared" si="6"/>
        <v>39.450873422962026</v>
      </c>
      <c r="D17" s="10">
        <f t="shared" si="6"/>
        <v>39.450873422962026</v>
      </c>
      <c r="E17" s="10">
        <f t="shared" si="6"/>
        <v>39.450873422962026</v>
      </c>
      <c r="F17" s="10">
        <f t="shared" si="15"/>
        <v>39.450873422962026</v>
      </c>
      <c r="G17" s="10">
        <f t="shared" si="15"/>
        <v>39.450873422962026</v>
      </c>
      <c r="H17" s="10">
        <f t="shared" si="15"/>
        <v>39.450873422962026</v>
      </c>
      <c r="I17" s="10">
        <f t="shared" si="15"/>
        <v>39.450873422962026</v>
      </c>
      <c r="J17" s="10">
        <f t="shared" si="15"/>
        <v>39.450873422962026</v>
      </c>
      <c r="K17" s="10">
        <f t="shared" si="15"/>
        <v>39.450873422962026</v>
      </c>
      <c r="L17" s="10">
        <f t="shared" si="15"/>
        <v>39.450873422962026</v>
      </c>
      <c r="M17" s="10">
        <f t="shared" si="15"/>
        <v>39.450873422962026</v>
      </c>
      <c r="N17" s="10">
        <f t="shared" si="15"/>
        <v>39.450873422962026</v>
      </c>
      <c r="O17" s="10">
        <f t="shared" si="15"/>
        <v>39.450873422962026</v>
      </c>
      <c r="P17" s="10">
        <f t="shared" si="15"/>
        <v>39.450873422962026</v>
      </c>
      <c r="Q17" s="10">
        <f t="shared" si="15"/>
        <v>39.450873422962026</v>
      </c>
      <c r="R17" s="10">
        <f t="shared" si="15"/>
        <v>39.450873422962026</v>
      </c>
      <c r="S17" s="10">
        <f t="shared" si="15"/>
        <v>39.450873422962026</v>
      </c>
      <c r="T17" s="10">
        <f t="shared" si="15"/>
        <v>39.450873422962026</v>
      </c>
      <c r="U17" s="10">
        <f t="shared" si="15"/>
        <v>39.450873422962026</v>
      </c>
      <c r="V17" s="10">
        <f t="shared" si="15"/>
        <v>39.450873422962026</v>
      </c>
      <c r="W17" s="10">
        <f t="shared" si="15"/>
        <v>39.450873422962026</v>
      </c>
      <c r="X17" s="10">
        <f t="shared" si="15"/>
        <v>39.450873422962026</v>
      </c>
      <c r="Y17" s="10">
        <f t="shared" si="15"/>
        <v>39.450873422962026</v>
      </c>
      <c r="Z17" s="10">
        <f t="shared" si="15"/>
        <v>39.450873422962026</v>
      </c>
      <c r="AA17" s="10">
        <f t="shared" si="15"/>
        <v>39.450873422962026</v>
      </c>
      <c r="AB17" s="10">
        <f t="shared" si="15"/>
        <v>39.450873422962026</v>
      </c>
      <c r="AC17" s="10">
        <f t="shared" si="15"/>
        <v>39.450873422962026</v>
      </c>
      <c r="AD17" s="10">
        <f t="shared" si="15"/>
        <v>39.450873422962026</v>
      </c>
      <c r="AE17" s="10">
        <f t="shared" si="15"/>
        <v>39.450873422962026</v>
      </c>
      <c r="AF17" s="10">
        <f t="shared" si="15"/>
        <v>39.450873422962026</v>
      </c>
      <c r="AG17" s="10">
        <f t="shared" si="15"/>
        <v>39.450873422962026</v>
      </c>
      <c r="AH17" s="10">
        <f t="shared" si="17"/>
        <v>39.450873422962026</v>
      </c>
      <c r="AI17" s="10">
        <f t="shared" si="17"/>
        <v>39.450873422962026</v>
      </c>
      <c r="AJ17" s="10">
        <f t="shared" si="17"/>
        <v>39.450873422962026</v>
      </c>
      <c r="AK17" s="10">
        <f t="shared" si="17"/>
        <v>39.450873422962026</v>
      </c>
      <c r="AL17" s="10">
        <f t="shared" si="17"/>
        <v>39.450873422962026</v>
      </c>
      <c r="AM17" s="10">
        <f t="shared" si="17"/>
        <v>39.450873422962026</v>
      </c>
      <c r="AN17" s="10">
        <f t="shared" si="17"/>
        <v>39.450873422962026</v>
      </c>
      <c r="AO17" s="10">
        <f t="shared" si="17"/>
        <v>39.450873422962026</v>
      </c>
      <c r="AP17" s="10">
        <f t="shared" si="17"/>
        <v>39.450873422962026</v>
      </c>
      <c r="AQ17" s="10">
        <f t="shared" si="17"/>
        <v>39.450873422962026</v>
      </c>
      <c r="AR17" s="10">
        <f t="shared" si="17"/>
        <v>39.450873422962026</v>
      </c>
      <c r="AS17" s="10">
        <f t="shared" si="17"/>
        <v>39.450873422962026</v>
      </c>
      <c r="AT17" s="10">
        <f t="shared" si="17"/>
        <v>39.450873422962026</v>
      </c>
      <c r="AU17" s="10">
        <f t="shared" si="17"/>
        <v>39.450873422962026</v>
      </c>
      <c r="AV17" s="10">
        <f t="shared" si="17"/>
        <v>39.450873422962026</v>
      </c>
      <c r="AW17" s="10">
        <f t="shared" si="17"/>
        <v>39.450873422962026</v>
      </c>
      <c r="AX17" s="10">
        <f t="shared" si="17"/>
        <v>39.450873422962026</v>
      </c>
      <c r="AY17" s="10">
        <f t="shared" si="17"/>
        <v>39.450873422962026</v>
      </c>
      <c r="AZ17" s="10">
        <f t="shared" si="17"/>
        <v>39.450873422962026</v>
      </c>
      <c r="BA17" s="10">
        <f t="shared" si="17"/>
        <v>39.450873422962026</v>
      </c>
      <c r="BB17" s="10">
        <f t="shared" si="17"/>
        <v>39.450873422962026</v>
      </c>
      <c r="BC17" s="10">
        <f t="shared" si="17"/>
        <v>39.450873422962026</v>
      </c>
      <c r="BD17" s="10">
        <f t="shared" si="17"/>
        <v>39.450873422962026</v>
      </c>
      <c r="BE17" s="10">
        <f t="shared" si="17"/>
        <v>39.450873422962026</v>
      </c>
      <c r="BF17" s="10">
        <f t="shared" si="17"/>
        <v>39.450873422962026</v>
      </c>
      <c r="BG17" s="10">
        <f t="shared" si="17"/>
        <v>39.450873422962026</v>
      </c>
      <c r="BH17" s="10">
        <f t="shared" si="17"/>
        <v>39.450873422962026</v>
      </c>
      <c r="BI17" s="10">
        <f t="shared" si="17"/>
        <v>39.450873422962026</v>
      </c>
      <c r="BJ17" s="10">
        <f t="shared" si="17"/>
        <v>39.450873422962026</v>
      </c>
      <c r="BK17" s="10">
        <f t="shared" si="17"/>
        <v>39.450873422962026</v>
      </c>
      <c r="BL17" s="10">
        <f t="shared" si="17"/>
        <v>39.450873422962026</v>
      </c>
      <c r="BM17" s="10">
        <f t="shared" si="17"/>
        <v>39.450873422962026</v>
      </c>
      <c r="BN17" s="10">
        <f t="shared" si="17"/>
        <v>39.450873422962026</v>
      </c>
      <c r="BO17" s="10">
        <f t="shared" si="17"/>
        <v>39.450873422962026</v>
      </c>
      <c r="BP17" s="10">
        <f t="shared" si="17"/>
        <v>39.450873422962026</v>
      </c>
      <c r="BQ17" s="10">
        <f t="shared" si="17"/>
        <v>39.450873422962026</v>
      </c>
      <c r="BR17" s="10">
        <f t="shared" si="17"/>
        <v>39.450873422962026</v>
      </c>
      <c r="BS17" s="10">
        <f t="shared" si="17"/>
        <v>39.450873422962026</v>
      </c>
      <c r="BT17" s="10">
        <f t="shared" si="17"/>
        <v>39.450873422962026</v>
      </c>
      <c r="BU17" s="10">
        <f t="shared" si="17"/>
        <v>39.450873422962026</v>
      </c>
      <c r="BV17" s="10">
        <f t="shared" si="17"/>
        <v>39.450873422962026</v>
      </c>
      <c r="BW17" s="10">
        <f t="shared" si="17"/>
        <v>39.450873422962026</v>
      </c>
      <c r="BX17" s="10">
        <f t="shared" si="17"/>
        <v>39.450873422962026</v>
      </c>
      <c r="BY17" s="10">
        <f t="shared" si="17"/>
        <v>39.450873422962026</v>
      </c>
      <c r="BZ17" s="10">
        <f t="shared" si="17"/>
        <v>39.450873422962026</v>
      </c>
      <c r="CA17" s="10">
        <f t="shared" si="17"/>
        <v>39.450873422962026</v>
      </c>
      <c r="CB17" s="10">
        <f t="shared" si="17"/>
        <v>39.450873422962026</v>
      </c>
      <c r="CC17" s="10">
        <f t="shared" si="17"/>
        <v>39.450873422962026</v>
      </c>
      <c r="CD17" s="10">
        <f t="shared" si="17"/>
        <v>39.450873422962026</v>
      </c>
      <c r="CE17" s="10">
        <f t="shared" si="17"/>
        <v>39.450873422962026</v>
      </c>
      <c r="CF17" s="10">
        <f t="shared" si="17"/>
        <v>39.450873422962026</v>
      </c>
      <c r="CG17" s="10">
        <f t="shared" si="17"/>
        <v>39.450873422962026</v>
      </c>
      <c r="CH17" s="10">
        <f t="shared" si="17"/>
        <v>39.450873422962026</v>
      </c>
      <c r="CI17" s="10">
        <f t="shared" si="17"/>
        <v>39.450873422962026</v>
      </c>
      <c r="CJ17" s="10">
        <f t="shared" si="17"/>
        <v>39.450873422962026</v>
      </c>
      <c r="CK17" s="10">
        <f t="shared" si="17"/>
        <v>39.450873422962026</v>
      </c>
      <c r="CL17" s="10">
        <f t="shared" si="17"/>
        <v>39.450873422962026</v>
      </c>
      <c r="CM17" s="10">
        <f t="shared" si="17"/>
        <v>39.450873422962026</v>
      </c>
      <c r="CN17" s="10">
        <f t="shared" si="17"/>
        <v>39.450873422962026</v>
      </c>
      <c r="CO17" s="10">
        <f t="shared" si="17"/>
        <v>39.450873422962026</v>
      </c>
      <c r="CP17" s="10">
        <f t="shared" si="17"/>
        <v>39.450873422962026</v>
      </c>
      <c r="CQ17" s="10">
        <f t="shared" si="17"/>
        <v>39.450873422962026</v>
      </c>
      <c r="CR17" s="10">
        <f t="shared" si="17"/>
        <v>39.450873422962026</v>
      </c>
      <c r="CS17" s="10">
        <f t="shared" si="17"/>
        <v>39.450873422962026</v>
      </c>
      <c r="CT17" s="10">
        <f t="shared" si="16"/>
        <v>39.450873422962026</v>
      </c>
      <c r="CU17" s="10">
        <f t="shared" si="16"/>
        <v>39.450873422962026</v>
      </c>
      <c r="CV17" s="10">
        <f t="shared" si="16"/>
        <v>39.450873422962026</v>
      </c>
      <c r="CW17" s="10">
        <f t="shared" si="16"/>
        <v>39.450873422962026</v>
      </c>
      <c r="CX17" s="10">
        <f t="shared" si="16"/>
        <v>39.450873422962026</v>
      </c>
      <c r="CY17" s="10">
        <f t="shared" si="16"/>
        <v>39.450873422962026</v>
      </c>
      <c r="CZ17" s="10">
        <f t="shared" si="16"/>
        <v>39.450873422962026</v>
      </c>
      <c r="DA17" s="10">
        <f t="shared" si="16"/>
        <v>39.450873422962026</v>
      </c>
      <c r="DB17" s="10">
        <f t="shared" si="16"/>
        <v>39.450873422962026</v>
      </c>
      <c r="DC17" s="10">
        <f t="shared" si="16"/>
        <v>39.450873422962026</v>
      </c>
      <c r="DD17" s="10">
        <f t="shared" si="16"/>
        <v>39.450873422962026</v>
      </c>
      <c r="DE17" s="10">
        <f t="shared" si="16"/>
        <v>39.450873422962026</v>
      </c>
      <c r="DF17" s="10">
        <f t="shared" si="16"/>
        <v>39.450873422962026</v>
      </c>
      <c r="DG17" s="10">
        <f t="shared" si="16"/>
        <v>39.450873422962026</v>
      </c>
      <c r="DH17" s="10">
        <f t="shared" si="16"/>
        <v>39.450873422962026</v>
      </c>
      <c r="DI17" s="10">
        <f t="shared" si="16"/>
        <v>39.450873422962026</v>
      </c>
      <c r="DJ17" s="10">
        <f t="shared" si="16"/>
        <v>39.450873422962026</v>
      </c>
      <c r="DK17" s="10">
        <f t="shared" si="16"/>
        <v>39.450873422962026</v>
      </c>
      <c r="DL17" s="10">
        <f t="shared" si="16"/>
        <v>39.450873422962026</v>
      </c>
      <c r="DM17" s="10">
        <f t="shared" si="16"/>
        <v>39.450873422962026</v>
      </c>
      <c r="DN17" s="10">
        <f t="shared" si="16"/>
        <v>39.450873422962026</v>
      </c>
      <c r="DO17" s="10">
        <f t="shared" si="16"/>
        <v>39.450873422962026</v>
      </c>
      <c r="DP17" s="10">
        <f t="shared" si="16"/>
        <v>39.450873422962026</v>
      </c>
      <c r="DQ17" s="10">
        <f t="shared" si="16"/>
        <v>39.450873422962026</v>
      </c>
      <c r="DR17" s="10">
        <f t="shared" si="16"/>
        <v>39.450873422962026</v>
      </c>
      <c r="DS17" s="10">
        <f t="shared" si="16"/>
        <v>39.450873422962026</v>
      </c>
      <c r="DT17" s="10">
        <f t="shared" si="16"/>
        <v>39.450873422962026</v>
      </c>
      <c r="DU17" s="10">
        <f t="shared" si="16"/>
        <v>39.450873422962026</v>
      </c>
      <c r="DV17" s="10">
        <f t="shared" si="16"/>
        <v>39.450873422962026</v>
      </c>
      <c r="DW17" s="10">
        <f t="shared" si="16"/>
        <v>39.450873422962026</v>
      </c>
      <c r="DX17" s="10">
        <f t="shared" si="16"/>
        <v>39.450873422962026</v>
      </c>
      <c r="DY17" s="10">
        <f t="shared" si="16"/>
        <v>39.450873422962026</v>
      </c>
      <c r="DZ17" s="10">
        <f t="shared" si="16"/>
        <v>39.450873422962026</v>
      </c>
      <c r="EA17" s="10">
        <f t="shared" si="16"/>
        <v>39.450873422962026</v>
      </c>
      <c r="EB17" s="10">
        <f t="shared" si="16"/>
        <v>39.450873422962026</v>
      </c>
      <c r="EC17" s="10">
        <f t="shared" si="16"/>
        <v>39.450873422962026</v>
      </c>
      <c r="ED17" s="10">
        <f t="shared" si="16"/>
        <v>39.450873422962026</v>
      </c>
      <c r="EE17" s="10">
        <f t="shared" si="16"/>
        <v>39.450873422962026</v>
      </c>
      <c r="EF17" s="10">
        <f t="shared" si="16"/>
        <v>39.450873422962026</v>
      </c>
      <c r="EG17" s="10">
        <f t="shared" si="16"/>
        <v>39.450873422962026</v>
      </c>
      <c r="EH17" s="10">
        <f t="shared" si="16"/>
        <v>39.450873422962026</v>
      </c>
      <c r="EI17" s="10">
        <f t="shared" si="16"/>
        <v>39.450873422962026</v>
      </c>
      <c r="EJ17" s="10">
        <f t="shared" si="16"/>
        <v>39.450873422962026</v>
      </c>
      <c r="EK17" s="10">
        <f t="shared" si="16"/>
        <v>39.450873422962026</v>
      </c>
      <c r="EL17" s="10">
        <f t="shared" si="16"/>
        <v>39.450873422962026</v>
      </c>
      <c r="EM17" s="10">
        <f t="shared" si="16"/>
        <v>39.450873422962026</v>
      </c>
      <c r="EN17" s="10">
        <f t="shared" si="16"/>
        <v>39.450873422962026</v>
      </c>
      <c r="EO17" s="10">
        <f t="shared" si="16"/>
        <v>39.450873422962026</v>
      </c>
      <c r="EP17" s="10">
        <f t="shared" si="16"/>
        <v>39.450873422962026</v>
      </c>
      <c r="EQ17" s="10">
        <f t="shared" si="16"/>
        <v>39.450873422962026</v>
      </c>
      <c r="ER17" s="10">
        <f t="shared" si="16"/>
        <v>39.450873422962026</v>
      </c>
      <c r="ES17" s="10">
        <f t="shared" si="16"/>
        <v>39.450873422962026</v>
      </c>
      <c r="ET17" s="10">
        <f t="shared" si="16"/>
        <v>39.450873422962026</v>
      </c>
      <c r="EU17" s="10">
        <f t="shared" si="16"/>
        <v>39.450873422962026</v>
      </c>
      <c r="EV17" s="10">
        <f t="shared" si="16"/>
        <v>39.450873422962026</v>
      </c>
      <c r="EW17" s="10">
        <f t="shared" si="16"/>
        <v>39.450873422962026</v>
      </c>
      <c r="EX17" s="10">
        <f t="shared" si="16"/>
        <v>39.450873422962026</v>
      </c>
      <c r="EY17" s="10">
        <f t="shared" si="16"/>
        <v>39.450873422962026</v>
      </c>
      <c r="EZ17" s="10">
        <f t="shared" si="16"/>
        <v>39.450873422962026</v>
      </c>
      <c r="FA17" s="10">
        <f t="shared" si="16"/>
        <v>39.450873422962026</v>
      </c>
      <c r="FB17" s="10">
        <f t="shared" si="16"/>
        <v>39.450873422962026</v>
      </c>
      <c r="FC17" s="10">
        <f t="shared" si="16"/>
        <v>39.450873422962026</v>
      </c>
      <c r="FD17" s="10">
        <f t="shared" si="16"/>
        <v>39.450873422962026</v>
      </c>
      <c r="FE17" s="10">
        <f t="shared" si="18"/>
        <v>39.450873422962026</v>
      </c>
      <c r="FF17" s="10">
        <f t="shared" si="18"/>
        <v>39.450873422962026</v>
      </c>
      <c r="FG17" s="10">
        <f t="shared" si="18"/>
        <v>39.450873422962026</v>
      </c>
      <c r="FH17" s="10">
        <f t="shared" si="18"/>
        <v>39.450873422962026</v>
      </c>
      <c r="FI17" s="10">
        <f t="shared" si="18"/>
        <v>39.450873422962026</v>
      </c>
      <c r="FJ17" s="10">
        <f t="shared" si="18"/>
        <v>39.450873422962026</v>
      </c>
      <c r="FK17" s="10">
        <f t="shared" si="18"/>
        <v>39.450873422962026</v>
      </c>
      <c r="FL17" s="10">
        <f t="shared" si="18"/>
        <v>39.450873422962026</v>
      </c>
      <c r="FM17" s="10">
        <f t="shared" si="18"/>
        <v>39.450873422962026</v>
      </c>
      <c r="FN17" s="10">
        <f t="shared" si="18"/>
        <v>39.450873422962026</v>
      </c>
      <c r="FO17" s="10">
        <f t="shared" si="18"/>
        <v>39.450873422962026</v>
      </c>
      <c r="FP17" s="10">
        <f t="shared" si="18"/>
        <v>39.450873422962026</v>
      </c>
      <c r="FQ17" s="10">
        <f t="shared" si="18"/>
        <v>39.450873422962026</v>
      </c>
      <c r="FR17" s="10">
        <f t="shared" si="18"/>
        <v>39.450873422962026</v>
      </c>
      <c r="FS17" s="10">
        <f t="shared" si="18"/>
        <v>39.450873422962026</v>
      </c>
      <c r="FT17" s="10">
        <f t="shared" si="18"/>
        <v>39.450873422962026</v>
      </c>
      <c r="FU17" s="10">
        <f t="shared" si="18"/>
        <v>39.450873422962026</v>
      </c>
      <c r="FV17" s="10">
        <f t="shared" si="18"/>
        <v>39.450873422962026</v>
      </c>
      <c r="FW17" s="10">
        <f t="shared" si="18"/>
        <v>39.450873422962026</v>
      </c>
      <c r="FX17" s="10">
        <f t="shared" si="18"/>
        <v>39.450873422962026</v>
      </c>
      <c r="FY17" s="10">
        <f t="shared" si="18"/>
        <v>39.450873422962026</v>
      </c>
      <c r="FZ17" s="10">
        <f t="shared" si="18"/>
        <v>39.450873422962026</v>
      </c>
      <c r="GA17" s="10">
        <f t="shared" si="18"/>
        <v>39.450873422962026</v>
      </c>
      <c r="GB17" s="10">
        <f t="shared" si="18"/>
        <v>39.450873422962026</v>
      </c>
      <c r="GC17" s="10">
        <f t="shared" si="18"/>
        <v>39.450873422962026</v>
      </c>
      <c r="GD17" s="10">
        <f t="shared" si="18"/>
        <v>39.450873422962026</v>
      </c>
      <c r="GE17" s="10">
        <f t="shared" si="18"/>
        <v>39.450873422962026</v>
      </c>
      <c r="GF17" s="10">
        <f t="shared" si="18"/>
        <v>39.450873422962026</v>
      </c>
      <c r="GG17" s="10">
        <f t="shared" si="18"/>
        <v>39.450873422962026</v>
      </c>
      <c r="GH17" s="10">
        <f t="shared" si="18"/>
        <v>39.450873422962026</v>
      </c>
      <c r="GI17" s="10">
        <f t="shared" si="18"/>
        <v>39.450873422962026</v>
      </c>
      <c r="GJ17" s="10">
        <f t="shared" si="18"/>
        <v>39.450873422962026</v>
      </c>
      <c r="GK17" s="10">
        <f t="shared" si="18"/>
        <v>39.450873422962026</v>
      </c>
      <c r="GL17" s="10">
        <f t="shared" si="18"/>
        <v>39.450873422962026</v>
      </c>
      <c r="GM17" s="10">
        <f t="shared" si="18"/>
        <v>39.450873422962026</v>
      </c>
      <c r="GN17" s="10">
        <f t="shared" si="18"/>
        <v>39.450873422962026</v>
      </c>
      <c r="GO17" s="10">
        <f t="shared" si="18"/>
        <v>39.450873422962026</v>
      </c>
      <c r="GP17" s="10">
        <f t="shared" si="18"/>
        <v>39.450873422962026</v>
      </c>
      <c r="GQ17" s="10">
        <f t="shared" si="18"/>
        <v>39.450873422962026</v>
      </c>
      <c r="GR17" s="10">
        <f t="shared" si="18"/>
        <v>39.450873422962026</v>
      </c>
      <c r="GS17" s="10">
        <f t="shared" si="18"/>
        <v>39.450873422962026</v>
      </c>
      <c r="GT17" s="10">
        <f t="shared" si="18"/>
        <v>39.450873422962026</v>
      </c>
      <c r="GU17" s="10">
        <f t="shared" si="18"/>
        <v>39.450873422962026</v>
      </c>
      <c r="GV17" s="10">
        <f t="shared" si="18"/>
        <v>39.450873422962026</v>
      </c>
      <c r="GW17" s="10">
        <f t="shared" si="18"/>
        <v>39.450873422962026</v>
      </c>
      <c r="GX17" s="10">
        <f t="shared" si="18"/>
        <v>39.450873422962026</v>
      </c>
      <c r="GY17" s="10">
        <f t="shared" si="18"/>
        <v>39.450873422962026</v>
      </c>
      <c r="GZ17" s="10">
        <f t="shared" si="18"/>
        <v>39.450873422962026</v>
      </c>
      <c r="HA17" s="10">
        <f t="shared" si="18"/>
        <v>39.450873422962026</v>
      </c>
      <c r="HB17" s="10">
        <f t="shared" si="18"/>
        <v>39.450873422962026</v>
      </c>
      <c r="HC17" s="10">
        <f t="shared" si="18"/>
        <v>39.450873422962026</v>
      </c>
    </row>
    <row r="18" spans="1:211">
      <c r="A18" t="s">
        <v>22</v>
      </c>
      <c r="B18" s="10">
        <f>'CCaMC-VOaMCpUC US'!B18</f>
        <v>10.101327570422537</v>
      </c>
      <c r="C18" s="10">
        <f>$B18</f>
        <v>10.101327570422537</v>
      </c>
      <c r="D18" s="10">
        <f t="shared" si="6"/>
        <v>10.101327570422537</v>
      </c>
      <c r="E18" s="10">
        <f t="shared" si="6"/>
        <v>10.101327570422537</v>
      </c>
      <c r="F18" s="10">
        <f t="shared" si="15"/>
        <v>10.101327570422537</v>
      </c>
      <c r="G18" s="10">
        <f t="shared" si="15"/>
        <v>10.101327570422537</v>
      </c>
      <c r="H18" s="10">
        <f t="shared" si="15"/>
        <v>10.101327570422537</v>
      </c>
      <c r="I18" s="10">
        <f t="shared" si="15"/>
        <v>10.101327570422537</v>
      </c>
      <c r="J18" s="10">
        <f t="shared" si="15"/>
        <v>10.101327570422537</v>
      </c>
      <c r="K18" s="10">
        <f t="shared" si="15"/>
        <v>10.101327570422537</v>
      </c>
      <c r="L18" s="10">
        <f t="shared" si="15"/>
        <v>10.101327570422537</v>
      </c>
      <c r="M18" s="10">
        <f t="shared" si="15"/>
        <v>10.101327570422537</v>
      </c>
      <c r="N18" s="10">
        <f t="shared" si="15"/>
        <v>10.101327570422537</v>
      </c>
      <c r="O18" s="10">
        <f t="shared" si="15"/>
        <v>10.101327570422537</v>
      </c>
      <c r="P18" s="10">
        <f t="shared" si="15"/>
        <v>10.101327570422537</v>
      </c>
      <c r="Q18" s="10">
        <f t="shared" si="15"/>
        <v>10.101327570422537</v>
      </c>
      <c r="R18" s="10">
        <f t="shared" si="15"/>
        <v>10.101327570422537</v>
      </c>
      <c r="S18" s="10">
        <f t="shared" si="15"/>
        <v>10.101327570422537</v>
      </c>
      <c r="T18" s="10">
        <f t="shared" si="15"/>
        <v>10.101327570422537</v>
      </c>
      <c r="U18" s="10">
        <f t="shared" si="15"/>
        <v>10.101327570422537</v>
      </c>
      <c r="V18" s="10">
        <f t="shared" si="15"/>
        <v>10.101327570422537</v>
      </c>
      <c r="W18" s="10">
        <f t="shared" si="15"/>
        <v>10.101327570422537</v>
      </c>
      <c r="X18" s="10">
        <f t="shared" si="15"/>
        <v>10.101327570422537</v>
      </c>
      <c r="Y18" s="10">
        <f t="shared" si="15"/>
        <v>10.101327570422537</v>
      </c>
      <c r="Z18" s="10">
        <f t="shared" si="15"/>
        <v>10.101327570422537</v>
      </c>
      <c r="AA18" s="10">
        <f t="shared" si="15"/>
        <v>10.101327570422537</v>
      </c>
      <c r="AB18" s="10">
        <f t="shared" si="15"/>
        <v>10.101327570422537</v>
      </c>
      <c r="AC18" s="10">
        <f t="shared" si="15"/>
        <v>10.101327570422537</v>
      </c>
      <c r="AD18" s="10">
        <f t="shared" si="15"/>
        <v>10.101327570422537</v>
      </c>
      <c r="AE18" s="10">
        <f t="shared" si="15"/>
        <v>10.101327570422537</v>
      </c>
      <c r="AF18" s="10">
        <f t="shared" si="15"/>
        <v>10.101327570422537</v>
      </c>
      <c r="AG18" s="10">
        <f t="shared" si="15"/>
        <v>10.101327570422537</v>
      </c>
      <c r="AH18" s="10">
        <f t="shared" si="17"/>
        <v>10.101327570422537</v>
      </c>
      <c r="AI18" s="10">
        <f t="shared" si="17"/>
        <v>10.101327570422537</v>
      </c>
      <c r="AJ18" s="10">
        <f t="shared" si="17"/>
        <v>10.101327570422537</v>
      </c>
      <c r="AK18" s="10">
        <f t="shared" si="17"/>
        <v>10.101327570422537</v>
      </c>
      <c r="AL18" s="10">
        <f t="shared" si="17"/>
        <v>10.101327570422537</v>
      </c>
      <c r="AM18" s="10">
        <f t="shared" si="17"/>
        <v>10.101327570422537</v>
      </c>
      <c r="AN18" s="10">
        <f t="shared" si="17"/>
        <v>10.101327570422537</v>
      </c>
      <c r="AO18" s="10">
        <f t="shared" si="17"/>
        <v>10.101327570422537</v>
      </c>
      <c r="AP18" s="10">
        <f t="shared" si="17"/>
        <v>10.101327570422537</v>
      </c>
      <c r="AQ18" s="10">
        <f t="shared" si="17"/>
        <v>10.101327570422537</v>
      </c>
      <c r="AR18" s="10">
        <f t="shared" si="17"/>
        <v>10.101327570422537</v>
      </c>
      <c r="AS18" s="10">
        <f t="shared" si="17"/>
        <v>10.101327570422537</v>
      </c>
      <c r="AT18" s="10">
        <f t="shared" si="17"/>
        <v>10.101327570422537</v>
      </c>
      <c r="AU18" s="10">
        <f t="shared" si="17"/>
        <v>10.101327570422537</v>
      </c>
      <c r="AV18" s="10">
        <f t="shared" si="17"/>
        <v>10.101327570422537</v>
      </c>
      <c r="AW18" s="10">
        <f t="shared" si="17"/>
        <v>10.101327570422537</v>
      </c>
      <c r="AX18" s="10">
        <f t="shared" si="17"/>
        <v>10.101327570422537</v>
      </c>
      <c r="AY18" s="10">
        <f t="shared" si="17"/>
        <v>10.101327570422537</v>
      </c>
      <c r="AZ18" s="10">
        <f t="shared" si="17"/>
        <v>10.101327570422537</v>
      </c>
      <c r="BA18" s="10">
        <f t="shared" si="17"/>
        <v>10.101327570422537</v>
      </c>
      <c r="BB18" s="10">
        <f t="shared" si="17"/>
        <v>10.101327570422537</v>
      </c>
      <c r="BC18" s="10">
        <f t="shared" si="17"/>
        <v>10.101327570422537</v>
      </c>
      <c r="BD18" s="10">
        <f t="shared" si="17"/>
        <v>10.101327570422537</v>
      </c>
      <c r="BE18" s="10">
        <f t="shared" si="17"/>
        <v>10.101327570422537</v>
      </c>
      <c r="BF18" s="10">
        <f t="shared" si="17"/>
        <v>10.101327570422537</v>
      </c>
      <c r="BG18" s="10">
        <f t="shared" si="17"/>
        <v>10.101327570422537</v>
      </c>
      <c r="BH18" s="10">
        <f t="shared" si="17"/>
        <v>10.101327570422537</v>
      </c>
      <c r="BI18" s="10">
        <f t="shared" si="17"/>
        <v>10.101327570422537</v>
      </c>
      <c r="BJ18" s="10">
        <f t="shared" si="17"/>
        <v>10.101327570422537</v>
      </c>
      <c r="BK18" s="10">
        <f t="shared" si="17"/>
        <v>10.101327570422537</v>
      </c>
      <c r="BL18" s="10">
        <f t="shared" si="17"/>
        <v>10.101327570422537</v>
      </c>
      <c r="BM18" s="10">
        <f t="shared" si="17"/>
        <v>10.101327570422537</v>
      </c>
      <c r="BN18" s="10">
        <f t="shared" si="17"/>
        <v>10.101327570422537</v>
      </c>
      <c r="BO18" s="10">
        <f t="shared" si="17"/>
        <v>10.101327570422537</v>
      </c>
      <c r="BP18" s="10">
        <f t="shared" si="17"/>
        <v>10.101327570422537</v>
      </c>
      <c r="BQ18" s="10">
        <f t="shared" si="17"/>
        <v>10.101327570422537</v>
      </c>
      <c r="BR18" s="10">
        <f t="shared" si="17"/>
        <v>10.101327570422537</v>
      </c>
      <c r="BS18" s="10">
        <f t="shared" si="17"/>
        <v>10.101327570422537</v>
      </c>
      <c r="BT18" s="10">
        <f t="shared" si="17"/>
        <v>10.101327570422537</v>
      </c>
      <c r="BU18" s="10">
        <f t="shared" si="17"/>
        <v>10.101327570422537</v>
      </c>
      <c r="BV18" s="10">
        <f t="shared" si="17"/>
        <v>10.101327570422537</v>
      </c>
      <c r="BW18" s="10">
        <f t="shared" si="17"/>
        <v>10.101327570422537</v>
      </c>
      <c r="BX18" s="10">
        <f t="shared" si="17"/>
        <v>10.101327570422537</v>
      </c>
      <c r="BY18" s="10">
        <f t="shared" si="17"/>
        <v>10.101327570422537</v>
      </c>
      <c r="BZ18" s="10">
        <f t="shared" si="17"/>
        <v>10.101327570422537</v>
      </c>
      <c r="CA18" s="10">
        <f t="shared" si="17"/>
        <v>10.101327570422537</v>
      </c>
      <c r="CB18" s="10">
        <f t="shared" si="17"/>
        <v>10.101327570422537</v>
      </c>
      <c r="CC18" s="10">
        <f t="shared" si="17"/>
        <v>10.101327570422537</v>
      </c>
      <c r="CD18" s="10">
        <f t="shared" si="17"/>
        <v>10.101327570422537</v>
      </c>
      <c r="CE18" s="10">
        <f t="shared" si="17"/>
        <v>10.101327570422537</v>
      </c>
      <c r="CF18" s="10">
        <f t="shared" si="17"/>
        <v>10.101327570422537</v>
      </c>
      <c r="CG18" s="10">
        <f t="shared" si="17"/>
        <v>10.101327570422537</v>
      </c>
      <c r="CH18" s="10">
        <f t="shared" si="17"/>
        <v>10.101327570422537</v>
      </c>
      <c r="CI18" s="10">
        <f t="shared" si="17"/>
        <v>10.101327570422537</v>
      </c>
      <c r="CJ18" s="10">
        <f t="shared" si="17"/>
        <v>10.101327570422537</v>
      </c>
      <c r="CK18" s="10">
        <f t="shared" si="17"/>
        <v>10.101327570422537</v>
      </c>
      <c r="CL18" s="10">
        <f t="shared" si="17"/>
        <v>10.101327570422537</v>
      </c>
      <c r="CM18" s="10">
        <f t="shared" si="17"/>
        <v>10.101327570422537</v>
      </c>
      <c r="CN18" s="10">
        <f t="shared" si="17"/>
        <v>10.101327570422537</v>
      </c>
      <c r="CO18" s="10">
        <f t="shared" si="17"/>
        <v>10.101327570422537</v>
      </c>
      <c r="CP18" s="10">
        <f t="shared" si="17"/>
        <v>10.101327570422537</v>
      </c>
      <c r="CQ18" s="10">
        <f t="shared" si="17"/>
        <v>10.101327570422537</v>
      </c>
      <c r="CR18" s="10">
        <f t="shared" si="17"/>
        <v>10.101327570422537</v>
      </c>
      <c r="CS18" s="10">
        <f t="shared" ref="CS18:FD21" si="19">$B18</f>
        <v>10.101327570422537</v>
      </c>
      <c r="CT18" s="10">
        <f t="shared" si="19"/>
        <v>10.101327570422537</v>
      </c>
      <c r="CU18" s="10">
        <f t="shared" si="19"/>
        <v>10.101327570422537</v>
      </c>
      <c r="CV18" s="10">
        <f t="shared" si="19"/>
        <v>10.101327570422537</v>
      </c>
      <c r="CW18" s="10">
        <f t="shared" si="19"/>
        <v>10.101327570422537</v>
      </c>
      <c r="CX18" s="10">
        <f t="shared" si="19"/>
        <v>10.101327570422537</v>
      </c>
      <c r="CY18" s="10">
        <f t="shared" si="19"/>
        <v>10.101327570422537</v>
      </c>
      <c r="CZ18" s="10">
        <f t="shared" si="19"/>
        <v>10.101327570422537</v>
      </c>
      <c r="DA18" s="10">
        <f t="shared" si="19"/>
        <v>10.101327570422537</v>
      </c>
      <c r="DB18" s="10">
        <f t="shared" si="19"/>
        <v>10.101327570422537</v>
      </c>
      <c r="DC18" s="10">
        <f t="shared" si="19"/>
        <v>10.101327570422537</v>
      </c>
      <c r="DD18" s="10">
        <f t="shared" si="19"/>
        <v>10.101327570422537</v>
      </c>
      <c r="DE18" s="10">
        <f t="shared" si="19"/>
        <v>10.101327570422537</v>
      </c>
      <c r="DF18" s="10">
        <f t="shared" si="19"/>
        <v>10.101327570422537</v>
      </c>
      <c r="DG18" s="10">
        <f t="shared" si="19"/>
        <v>10.101327570422537</v>
      </c>
      <c r="DH18" s="10">
        <f t="shared" si="19"/>
        <v>10.101327570422537</v>
      </c>
      <c r="DI18" s="10">
        <f t="shared" si="19"/>
        <v>10.101327570422537</v>
      </c>
      <c r="DJ18" s="10">
        <f t="shared" si="19"/>
        <v>10.101327570422537</v>
      </c>
      <c r="DK18" s="10">
        <f t="shared" si="19"/>
        <v>10.101327570422537</v>
      </c>
      <c r="DL18" s="10">
        <f t="shared" si="19"/>
        <v>10.101327570422537</v>
      </c>
      <c r="DM18" s="10">
        <f t="shared" si="19"/>
        <v>10.101327570422537</v>
      </c>
      <c r="DN18" s="10">
        <f t="shared" si="19"/>
        <v>10.101327570422537</v>
      </c>
      <c r="DO18" s="10">
        <f t="shared" si="19"/>
        <v>10.101327570422537</v>
      </c>
      <c r="DP18" s="10">
        <f t="shared" si="19"/>
        <v>10.101327570422537</v>
      </c>
      <c r="DQ18" s="10">
        <f t="shared" si="19"/>
        <v>10.101327570422537</v>
      </c>
      <c r="DR18" s="10">
        <f t="shared" si="19"/>
        <v>10.101327570422537</v>
      </c>
      <c r="DS18" s="10">
        <f t="shared" si="19"/>
        <v>10.101327570422537</v>
      </c>
      <c r="DT18" s="10">
        <f t="shared" si="19"/>
        <v>10.101327570422537</v>
      </c>
      <c r="DU18" s="10">
        <f t="shared" si="19"/>
        <v>10.101327570422537</v>
      </c>
      <c r="DV18" s="10">
        <f t="shared" si="19"/>
        <v>10.101327570422537</v>
      </c>
      <c r="DW18" s="10">
        <f t="shared" si="19"/>
        <v>10.101327570422537</v>
      </c>
      <c r="DX18" s="10">
        <f t="shared" si="19"/>
        <v>10.101327570422537</v>
      </c>
      <c r="DY18" s="10">
        <f t="shared" si="19"/>
        <v>10.101327570422537</v>
      </c>
      <c r="DZ18" s="10">
        <f t="shared" si="19"/>
        <v>10.101327570422537</v>
      </c>
      <c r="EA18" s="10">
        <f t="shared" si="19"/>
        <v>10.101327570422537</v>
      </c>
      <c r="EB18" s="10">
        <f t="shared" si="19"/>
        <v>10.101327570422537</v>
      </c>
      <c r="EC18" s="10">
        <f t="shared" si="19"/>
        <v>10.101327570422537</v>
      </c>
      <c r="ED18" s="10">
        <f t="shared" si="19"/>
        <v>10.101327570422537</v>
      </c>
      <c r="EE18" s="10">
        <f t="shared" si="19"/>
        <v>10.101327570422537</v>
      </c>
      <c r="EF18" s="10">
        <f t="shared" si="19"/>
        <v>10.101327570422537</v>
      </c>
      <c r="EG18" s="10">
        <f t="shared" si="19"/>
        <v>10.101327570422537</v>
      </c>
      <c r="EH18" s="10">
        <f t="shared" si="19"/>
        <v>10.101327570422537</v>
      </c>
      <c r="EI18" s="10">
        <f t="shared" si="19"/>
        <v>10.101327570422537</v>
      </c>
      <c r="EJ18" s="10">
        <f t="shared" si="19"/>
        <v>10.101327570422537</v>
      </c>
      <c r="EK18" s="10">
        <f t="shared" si="19"/>
        <v>10.101327570422537</v>
      </c>
      <c r="EL18" s="10">
        <f t="shared" si="19"/>
        <v>10.101327570422537</v>
      </c>
      <c r="EM18" s="10">
        <f t="shared" si="19"/>
        <v>10.101327570422537</v>
      </c>
      <c r="EN18" s="10">
        <f t="shared" si="19"/>
        <v>10.101327570422537</v>
      </c>
      <c r="EO18" s="10">
        <f t="shared" si="19"/>
        <v>10.101327570422537</v>
      </c>
      <c r="EP18" s="10">
        <f t="shared" si="19"/>
        <v>10.101327570422537</v>
      </c>
      <c r="EQ18" s="10">
        <f t="shared" si="19"/>
        <v>10.101327570422537</v>
      </c>
      <c r="ER18" s="10">
        <f t="shared" si="19"/>
        <v>10.101327570422537</v>
      </c>
      <c r="ES18" s="10">
        <f t="shared" si="19"/>
        <v>10.101327570422537</v>
      </c>
      <c r="ET18" s="10">
        <f t="shared" si="19"/>
        <v>10.101327570422537</v>
      </c>
      <c r="EU18" s="10">
        <f t="shared" si="19"/>
        <v>10.101327570422537</v>
      </c>
      <c r="EV18" s="10">
        <f t="shared" si="19"/>
        <v>10.101327570422537</v>
      </c>
      <c r="EW18" s="10">
        <f t="shared" si="19"/>
        <v>10.101327570422537</v>
      </c>
      <c r="EX18" s="10">
        <f t="shared" si="19"/>
        <v>10.101327570422537</v>
      </c>
      <c r="EY18" s="10">
        <f t="shared" si="19"/>
        <v>10.101327570422537</v>
      </c>
      <c r="EZ18" s="10">
        <f t="shared" si="19"/>
        <v>10.101327570422537</v>
      </c>
      <c r="FA18" s="10">
        <f t="shared" si="19"/>
        <v>10.101327570422537</v>
      </c>
      <c r="FB18" s="10">
        <f t="shared" si="19"/>
        <v>10.101327570422537</v>
      </c>
      <c r="FC18" s="10">
        <f t="shared" si="19"/>
        <v>10.101327570422537</v>
      </c>
      <c r="FD18" s="10">
        <f t="shared" si="19"/>
        <v>10.101327570422537</v>
      </c>
      <c r="FE18" s="10">
        <f t="shared" si="18"/>
        <v>10.101327570422537</v>
      </c>
      <c r="FF18" s="10">
        <f t="shared" si="18"/>
        <v>10.101327570422537</v>
      </c>
      <c r="FG18" s="10">
        <f t="shared" si="18"/>
        <v>10.101327570422537</v>
      </c>
      <c r="FH18" s="10">
        <f t="shared" si="18"/>
        <v>10.101327570422537</v>
      </c>
      <c r="FI18" s="10">
        <f t="shared" si="18"/>
        <v>10.101327570422537</v>
      </c>
      <c r="FJ18" s="10">
        <f t="shared" si="18"/>
        <v>10.101327570422537</v>
      </c>
      <c r="FK18" s="10">
        <f t="shared" si="18"/>
        <v>10.101327570422537</v>
      </c>
      <c r="FL18" s="10">
        <f t="shared" si="18"/>
        <v>10.101327570422537</v>
      </c>
      <c r="FM18" s="10">
        <f t="shared" si="18"/>
        <v>10.101327570422537</v>
      </c>
      <c r="FN18" s="10">
        <f t="shared" si="18"/>
        <v>10.101327570422537</v>
      </c>
      <c r="FO18" s="10">
        <f t="shared" si="18"/>
        <v>10.101327570422537</v>
      </c>
      <c r="FP18" s="10">
        <f t="shared" si="18"/>
        <v>10.101327570422537</v>
      </c>
      <c r="FQ18" s="10">
        <f t="shared" si="18"/>
        <v>10.101327570422537</v>
      </c>
      <c r="FR18" s="10">
        <f t="shared" si="18"/>
        <v>10.101327570422537</v>
      </c>
      <c r="FS18" s="10">
        <f t="shared" si="18"/>
        <v>10.101327570422537</v>
      </c>
      <c r="FT18" s="10">
        <f t="shared" si="18"/>
        <v>10.101327570422537</v>
      </c>
      <c r="FU18" s="10">
        <f t="shared" si="18"/>
        <v>10.101327570422537</v>
      </c>
      <c r="FV18" s="10">
        <f t="shared" si="18"/>
        <v>10.101327570422537</v>
      </c>
      <c r="FW18" s="10">
        <f t="shared" si="18"/>
        <v>10.101327570422537</v>
      </c>
      <c r="FX18" s="10">
        <f t="shared" si="18"/>
        <v>10.101327570422537</v>
      </c>
      <c r="FY18" s="10">
        <f t="shared" si="18"/>
        <v>10.101327570422537</v>
      </c>
      <c r="FZ18" s="10">
        <f t="shared" si="18"/>
        <v>10.101327570422537</v>
      </c>
      <c r="GA18" s="10">
        <f t="shared" si="18"/>
        <v>10.101327570422537</v>
      </c>
      <c r="GB18" s="10">
        <f t="shared" si="18"/>
        <v>10.101327570422537</v>
      </c>
      <c r="GC18" s="10">
        <f t="shared" si="18"/>
        <v>10.101327570422537</v>
      </c>
      <c r="GD18" s="10">
        <f t="shared" si="18"/>
        <v>10.101327570422537</v>
      </c>
      <c r="GE18" s="10">
        <f t="shared" si="18"/>
        <v>10.101327570422537</v>
      </c>
      <c r="GF18" s="10">
        <f t="shared" si="18"/>
        <v>10.101327570422537</v>
      </c>
      <c r="GG18" s="10">
        <f t="shared" si="18"/>
        <v>10.101327570422537</v>
      </c>
      <c r="GH18" s="10">
        <f t="shared" si="18"/>
        <v>10.101327570422537</v>
      </c>
      <c r="GI18" s="10">
        <f t="shared" si="18"/>
        <v>10.101327570422537</v>
      </c>
      <c r="GJ18" s="10">
        <f t="shared" si="18"/>
        <v>10.101327570422537</v>
      </c>
      <c r="GK18" s="10">
        <f t="shared" si="18"/>
        <v>10.101327570422537</v>
      </c>
      <c r="GL18" s="10">
        <f t="shared" si="18"/>
        <v>10.101327570422537</v>
      </c>
      <c r="GM18" s="10">
        <f t="shared" si="18"/>
        <v>10.101327570422537</v>
      </c>
      <c r="GN18" s="10">
        <f t="shared" si="18"/>
        <v>10.101327570422537</v>
      </c>
      <c r="GO18" s="10">
        <f t="shared" si="18"/>
        <v>10.101327570422537</v>
      </c>
      <c r="GP18" s="10">
        <f t="shared" si="18"/>
        <v>10.101327570422537</v>
      </c>
      <c r="GQ18" s="10">
        <f t="shared" si="18"/>
        <v>10.101327570422537</v>
      </c>
      <c r="GR18" s="10">
        <f t="shared" si="18"/>
        <v>10.101327570422537</v>
      </c>
      <c r="GS18" s="10">
        <f t="shared" si="18"/>
        <v>10.101327570422537</v>
      </c>
      <c r="GT18" s="10">
        <f t="shared" si="18"/>
        <v>10.101327570422537</v>
      </c>
      <c r="GU18" s="10">
        <f t="shared" si="18"/>
        <v>10.101327570422537</v>
      </c>
      <c r="GV18" s="10">
        <f t="shared" si="18"/>
        <v>10.101327570422537</v>
      </c>
      <c r="GW18" s="10">
        <f t="shared" si="18"/>
        <v>10.101327570422537</v>
      </c>
      <c r="GX18" s="10">
        <f t="shared" si="18"/>
        <v>10.101327570422537</v>
      </c>
      <c r="GY18" s="10">
        <f t="shared" si="18"/>
        <v>10.101327570422537</v>
      </c>
      <c r="GZ18" s="10">
        <f t="shared" si="18"/>
        <v>10.101327570422537</v>
      </c>
      <c r="HA18" s="10">
        <f t="shared" si="18"/>
        <v>10.101327570422537</v>
      </c>
      <c r="HB18" s="10">
        <f t="shared" si="18"/>
        <v>10.101327570422537</v>
      </c>
      <c r="HC18" s="10">
        <f t="shared" si="18"/>
        <v>10.101327570422537</v>
      </c>
    </row>
    <row r="19" spans="1:211">
      <c r="A19" t="s">
        <v>77</v>
      </c>
      <c r="B19" s="10">
        <f>'CCaMC-VOaMCpUC US'!B19</f>
        <v>12.751927150607077</v>
      </c>
      <c r="C19" s="10">
        <f>$B19</f>
        <v>12.751927150607077</v>
      </c>
      <c r="D19" s="10">
        <f t="shared" si="6"/>
        <v>12.751927150607077</v>
      </c>
      <c r="E19" s="10">
        <f t="shared" si="6"/>
        <v>12.751927150607077</v>
      </c>
      <c r="F19" s="10">
        <f t="shared" si="15"/>
        <v>12.751927150607077</v>
      </c>
      <c r="G19" s="10">
        <f t="shared" si="15"/>
        <v>12.751927150607077</v>
      </c>
      <c r="H19" s="10">
        <f t="shared" si="15"/>
        <v>12.751927150607077</v>
      </c>
      <c r="I19" s="10">
        <f t="shared" si="15"/>
        <v>12.751927150607077</v>
      </c>
      <c r="J19" s="10">
        <f t="shared" si="15"/>
        <v>12.751927150607077</v>
      </c>
      <c r="K19" s="10">
        <f t="shared" si="15"/>
        <v>12.751927150607077</v>
      </c>
      <c r="L19" s="10">
        <f t="shared" si="15"/>
        <v>12.751927150607077</v>
      </c>
      <c r="M19" s="10">
        <f t="shared" si="15"/>
        <v>12.751927150607077</v>
      </c>
      <c r="N19" s="10">
        <f t="shared" si="15"/>
        <v>12.751927150607077</v>
      </c>
      <c r="O19" s="10">
        <f t="shared" si="15"/>
        <v>12.751927150607077</v>
      </c>
      <c r="P19" s="10">
        <f t="shared" si="15"/>
        <v>12.751927150607077</v>
      </c>
      <c r="Q19" s="10">
        <f t="shared" si="15"/>
        <v>12.751927150607077</v>
      </c>
      <c r="R19" s="10">
        <f t="shared" si="15"/>
        <v>12.751927150607077</v>
      </c>
      <c r="S19" s="10">
        <f t="shared" si="15"/>
        <v>12.751927150607077</v>
      </c>
      <c r="T19" s="10">
        <f t="shared" si="15"/>
        <v>12.751927150607077</v>
      </c>
      <c r="U19" s="10">
        <f t="shared" si="15"/>
        <v>12.751927150607077</v>
      </c>
      <c r="V19" s="10">
        <f t="shared" si="15"/>
        <v>12.751927150607077</v>
      </c>
      <c r="W19" s="10">
        <f t="shared" si="15"/>
        <v>12.751927150607077</v>
      </c>
      <c r="X19" s="10">
        <f t="shared" si="15"/>
        <v>12.751927150607077</v>
      </c>
      <c r="Y19" s="10">
        <f t="shared" si="15"/>
        <v>12.751927150607077</v>
      </c>
      <c r="Z19" s="10">
        <f t="shared" si="15"/>
        <v>12.751927150607077</v>
      </c>
      <c r="AA19" s="10">
        <f t="shared" si="15"/>
        <v>12.751927150607077</v>
      </c>
      <c r="AB19" s="10">
        <f t="shared" si="15"/>
        <v>12.751927150607077</v>
      </c>
      <c r="AC19" s="10">
        <f t="shared" si="15"/>
        <v>12.751927150607077</v>
      </c>
      <c r="AD19" s="10">
        <f t="shared" si="15"/>
        <v>12.751927150607077</v>
      </c>
      <c r="AE19" s="10">
        <f t="shared" si="15"/>
        <v>12.751927150607077</v>
      </c>
      <c r="AF19" s="10">
        <f t="shared" si="15"/>
        <v>12.751927150607077</v>
      </c>
      <c r="AG19" s="10">
        <f t="shared" si="15"/>
        <v>12.751927150607077</v>
      </c>
      <c r="AH19" s="10">
        <f t="shared" ref="AH19:CS22" si="20">$B19</f>
        <v>12.751927150607077</v>
      </c>
      <c r="AI19" s="10">
        <f t="shared" si="20"/>
        <v>12.751927150607077</v>
      </c>
      <c r="AJ19" s="10">
        <f t="shared" si="20"/>
        <v>12.751927150607077</v>
      </c>
      <c r="AK19" s="10">
        <f t="shared" si="20"/>
        <v>12.751927150607077</v>
      </c>
      <c r="AL19" s="10">
        <f t="shared" si="20"/>
        <v>12.751927150607077</v>
      </c>
      <c r="AM19" s="10">
        <f t="shared" si="20"/>
        <v>12.751927150607077</v>
      </c>
      <c r="AN19" s="10">
        <f t="shared" si="20"/>
        <v>12.751927150607077</v>
      </c>
      <c r="AO19" s="10">
        <f t="shared" si="20"/>
        <v>12.751927150607077</v>
      </c>
      <c r="AP19" s="10">
        <f t="shared" si="20"/>
        <v>12.751927150607077</v>
      </c>
      <c r="AQ19" s="10">
        <f t="shared" si="20"/>
        <v>12.751927150607077</v>
      </c>
      <c r="AR19" s="10">
        <f t="shared" si="20"/>
        <v>12.751927150607077</v>
      </c>
      <c r="AS19" s="10">
        <f t="shared" si="20"/>
        <v>12.751927150607077</v>
      </c>
      <c r="AT19" s="10">
        <f t="shared" si="20"/>
        <v>12.751927150607077</v>
      </c>
      <c r="AU19" s="10">
        <f t="shared" si="20"/>
        <v>12.751927150607077</v>
      </c>
      <c r="AV19" s="10">
        <f t="shared" si="20"/>
        <v>12.751927150607077</v>
      </c>
      <c r="AW19" s="10">
        <f t="shared" si="20"/>
        <v>12.751927150607077</v>
      </c>
      <c r="AX19" s="10">
        <f t="shared" si="20"/>
        <v>12.751927150607077</v>
      </c>
      <c r="AY19" s="10">
        <f t="shared" si="20"/>
        <v>12.751927150607077</v>
      </c>
      <c r="AZ19" s="10">
        <f t="shared" si="20"/>
        <v>12.751927150607077</v>
      </c>
      <c r="BA19" s="10">
        <f t="shared" si="20"/>
        <v>12.751927150607077</v>
      </c>
      <c r="BB19" s="10">
        <f t="shared" si="20"/>
        <v>12.751927150607077</v>
      </c>
      <c r="BC19" s="10">
        <f t="shared" si="20"/>
        <v>12.751927150607077</v>
      </c>
      <c r="BD19" s="10">
        <f t="shared" si="20"/>
        <v>12.751927150607077</v>
      </c>
      <c r="BE19" s="10">
        <f t="shared" si="20"/>
        <v>12.751927150607077</v>
      </c>
      <c r="BF19" s="10">
        <f t="shared" si="20"/>
        <v>12.751927150607077</v>
      </c>
      <c r="BG19" s="10">
        <f t="shared" si="20"/>
        <v>12.751927150607077</v>
      </c>
      <c r="BH19" s="10">
        <f t="shared" si="20"/>
        <v>12.751927150607077</v>
      </c>
      <c r="BI19" s="10">
        <f t="shared" si="20"/>
        <v>12.751927150607077</v>
      </c>
      <c r="BJ19" s="10">
        <f t="shared" si="20"/>
        <v>12.751927150607077</v>
      </c>
      <c r="BK19" s="10">
        <f t="shared" si="20"/>
        <v>12.751927150607077</v>
      </c>
      <c r="BL19" s="10">
        <f t="shared" si="20"/>
        <v>12.751927150607077</v>
      </c>
      <c r="BM19" s="10">
        <f t="shared" si="20"/>
        <v>12.751927150607077</v>
      </c>
      <c r="BN19" s="10">
        <f t="shared" si="20"/>
        <v>12.751927150607077</v>
      </c>
      <c r="BO19" s="10">
        <f t="shared" si="20"/>
        <v>12.751927150607077</v>
      </c>
      <c r="BP19" s="10">
        <f t="shared" si="20"/>
        <v>12.751927150607077</v>
      </c>
      <c r="BQ19" s="10">
        <f t="shared" si="20"/>
        <v>12.751927150607077</v>
      </c>
      <c r="BR19" s="10">
        <f t="shared" si="20"/>
        <v>12.751927150607077</v>
      </c>
      <c r="BS19" s="10">
        <f t="shared" si="20"/>
        <v>12.751927150607077</v>
      </c>
      <c r="BT19" s="10">
        <f t="shared" si="20"/>
        <v>12.751927150607077</v>
      </c>
      <c r="BU19" s="10">
        <f t="shared" si="20"/>
        <v>12.751927150607077</v>
      </c>
      <c r="BV19" s="10">
        <f t="shared" si="20"/>
        <v>12.751927150607077</v>
      </c>
      <c r="BW19" s="10">
        <f t="shared" si="20"/>
        <v>12.751927150607077</v>
      </c>
      <c r="BX19" s="10">
        <f t="shared" si="20"/>
        <v>12.751927150607077</v>
      </c>
      <c r="BY19" s="10">
        <f t="shared" si="20"/>
        <v>12.751927150607077</v>
      </c>
      <c r="BZ19" s="10">
        <f t="shared" si="20"/>
        <v>12.751927150607077</v>
      </c>
      <c r="CA19" s="10">
        <f t="shared" si="20"/>
        <v>12.751927150607077</v>
      </c>
      <c r="CB19" s="10">
        <f t="shared" si="20"/>
        <v>12.751927150607077</v>
      </c>
      <c r="CC19" s="10">
        <f t="shared" si="20"/>
        <v>12.751927150607077</v>
      </c>
      <c r="CD19" s="10">
        <f t="shared" si="20"/>
        <v>12.751927150607077</v>
      </c>
      <c r="CE19" s="10">
        <f t="shared" si="20"/>
        <v>12.751927150607077</v>
      </c>
      <c r="CF19" s="10">
        <f t="shared" si="20"/>
        <v>12.751927150607077</v>
      </c>
      <c r="CG19" s="10">
        <f t="shared" si="20"/>
        <v>12.751927150607077</v>
      </c>
      <c r="CH19" s="10">
        <f t="shared" si="20"/>
        <v>12.751927150607077</v>
      </c>
      <c r="CI19" s="10">
        <f t="shared" si="20"/>
        <v>12.751927150607077</v>
      </c>
      <c r="CJ19" s="10">
        <f t="shared" si="20"/>
        <v>12.751927150607077</v>
      </c>
      <c r="CK19" s="10">
        <f t="shared" si="20"/>
        <v>12.751927150607077</v>
      </c>
      <c r="CL19" s="10">
        <f t="shared" si="20"/>
        <v>12.751927150607077</v>
      </c>
      <c r="CM19" s="10">
        <f t="shared" si="20"/>
        <v>12.751927150607077</v>
      </c>
      <c r="CN19" s="10">
        <f t="shared" si="20"/>
        <v>12.751927150607077</v>
      </c>
      <c r="CO19" s="10">
        <f t="shared" si="20"/>
        <v>12.751927150607077</v>
      </c>
      <c r="CP19" s="10">
        <f t="shared" si="20"/>
        <v>12.751927150607077</v>
      </c>
      <c r="CQ19" s="10">
        <f t="shared" si="20"/>
        <v>12.751927150607077</v>
      </c>
      <c r="CR19" s="10">
        <f t="shared" si="20"/>
        <v>12.751927150607077</v>
      </c>
      <c r="CS19" s="10">
        <f t="shared" si="20"/>
        <v>12.751927150607077</v>
      </c>
      <c r="CT19" s="10">
        <f t="shared" si="19"/>
        <v>12.751927150607077</v>
      </c>
      <c r="CU19" s="10">
        <f t="shared" si="19"/>
        <v>12.751927150607077</v>
      </c>
      <c r="CV19" s="10">
        <f t="shared" si="19"/>
        <v>12.751927150607077</v>
      </c>
      <c r="CW19" s="10">
        <f t="shared" si="19"/>
        <v>12.751927150607077</v>
      </c>
      <c r="CX19" s="10">
        <f t="shared" si="19"/>
        <v>12.751927150607077</v>
      </c>
      <c r="CY19" s="10">
        <f t="shared" si="19"/>
        <v>12.751927150607077</v>
      </c>
      <c r="CZ19" s="10">
        <f t="shared" si="19"/>
        <v>12.751927150607077</v>
      </c>
      <c r="DA19" s="10">
        <f t="shared" si="19"/>
        <v>12.751927150607077</v>
      </c>
      <c r="DB19" s="10">
        <f t="shared" si="19"/>
        <v>12.751927150607077</v>
      </c>
      <c r="DC19" s="10">
        <f t="shared" si="19"/>
        <v>12.751927150607077</v>
      </c>
      <c r="DD19" s="10">
        <f t="shared" si="19"/>
        <v>12.751927150607077</v>
      </c>
      <c r="DE19" s="10">
        <f t="shared" si="19"/>
        <v>12.751927150607077</v>
      </c>
      <c r="DF19" s="10">
        <f t="shared" si="19"/>
        <v>12.751927150607077</v>
      </c>
      <c r="DG19" s="10">
        <f t="shared" si="19"/>
        <v>12.751927150607077</v>
      </c>
      <c r="DH19" s="10">
        <f t="shared" si="19"/>
        <v>12.751927150607077</v>
      </c>
      <c r="DI19" s="10">
        <f t="shared" si="19"/>
        <v>12.751927150607077</v>
      </c>
      <c r="DJ19" s="10">
        <f t="shared" si="19"/>
        <v>12.751927150607077</v>
      </c>
      <c r="DK19" s="10">
        <f t="shared" si="19"/>
        <v>12.751927150607077</v>
      </c>
      <c r="DL19" s="10">
        <f t="shared" si="19"/>
        <v>12.751927150607077</v>
      </c>
      <c r="DM19" s="10">
        <f t="shared" si="19"/>
        <v>12.751927150607077</v>
      </c>
      <c r="DN19" s="10">
        <f t="shared" si="19"/>
        <v>12.751927150607077</v>
      </c>
      <c r="DO19" s="10">
        <f t="shared" si="19"/>
        <v>12.751927150607077</v>
      </c>
      <c r="DP19" s="10">
        <f t="shared" si="19"/>
        <v>12.751927150607077</v>
      </c>
      <c r="DQ19" s="10">
        <f t="shared" si="19"/>
        <v>12.751927150607077</v>
      </c>
      <c r="DR19" s="10">
        <f t="shared" si="19"/>
        <v>12.751927150607077</v>
      </c>
      <c r="DS19" s="10">
        <f t="shared" si="19"/>
        <v>12.751927150607077</v>
      </c>
      <c r="DT19" s="10">
        <f t="shared" si="19"/>
        <v>12.751927150607077</v>
      </c>
      <c r="DU19" s="10">
        <f t="shared" si="19"/>
        <v>12.751927150607077</v>
      </c>
      <c r="DV19" s="10">
        <f t="shared" si="19"/>
        <v>12.751927150607077</v>
      </c>
      <c r="DW19" s="10">
        <f t="shared" si="19"/>
        <v>12.751927150607077</v>
      </c>
      <c r="DX19" s="10">
        <f t="shared" si="19"/>
        <v>12.751927150607077</v>
      </c>
      <c r="DY19" s="10">
        <f t="shared" si="19"/>
        <v>12.751927150607077</v>
      </c>
      <c r="DZ19" s="10">
        <f t="shared" si="19"/>
        <v>12.751927150607077</v>
      </c>
      <c r="EA19" s="10">
        <f t="shared" si="19"/>
        <v>12.751927150607077</v>
      </c>
      <c r="EB19" s="10">
        <f t="shared" si="19"/>
        <v>12.751927150607077</v>
      </c>
      <c r="EC19" s="10">
        <f t="shared" si="19"/>
        <v>12.751927150607077</v>
      </c>
      <c r="ED19" s="10">
        <f t="shared" si="19"/>
        <v>12.751927150607077</v>
      </c>
      <c r="EE19" s="10">
        <f t="shared" si="19"/>
        <v>12.751927150607077</v>
      </c>
      <c r="EF19" s="10">
        <f t="shared" si="19"/>
        <v>12.751927150607077</v>
      </c>
      <c r="EG19" s="10">
        <f t="shared" si="19"/>
        <v>12.751927150607077</v>
      </c>
      <c r="EH19" s="10">
        <f t="shared" si="19"/>
        <v>12.751927150607077</v>
      </c>
      <c r="EI19" s="10">
        <f t="shared" si="19"/>
        <v>12.751927150607077</v>
      </c>
      <c r="EJ19" s="10">
        <f t="shared" si="19"/>
        <v>12.751927150607077</v>
      </c>
      <c r="EK19" s="10">
        <f t="shared" si="19"/>
        <v>12.751927150607077</v>
      </c>
      <c r="EL19" s="10">
        <f t="shared" si="19"/>
        <v>12.751927150607077</v>
      </c>
      <c r="EM19" s="10">
        <f t="shared" si="19"/>
        <v>12.751927150607077</v>
      </c>
      <c r="EN19" s="10">
        <f t="shared" si="19"/>
        <v>12.751927150607077</v>
      </c>
      <c r="EO19" s="10">
        <f t="shared" si="19"/>
        <v>12.751927150607077</v>
      </c>
      <c r="EP19" s="10">
        <f t="shared" si="19"/>
        <v>12.751927150607077</v>
      </c>
      <c r="EQ19" s="10">
        <f t="shared" si="19"/>
        <v>12.751927150607077</v>
      </c>
      <c r="ER19" s="10">
        <f t="shared" si="19"/>
        <v>12.751927150607077</v>
      </c>
      <c r="ES19" s="10">
        <f t="shared" si="19"/>
        <v>12.751927150607077</v>
      </c>
      <c r="ET19" s="10">
        <f t="shared" si="19"/>
        <v>12.751927150607077</v>
      </c>
      <c r="EU19" s="10">
        <f t="shared" si="19"/>
        <v>12.751927150607077</v>
      </c>
      <c r="EV19" s="10">
        <f t="shared" si="19"/>
        <v>12.751927150607077</v>
      </c>
      <c r="EW19" s="10">
        <f t="shared" si="19"/>
        <v>12.751927150607077</v>
      </c>
      <c r="EX19" s="10">
        <f t="shared" si="19"/>
        <v>12.751927150607077</v>
      </c>
      <c r="EY19" s="10">
        <f t="shared" si="19"/>
        <v>12.751927150607077</v>
      </c>
      <c r="EZ19" s="10">
        <f t="shared" si="19"/>
        <v>12.751927150607077</v>
      </c>
      <c r="FA19" s="10">
        <f t="shared" si="19"/>
        <v>12.751927150607077</v>
      </c>
      <c r="FB19" s="10">
        <f t="shared" si="19"/>
        <v>12.751927150607077</v>
      </c>
      <c r="FC19" s="10">
        <f t="shared" si="19"/>
        <v>12.751927150607077</v>
      </c>
      <c r="FD19" s="10">
        <f t="shared" si="19"/>
        <v>12.751927150607077</v>
      </c>
      <c r="FE19" s="10">
        <f t="shared" si="18"/>
        <v>12.751927150607077</v>
      </c>
      <c r="FF19" s="10">
        <f t="shared" si="18"/>
        <v>12.751927150607077</v>
      </c>
      <c r="FG19" s="10">
        <f t="shared" si="18"/>
        <v>12.751927150607077</v>
      </c>
      <c r="FH19" s="10">
        <f t="shared" si="18"/>
        <v>12.751927150607077</v>
      </c>
      <c r="FI19" s="10">
        <f t="shared" si="18"/>
        <v>12.751927150607077</v>
      </c>
      <c r="FJ19" s="10">
        <f t="shared" si="18"/>
        <v>12.751927150607077</v>
      </c>
      <c r="FK19" s="10">
        <f t="shared" si="18"/>
        <v>12.751927150607077</v>
      </c>
      <c r="FL19" s="10">
        <f t="shared" si="18"/>
        <v>12.751927150607077</v>
      </c>
      <c r="FM19" s="10">
        <f t="shared" si="18"/>
        <v>12.751927150607077</v>
      </c>
      <c r="FN19" s="10">
        <f t="shared" si="18"/>
        <v>12.751927150607077</v>
      </c>
      <c r="FO19" s="10">
        <f t="shared" si="18"/>
        <v>12.751927150607077</v>
      </c>
      <c r="FP19" s="10">
        <f t="shared" si="18"/>
        <v>12.751927150607077</v>
      </c>
      <c r="FQ19" s="10">
        <f t="shared" si="18"/>
        <v>12.751927150607077</v>
      </c>
      <c r="FR19" s="10">
        <f t="shared" si="18"/>
        <v>12.751927150607077</v>
      </c>
      <c r="FS19" s="10">
        <f t="shared" si="18"/>
        <v>12.751927150607077</v>
      </c>
      <c r="FT19" s="10">
        <f t="shared" si="18"/>
        <v>12.751927150607077</v>
      </c>
      <c r="FU19" s="10">
        <f t="shared" si="18"/>
        <v>12.751927150607077</v>
      </c>
      <c r="FV19" s="10">
        <f t="shared" si="18"/>
        <v>12.751927150607077</v>
      </c>
      <c r="FW19" s="10">
        <f t="shared" si="18"/>
        <v>12.751927150607077</v>
      </c>
      <c r="FX19" s="10">
        <f t="shared" si="18"/>
        <v>12.751927150607077</v>
      </c>
      <c r="FY19" s="10">
        <f t="shared" si="18"/>
        <v>12.751927150607077</v>
      </c>
      <c r="FZ19" s="10">
        <f t="shared" si="18"/>
        <v>12.751927150607077</v>
      </c>
      <c r="GA19" s="10">
        <f t="shared" si="18"/>
        <v>12.751927150607077</v>
      </c>
      <c r="GB19" s="10">
        <f t="shared" si="18"/>
        <v>12.751927150607077</v>
      </c>
      <c r="GC19" s="10">
        <f t="shared" si="18"/>
        <v>12.751927150607077</v>
      </c>
      <c r="GD19" s="10">
        <f t="shared" si="18"/>
        <v>12.751927150607077</v>
      </c>
      <c r="GE19" s="10">
        <f t="shared" si="18"/>
        <v>12.751927150607077</v>
      </c>
      <c r="GF19" s="10">
        <f t="shared" si="18"/>
        <v>12.751927150607077</v>
      </c>
      <c r="GG19" s="10">
        <f t="shared" si="18"/>
        <v>12.751927150607077</v>
      </c>
      <c r="GH19" s="10">
        <f t="shared" si="18"/>
        <v>12.751927150607077</v>
      </c>
      <c r="GI19" s="10">
        <f t="shared" si="18"/>
        <v>12.751927150607077</v>
      </c>
      <c r="GJ19" s="10">
        <f t="shared" si="18"/>
        <v>12.751927150607077</v>
      </c>
      <c r="GK19" s="10">
        <f t="shared" si="18"/>
        <v>12.751927150607077</v>
      </c>
      <c r="GL19" s="10">
        <f t="shared" si="18"/>
        <v>12.751927150607077</v>
      </c>
      <c r="GM19" s="10">
        <f t="shared" si="18"/>
        <v>12.751927150607077</v>
      </c>
      <c r="GN19" s="10">
        <f t="shared" si="18"/>
        <v>12.751927150607077</v>
      </c>
      <c r="GO19" s="10">
        <f t="shared" si="18"/>
        <v>12.751927150607077</v>
      </c>
      <c r="GP19" s="10">
        <f t="shared" si="18"/>
        <v>12.751927150607077</v>
      </c>
      <c r="GQ19" s="10">
        <f t="shared" si="18"/>
        <v>12.751927150607077</v>
      </c>
      <c r="GR19" s="10">
        <f t="shared" si="18"/>
        <v>12.751927150607077</v>
      </c>
      <c r="GS19" s="10">
        <f t="shared" si="18"/>
        <v>12.751927150607077</v>
      </c>
      <c r="GT19" s="10">
        <f t="shared" si="18"/>
        <v>12.751927150607077</v>
      </c>
      <c r="GU19" s="10">
        <f t="shared" si="18"/>
        <v>12.751927150607077</v>
      </c>
      <c r="GV19" s="10">
        <f t="shared" si="18"/>
        <v>12.751927150607077</v>
      </c>
      <c r="GW19" s="10">
        <f t="shared" si="18"/>
        <v>12.751927150607077</v>
      </c>
      <c r="GX19" s="10">
        <f t="shared" si="18"/>
        <v>12.751927150607077</v>
      </c>
      <c r="GY19" s="10">
        <f t="shared" si="18"/>
        <v>12.751927150607077</v>
      </c>
      <c r="GZ19" s="10">
        <f t="shared" si="18"/>
        <v>12.751927150607077</v>
      </c>
      <c r="HA19" s="10">
        <f t="shared" si="18"/>
        <v>12.751927150607077</v>
      </c>
      <c r="HB19" s="10">
        <f t="shared" si="18"/>
        <v>12.751927150607077</v>
      </c>
      <c r="HC19" s="10">
        <f t="shared" si="18"/>
        <v>12.751927150607077</v>
      </c>
    </row>
    <row r="20" spans="1:211">
      <c r="A20" t="s">
        <v>78</v>
      </c>
      <c r="B20" s="10">
        <f>'CCaMC-VOaMCpUC US'!B20</f>
        <v>3.7959225006458275</v>
      </c>
      <c r="C20" s="10">
        <f t="shared" ref="C20:R25" si="21">$B20</f>
        <v>3.7959225006458275</v>
      </c>
      <c r="D20" s="10">
        <f t="shared" si="21"/>
        <v>3.7959225006458275</v>
      </c>
      <c r="E20" s="10">
        <f t="shared" si="21"/>
        <v>3.7959225006458275</v>
      </c>
      <c r="F20" s="10">
        <f t="shared" si="21"/>
        <v>3.7959225006458275</v>
      </c>
      <c r="G20" s="10">
        <f t="shared" si="21"/>
        <v>3.7959225006458275</v>
      </c>
      <c r="H20" s="10">
        <f t="shared" si="21"/>
        <v>3.7959225006458275</v>
      </c>
      <c r="I20" s="10">
        <f t="shared" si="21"/>
        <v>3.7959225006458275</v>
      </c>
      <c r="J20" s="10">
        <f t="shared" si="21"/>
        <v>3.7959225006458275</v>
      </c>
      <c r="K20" s="10">
        <f t="shared" si="21"/>
        <v>3.7959225006458275</v>
      </c>
      <c r="L20" s="10">
        <f t="shared" si="21"/>
        <v>3.7959225006458275</v>
      </c>
      <c r="M20" s="10">
        <f t="shared" si="21"/>
        <v>3.7959225006458275</v>
      </c>
      <c r="N20" s="10">
        <f t="shared" si="21"/>
        <v>3.7959225006458275</v>
      </c>
      <c r="O20" s="10">
        <f t="shared" si="21"/>
        <v>3.7959225006458275</v>
      </c>
      <c r="P20" s="10">
        <f t="shared" si="21"/>
        <v>3.7959225006458275</v>
      </c>
      <c r="Q20" s="10">
        <f t="shared" si="21"/>
        <v>3.7959225006458275</v>
      </c>
      <c r="R20" s="10">
        <f t="shared" si="21"/>
        <v>3.7959225006458275</v>
      </c>
      <c r="S20" s="10">
        <f t="shared" si="15"/>
        <v>3.7959225006458275</v>
      </c>
      <c r="T20" s="10">
        <f t="shared" si="15"/>
        <v>3.7959225006458275</v>
      </c>
      <c r="U20" s="10">
        <f t="shared" si="15"/>
        <v>3.7959225006458275</v>
      </c>
      <c r="V20" s="10">
        <f t="shared" si="15"/>
        <v>3.7959225006458275</v>
      </c>
      <c r="W20" s="10">
        <f t="shared" si="15"/>
        <v>3.7959225006458275</v>
      </c>
      <c r="X20" s="10">
        <f t="shared" si="15"/>
        <v>3.7959225006458275</v>
      </c>
      <c r="Y20" s="10">
        <f t="shared" si="15"/>
        <v>3.7959225006458275</v>
      </c>
      <c r="Z20" s="10">
        <f t="shared" si="15"/>
        <v>3.7959225006458275</v>
      </c>
      <c r="AA20" s="10">
        <f t="shared" si="15"/>
        <v>3.7959225006458275</v>
      </c>
      <c r="AB20" s="10">
        <f t="shared" si="15"/>
        <v>3.7959225006458275</v>
      </c>
      <c r="AC20" s="10">
        <f t="shared" si="15"/>
        <v>3.7959225006458275</v>
      </c>
      <c r="AD20" s="10">
        <f t="shared" si="15"/>
        <v>3.7959225006458275</v>
      </c>
      <c r="AE20" s="10">
        <f t="shared" si="15"/>
        <v>3.7959225006458275</v>
      </c>
      <c r="AF20" s="10">
        <f t="shared" si="15"/>
        <v>3.7959225006458275</v>
      </c>
      <c r="AG20" s="10">
        <f t="shared" si="15"/>
        <v>3.7959225006458275</v>
      </c>
      <c r="AH20" s="10">
        <f t="shared" si="20"/>
        <v>3.7959225006458275</v>
      </c>
      <c r="AI20" s="10">
        <f t="shared" si="20"/>
        <v>3.7959225006458275</v>
      </c>
      <c r="AJ20" s="10">
        <f t="shared" si="20"/>
        <v>3.7959225006458275</v>
      </c>
      <c r="AK20" s="10">
        <f t="shared" si="20"/>
        <v>3.7959225006458275</v>
      </c>
      <c r="AL20" s="10">
        <f t="shared" si="20"/>
        <v>3.7959225006458275</v>
      </c>
      <c r="AM20" s="10">
        <f t="shared" si="20"/>
        <v>3.7959225006458275</v>
      </c>
      <c r="AN20" s="10">
        <f t="shared" si="20"/>
        <v>3.7959225006458275</v>
      </c>
      <c r="AO20" s="10">
        <f t="shared" si="20"/>
        <v>3.7959225006458275</v>
      </c>
      <c r="AP20" s="10">
        <f t="shared" si="20"/>
        <v>3.7959225006458275</v>
      </c>
      <c r="AQ20" s="10">
        <f t="shared" si="20"/>
        <v>3.7959225006458275</v>
      </c>
      <c r="AR20" s="10">
        <f t="shared" si="20"/>
        <v>3.7959225006458275</v>
      </c>
      <c r="AS20" s="10">
        <f t="shared" si="20"/>
        <v>3.7959225006458275</v>
      </c>
      <c r="AT20" s="10">
        <f t="shared" si="20"/>
        <v>3.7959225006458275</v>
      </c>
      <c r="AU20" s="10">
        <f t="shared" si="20"/>
        <v>3.7959225006458275</v>
      </c>
      <c r="AV20" s="10">
        <f t="shared" si="20"/>
        <v>3.7959225006458275</v>
      </c>
      <c r="AW20" s="10">
        <f t="shared" si="20"/>
        <v>3.7959225006458275</v>
      </c>
      <c r="AX20" s="10">
        <f t="shared" si="20"/>
        <v>3.7959225006458275</v>
      </c>
      <c r="AY20" s="10">
        <f t="shared" si="20"/>
        <v>3.7959225006458275</v>
      </c>
      <c r="AZ20" s="10">
        <f t="shared" si="20"/>
        <v>3.7959225006458275</v>
      </c>
      <c r="BA20" s="10">
        <f t="shared" si="20"/>
        <v>3.7959225006458275</v>
      </c>
      <c r="BB20" s="10">
        <f t="shared" si="20"/>
        <v>3.7959225006458275</v>
      </c>
      <c r="BC20" s="10">
        <f t="shared" si="20"/>
        <v>3.7959225006458275</v>
      </c>
      <c r="BD20" s="10">
        <f t="shared" si="20"/>
        <v>3.7959225006458275</v>
      </c>
      <c r="BE20" s="10">
        <f t="shared" si="20"/>
        <v>3.7959225006458275</v>
      </c>
      <c r="BF20" s="10">
        <f t="shared" si="20"/>
        <v>3.7959225006458275</v>
      </c>
      <c r="BG20" s="10">
        <f t="shared" si="20"/>
        <v>3.7959225006458275</v>
      </c>
      <c r="BH20" s="10">
        <f t="shared" si="20"/>
        <v>3.7959225006458275</v>
      </c>
      <c r="BI20" s="10">
        <f t="shared" si="20"/>
        <v>3.7959225006458275</v>
      </c>
      <c r="BJ20" s="10">
        <f t="shared" si="20"/>
        <v>3.7959225006458275</v>
      </c>
      <c r="BK20" s="10">
        <f t="shared" si="20"/>
        <v>3.7959225006458275</v>
      </c>
      <c r="BL20" s="10">
        <f t="shared" si="20"/>
        <v>3.7959225006458275</v>
      </c>
      <c r="BM20" s="10">
        <f t="shared" si="20"/>
        <v>3.7959225006458275</v>
      </c>
      <c r="BN20" s="10">
        <f t="shared" si="20"/>
        <v>3.7959225006458275</v>
      </c>
      <c r="BO20" s="10">
        <f t="shared" si="20"/>
        <v>3.7959225006458275</v>
      </c>
      <c r="BP20" s="10">
        <f t="shared" si="20"/>
        <v>3.7959225006458275</v>
      </c>
      <c r="BQ20" s="10">
        <f t="shared" si="20"/>
        <v>3.7959225006458275</v>
      </c>
      <c r="BR20" s="10">
        <f t="shared" si="20"/>
        <v>3.7959225006458275</v>
      </c>
      <c r="BS20" s="10">
        <f t="shared" si="20"/>
        <v>3.7959225006458275</v>
      </c>
      <c r="BT20" s="10">
        <f t="shared" si="20"/>
        <v>3.7959225006458275</v>
      </c>
      <c r="BU20" s="10">
        <f t="shared" si="20"/>
        <v>3.7959225006458275</v>
      </c>
      <c r="BV20" s="10">
        <f t="shared" si="20"/>
        <v>3.7959225006458275</v>
      </c>
      <c r="BW20" s="10">
        <f t="shared" si="20"/>
        <v>3.7959225006458275</v>
      </c>
      <c r="BX20" s="10">
        <f t="shared" si="20"/>
        <v>3.7959225006458275</v>
      </c>
      <c r="BY20" s="10">
        <f t="shared" si="20"/>
        <v>3.7959225006458275</v>
      </c>
      <c r="BZ20" s="10">
        <f t="shared" si="20"/>
        <v>3.7959225006458275</v>
      </c>
      <c r="CA20" s="10">
        <f t="shared" si="20"/>
        <v>3.7959225006458275</v>
      </c>
      <c r="CB20" s="10">
        <f t="shared" si="20"/>
        <v>3.7959225006458275</v>
      </c>
      <c r="CC20" s="10">
        <f t="shared" si="20"/>
        <v>3.7959225006458275</v>
      </c>
      <c r="CD20" s="10">
        <f t="shared" si="20"/>
        <v>3.7959225006458275</v>
      </c>
      <c r="CE20" s="10">
        <f t="shared" si="20"/>
        <v>3.7959225006458275</v>
      </c>
      <c r="CF20" s="10">
        <f t="shared" si="20"/>
        <v>3.7959225006458275</v>
      </c>
      <c r="CG20" s="10">
        <f t="shared" si="20"/>
        <v>3.7959225006458275</v>
      </c>
      <c r="CH20" s="10">
        <f t="shared" si="20"/>
        <v>3.7959225006458275</v>
      </c>
      <c r="CI20" s="10">
        <f t="shared" si="20"/>
        <v>3.7959225006458275</v>
      </c>
      <c r="CJ20" s="10">
        <f t="shared" si="20"/>
        <v>3.7959225006458275</v>
      </c>
      <c r="CK20" s="10">
        <f t="shared" si="20"/>
        <v>3.7959225006458275</v>
      </c>
      <c r="CL20" s="10">
        <f t="shared" si="20"/>
        <v>3.7959225006458275</v>
      </c>
      <c r="CM20" s="10">
        <f t="shared" si="20"/>
        <v>3.7959225006458275</v>
      </c>
      <c r="CN20" s="10">
        <f t="shared" si="20"/>
        <v>3.7959225006458275</v>
      </c>
      <c r="CO20" s="10">
        <f t="shared" si="20"/>
        <v>3.7959225006458275</v>
      </c>
      <c r="CP20" s="10">
        <f t="shared" si="20"/>
        <v>3.7959225006458275</v>
      </c>
      <c r="CQ20" s="10">
        <f t="shared" si="20"/>
        <v>3.7959225006458275</v>
      </c>
      <c r="CR20" s="10">
        <f t="shared" si="20"/>
        <v>3.7959225006458275</v>
      </c>
      <c r="CS20" s="10">
        <f t="shared" si="20"/>
        <v>3.7959225006458275</v>
      </c>
      <c r="CT20" s="10">
        <f t="shared" si="19"/>
        <v>3.7959225006458275</v>
      </c>
      <c r="CU20" s="10">
        <f t="shared" si="19"/>
        <v>3.7959225006458275</v>
      </c>
      <c r="CV20" s="10">
        <f t="shared" si="19"/>
        <v>3.7959225006458275</v>
      </c>
      <c r="CW20" s="10">
        <f t="shared" si="19"/>
        <v>3.7959225006458275</v>
      </c>
      <c r="CX20" s="10">
        <f t="shared" si="19"/>
        <v>3.7959225006458275</v>
      </c>
      <c r="CY20" s="10">
        <f t="shared" si="19"/>
        <v>3.7959225006458275</v>
      </c>
      <c r="CZ20" s="10">
        <f t="shared" si="19"/>
        <v>3.7959225006458275</v>
      </c>
      <c r="DA20" s="10">
        <f t="shared" si="19"/>
        <v>3.7959225006458275</v>
      </c>
      <c r="DB20" s="10">
        <f t="shared" si="19"/>
        <v>3.7959225006458275</v>
      </c>
      <c r="DC20" s="10">
        <f t="shared" si="19"/>
        <v>3.7959225006458275</v>
      </c>
      <c r="DD20" s="10">
        <f t="shared" si="19"/>
        <v>3.7959225006458275</v>
      </c>
      <c r="DE20" s="10">
        <f t="shared" si="19"/>
        <v>3.7959225006458275</v>
      </c>
      <c r="DF20" s="10">
        <f t="shared" si="19"/>
        <v>3.7959225006458275</v>
      </c>
      <c r="DG20" s="10">
        <f t="shared" si="19"/>
        <v>3.7959225006458275</v>
      </c>
      <c r="DH20" s="10">
        <f t="shared" si="19"/>
        <v>3.7959225006458275</v>
      </c>
      <c r="DI20" s="10">
        <f t="shared" si="19"/>
        <v>3.7959225006458275</v>
      </c>
      <c r="DJ20" s="10">
        <f t="shared" si="19"/>
        <v>3.7959225006458275</v>
      </c>
      <c r="DK20" s="10">
        <f t="shared" si="19"/>
        <v>3.7959225006458275</v>
      </c>
      <c r="DL20" s="10">
        <f t="shared" si="19"/>
        <v>3.7959225006458275</v>
      </c>
      <c r="DM20" s="10">
        <f t="shared" si="19"/>
        <v>3.7959225006458275</v>
      </c>
      <c r="DN20" s="10">
        <f t="shared" si="19"/>
        <v>3.7959225006458275</v>
      </c>
      <c r="DO20" s="10">
        <f t="shared" si="19"/>
        <v>3.7959225006458275</v>
      </c>
      <c r="DP20" s="10">
        <f t="shared" si="19"/>
        <v>3.7959225006458275</v>
      </c>
      <c r="DQ20" s="10">
        <f t="shared" si="19"/>
        <v>3.7959225006458275</v>
      </c>
      <c r="DR20" s="10">
        <f t="shared" si="19"/>
        <v>3.7959225006458275</v>
      </c>
      <c r="DS20" s="10">
        <f t="shared" si="19"/>
        <v>3.7959225006458275</v>
      </c>
      <c r="DT20" s="10">
        <f t="shared" si="19"/>
        <v>3.7959225006458275</v>
      </c>
      <c r="DU20" s="10">
        <f t="shared" si="19"/>
        <v>3.7959225006458275</v>
      </c>
      <c r="DV20" s="10">
        <f t="shared" si="19"/>
        <v>3.7959225006458275</v>
      </c>
      <c r="DW20" s="10">
        <f t="shared" si="19"/>
        <v>3.7959225006458275</v>
      </c>
      <c r="DX20" s="10">
        <f t="shared" si="19"/>
        <v>3.7959225006458275</v>
      </c>
      <c r="DY20" s="10">
        <f t="shared" si="19"/>
        <v>3.7959225006458275</v>
      </c>
      <c r="DZ20" s="10">
        <f t="shared" si="19"/>
        <v>3.7959225006458275</v>
      </c>
      <c r="EA20" s="10">
        <f t="shared" si="19"/>
        <v>3.7959225006458275</v>
      </c>
      <c r="EB20" s="10">
        <f t="shared" si="19"/>
        <v>3.7959225006458275</v>
      </c>
      <c r="EC20" s="10">
        <f t="shared" si="19"/>
        <v>3.7959225006458275</v>
      </c>
      <c r="ED20" s="10">
        <f t="shared" si="19"/>
        <v>3.7959225006458275</v>
      </c>
      <c r="EE20" s="10">
        <f t="shared" si="19"/>
        <v>3.7959225006458275</v>
      </c>
      <c r="EF20" s="10">
        <f t="shared" si="19"/>
        <v>3.7959225006458275</v>
      </c>
      <c r="EG20" s="10">
        <f t="shared" si="19"/>
        <v>3.7959225006458275</v>
      </c>
      <c r="EH20" s="10">
        <f t="shared" si="19"/>
        <v>3.7959225006458275</v>
      </c>
      <c r="EI20" s="10">
        <f t="shared" si="19"/>
        <v>3.7959225006458275</v>
      </c>
      <c r="EJ20" s="10">
        <f t="shared" si="19"/>
        <v>3.7959225006458275</v>
      </c>
      <c r="EK20" s="10">
        <f t="shared" si="19"/>
        <v>3.7959225006458275</v>
      </c>
      <c r="EL20" s="10">
        <f t="shared" si="19"/>
        <v>3.7959225006458275</v>
      </c>
      <c r="EM20" s="10">
        <f t="shared" si="19"/>
        <v>3.7959225006458275</v>
      </c>
      <c r="EN20" s="10">
        <f t="shared" si="19"/>
        <v>3.7959225006458275</v>
      </c>
      <c r="EO20" s="10">
        <f t="shared" si="19"/>
        <v>3.7959225006458275</v>
      </c>
      <c r="EP20" s="10">
        <f t="shared" si="19"/>
        <v>3.7959225006458275</v>
      </c>
      <c r="EQ20" s="10">
        <f t="shared" si="19"/>
        <v>3.7959225006458275</v>
      </c>
      <c r="ER20" s="10">
        <f t="shared" si="19"/>
        <v>3.7959225006458275</v>
      </c>
      <c r="ES20" s="10">
        <f t="shared" si="19"/>
        <v>3.7959225006458275</v>
      </c>
      <c r="ET20" s="10">
        <f t="shared" si="19"/>
        <v>3.7959225006458275</v>
      </c>
      <c r="EU20" s="10">
        <f t="shared" si="19"/>
        <v>3.7959225006458275</v>
      </c>
      <c r="EV20" s="10">
        <f t="shared" si="19"/>
        <v>3.7959225006458275</v>
      </c>
      <c r="EW20" s="10">
        <f t="shared" si="19"/>
        <v>3.7959225006458275</v>
      </c>
      <c r="EX20" s="10">
        <f t="shared" si="19"/>
        <v>3.7959225006458275</v>
      </c>
      <c r="EY20" s="10">
        <f t="shared" si="19"/>
        <v>3.7959225006458275</v>
      </c>
      <c r="EZ20" s="10">
        <f t="shared" si="19"/>
        <v>3.7959225006458275</v>
      </c>
      <c r="FA20" s="10">
        <f t="shared" si="19"/>
        <v>3.7959225006458275</v>
      </c>
      <c r="FB20" s="10">
        <f t="shared" si="19"/>
        <v>3.7959225006458275</v>
      </c>
      <c r="FC20" s="10">
        <f t="shared" si="19"/>
        <v>3.7959225006458275</v>
      </c>
      <c r="FD20" s="10">
        <f t="shared" si="19"/>
        <v>3.7959225006458275</v>
      </c>
      <c r="FE20" s="10">
        <f t="shared" si="18"/>
        <v>3.7959225006458275</v>
      </c>
      <c r="FF20" s="10">
        <f t="shared" si="18"/>
        <v>3.7959225006458275</v>
      </c>
      <c r="FG20" s="10">
        <f t="shared" si="18"/>
        <v>3.7959225006458275</v>
      </c>
      <c r="FH20" s="10">
        <f t="shared" si="18"/>
        <v>3.7959225006458275</v>
      </c>
      <c r="FI20" s="10">
        <f t="shared" si="18"/>
        <v>3.7959225006458275</v>
      </c>
      <c r="FJ20" s="10">
        <f t="shared" si="18"/>
        <v>3.7959225006458275</v>
      </c>
      <c r="FK20" s="10">
        <f t="shared" si="18"/>
        <v>3.7959225006458275</v>
      </c>
      <c r="FL20" s="10">
        <f t="shared" si="18"/>
        <v>3.7959225006458275</v>
      </c>
      <c r="FM20" s="10">
        <f t="shared" si="18"/>
        <v>3.7959225006458275</v>
      </c>
      <c r="FN20" s="10">
        <f t="shared" si="18"/>
        <v>3.7959225006458275</v>
      </c>
      <c r="FO20" s="10">
        <f t="shared" si="18"/>
        <v>3.7959225006458275</v>
      </c>
      <c r="FP20" s="10">
        <f t="shared" si="18"/>
        <v>3.7959225006458275</v>
      </c>
      <c r="FQ20" s="10">
        <f t="shared" si="18"/>
        <v>3.7959225006458275</v>
      </c>
      <c r="FR20" s="10">
        <f t="shared" si="18"/>
        <v>3.7959225006458275</v>
      </c>
      <c r="FS20" s="10">
        <f t="shared" si="18"/>
        <v>3.7959225006458275</v>
      </c>
      <c r="FT20" s="10">
        <f t="shared" si="18"/>
        <v>3.7959225006458275</v>
      </c>
      <c r="FU20" s="10">
        <f t="shared" si="18"/>
        <v>3.7959225006458275</v>
      </c>
      <c r="FV20" s="10">
        <f t="shared" si="18"/>
        <v>3.7959225006458275</v>
      </c>
      <c r="FW20" s="10">
        <f t="shared" si="18"/>
        <v>3.7959225006458275</v>
      </c>
      <c r="FX20" s="10">
        <f t="shared" si="18"/>
        <v>3.7959225006458275</v>
      </c>
      <c r="FY20" s="10">
        <f t="shared" si="18"/>
        <v>3.7959225006458275</v>
      </c>
      <c r="FZ20" s="10">
        <f t="shared" si="18"/>
        <v>3.7959225006458275</v>
      </c>
      <c r="GA20" s="10">
        <f t="shared" si="18"/>
        <v>3.7959225006458275</v>
      </c>
      <c r="GB20" s="10">
        <f t="shared" si="18"/>
        <v>3.7959225006458275</v>
      </c>
      <c r="GC20" s="10">
        <f t="shared" si="18"/>
        <v>3.7959225006458275</v>
      </c>
      <c r="GD20" s="10">
        <f t="shared" si="18"/>
        <v>3.7959225006458275</v>
      </c>
      <c r="GE20" s="10">
        <f t="shared" si="18"/>
        <v>3.7959225006458275</v>
      </c>
      <c r="GF20" s="10">
        <f t="shared" si="18"/>
        <v>3.7959225006458275</v>
      </c>
      <c r="GG20" s="10">
        <f t="shared" si="18"/>
        <v>3.7959225006458275</v>
      </c>
      <c r="GH20" s="10">
        <f t="shared" si="18"/>
        <v>3.7959225006458275</v>
      </c>
      <c r="GI20" s="10">
        <f t="shared" si="18"/>
        <v>3.7959225006458275</v>
      </c>
      <c r="GJ20" s="10">
        <f t="shared" si="18"/>
        <v>3.7959225006458275</v>
      </c>
      <c r="GK20" s="10">
        <f t="shared" si="18"/>
        <v>3.7959225006458275</v>
      </c>
      <c r="GL20" s="10">
        <f t="shared" si="18"/>
        <v>3.7959225006458275</v>
      </c>
      <c r="GM20" s="10">
        <f t="shared" si="18"/>
        <v>3.7959225006458275</v>
      </c>
      <c r="GN20" s="10">
        <f t="shared" si="18"/>
        <v>3.7959225006458275</v>
      </c>
      <c r="GO20" s="10">
        <f t="shared" si="18"/>
        <v>3.7959225006458275</v>
      </c>
      <c r="GP20" s="10">
        <f t="shared" si="18"/>
        <v>3.7959225006458275</v>
      </c>
      <c r="GQ20" s="10">
        <f t="shared" si="18"/>
        <v>3.7959225006458275</v>
      </c>
      <c r="GR20" s="10">
        <f t="shared" si="18"/>
        <v>3.7959225006458275</v>
      </c>
      <c r="GS20" s="10">
        <f t="shared" si="18"/>
        <v>3.7959225006458275</v>
      </c>
      <c r="GT20" s="10">
        <f t="shared" si="18"/>
        <v>3.7959225006458275</v>
      </c>
      <c r="GU20" s="10">
        <f t="shared" si="18"/>
        <v>3.7959225006458275</v>
      </c>
      <c r="GV20" s="10">
        <f t="shared" si="18"/>
        <v>3.7959225006458275</v>
      </c>
      <c r="GW20" s="10">
        <f t="shared" si="18"/>
        <v>3.7959225006458275</v>
      </c>
      <c r="GX20" s="10">
        <f t="shared" si="18"/>
        <v>3.7959225006458275</v>
      </c>
      <c r="GY20" s="10">
        <f t="shared" si="18"/>
        <v>3.7959225006458275</v>
      </c>
      <c r="GZ20" s="10">
        <f t="shared" si="18"/>
        <v>3.7959225006458275</v>
      </c>
      <c r="HA20" s="10">
        <f t="shared" si="18"/>
        <v>3.7959225006458275</v>
      </c>
      <c r="HB20" s="10">
        <f t="shared" si="18"/>
        <v>3.7959225006458275</v>
      </c>
      <c r="HC20" s="10">
        <f t="shared" si="18"/>
        <v>3.7959225006458275</v>
      </c>
    </row>
    <row r="21" spans="1:211">
      <c r="A21" t="s">
        <v>79</v>
      </c>
      <c r="B21" s="10">
        <f>'CCaMC-VOaMCpUC US'!B21</f>
        <v>17.478356018637417</v>
      </c>
      <c r="C21" s="10">
        <f t="shared" si="21"/>
        <v>17.478356018637417</v>
      </c>
      <c r="D21" s="10">
        <f t="shared" si="21"/>
        <v>17.478356018637417</v>
      </c>
      <c r="E21" s="10">
        <f t="shared" si="21"/>
        <v>17.478356018637417</v>
      </c>
      <c r="F21" s="10">
        <f t="shared" si="15"/>
        <v>17.478356018637417</v>
      </c>
      <c r="G21" s="10">
        <f t="shared" si="15"/>
        <v>17.478356018637417</v>
      </c>
      <c r="H21" s="10">
        <f t="shared" si="15"/>
        <v>17.478356018637417</v>
      </c>
      <c r="I21" s="10">
        <f t="shared" si="15"/>
        <v>17.478356018637417</v>
      </c>
      <c r="J21" s="10">
        <f t="shared" si="15"/>
        <v>17.478356018637417</v>
      </c>
      <c r="K21" s="10">
        <f t="shared" si="15"/>
        <v>17.478356018637417</v>
      </c>
      <c r="L21" s="10">
        <f t="shared" si="15"/>
        <v>17.478356018637417</v>
      </c>
      <c r="M21" s="10">
        <f t="shared" si="15"/>
        <v>17.478356018637417</v>
      </c>
      <c r="N21" s="10">
        <f t="shared" si="15"/>
        <v>17.478356018637417</v>
      </c>
      <c r="O21" s="10">
        <f t="shared" si="15"/>
        <v>17.478356018637417</v>
      </c>
      <c r="P21" s="10">
        <f t="shared" si="15"/>
        <v>17.478356018637417</v>
      </c>
      <c r="Q21" s="10">
        <f t="shared" si="15"/>
        <v>17.478356018637417</v>
      </c>
      <c r="R21" s="10">
        <f t="shared" si="15"/>
        <v>17.478356018637417</v>
      </c>
      <c r="S21" s="10">
        <f t="shared" si="15"/>
        <v>17.478356018637417</v>
      </c>
      <c r="T21" s="10">
        <f t="shared" si="15"/>
        <v>17.478356018637417</v>
      </c>
      <c r="U21" s="10">
        <f t="shared" si="15"/>
        <v>17.478356018637417</v>
      </c>
      <c r="V21" s="10">
        <f t="shared" si="15"/>
        <v>17.478356018637417</v>
      </c>
      <c r="W21" s="10">
        <f t="shared" si="15"/>
        <v>17.478356018637417</v>
      </c>
      <c r="X21" s="10">
        <f t="shared" si="15"/>
        <v>17.478356018637417</v>
      </c>
      <c r="Y21" s="10">
        <f t="shared" si="15"/>
        <v>17.478356018637417</v>
      </c>
      <c r="Z21" s="10">
        <f t="shared" si="15"/>
        <v>17.478356018637417</v>
      </c>
      <c r="AA21" s="10">
        <f t="shared" si="15"/>
        <v>17.478356018637417</v>
      </c>
      <c r="AB21" s="10">
        <f t="shared" si="15"/>
        <v>17.478356018637417</v>
      </c>
      <c r="AC21" s="10">
        <f t="shared" si="15"/>
        <v>17.478356018637417</v>
      </c>
      <c r="AD21" s="10">
        <f t="shared" si="15"/>
        <v>17.478356018637417</v>
      </c>
      <c r="AE21" s="10">
        <f t="shared" si="15"/>
        <v>17.478356018637417</v>
      </c>
      <c r="AF21" s="10">
        <f t="shared" si="15"/>
        <v>17.478356018637417</v>
      </c>
      <c r="AG21" s="10">
        <f t="shared" si="15"/>
        <v>17.478356018637417</v>
      </c>
      <c r="AH21" s="10">
        <f t="shared" si="20"/>
        <v>17.478356018637417</v>
      </c>
      <c r="AI21" s="10">
        <f t="shared" si="20"/>
        <v>17.478356018637417</v>
      </c>
      <c r="AJ21" s="10">
        <f t="shared" si="20"/>
        <v>17.478356018637417</v>
      </c>
      <c r="AK21" s="10">
        <f t="shared" si="20"/>
        <v>17.478356018637417</v>
      </c>
      <c r="AL21" s="10">
        <f t="shared" si="20"/>
        <v>17.478356018637417</v>
      </c>
      <c r="AM21" s="10">
        <f t="shared" si="20"/>
        <v>17.478356018637417</v>
      </c>
      <c r="AN21" s="10">
        <f t="shared" si="20"/>
        <v>17.478356018637417</v>
      </c>
      <c r="AO21" s="10">
        <f t="shared" si="20"/>
        <v>17.478356018637417</v>
      </c>
      <c r="AP21" s="10">
        <f t="shared" si="20"/>
        <v>17.478356018637417</v>
      </c>
      <c r="AQ21" s="10">
        <f t="shared" si="20"/>
        <v>17.478356018637417</v>
      </c>
      <c r="AR21" s="10">
        <f t="shared" si="20"/>
        <v>17.478356018637417</v>
      </c>
      <c r="AS21" s="10">
        <f t="shared" si="20"/>
        <v>17.478356018637417</v>
      </c>
      <c r="AT21" s="10">
        <f t="shared" si="20"/>
        <v>17.478356018637417</v>
      </c>
      <c r="AU21" s="10">
        <f t="shared" si="20"/>
        <v>17.478356018637417</v>
      </c>
      <c r="AV21" s="10">
        <f t="shared" si="20"/>
        <v>17.478356018637417</v>
      </c>
      <c r="AW21" s="10">
        <f t="shared" si="20"/>
        <v>17.478356018637417</v>
      </c>
      <c r="AX21" s="10">
        <f t="shared" si="20"/>
        <v>17.478356018637417</v>
      </c>
      <c r="AY21" s="10">
        <f t="shared" si="20"/>
        <v>17.478356018637417</v>
      </c>
      <c r="AZ21" s="10">
        <f t="shared" si="20"/>
        <v>17.478356018637417</v>
      </c>
      <c r="BA21" s="10">
        <f t="shared" si="20"/>
        <v>17.478356018637417</v>
      </c>
      <c r="BB21" s="10">
        <f t="shared" si="20"/>
        <v>17.478356018637417</v>
      </c>
      <c r="BC21" s="10">
        <f t="shared" si="20"/>
        <v>17.478356018637417</v>
      </c>
      <c r="BD21" s="10">
        <f t="shared" si="20"/>
        <v>17.478356018637417</v>
      </c>
      <c r="BE21" s="10">
        <f t="shared" si="20"/>
        <v>17.478356018637417</v>
      </c>
      <c r="BF21" s="10">
        <f t="shared" si="20"/>
        <v>17.478356018637417</v>
      </c>
      <c r="BG21" s="10">
        <f t="shared" si="20"/>
        <v>17.478356018637417</v>
      </c>
      <c r="BH21" s="10">
        <f t="shared" si="20"/>
        <v>17.478356018637417</v>
      </c>
      <c r="BI21" s="10">
        <f t="shared" si="20"/>
        <v>17.478356018637417</v>
      </c>
      <c r="BJ21" s="10">
        <f t="shared" si="20"/>
        <v>17.478356018637417</v>
      </c>
      <c r="BK21" s="10">
        <f t="shared" si="20"/>
        <v>17.478356018637417</v>
      </c>
      <c r="BL21" s="10">
        <f t="shared" si="20"/>
        <v>17.478356018637417</v>
      </c>
      <c r="BM21" s="10">
        <f t="shared" si="20"/>
        <v>17.478356018637417</v>
      </c>
      <c r="BN21" s="10">
        <f t="shared" si="20"/>
        <v>17.478356018637417</v>
      </c>
      <c r="BO21" s="10">
        <f t="shared" si="20"/>
        <v>17.478356018637417</v>
      </c>
      <c r="BP21" s="10">
        <f t="shared" si="20"/>
        <v>17.478356018637417</v>
      </c>
      <c r="BQ21" s="10">
        <f t="shared" si="20"/>
        <v>17.478356018637417</v>
      </c>
      <c r="BR21" s="10">
        <f t="shared" si="20"/>
        <v>17.478356018637417</v>
      </c>
      <c r="BS21" s="10">
        <f t="shared" si="20"/>
        <v>17.478356018637417</v>
      </c>
      <c r="BT21" s="10">
        <f t="shared" si="20"/>
        <v>17.478356018637417</v>
      </c>
      <c r="BU21" s="10">
        <f t="shared" si="20"/>
        <v>17.478356018637417</v>
      </c>
      <c r="BV21" s="10">
        <f t="shared" si="20"/>
        <v>17.478356018637417</v>
      </c>
      <c r="BW21" s="10">
        <f t="shared" si="20"/>
        <v>17.478356018637417</v>
      </c>
      <c r="BX21" s="10">
        <f t="shared" si="20"/>
        <v>17.478356018637417</v>
      </c>
      <c r="BY21" s="10">
        <f t="shared" si="20"/>
        <v>17.478356018637417</v>
      </c>
      <c r="BZ21" s="10">
        <f t="shared" si="20"/>
        <v>17.478356018637417</v>
      </c>
      <c r="CA21" s="10">
        <f t="shared" si="20"/>
        <v>17.478356018637417</v>
      </c>
      <c r="CB21" s="10">
        <f t="shared" si="20"/>
        <v>17.478356018637417</v>
      </c>
      <c r="CC21" s="10">
        <f t="shared" si="20"/>
        <v>17.478356018637417</v>
      </c>
      <c r="CD21" s="10">
        <f t="shared" si="20"/>
        <v>17.478356018637417</v>
      </c>
      <c r="CE21" s="10">
        <f t="shared" si="20"/>
        <v>17.478356018637417</v>
      </c>
      <c r="CF21" s="10">
        <f t="shared" si="20"/>
        <v>17.478356018637417</v>
      </c>
      <c r="CG21" s="10">
        <f t="shared" si="20"/>
        <v>17.478356018637417</v>
      </c>
      <c r="CH21" s="10">
        <f t="shared" si="20"/>
        <v>17.478356018637417</v>
      </c>
      <c r="CI21" s="10">
        <f t="shared" si="20"/>
        <v>17.478356018637417</v>
      </c>
      <c r="CJ21" s="10">
        <f t="shared" si="20"/>
        <v>17.478356018637417</v>
      </c>
      <c r="CK21" s="10">
        <f t="shared" si="20"/>
        <v>17.478356018637417</v>
      </c>
      <c r="CL21" s="10">
        <f t="shared" si="20"/>
        <v>17.478356018637417</v>
      </c>
      <c r="CM21" s="10">
        <f t="shared" si="20"/>
        <v>17.478356018637417</v>
      </c>
      <c r="CN21" s="10">
        <f t="shared" si="20"/>
        <v>17.478356018637417</v>
      </c>
      <c r="CO21" s="10">
        <f t="shared" si="20"/>
        <v>17.478356018637417</v>
      </c>
      <c r="CP21" s="10">
        <f t="shared" si="20"/>
        <v>17.478356018637417</v>
      </c>
      <c r="CQ21" s="10">
        <f t="shared" si="20"/>
        <v>17.478356018637417</v>
      </c>
      <c r="CR21" s="10">
        <f t="shared" si="20"/>
        <v>17.478356018637417</v>
      </c>
      <c r="CS21" s="10">
        <f t="shared" si="20"/>
        <v>17.478356018637417</v>
      </c>
      <c r="CT21" s="10">
        <f t="shared" si="19"/>
        <v>17.478356018637417</v>
      </c>
      <c r="CU21" s="10">
        <f t="shared" si="19"/>
        <v>17.478356018637417</v>
      </c>
      <c r="CV21" s="10">
        <f t="shared" si="19"/>
        <v>17.478356018637417</v>
      </c>
      <c r="CW21" s="10">
        <f t="shared" si="19"/>
        <v>17.478356018637417</v>
      </c>
      <c r="CX21" s="10">
        <f t="shared" si="19"/>
        <v>17.478356018637417</v>
      </c>
      <c r="CY21" s="10">
        <f t="shared" si="19"/>
        <v>17.478356018637417</v>
      </c>
      <c r="CZ21" s="10">
        <f t="shared" si="19"/>
        <v>17.478356018637417</v>
      </c>
      <c r="DA21" s="10">
        <f t="shared" si="19"/>
        <v>17.478356018637417</v>
      </c>
      <c r="DB21" s="10">
        <f t="shared" si="19"/>
        <v>17.478356018637417</v>
      </c>
      <c r="DC21" s="10">
        <f t="shared" si="19"/>
        <v>17.478356018637417</v>
      </c>
      <c r="DD21" s="10">
        <f t="shared" si="19"/>
        <v>17.478356018637417</v>
      </c>
      <c r="DE21" s="10">
        <f t="shared" si="19"/>
        <v>17.478356018637417</v>
      </c>
      <c r="DF21" s="10">
        <f t="shared" si="19"/>
        <v>17.478356018637417</v>
      </c>
      <c r="DG21" s="10">
        <f t="shared" si="19"/>
        <v>17.478356018637417</v>
      </c>
      <c r="DH21" s="10">
        <f t="shared" si="19"/>
        <v>17.478356018637417</v>
      </c>
      <c r="DI21" s="10">
        <f t="shared" si="19"/>
        <v>17.478356018637417</v>
      </c>
      <c r="DJ21" s="10">
        <f t="shared" si="19"/>
        <v>17.478356018637417</v>
      </c>
      <c r="DK21" s="10">
        <f t="shared" si="19"/>
        <v>17.478356018637417</v>
      </c>
      <c r="DL21" s="10">
        <f t="shared" si="19"/>
        <v>17.478356018637417</v>
      </c>
      <c r="DM21" s="10">
        <f t="shared" si="19"/>
        <v>17.478356018637417</v>
      </c>
      <c r="DN21" s="10">
        <f t="shared" si="19"/>
        <v>17.478356018637417</v>
      </c>
      <c r="DO21" s="10">
        <f t="shared" si="19"/>
        <v>17.478356018637417</v>
      </c>
      <c r="DP21" s="10">
        <f t="shared" si="19"/>
        <v>17.478356018637417</v>
      </c>
      <c r="DQ21" s="10">
        <f t="shared" si="19"/>
        <v>17.478356018637417</v>
      </c>
      <c r="DR21" s="10">
        <f t="shared" si="19"/>
        <v>17.478356018637417</v>
      </c>
      <c r="DS21" s="10">
        <f t="shared" si="19"/>
        <v>17.478356018637417</v>
      </c>
      <c r="DT21" s="10">
        <f t="shared" si="19"/>
        <v>17.478356018637417</v>
      </c>
      <c r="DU21" s="10">
        <f t="shared" si="19"/>
        <v>17.478356018637417</v>
      </c>
      <c r="DV21" s="10">
        <f t="shared" si="19"/>
        <v>17.478356018637417</v>
      </c>
      <c r="DW21" s="10">
        <f t="shared" si="19"/>
        <v>17.478356018637417</v>
      </c>
      <c r="DX21" s="10">
        <f t="shared" si="19"/>
        <v>17.478356018637417</v>
      </c>
      <c r="DY21" s="10">
        <f t="shared" si="19"/>
        <v>17.478356018637417</v>
      </c>
      <c r="DZ21" s="10">
        <f t="shared" si="19"/>
        <v>17.478356018637417</v>
      </c>
      <c r="EA21" s="10">
        <f t="shared" si="19"/>
        <v>17.478356018637417</v>
      </c>
      <c r="EB21" s="10">
        <f t="shared" si="19"/>
        <v>17.478356018637417</v>
      </c>
      <c r="EC21" s="10">
        <f t="shared" si="19"/>
        <v>17.478356018637417</v>
      </c>
      <c r="ED21" s="10">
        <f t="shared" si="19"/>
        <v>17.478356018637417</v>
      </c>
      <c r="EE21" s="10">
        <f t="shared" si="19"/>
        <v>17.478356018637417</v>
      </c>
      <c r="EF21" s="10">
        <f t="shared" si="19"/>
        <v>17.478356018637417</v>
      </c>
      <c r="EG21" s="10">
        <f t="shared" si="19"/>
        <v>17.478356018637417</v>
      </c>
      <c r="EH21" s="10">
        <f t="shared" si="19"/>
        <v>17.478356018637417</v>
      </c>
      <c r="EI21" s="10">
        <f t="shared" si="19"/>
        <v>17.478356018637417</v>
      </c>
      <c r="EJ21" s="10">
        <f t="shared" si="19"/>
        <v>17.478356018637417</v>
      </c>
      <c r="EK21" s="10">
        <f t="shared" si="19"/>
        <v>17.478356018637417</v>
      </c>
      <c r="EL21" s="10">
        <f t="shared" si="19"/>
        <v>17.478356018637417</v>
      </c>
      <c r="EM21" s="10">
        <f t="shared" si="19"/>
        <v>17.478356018637417</v>
      </c>
      <c r="EN21" s="10">
        <f t="shared" si="19"/>
        <v>17.478356018637417</v>
      </c>
      <c r="EO21" s="10">
        <f t="shared" si="19"/>
        <v>17.478356018637417</v>
      </c>
      <c r="EP21" s="10">
        <f t="shared" si="19"/>
        <v>17.478356018637417</v>
      </c>
      <c r="EQ21" s="10">
        <f t="shared" si="19"/>
        <v>17.478356018637417</v>
      </c>
      <c r="ER21" s="10">
        <f t="shared" si="19"/>
        <v>17.478356018637417</v>
      </c>
      <c r="ES21" s="10">
        <f t="shared" si="19"/>
        <v>17.478356018637417</v>
      </c>
      <c r="ET21" s="10">
        <f t="shared" si="19"/>
        <v>17.478356018637417</v>
      </c>
      <c r="EU21" s="10">
        <f t="shared" si="19"/>
        <v>17.478356018637417</v>
      </c>
      <c r="EV21" s="10">
        <f t="shared" si="19"/>
        <v>17.478356018637417</v>
      </c>
      <c r="EW21" s="10">
        <f t="shared" si="19"/>
        <v>17.478356018637417</v>
      </c>
      <c r="EX21" s="10">
        <f t="shared" si="19"/>
        <v>17.478356018637417</v>
      </c>
      <c r="EY21" s="10">
        <f t="shared" si="19"/>
        <v>17.478356018637417</v>
      </c>
      <c r="EZ21" s="10">
        <f t="shared" si="19"/>
        <v>17.478356018637417</v>
      </c>
      <c r="FA21" s="10">
        <f t="shared" si="19"/>
        <v>17.478356018637417</v>
      </c>
      <c r="FB21" s="10">
        <f t="shared" si="19"/>
        <v>17.478356018637417</v>
      </c>
      <c r="FC21" s="10">
        <f t="shared" si="19"/>
        <v>17.478356018637417</v>
      </c>
      <c r="FD21" s="10">
        <f t="shared" si="19"/>
        <v>17.478356018637417</v>
      </c>
      <c r="FE21" s="10">
        <f t="shared" ref="FE21:HC25" si="22">$B21</f>
        <v>17.478356018637417</v>
      </c>
      <c r="FF21" s="10">
        <f t="shared" si="22"/>
        <v>17.478356018637417</v>
      </c>
      <c r="FG21" s="10">
        <f t="shared" si="22"/>
        <v>17.478356018637417</v>
      </c>
      <c r="FH21" s="10">
        <f t="shared" si="22"/>
        <v>17.478356018637417</v>
      </c>
      <c r="FI21" s="10">
        <f t="shared" si="22"/>
        <v>17.478356018637417</v>
      </c>
      <c r="FJ21" s="10">
        <f t="shared" si="22"/>
        <v>17.478356018637417</v>
      </c>
      <c r="FK21" s="10">
        <f t="shared" si="22"/>
        <v>17.478356018637417</v>
      </c>
      <c r="FL21" s="10">
        <f t="shared" si="22"/>
        <v>17.478356018637417</v>
      </c>
      <c r="FM21" s="10">
        <f t="shared" si="22"/>
        <v>17.478356018637417</v>
      </c>
      <c r="FN21" s="10">
        <f t="shared" si="22"/>
        <v>17.478356018637417</v>
      </c>
      <c r="FO21" s="10">
        <f t="shared" si="22"/>
        <v>17.478356018637417</v>
      </c>
      <c r="FP21" s="10">
        <f t="shared" si="22"/>
        <v>17.478356018637417</v>
      </c>
      <c r="FQ21" s="10">
        <f t="shared" si="22"/>
        <v>17.478356018637417</v>
      </c>
      <c r="FR21" s="10">
        <f t="shared" si="22"/>
        <v>17.478356018637417</v>
      </c>
      <c r="FS21" s="10">
        <f t="shared" si="22"/>
        <v>17.478356018637417</v>
      </c>
      <c r="FT21" s="10">
        <f t="shared" si="22"/>
        <v>17.478356018637417</v>
      </c>
      <c r="FU21" s="10">
        <f t="shared" si="22"/>
        <v>17.478356018637417</v>
      </c>
      <c r="FV21" s="10">
        <f t="shared" si="22"/>
        <v>17.478356018637417</v>
      </c>
      <c r="FW21" s="10">
        <f t="shared" si="22"/>
        <v>17.478356018637417</v>
      </c>
      <c r="FX21" s="10">
        <f t="shared" si="22"/>
        <v>17.478356018637417</v>
      </c>
      <c r="FY21" s="10">
        <f t="shared" si="22"/>
        <v>17.478356018637417</v>
      </c>
      <c r="FZ21" s="10">
        <f t="shared" si="22"/>
        <v>17.478356018637417</v>
      </c>
      <c r="GA21" s="10">
        <f t="shared" si="22"/>
        <v>17.478356018637417</v>
      </c>
      <c r="GB21" s="10">
        <f t="shared" si="22"/>
        <v>17.478356018637417</v>
      </c>
      <c r="GC21" s="10">
        <f t="shared" si="22"/>
        <v>17.478356018637417</v>
      </c>
      <c r="GD21" s="10">
        <f t="shared" si="22"/>
        <v>17.478356018637417</v>
      </c>
      <c r="GE21" s="10">
        <f t="shared" si="22"/>
        <v>17.478356018637417</v>
      </c>
      <c r="GF21" s="10">
        <f t="shared" si="22"/>
        <v>17.478356018637417</v>
      </c>
      <c r="GG21" s="10">
        <f t="shared" si="22"/>
        <v>17.478356018637417</v>
      </c>
      <c r="GH21" s="10">
        <f t="shared" si="22"/>
        <v>17.478356018637417</v>
      </c>
      <c r="GI21" s="10">
        <f t="shared" si="22"/>
        <v>17.478356018637417</v>
      </c>
      <c r="GJ21" s="10">
        <f t="shared" si="22"/>
        <v>17.478356018637417</v>
      </c>
      <c r="GK21" s="10">
        <f t="shared" si="22"/>
        <v>17.478356018637417</v>
      </c>
      <c r="GL21" s="10">
        <f t="shared" si="22"/>
        <v>17.478356018637417</v>
      </c>
      <c r="GM21" s="10">
        <f t="shared" si="22"/>
        <v>17.478356018637417</v>
      </c>
      <c r="GN21" s="10">
        <f t="shared" si="22"/>
        <v>17.478356018637417</v>
      </c>
      <c r="GO21" s="10">
        <f t="shared" si="22"/>
        <v>17.478356018637417</v>
      </c>
      <c r="GP21" s="10">
        <f t="shared" si="22"/>
        <v>17.478356018637417</v>
      </c>
      <c r="GQ21" s="10">
        <f t="shared" si="22"/>
        <v>17.478356018637417</v>
      </c>
      <c r="GR21" s="10">
        <f t="shared" si="22"/>
        <v>17.478356018637417</v>
      </c>
      <c r="GS21" s="10">
        <f t="shared" si="22"/>
        <v>17.478356018637417</v>
      </c>
      <c r="GT21" s="10">
        <f t="shared" si="22"/>
        <v>17.478356018637417</v>
      </c>
      <c r="GU21" s="10">
        <f t="shared" si="22"/>
        <v>17.478356018637417</v>
      </c>
      <c r="GV21" s="10">
        <f t="shared" si="22"/>
        <v>17.478356018637417</v>
      </c>
      <c r="GW21" s="10">
        <f t="shared" si="22"/>
        <v>17.478356018637417</v>
      </c>
      <c r="GX21" s="10">
        <f t="shared" si="22"/>
        <v>17.478356018637417</v>
      </c>
      <c r="GY21" s="10">
        <f t="shared" si="22"/>
        <v>17.478356018637417</v>
      </c>
      <c r="GZ21" s="10">
        <f t="shared" si="22"/>
        <v>17.478356018637417</v>
      </c>
      <c r="HA21" s="10">
        <f t="shared" si="22"/>
        <v>17.478356018637417</v>
      </c>
      <c r="HB21" s="10">
        <f t="shared" si="22"/>
        <v>17.478356018637417</v>
      </c>
      <c r="HC21" s="10">
        <f t="shared" si="22"/>
        <v>17.478356018637417</v>
      </c>
    </row>
    <row r="22" spans="1:211">
      <c r="A22" t="s">
        <v>80</v>
      </c>
      <c r="B22" s="10">
        <f>'CCaMC-VOaMCpUC US'!B22</f>
        <v>21.60326481985199</v>
      </c>
      <c r="C22" s="10">
        <f t="shared" si="21"/>
        <v>21.60326481985199</v>
      </c>
      <c r="D22" s="10">
        <f t="shared" si="21"/>
        <v>21.60326481985199</v>
      </c>
      <c r="E22" s="10">
        <f t="shared" si="21"/>
        <v>21.60326481985199</v>
      </c>
      <c r="F22" s="10">
        <f t="shared" si="15"/>
        <v>21.60326481985199</v>
      </c>
      <c r="G22" s="10">
        <f t="shared" si="15"/>
        <v>21.60326481985199</v>
      </c>
      <c r="H22" s="10">
        <f t="shared" si="15"/>
        <v>21.60326481985199</v>
      </c>
      <c r="I22" s="10">
        <f t="shared" si="15"/>
        <v>21.60326481985199</v>
      </c>
      <c r="J22" s="10">
        <f t="shared" si="15"/>
        <v>21.60326481985199</v>
      </c>
      <c r="K22" s="10">
        <f t="shared" si="15"/>
        <v>21.60326481985199</v>
      </c>
      <c r="L22" s="10">
        <f t="shared" si="15"/>
        <v>21.60326481985199</v>
      </c>
      <c r="M22" s="10">
        <f t="shared" si="15"/>
        <v>21.60326481985199</v>
      </c>
      <c r="N22" s="10">
        <f t="shared" si="15"/>
        <v>21.60326481985199</v>
      </c>
      <c r="O22" s="10">
        <f t="shared" si="15"/>
        <v>21.60326481985199</v>
      </c>
      <c r="P22" s="10">
        <f t="shared" si="15"/>
        <v>21.60326481985199</v>
      </c>
      <c r="Q22" s="10">
        <f t="shared" si="15"/>
        <v>21.60326481985199</v>
      </c>
      <c r="R22" s="10">
        <f t="shared" si="15"/>
        <v>21.60326481985199</v>
      </c>
      <c r="S22" s="10">
        <f t="shared" si="15"/>
        <v>21.60326481985199</v>
      </c>
      <c r="T22" s="10">
        <f t="shared" si="15"/>
        <v>21.60326481985199</v>
      </c>
      <c r="U22" s="10">
        <f t="shared" si="15"/>
        <v>21.60326481985199</v>
      </c>
      <c r="V22" s="10">
        <f t="shared" si="15"/>
        <v>21.60326481985199</v>
      </c>
      <c r="W22" s="10">
        <f t="shared" si="15"/>
        <v>21.60326481985199</v>
      </c>
      <c r="X22" s="10">
        <f t="shared" si="15"/>
        <v>21.60326481985199</v>
      </c>
      <c r="Y22" s="10">
        <f t="shared" si="15"/>
        <v>21.60326481985199</v>
      </c>
      <c r="Z22" s="10">
        <f t="shared" si="15"/>
        <v>21.60326481985199</v>
      </c>
      <c r="AA22" s="10">
        <f t="shared" si="15"/>
        <v>21.60326481985199</v>
      </c>
      <c r="AB22" s="10">
        <f t="shared" si="15"/>
        <v>21.60326481985199</v>
      </c>
      <c r="AC22" s="10">
        <f t="shared" si="15"/>
        <v>21.60326481985199</v>
      </c>
      <c r="AD22" s="10">
        <f t="shared" si="15"/>
        <v>21.60326481985199</v>
      </c>
      <c r="AE22" s="10">
        <f t="shared" si="15"/>
        <v>21.60326481985199</v>
      </c>
      <c r="AF22" s="10">
        <f t="shared" si="15"/>
        <v>21.60326481985199</v>
      </c>
      <c r="AG22" s="10">
        <f t="shared" si="15"/>
        <v>21.60326481985199</v>
      </c>
      <c r="AH22" s="10">
        <f t="shared" si="20"/>
        <v>21.60326481985199</v>
      </c>
      <c r="AI22" s="10">
        <f t="shared" si="20"/>
        <v>21.60326481985199</v>
      </c>
      <c r="AJ22" s="10">
        <f t="shared" si="20"/>
        <v>21.60326481985199</v>
      </c>
      <c r="AK22" s="10">
        <f t="shared" si="20"/>
        <v>21.60326481985199</v>
      </c>
      <c r="AL22" s="10">
        <f t="shared" si="20"/>
        <v>21.60326481985199</v>
      </c>
      <c r="AM22" s="10">
        <f t="shared" si="20"/>
        <v>21.60326481985199</v>
      </c>
      <c r="AN22" s="10">
        <f t="shared" si="20"/>
        <v>21.60326481985199</v>
      </c>
      <c r="AO22" s="10">
        <f t="shared" si="20"/>
        <v>21.60326481985199</v>
      </c>
      <c r="AP22" s="10">
        <f t="shared" si="20"/>
        <v>21.60326481985199</v>
      </c>
      <c r="AQ22" s="10">
        <f t="shared" si="20"/>
        <v>21.60326481985199</v>
      </c>
      <c r="AR22" s="10">
        <f t="shared" si="20"/>
        <v>21.60326481985199</v>
      </c>
      <c r="AS22" s="10">
        <f t="shared" si="20"/>
        <v>21.60326481985199</v>
      </c>
      <c r="AT22" s="10">
        <f t="shared" si="20"/>
        <v>21.60326481985199</v>
      </c>
      <c r="AU22" s="10">
        <f t="shared" si="20"/>
        <v>21.60326481985199</v>
      </c>
      <c r="AV22" s="10">
        <f t="shared" si="20"/>
        <v>21.60326481985199</v>
      </c>
      <c r="AW22" s="10">
        <f t="shared" si="20"/>
        <v>21.60326481985199</v>
      </c>
      <c r="AX22" s="10">
        <f t="shared" si="20"/>
        <v>21.60326481985199</v>
      </c>
      <c r="AY22" s="10">
        <f t="shared" si="20"/>
        <v>21.60326481985199</v>
      </c>
      <c r="AZ22" s="10">
        <f t="shared" si="20"/>
        <v>21.60326481985199</v>
      </c>
      <c r="BA22" s="10">
        <f t="shared" si="20"/>
        <v>21.60326481985199</v>
      </c>
      <c r="BB22" s="10">
        <f t="shared" si="20"/>
        <v>21.60326481985199</v>
      </c>
      <c r="BC22" s="10">
        <f t="shared" si="20"/>
        <v>21.60326481985199</v>
      </c>
      <c r="BD22" s="10">
        <f t="shared" si="20"/>
        <v>21.60326481985199</v>
      </c>
      <c r="BE22" s="10">
        <f t="shared" si="20"/>
        <v>21.60326481985199</v>
      </c>
      <c r="BF22" s="10">
        <f t="shared" si="20"/>
        <v>21.60326481985199</v>
      </c>
      <c r="BG22" s="10">
        <f t="shared" si="20"/>
        <v>21.60326481985199</v>
      </c>
      <c r="BH22" s="10">
        <f t="shared" si="20"/>
        <v>21.60326481985199</v>
      </c>
      <c r="BI22" s="10">
        <f t="shared" si="20"/>
        <v>21.60326481985199</v>
      </c>
      <c r="BJ22" s="10">
        <f t="shared" si="20"/>
        <v>21.60326481985199</v>
      </c>
      <c r="BK22" s="10">
        <f t="shared" si="20"/>
        <v>21.60326481985199</v>
      </c>
      <c r="BL22" s="10">
        <f t="shared" si="20"/>
        <v>21.60326481985199</v>
      </c>
      <c r="BM22" s="10">
        <f t="shared" si="20"/>
        <v>21.60326481985199</v>
      </c>
      <c r="BN22" s="10">
        <f t="shared" si="20"/>
        <v>21.60326481985199</v>
      </c>
      <c r="BO22" s="10">
        <f t="shared" si="20"/>
        <v>21.60326481985199</v>
      </c>
      <c r="BP22" s="10">
        <f t="shared" si="20"/>
        <v>21.60326481985199</v>
      </c>
      <c r="BQ22" s="10">
        <f t="shared" si="20"/>
        <v>21.60326481985199</v>
      </c>
      <c r="BR22" s="10">
        <f t="shared" si="20"/>
        <v>21.60326481985199</v>
      </c>
      <c r="BS22" s="10">
        <f t="shared" si="20"/>
        <v>21.60326481985199</v>
      </c>
      <c r="BT22" s="10">
        <f t="shared" si="20"/>
        <v>21.60326481985199</v>
      </c>
      <c r="BU22" s="10">
        <f t="shared" si="20"/>
        <v>21.60326481985199</v>
      </c>
      <c r="BV22" s="10">
        <f t="shared" si="20"/>
        <v>21.60326481985199</v>
      </c>
      <c r="BW22" s="10">
        <f t="shared" si="20"/>
        <v>21.60326481985199</v>
      </c>
      <c r="BX22" s="10">
        <f t="shared" si="20"/>
        <v>21.60326481985199</v>
      </c>
      <c r="BY22" s="10">
        <f t="shared" si="20"/>
        <v>21.60326481985199</v>
      </c>
      <c r="BZ22" s="10">
        <f t="shared" si="20"/>
        <v>21.60326481985199</v>
      </c>
      <c r="CA22" s="10">
        <f t="shared" si="20"/>
        <v>21.60326481985199</v>
      </c>
      <c r="CB22" s="10">
        <f t="shared" si="20"/>
        <v>21.60326481985199</v>
      </c>
      <c r="CC22" s="10">
        <f t="shared" si="20"/>
        <v>21.60326481985199</v>
      </c>
      <c r="CD22" s="10">
        <f t="shared" si="20"/>
        <v>21.60326481985199</v>
      </c>
      <c r="CE22" s="10">
        <f t="shared" si="20"/>
        <v>21.60326481985199</v>
      </c>
      <c r="CF22" s="10">
        <f t="shared" si="20"/>
        <v>21.60326481985199</v>
      </c>
      <c r="CG22" s="10">
        <f t="shared" si="20"/>
        <v>21.60326481985199</v>
      </c>
      <c r="CH22" s="10">
        <f t="shared" si="20"/>
        <v>21.60326481985199</v>
      </c>
      <c r="CI22" s="10">
        <f t="shared" si="20"/>
        <v>21.60326481985199</v>
      </c>
      <c r="CJ22" s="10">
        <f t="shared" si="20"/>
        <v>21.60326481985199</v>
      </c>
      <c r="CK22" s="10">
        <f t="shared" si="20"/>
        <v>21.60326481985199</v>
      </c>
      <c r="CL22" s="10">
        <f t="shared" si="20"/>
        <v>21.60326481985199</v>
      </c>
      <c r="CM22" s="10">
        <f t="shared" si="20"/>
        <v>21.60326481985199</v>
      </c>
      <c r="CN22" s="10">
        <f t="shared" si="20"/>
        <v>21.60326481985199</v>
      </c>
      <c r="CO22" s="10">
        <f t="shared" si="20"/>
        <v>21.60326481985199</v>
      </c>
      <c r="CP22" s="10">
        <f t="shared" si="20"/>
        <v>21.60326481985199</v>
      </c>
      <c r="CQ22" s="10">
        <f t="shared" si="20"/>
        <v>21.60326481985199</v>
      </c>
      <c r="CR22" s="10">
        <f t="shared" si="20"/>
        <v>21.60326481985199</v>
      </c>
      <c r="CS22" s="10">
        <f t="shared" ref="CS22:FD25" si="23">$B22</f>
        <v>21.60326481985199</v>
      </c>
      <c r="CT22" s="10">
        <f t="shared" si="23"/>
        <v>21.60326481985199</v>
      </c>
      <c r="CU22" s="10">
        <f t="shared" si="23"/>
        <v>21.60326481985199</v>
      </c>
      <c r="CV22" s="10">
        <f t="shared" si="23"/>
        <v>21.60326481985199</v>
      </c>
      <c r="CW22" s="10">
        <f t="shared" si="23"/>
        <v>21.60326481985199</v>
      </c>
      <c r="CX22" s="10">
        <f t="shared" si="23"/>
        <v>21.60326481985199</v>
      </c>
      <c r="CY22" s="10">
        <f t="shared" si="23"/>
        <v>21.60326481985199</v>
      </c>
      <c r="CZ22" s="10">
        <f t="shared" si="23"/>
        <v>21.60326481985199</v>
      </c>
      <c r="DA22" s="10">
        <f t="shared" si="23"/>
        <v>21.60326481985199</v>
      </c>
      <c r="DB22" s="10">
        <f t="shared" si="23"/>
        <v>21.60326481985199</v>
      </c>
      <c r="DC22" s="10">
        <f t="shared" si="23"/>
        <v>21.60326481985199</v>
      </c>
      <c r="DD22" s="10">
        <f t="shared" si="23"/>
        <v>21.60326481985199</v>
      </c>
      <c r="DE22" s="10">
        <f t="shared" si="23"/>
        <v>21.60326481985199</v>
      </c>
      <c r="DF22" s="10">
        <f t="shared" si="23"/>
        <v>21.60326481985199</v>
      </c>
      <c r="DG22" s="10">
        <f t="shared" si="23"/>
        <v>21.60326481985199</v>
      </c>
      <c r="DH22" s="10">
        <f t="shared" si="23"/>
        <v>21.60326481985199</v>
      </c>
      <c r="DI22" s="10">
        <f t="shared" si="23"/>
        <v>21.60326481985199</v>
      </c>
      <c r="DJ22" s="10">
        <f t="shared" si="23"/>
        <v>21.60326481985199</v>
      </c>
      <c r="DK22" s="10">
        <f t="shared" si="23"/>
        <v>21.60326481985199</v>
      </c>
      <c r="DL22" s="10">
        <f t="shared" si="23"/>
        <v>21.60326481985199</v>
      </c>
      <c r="DM22" s="10">
        <f t="shared" si="23"/>
        <v>21.60326481985199</v>
      </c>
      <c r="DN22" s="10">
        <f t="shared" si="23"/>
        <v>21.60326481985199</v>
      </c>
      <c r="DO22" s="10">
        <f t="shared" si="23"/>
        <v>21.60326481985199</v>
      </c>
      <c r="DP22" s="10">
        <f t="shared" si="23"/>
        <v>21.60326481985199</v>
      </c>
      <c r="DQ22" s="10">
        <f t="shared" si="23"/>
        <v>21.60326481985199</v>
      </c>
      <c r="DR22" s="10">
        <f t="shared" si="23"/>
        <v>21.60326481985199</v>
      </c>
      <c r="DS22" s="10">
        <f t="shared" si="23"/>
        <v>21.60326481985199</v>
      </c>
      <c r="DT22" s="10">
        <f t="shared" si="23"/>
        <v>21.60326481985199</v>
      </c>
      <c r="DU22" s="10">
        <f t="shared" si="23"/>
        <v>21.60326481985199</v>
      </c>
      <c r="DV22" s="10">
        <f t="shared" si="23"/>
        <v>21.60326481985199</v>
      </c>
      <c r="DW22" s="10">
        <f t="shared" si="23"/>
        <v>21.60326481985199</v>
      </c>
      <c r="DX22" s="10">
        <f t="shared" si="23"/>
        <v>21.60326481985199</v>
      </c>
      <c r="DY22" s="10">
        <f t="shared" si="23"/>
        <v>21.60326481985199</v>
      </c>
      <c r="DZ22" s="10">
        <f t="shared" si="23"/>
        <v>21.60326481985199</v>
      </c>
      <c r="EA22" s="10">
        <f t="shared" si="23"/>
        <v>21.60326481985199</v>
      </c>
      <c r="EB22" s="10">
        <f t="shared" si="23"/>
        <v>21.60326481985199</v>
      </c>
      <c r="EC22" s="10">
        <f t="shared" si="23"/>
        <v>21.60326481985199</v>
      </c>
      <c r="ED22" s="10">
        <f t="shared" si="23"/>
        <v>21.60326481985199</v>
      </c>
      <c r="EE22" s="10">
        <f t="shared" si="23"/>
        <v>21.60326481985199</v>
      </c>
      <c r="EF22" s="10">
        <f t="shared" si="23"/>
        <v>21.60326481985199</v>
      </c>
      <c r="EG22" s="10">
        <f t="shared" si="23"/>
        <v>21.60326481985199</v>
      </c>
      <c r="EH22" s="10">
        <f t="shared" si="23"/>
        <v>21.60326481985199</v>
      </c>
      <c r="EI22" s="10">
        <f t="shared" si="23"/>
        <v>21.60326481985199</v>
      </c>
      <c r="EJ22" s="10">
        <f t="shared" si="23"/>
        <v>21.60326481985199</v>
      </c>
      <c r="EK22" s="10">
        <f t="shared" si="23"/>
        <v>21.60326481985199</v>
      </c>
      <c r="EL22" s="10">
        <f t="shared" si="23"/>
        <v>21.60326481985199</v>
      </c>
      <c r="EM22" s="10">
        <f t="shared" si="23"/>
        <v>21.60326481985199</v>
      </c>
      <c r="EN22" s="10">
        <f t="shared" si="23"/>
        <v>21.60326481985199</v>
      </c>
      <c r="EO22" s="10">
        <f t="shared" si="23"/>
        <v>21.60326481985199</v>
      </c>
      <c r="EP22" s="10">
        <f t="shared" si="23"/>
        <v>21.60326481985199</v>
      </c>
      <c r="EQ22" s="10">
        <f t="shared" si="23"/>
        <v>21.60326481985199</v>
      </c>
      <c r="ER22" s="10">
        <f t="shared" si="23"/>
        <v>21.60326481985199</v>
      </c>
      <c r="ES22" s="10">
        <f t="shared" si="23"/>
        <v>21.60326481985199</v>
      </c>
      <c r="ET22" s="10">
        <f t="shared" si="23"/>
        <v>21.60326481985199</v>
      </c>
      <c r="EU22" s="10">
        <f t="shared" si="23"/>
        <v>21.60326481985199</v>
      </c>
      <c r="EV22" s="10">
        <f t="shared" si="23"/>
        <v>21.60326481985199</v>
      </c>
      <c r="EW22" s="10">
        <f t="shared" si="23"/>
        <v>21.60326481985199</v>
      </c>
      <c r="EX22" s="10">
        <f t="shared" si="23"/>
        <v>21.60326481985199</v>
      </c>
      <c r="EY22" s="10">
        <f t="shared" si="23"/>
        <v>21.60326481985199</v>
      </c>
      <c r="EZ22" s="10">
        <f t="shared" si="23"/>
        <v>21.60326481985199</v>
      </c>
      <c r="FA22" s="10">
        <f t="shared" si="23"/>
        <v>21.60326481985199</v>
      </c>
      <c r="FB22" s="10">
        <f t="shared" si="23"/>
        <v>21.60326481985199</v>
      </c>
      <c r="FC22" s="10">
        <f t="shared" si="23"/>
        <v>21.60326481985199</v>
      </c>
      <c r="FD22" s="10">
        <f t="shared" si="23"/>
        <v>21.60326481985199</v>
      </c>
      <c r="FE22" s="10">
        <f t="shared" si="22"/>
        <v>21.60326481985199</v>
      </c>
      <c r="FF22" s="10">
        <f t="shared" si="22"/>
        <v>21.60326481985199</v>
      </c>
      <c r="FG22" s="10">
        <f t="shared" si="22"/>
        <v>21.60326481985199</v>
      </c>
      <c r="FH22" s="10">
        <f t="shared" si="22"/>
        <v>21.60326481985199</v>
      </c>
      <c r="FI22" s="10">
        <f t="shared" si="22"/>
        <v>21.60326481985199</v>
      </c>
      <c r="FJ22" s="10">
        <f t="shared" si="22"/>
        <v>21.60326481985199</v>
      </c>
      <c r="FK22" s="10">
        <f t="shared" si="22"/>
        <v>21.60326481985199</v>
      </c>
      <c r="FL22" s="10">
        <f t="shared" si="22"/>
        <v>21.60326481985199</v>
      </c>
      <c r="FM22" s="10">
        <f t="shared" si="22"/>
        <v>21.60326481985199</v>
      </c>
      <c r="FN22" s="10">
        <f t="shared" si="22"/>
        <v>21.60326481985199</v>
      </c>
      <c r="FO22" s="10">
        <f t="shared" si="22"/>
        <v>21.60326481985199</v>
      </c>
      <c r="FP22" s="10">
        <f t="shared" si="22"/>
        <v>21.60326481985199</v>
      </c>
      <c r="FQ22" s="10">
        <f t="shared" si="22"/>
        <v>21.60326481985199</v>
      </c>
      <c r="FR22" s="10">
        <f t="shared" si="22"/>
        <v>21.60326481985199</v>
      </c>
      <c r="FS22" s="10">
        <f t="shared" si="22"/>
        <v>21.60326481985199</v>
      </c>
      <c r="FT22" s="10">
        <f t="shared" si="22"/>
        <v>21.60326481985199</v>
      </c>
      <c r="FU22" s="10">
        <f t="shared" si="22"/>
        <v>21.60326481985199</v>
      </c>
      <c r="FV22" s="10">
        <f t="shared" si="22"/>
        <v>21.60326481985199</v>
      </c>
      <c r="FW22" s="10">
        <f t="shared" si="22"/>
        <v>21.60326481985199</v>
      </c>
      <c r="FX22" s="10">
        <f t="shared" si="22"/>
        <v>21.60326481985199</v>
      </c>
      <c r="FY22" s="10">
        <f t="shared" si="22"/>
        <v>21.60326481985199</v>
      </c>
      <c r="FZ22" s="10">
        <f t="shared" si="22"/>
        <v>21.60326481985199</v>
      </c>
      <c r="GA22" s="10">
        <f t="shared" si="22"/>
        <v>21.60326481985199</v>
      </c>
      <c r="GB22" s="10">
        <f t="shared" si="22"/>
        <v>21.60326481985199</v>
      </c>
      <c r="GC22" s="10">
        <f t="shared" si="22"/>
        <v>21.60326481985199</v>
      </c>
      <c r="GD22" s="10">
        <f t="shared" si="22"/>
        <v>21.60326481985199</v>
      </c>
      <c r="GE22" s="10">
        <f t="shared" si="22"/>
        <v>21.60326481985199</v>
      </c>
      <c r="GF22" s="10">
        <f t="shared" si="22"/>
        <v>21.60326481985199</v>
      </c>
      <c r="GG22" s="10">
        <f t="shared" si="22"/>
        <v>21.60326481985199</v>
      </c>
      <c r="GH22" s="10">
        <f t="shared" si="22"/>
        <v>21.60326481985199</v>
      </c>
      <c r="GI22" s="10">
        <f t="shared" si="22"/>
        <v>21.60326481985199</v>
      </c>
      <c r="GJ22" s="10">
        <f t="shared" si="22"/>
        <v>21.60326481985199</v>
      </c>
      <c r="GK22" s="10">
        <f t="shared" si="22"/>
        <v>21.60326481985199</v>
      </c>
      <c r="GL22" s="10">
        <f t="shared" si="22"/>
        <v>21.60326481985199</v>
      </c>
      <c r="GM22" s="10">
        <f t="shared" si="22"/>
        <v>21.60326481985199</v>
      </c>
      <c r="GN22" s="10">
        <f t="shared" si="22"/>
        <v>21.60326481985199</v>
      </c>
      <c r="GO22" s="10">
        <f t="shared" si="22"/>
        <v>21.60326481985199</v>
      </c>
      <c r="GP22" s="10">
        <f t="shared" si="22"/>
        <v>21.60326481985199</v>
      </c>
      <c r="GQ22" s="10">
        <f t="shared" si="22"/>
        <v>21.60326481985199</v>
      </c>
      <c r="GR22" s="10">
        <f t="shared" si="22"/>
        <v>21.60326481985199</v>
      </c>
      <c r="GS22" s="10">
        <f t="shared" si="22"/>
        <v>21.60326481985199</v>
      </c>
      <c r="GT22" s="10">
        <f t="shared" si="22"/>
        <v>21.60326481985199</v>
      </c>
      <c r="GU22" s="10">
        <f t="shared" si="22"/>
        <v>21.60326481985199</v>
      </c>
      <c r="GV22" s="10">
        <f t="shared" si="22"/>
        <v>21.60326481985199</v>
      </c>
      <c r="GW22" s="10">
        <f t="shared" si="22"/>
        <v>21.60326481985199</v>
      </c>
      <c r="GX22" s="10">
        <f t="shared" si="22"/>
        <v>21.60326481985199</v>
      </c>
      <c r="GY22" s="10">
        <f t="shared" si="22"/>
        <v>21.60326481985199</v>
      </c>
      <c r="GZ22" s="10">
        <f t="shared" si="22"/>
        <v>21.60326481985199</v>
      </c>
      <c r="HA22" s="10">
        <f t="shared" si="22"/>
        <v>21.60326481985199</v>
      </c>
      <c r="HB22" s="10">
        <f t="shared" si="22"/>
        <v>21.60326481985199</v>
      </c>
      <c r="HC22" s="10">
        <f t="shared" si="22"/>
        <v>21.60326481985199</v>
      </c>
    </row>
    <row r="23" spans="1:211">
      <c r="A23" t="s">
        <v>81</v>
      </c>
      <c r="B23" s="10">
        <f>'CCaMC-VOaMCpUC US'!B23</f>
        <v>2.6520619256744284</v>
      </c>
      <c r="C23" s="10">
        <f t="shared" si="21"/>
        <v>2.6520619256744284</v>
      </c>
      <c r="D23" s="10">
        <f t="shared" si="21"/>
        <v>2.6520619256744284</v>
      </c>
      <c r="E23" s="10">
        <f t="shared" si="21"/>
        <v>2.6520619256744284</v>
      </c>
      <c r="F23" s="10">
        <f t="shared" si="15"/>
        <v>2.6520619256744284</v>
      </c>
      <c r="G23" s="10">
        <f t="shared" si="15"/>
        <v>2.6520619256744284</v>
      </c>
      <c r="H23" s="10">
        <f t="shared" si="15"/>
        <v>2.6520619256744284</v>
      </c>
      <c r="I23" s="10">
        <f t="shared" si="15"/>
        <v>2.6520619256744284</v>
      </c>
      <c r="J23" s="10">
        <f t="shared" si="15"/>
        <v>2.6520619256744284</v>
      </c>
      <c r="K23" s="10">
        <f t="shared" si="15"/>
        <v>2.6520619256744284</v>
      </c>
      <c r="L23" s="10">
        <f t="shared" si="15"/>
        <v>2.6520619256744284</v>
      </c>
      <c r="M23" s="10">
        <f t="shared" si="15"/>
        <v>2.6520619256744284</v>
      </c>
      <c r="N23" s="10">
        <f t="shared" si="15"/>
        <v>2.6520619256744284</v>
      </c>
      <c r="O23" s="10">
        <f t="shared" si="15"/>
        <v>2.6520619256744284</v>
      </c>
      <c r="P23" s="10">
        <f t="shared" si="15"/>
        <v>2.6520619256744284</v>
      </c>
      <c r="Q23" s="10">
        <f t="shared" si="15"/>
        <v>2.6520619256744284</v>
      </c>
      <c r="R23" s="10">
        <f t="shared" si="15"/>
        <v>2.6520619256744284</v>
      </c>
      <c r="S23" s="10">
        <f t="shared" si="15"/>
        <v>2.6520619256744284</v>
      </c>
      <c r="T23" s="10">
        <f t="shared" si="15"/>
        <v>2.6520619256744284</v>
      </c>
      <c r="U23" s="10">
        <f t="shared" si="15"/>
        <v>2.6520619256744284</v>
      </c>
      <c r="V23" s="10">
        <f t="shared" si="15"/>
        <v>2.6520619256744284</v>
      </c>
      <c r="W23" s="10">
        <f t="shared" si="15"/>
        <v>2.6520619256744284</v>
      </c>
      <c r="X23" s="10">
        <f t="shared" si="15"/>
        <v>2.6520619256744284</v>
      </c>
      <c r="Y23" s="10">
        <f t="shared" ref="F23:AH25" si="24">$B23</f>
        <v>2.6520619256744284</v>
      </c>
      <c r="Z23" s="10">
        <f t="shared" si="24"/>
        <v>2.6520619256744284</v>
      </c>
      <c r="AA23" s="10">
        <f t="shared" si="24"/>
        <v>2.6520619256744284</v>
      </c>
      <c r="AB23" s="10">
        <f t="shared" si="24"/>
        <v>2.6520619256744284</v>
      </c>
      <c r="AC23" s="10">
        <f t="shared" si="24"/>
        <v>2.6520619256744284</v>
      </c>
      <c r="AD23" s="10">
        <f t="shared" si="24"/>
        <v>2.6520619256744284</v>
      </c>
      <c r="AE23" s="10">
        <f t="shared" si="24"/>
        <v>2.6520619256744284</v>
      </c>
      <c r="AF23" s="10">
        <f t="shared" si="24"/>
        <v>2.6520619256744284</v>
      </c>
      <c r="AG23" s="10">
        <f t="shared" si="24"/>
        <v>2.6520619256744284</v>
      </c>
      <c r="AH23" s="10">
        <f t="shared" si="24"/>
        <v>2.6520619256744284</v>
      </c>
      <c r="AI23" s="10">
        <f t="shared" ref="AI23:CT25" si="25">$B23</f>
        <v>2.6520619256744284</v>
      </c>
      <c r="AJ23" s="10">
        <f t="shared" si="25"/>
        <v>2.6520619256744284</v>
      </c>
      <c r="AK23" s="10">
        <f t="shared" si="25"/>
        <v>2.6520619256744284</v>
      </c>
      <c r="AL23" s="10">
        <f t="shared" si="25"/>
        <v>2.6520619256744284</v>
      </c>
      <c r="AM23" s="10">
        <f t="shared" si="25"/>
        <v>2.6520619256744284</v>
      </c>
      <c r="AN23" s="10">
        <f t="shared" si="25"/>
        <v>2.6520619256744284</v>
      </c>
      <c r="AO23" s="10">
        <f t="shared" si="25"/>
        <v>2.6520619256744284</v>
      </c>
      <c r="AP23" s="10">
        <f t="shared" si="25"/>
        <v>2.6520619256744284</v>
      </c>
      <c r="AQ23" s="10">
        <f t="shared" si="25"/>
        <v>2.6520619256744284</v>
      </c>
      <c r="AR23" s="10">
        <f t="shared" si="25"/>
        <v>2.6520619256744284</v>
      </c>
      <c r="AS23" s="10">
        <f t="shared" si="25"/>
        <v>2.6520619256744284</v>
      </c>
      <c r="AT23" s="10">
        <f t="shared" si="25"/>
        <v>2.6520619256744284</v>
      </c>
      <c r="AU23" s="10">
        <f t="shared" si="25"/>
        <v>2.6520619256744284</v>
      </c>
      <c r="AV23" s="10">
        <f t="shared" si="25"/>
        <v>2.6520619256744284</v>
      </c>
      <c r="AW23" s="10">
        <f t="shared" si="25"/>
        <v>2.6520619256744284</v>
      </c>
      <c r="AX23" s="10">
        <f t="shared" si="25"/>
        <v>2.6520619256744284</v>
      </c>
      <c r="AY23" s="10">
        <f t="shared" si="25"/>
        <v>2.6520619256744284</v>
      </c>
      <c r="AZ23" s="10">
        <f t="shared" si="25"/>
        <v>2.6520619256744284</v>
      </c>
      <c r="BA23" s="10">
        <f t="shared" si="25"/>
        <v>2.6520619256744284</v>
      </c>
      <c r="BB23" s="10">
        <f t="shared" si="25"/>
        <v>2.6520619256744284</v>
      </c>
      <c r="BC23" s="10">
        <f t="shared" si="25"/>
        <v>2.6520619256744284</v>
      </c>
      <c r="BD23" s="10">
        <f t="shared" si="25"/>
        <v>2.6520619256744284</v>
      </c>
      <c r="BE23" s="10">
        <f t="shared" si="25"/>
        <v>2.6520619256744284</v>
      </c>
      <c r="BF23" s="10">
        <f t="shared" si="25"/>
        <v>2.6520619256744284</v>
      </c>
      <c r="BG23" s="10">
        <f t="shared" si="25"/>
        <v>2.6520619256744284</v>
      </c>
      <c r="BH23" s="10">
        <f t="shared" si="25"/>
        <v>2.6520619256744284</v>
      </c>
      <c r="BI23" s="10">
        <f t="shared" si="25"/>
        <v>2.6520619256744284</v>
      </c>
      <c r="BJ23" s="10">
        <f t="shared" si="25"/>
        <v>2.6520619256744284</v>
      </c>
      <c r="BK23" s="10">
        <f t="shared" si="25"/>
        <v>2.6520619256744284</v>
      </c>
      <c r="BL23" s="10">
        <f t="shared" si="25"/>
        <v>2.6520619256744284</v>
      </c>
      <c r="BM23" s="10">
        <f t="shared" si="25"/>
        <v>2.6520619256744284</v>
      </c>
      <c r="BN23" s="10">
        <f t="shared" si="25"/>
        <v>2.6520619256744284</v>
      </c>
      <c r="BO23" s="10">
        <f t="shared" si="25"/>
        <v>2.6520619256744284</v>
      </c>
      <c r="BP23" s="10">
        <f t="shared" si="25"/>
        <v>2.6520619256744284</v>
      </c>
      <c r="BQ23" s="10">
        <f t="shared" si="25"/>
        <v>2.6520619256744284</v>
      </c>
      <c r="BR23" s="10">
        <f t="shared" si="25"/>
        <v>2.6520619256744284</v>
      </c>
      <c r="BS23" s="10">
        <f t="shared" si="25"/>
        <v>2.6520619256744284</v>
      </c>
      <c r="BT23" s="10">
        <f t="shared" si="25"/>
        <v>2.6520619256744284</v>
      </c>
      <c r="BU23" s="10">
        <f t="shared" si="25"/>
        <v>2.6520619256744284</v>
      </c>
      <c r="BV23" s="10">
        <f t="shared" si="25"/>
        <v>2.6520619256744284</v>
      </c>
      <c r="BW23" s="10">
        <f t="shared" si="25"/>
        <v>2.6520619256744284</v>
      </c>
      <c r="BX23" s="10">
        <f t="shared" si="25"/>
        <v>2.6520619256744284</v>
      </c>
      <c r="BY23" s="10">
        <f t="shared" si="25"/>
        <v>2.6520619256744284</v>
      </c>
      <c r="BZ23" s="10">
        <f t="shared" si="25"/>
        <v>2.6520619256744284</v>
      </c>
      <c r="CA23" s="10">
        <f t="shared" si="25"/>
        <v>2.6520619256744284</v>
      </c>
      <c r="CB23" s="10">
        <f t="shared" si="25"/>
        <v>2.6520619256744284</v>
      </c>
      <c r="CC23" s="10">
        <f t="shared" si="25"/>
        <v>2.6520619256744284</v>
      </c>
      <c r="CD23" s="10">
        <f t="shared" si="25"/>
        <v>2.6520619256744284</v>
      </c>
      <c r="CE23" s="10">
        <f t="shared" si="25"/>
        <v>2.6520619256744284</v>
      </c>
      <c r="CF23" s="10">
        <f t="shared" si="25"/>
        <v>2.6520619256744284</v>
      </c>
      <c r="CG23" s="10">
        <f t="shared" si="25"/>
        <v>2.6520619256744284</v>
      </c>
      <c r="CH23" s="10">
        <f t="shared" si="25"/>
        <v>2.6520619256744284</v>
      </c>
      <c r="CI23" s="10">
        <f t="shared" si="25"/>
        <v>2.6520619256744284</v>
      </c>
      <c r="CJ23" s="10">
        <f t="shared" si="25"/>
        <v>2.6520619256744284</v>
      </c>
      <c r="CK23" s="10">
        <f t="shared" si="25"/>
        <v>2.6520619256744284</v>
      </c>
      <c r="CL23" s="10">
        <f t="shared" si="25"/>
        <v>2.6520619256744284</v>
      </c>
      <c r="CM23" s="10">
        <f t="shared" si="25"/>
        <v>2.6520619256744284</v>
      </c>
      <c r="CN23" s="10">
        <f t="shared" si="25"/>
        <v>2.6520619256744284</v>
      </c>
      <c r="CO23" s="10">
        <f t="shared" si="25"/>
        <v>2.6520619256744284</v>
      </c>
      <c r="CP23" s="10">
        <f t="shared" si="25"/>
        <v>2.6520619256744284</v>
      </c>
      <c r="CQ23" s="10">
        <f t="shared" si="25"/>
        <v>2.6520619256744284</v>
      </c>
      <c r="CR23" s="10">
        <f t="shared" si="25"/>
        <v>2.6520619256744284</v>
      </c>
      <c r="CS23" s="10">
        <f t="shared" si="25"/>
        <v>2.6520619256744284</v>
      </c>
      <c r="CT23" s="10">
        <f t="shared" si="25"/>
        <v>2.6520619256744284</v>
      </c>
      <c r="CU23" s="10">
        <f t="shared" si="23"/>
        <v>2.6520619256744284</v>
      </c>
      <c r="CV23" s="10">
        <f t="shared" si="23"/>
        <v>2.6520619256744284</v>
      </c>
      <c r="CW23" s="10">
        <f t="shared" si="23"/>
        <v>2.6520619256744284</v>
      </c>
      <c r="CX23" s="10">
        <f t="shared" si="23"/>
        <v>2.6520619256744284</v>
      </c>
      <c r="CY23" s="10">
        <f t="shared" si="23"/>
        <v>2.6520619256744284</v>
      </c>
      <c r="CZ23" s="10">
        <f t="shared" si="23"/>
        <v>2.6520619256744284</v>
      </c>
      <c r="DA23" s="10">
        <f t="shared" si="23"/>
        <v>2.6520619256744284</v>
      </c>
      <c r="DB23" s="10">
        <f t="shared" si="23"/>
        <v>2.6520619256744284</v>
      </c>
      <c r="DC23" s="10">
        <f t="shared" si="23"/>
        <v>2.6520619256744284</v>
      </c>
      <c r="DD23" s="10">
        <f t="shared" si="23"/>
        <v>2.6520619256744284</v>
      </c>
      <c r="DE23" s="10">
        <f t="shared" si="23"/>
        <v>2.6520619256744284</v>
      </c>
      <c r="DF23" s="10">
        <f t="shared" si="23"/>
        <v>2.6520619256744284</v>
      </c>
      <c r="DG23" s="10">
        <f t="shared" si="23"/>
        <v>2.6520619256744284</v>
      </c>
      <c r="DH23" s="10">
        <f t="shared" si="23"/>
        <v>2.6520619256744284</v>
      </c>
      <c r="DI23" s="10">
        <f t="shared" si="23"/>
        <v>2.6520619256744284</v>
      </c>
      <c r="DJ23" s="10">
        <f t="shared" si="23"/>
        <v>2.6520619256744284</v>
      </c>
      <c r="DK23" s="10">
        <f t="shared" si="23"/>
        <v>2.6520619256744284</v>
      </c>
      <c r="DL23" s="10">
        <f t="shared" si="23"/>
        <v>2.6520619256744284</v>
      </c>
      <c r="DM23" s="10">
        <f t="shared" si="23"/>
        <v>2.6520619256744284</v>
      </c>
      <c r="DN23" s="10">
        <f t="shared" si="23"/>
        <v>2.6520619256744284</v>
      </c>
      <c r="DO23" s="10">
        <f t="shared" si="23"/>
        <v>2.6520619256744284</v>
      </c>
      <c r="DP23" s="10">
        <f t="shared" si="23"/>
        <v>2.6520619256744284</v>
      </c>
      <c r="DQ23" s="10">
        <f t="shared" si="23"/>
        <v>2.6520619256744284</v>
      </c>
      <c r="DR23" s="10">
        <f t="shared" si="23"/>
        <v>2.6520619256744284</v>
      </c>
      <c r="DS23" s="10">
        <f t="shared" si="23"/>
        <v>2.6520619256744284</v>
      </c>
      <c r="DT23" s="10">
        <f t="shared" si="23"/>
        <v>2.6520619256744284</v>
      </c>
      <c r="DU23" s="10">
        <f t="shared" si="23"/>
        <v>2.6520619256744284</v>
      </c>
      <c r="DV23" s="10">
        <f t="shared" si="23"/>
        <v>2.6520619256744284</v>
      </c>
      <c r="DW23" s="10">
        <f t="shared" si="23"/>
        <v>2.6520619256744284</v>
      </c>
      <c r="DX23" s="10">
        <f t="shared" si="23"/>
        <v>2.6520619256744284</v>
      </c>
      <c r="DY23" s="10">
        <f t="shared" si="23"/>
        <v>2.6520619256744284</v>
      </c>
      <c r="DZ23" s="10">
        <f t="shared" si="23"/>
        <v>2.6520619256744284</v>
      </c>
      <c r="EA23" s="10">
        <f t="shared" si="23"/>
        <v>2.6520619256744284</v>
      </c>
      <c r="EB23" s="10">
        <f t="shared" si="23"/>
        <v>2.6520619256744284</v>
      </c>
      <c r="EC23" s="10">
        <f t="shared" si="23"/>
        <v>2.6520619256744284</v>
      </c>
      <c r="ED23" s="10">
        <f t="shared" si="23"/>
        <v>2.6520619256744284</v>
      </c>
      <c r="EE23" s="10">
        <f t="shared" si="23"/>
        <v>2.6520619256744284</v>
      </c>
      <c r="EF23" s="10">
        <f t="shared" si="23"/>
        <v>2.6520619256744284</v>
      </c>
      <c r="EG23" s="10">
        <f t="shared" si="23"/>
        <v>2.6520619256744284</v>
      </c>
      <c r="EH23" s="10">
        <f t="shared" si="23"/>
        <v>2.6520619256744284</v>
      </c>
      <c r="EI23" s="10">
        <f t="shared" si="23"/>
        <v>2.6520619256744284</v>
      </c>
      <c r="EJ23" s="10">
        <f t="shared" si="23"/>
        <v>2.6520619256744284</v>
      </c>
      <c r="EK23" s="10">
        <f t="shared" si="23"/>
        <v>2.6520619256744284</v>
      </c>
      <c r="EL23" s="10">
        <f t="shared" si="23"/>
        <v>2.6520619256744284</v>
      </c>
      <c r="EM23" s="10">
        <f t="shared" si="23"/>
        <v>2.6520619256744284</v>
      </c>
      <c r="EN23" s="10">
        <f t="shared" si="23"/>
        <v>2.6520619256744284</v>
      </c>
      <c r="EO23" s="10">
        <f t="shared" si="23"/>
        <v>2.6520619256744284</v>
      </c>
      <c r="EP23" s="10">
        <f t="shared" si="23"/>
        <v>2.6520619256744284</v>
      </c>
      <c r="EQ23" s="10">
        <f t="shared" si="23"/>
        <v>2.6520619256744284</v>
      </c>
      <c r="ER23" s="10">
        <f t="shared" si="23"/>
        <v>2.6520619256744284</v>
      </c>
      <c r="ES23" s="10">
        <f t="shared" si="23"/>
        <v>2.6520619256744284</v>
      </c>
      <c r="ET23" s="10">
        <f t="shared" si="23"/>
        <v>2.6520619256744284</v>
      </c>
      <c r="EU23" s="10">
        <f t="shared" si="23"/>
        <v>2.6520619256744284</v>
      </c>
      <c r="EV23" s="10">
        <f t="shared" si="23"/>
        <v>2.6520619256744284</v>
      </c>
      <c r="EW23" s="10">
        <f t="shared" si="23"/>
        <v>2.6520619256744284</v>
      </c>
      <c r="EX23" s="10">
        <f t="shared" si="23"/>
        <v>2.6520619256744284</v>
      </c>
      <c r="EY23" s="10">
        <f t="shared" si="23"/>
        <v>2.6520619256744284</v>
      </c>
      <c r="EZ23" s="10">
        <f t="shared" si="23"/>
        <v>2.6520619256744284</v>
      </c>
      <c r="FA23" s="10">
        <f t="shared" si="23"/>
        <v>2.6520619256744284</v>
      </c>
      <c r="FB23" s="10">
        <f t="shared" si="23"/>
        <v>2.6520619256744284</v>
      </c>
      <c r="FC23" s="10">
        <f t="shared" si="23"/>
        <v>2.6520619256744284</v>
      </c>
      <c r="FD23" s="10">
        <f t="shared" si="23"/>
        <v>2.6520619256744284</v>
      </c>
      <c r="FE23" s="10">
        <f t="shared" si="22"/>
        <v>2.6520619256744284</v>
      </c>
      <c r="FF23" s="10">
        <f t="shared" si="22"/>
        <v>2.6520619256744284</v>
      </c>
      <c r="FG23" s="10">
        <f t="shared" si="22"/>
        <v>2.6520619256744284</v>
      </c>
      <c r="FH23" s="10">
        <f t="shared" si="22"/>
        <v>2.6520619256744284</v>
      </c>
      <c r="FI23" s="10">
        <f t="shared" si="22"/>
        <v>2.6520619256744284</v>
      </c>
      <c r="FJ23" s="10">
        <f t="shared" si="22"/>
        <v>2.6520619256744284</v>
      </c>
      <c r="FK23" s="10">
        <f t="shared" si="22"/>
        <v>2.6520619256744284</v>
      </c>
      <c r="FL23" s="10">
        <f t="shared" si="22"/>
        <v>2.6520619256744284</v>
      </c>
      <c r="FM23" s="10">
        <f t="shared" si="22"/>
        <v>2.6520619256744284</v>
      </c>
      <c r="FN23" s="10">
        <f t="shared" si="22"/>
        <v>2.6520619256744284</v>
      </c>
      <c r="FO23" s="10">
        <f t="shared" si="22"/>
        <v>2.6520619256744284</v>
      </c>
      <c r="FP23" s="10">
        <f t="shared" si="22"/>
        <v>2.6520619256744284</v>
      </c>
      <c r="FQ23" s="10">
        <f t="shared" si="22"/>
        <v>2.6520619256744284</v>
      </c>
      <c r="FR23" s="10">
        <f t="shared" si="22"/>
        <v>2.6520619256744284</v>
      </c>
      <c r="FS23" s="10">
        <f t="shared" si="22"/>
        <v>2.6520619256744284</v>
      </c>
      <c r="FT23" s="10">
        <f t="shared" si="22"/>
        <v>2.6520619256744284</v>
      </c>
      <c r="FU23" s="10">
        <f t="shared" si="22"/>
        <v>2.6520619256744284</v>
      </c>
      <c r="FV23" s="10">
        <f t="shared" si="22"/>
        <v>2.6520619256744284</v>
      </c>
      <c r="FW23" s="10">
        <f t="shared" si="22"/>
        <v>2.6520619256744284</v>
      </c>
      <c r="FX23" s="10">
        <f t="shared" si="22"/>
        <v>2.6520619256744284</v>
      </c>
      <c r="FY23" s="10">
        <f t="shared" si="22"/>
        <v>2.6520619256744284</v>
      </c>
      <c r="FZ23" s="10">
        <f t="shared" si="22"/>
        <v>2.6520619256744284</v>
      </c>
      <c r="GA23" s="10">
        <f t="shared" si="22"/>
        <v>2.6520619256744284</v>
      </c>
      <c r="GB23" s="10">
        <f t="shared" si="22"/>
        <v>2.6520619256744284</v>
      </c>
      <c r="GC23" s="10">
        <f t="shared" si="22"/>
        <v>2.6520619256744284</v>
      </c>
      <c r="GD23" s="10">
        <f t="shared" si="22"/>
        <v>2.6520619256744284</v>
      </c>
      <c r="GE23" s="10">
        <f t="shared" si="22"/>
        <v>2.6520619256744284</v>
      </c>
      <c r="GF23" s="10">
        <f t="shared" si="22"/>
        <v>2.6520619256744284</v>
      </c>
      <c r="GG23" s="10">
        <f t="shared" si="22"/>
        <v>2.6520619256744284</v>
      </c>
      <c r="GH23" s="10">
        <f t="shared" si="22"/>
        <v>2.6520619256744284</v>
      </c>
      <c r="GI23" s="10">
        <f t="shared" si="22"/>
        <v>2.6520619256744284</v>
      </c>
      <c r="GJ23" s="10">
        <f t="shared" si="22"/>
        <v>2.6520619256744284</v>
      </c>
      <c r="GK23" s="10">
        <f t="shared" si="22"/>
        <v>2.6520619256744284</v>
      </c>
      <c r="GL23" s="10">
        <f t="shared" si="22"/>
        <v>2.6520619256744284</v>
      </c>
      <c r="GM23" s="10">
        <f t="shared" si="22"/>
        <v>2.6520619256744284</v>
      </c>
      <c r="GN23" s="10">
        <f t="shared" si="22"/>
        <v>2.6520619256744284</v>
      </c>
      <c r="GO23" s="10">
        <f t="shared" si="22"/>
        <v>2.6520619256744284</v>
      </c>
      <c r="GP23" s="10">
        <f t="shared" si="22"/>
        <v>2.6520619256744284</v>
      </c>
      <c r="GQ23" s="10">
        <f t="shared" si="22"/>
        <v>2.6520619256744284</v>
      </c>
      <c r="GR23" s="10">
        <f t="shared" si="22"/>
        <v>2.6520619256744284</v>
      </c>
      <c r="GS23" s="10">
        <f t="shared" si="22"/>
        <v>2.6520619256744284</v>
      </c>
      <c r="GT23" s="10">
        <f t="shared" si="22"/>
        <v>2.6520619256744284</v>
      </c>
      <c r="GU23" s="10">
        <f t="shared" si="22"/>
        <v>2.6520619256744284</v>
      </c>
      <c r="GV23" s="10">
        <f t="shared" si="22"/>
        <v>2.6520619256744284</v>
      </c>
      <c r="GW23" s="10">
        <f t="shared" si="22"/>
        <v>2.6520619256744284</v>
      </c>
      <c r="GX23" s="10">
        <f t="shared" si="22"/>
        <v>2.6520619256744284</v>
      </c>
      <c r="GY23" s="10">
        <f t="shared" si="22"/>
        <v>2.6520619256744284</v>
      </c>
      <c r="GZ23" s="10">
        <f t="shared" si="22"/>
        <v>2.6520619256744284</v>
      </c>
      <c r="HA23" s="10">
        <f t="shared" si="22"/>
        <v>2.6520619256744284</v>
      </c>
      <c r="HB23" s="10">
        <f t="shared" si="22"/>
        <v>2.6520619256744284</v>
      </c>
      <c r="HC23" s="10">
        <f t="shared" si="22"/>
        <v>2.6520619256744284</v>
      </c>
    </row>
    <row r="24" spans="1:211">
      <c r="A24" s="24" t="s">
        <v>82</v>
      </c>
      <c r="B24" s="10">
        <f>'CCaMC-VOaMCpUC US'!B24</f>
        <v>5.9582422979712089</v>
      </c>
      <c r="C24" s="10">
        <f t="shared" si="21"/>
        <v>5.9582422979712089</v>
      </c>
      <c r="D24" s="10">
        <f t="shared" si="21"/>
        <v>5.9582422979712089</v>
      </c>
      <c r="E24" s="10">
        <f t="shared" si="21"/>
        <v>5.9582422979712089</v>
      </c>
      <c r="F24" s="10">
        <f t="shared" si="24"/>
        <v>5.9582422979712089</v>
      </c>
      <c r="G24" s="10">
        <f t="shared" si="24"/>
        <v>5.9582422979712089</v>
      </c>
      <c r="H24" s="10">
        <f t="shared" si="24"/>
        <v>5.9582422979712089</v>
      </c>
      <c r="I24" s="10">
        <f t="shared" si="24"/>
        <v>5.9582422979712089</v>
      </c>
      <c r="J24" s="10">
        <f t="shared" si="24"/>
        <v>5.9582422979712089</v>
      </c>
      <c r="K24" s="10">
        <f t="shared" si="24"/>
        <v>5.9582422979712089</v>
      </c>
      <c r="L24" s="10">
        <f t="shared" si="24"/>
        <v>5.9582422979712089</v>
      </c>
      <c r="M24" s="10">
        <f t="shared" si="24"/>
        <v>5.9582422979712089</v>
      </c>
      <c r="N24" s="10">
        <f t="shared" si="24"/>
        <v>5.9582422979712089</v>
      </c>
      <c r="O24" s="10">
        <f t="shared" si="24"/>
        <v>5.9582422979712089</v>
      </c>
      <c r="P24" s="10">
        <f t="shared" si="24"/>
        <v>5.9582422979712089</v>
      </c>
      <c r="Q24" s="10">
        <f t="shared" si="24"/>
        <v>5.9582422979712089</v>
      </c>
      <c r="R24" s="10">
        <f t="shared" si="24"/>
        <v>5.9582422979712089</v>
      </c>
      <c r="S24" s="10">
        <f t="shared" si="24"/>
        <v>5.9582422979712089</v>
      </c>
      <c r="T24" s="10">
        <f t="shared" si="24"/>
        <v>5.9582422979712089</v>
      </c>
      <c r="U24" s="10">
        <f t="shared" si="24"/>
        <v>5.9582422979712089</v>
      </c>
      <c r="V24" s="10">
        <f t="shared" si="24"/>
        <v>5.9582422979712089</v>
      </c>
      <c r="W24" s="10">
        <f t="shared" si="24"/>
        <v>5.9582422979712089</v>
      </c>
      <c r="X24" s="10">
        <f t="shared" si="24"/>
        <v>5.9582422979712089</v>
      </c>
      <c r="Y24" s="10">
        <f t="shared" si="24"/>
        <v>5.9582422979712089</v>
      </c>
      <c r="Z24" s="10">
        <f t="shared" si="24"/>
        <v>5.9582422979712089</v>
      </c>
      <c r="AA24" s="10">
        <f t="shared" si="24"/>
        <v>5.9582422979712089</v>
      </c>
      <c r="AB24" s="10">
        <f t="shared" si="24"/>
        <v>5.9582422979712089</v>
      </c>
      <c r="AC24" s="10">
        <f t="shared" si="24"/>
        <v>5.9582422979712089</v>
      </c>
      <c r="AD24" s="10">
        <f t="shared" si="24"/>
        <v>5.9582422979712089</v>
      </c>
      <c r="AE24" s="10">
        <f t="shared" si="24"/>
        <v>5.9582422979712089</v>
      </c>
      <c r="AF24" s="10">
        <f t="shared" si="24"/>
        <v>5.9582422979712089</v>
      </c>
      <c r="AG24" s="10">
        <f t="shared" si="24"/>
        <v>5.9582422979712089</v>
      </c>
      <c r="AH24" s="10">
        <f t="shared" ref="AH24:CS25" si="26">$B24</f>
        <v>5.9582422979712089</v>
      </c>
      <c r="AI24" s="10">
        <f t="shared" si="26"/>
        <v>5.9582422979712089</v>
      </c>
      <c r="AJ24" s="10">
        <f t="shared" si="26"/>
        <v>5.9582422979712089</v>
      </c>
      <c r="AK24" s="10">
        <f t="shared" si="26"/>
        <v>5.9582422979712089</v>
      </c>
      <c r="AL24" s="10">
        <f t="shared" si="26"/>
        <v>5.9582422979712089</v>
      </c>
      <c r="AM24" s="10">
        <f t="shared" si="26"/>
        <v>5.9582422979712089</v>
      </c>
      <c r="AN24" s="10">
        <f t="shared" si="26"/>
        <v>5.9582422979712089</v>
      </c>
      <c r="AO24" s="10">
        <f t="shared" si="26"/>
        <v>5.9582422979712089</v>
      </c>
      <c r="AP24" s="10">
        <f t="shared" si="26"/>
        <v>5.9582422979712089</v>
      </c>
      <c r="AQ24" s="10">
        <f t="shared" si="26"/>
        <v>5.9582422979712089</v>
      </c>
      <c r="AR24" s="10">
        <f t="shared" si="26"/>
        <v>5.9582422979712089</v>
      </c>
      <c r="AS24" s="10">
        <f t="shared" si="26"/>
        <v>5.9582422979712089</v>
      </c>
      <c r="AT24" s="10">
        <f t="shared" si="26"/>
        <v>5.9582422979712089</v>
      </c>
      <c r="AU24" s="10">
        <f t="shared" si="26"/>
        <v>5.9582422979712089</v>
      </c>
      <c r="AV24" s="10">
        <f t="shared" si="26"/>
        <v>5.9582422979712089</v>
      </c>
      <c r="AW24" s="10">
        <f t="shared" si="26"/>
        <v>5.9582422979712089</v>
      </c>
      <c r="AX24" s="10">
        <f t="shared" si="26"/>
        <v>5.9582422979712089</v>
      </c>
      <c r="AY24" s="10">
        <f t="shared" si="26"/>
        <v>5.9582422979712089</v>
      </c>
      <c r="AZ24" s="10">
        <f t="shared" si="26"/>
        <v>5.9582422979712089</v>
      </c>
      <c r="BA24" s="10">
        <f t="shared" si="26"/>
        <v>5.9582422979712089</v>
      </c>
      <c r="BB24" s="10">
        <f t="shared" si="26"/>
        <v>5.9582422979712089</v>
      </c>
      <c r="BC24" s="10">
        <f t="shared" si="26"/>
        <v>5.9582422979712089</v>
      </c>
      <c r="BD24" s="10">
        <f t="shared" si="26"/>
        <v>5.9582422979712089</v>
      </c>
      <c r="BE24" s="10">
        <f t="shared" si="26"/>
        <v>5.9582422979712089</v>
      </c>
      <c r="BF24" s="10">
        <f t="shared" si="26"/>
        <v>5.9582422979712089</v>
      </c>
      <c r="BG24" s="10">
        <f t="shared" si="26"/>
        <v>5.9582422979712089</v>
      </c>
      <c r="BH24" s="10">
        <f t="shared" si="26"/>
        <v>5.9582422979712089</v>
      </c>
      <c r="BI24" s="10">
        <f t="shared" si="26"/>
        <v>5.9582422979712089</v>
      </c>
      <c r="BJ24" s="10">
        <f t="shared" si="26"/>
        <v>5.9582422979712089</v>
      </c>
      <c r="BK24" s="10">
        <f t="shared" si="26"/>
        <v>5.9582422979712089</v>
      </c>
      <c r="BL24" s="10">
        <f t="shared" si="26"/>
        <v>5.9582422979712089</v>
      </c>
      <c r="BM24" s="10">
        <f t="shared" si="26"/>
        <v>5.9582422979712089</v>
      </c>
      <c r="BN24" s="10">
        <f t="shared" si="26"/>
        <v>5.9582422979712089</v>
      </c>
      <c r="BO24" s="10">
        <f t="shared" si="26"/>
        <v>5.9582422979712089</v>
      </c>
      <c r="BP24" s="10">
        <f t="shared" si="26"/>
        <v>5.9582422979712089</v>
      </c>
      <c r="BQ24" s="10">
        <f t="shared" si="26"/>
        <v>5.9582422979712089</v>
      </c>
      <c r="BR24" s="10">
        <f t="shared" si="26"/>
        <v>5.9582422979712089</v>
      </c>
      <c r="BS24" s="10">
        <f t="shared" si="26"/>
        <v>5.9582422979712089</v>
      </c>
      <c r="BT24" s="10">
        <f t="shared" si="26"/>
        <v>5.9582422979712089</v>
      </c>
      <c r="BU24" s="10">
        <f t="shared" si="26"/>
        <v>5.9582422979712089</v>
      </c>
      <c r="BV24" s="10">
        <f t="shared" si="26"/>
        <v>5.9582422979712089</v>
      </c>
      <c r="BW24" s="10">
        <f t="shared" si="26"/>
        <v>5.9582422979712089</v>
      </c>
      <c r="BX24" s="10">
        <f t="shared" si="26"/>
        <v>5.9582422979712089</v>
      </c>
      <c r="BY24" s="10">
        <f t="shared" si="26"/>
        <v>5.9582422979712089</v>
      </c>
      <c r="BZ24" s="10">
        <f t="shared" si="26"/>
        <v>5.9582422979712089</v>
      </c>
      <c r="CA24" s="10">
        <f t="shared" si="26"/>
        <v>5.9582422979712089</v>
      </c>
      <c r="CB24" s="10">
        <f t="shared" si="26"/>
        <v>5.9582422979712089</v>
      </c>
      <c r="CC24" s="10">
        <f t="shared" si="26"/>
        <v>5.9582422979712089</v>
      </c>
      <c r="CD24" s="10">
        <f t="shared" si="26"/>
        <v>5.9582422979712089</v>
      </c>
      <c r="CE24" s="10">
        <f t="shared" si="26"/>
        <v>5.9582422979712089</v>
      </c>
      <c r="CF24" s="10">
        <f t="shared" si="26"/>
        <v>5.9582422979712089</v>
      </c>
      <c r="CG24" s="10">
        <f t="shared" si="26"/>
        <v>5.9582422979712089</v>
      </c>
      <c r="CH24" s="10">
        <f t="shared" si="26"/>
        <v>5.9582422979712089</v>
      </c>
      <c r="CI24" s="10">
        <f t="shared" si="26"/>
        <v>5.9582422979712089</v>
      </c>
      <c r="CJ24" s="10">
        <f t="shared" si="26"/>
        <v>5.9582422979712089</v>
      </c>
      <c r="CK24" s="10">
        <f t="shared" si="26"/>
        <v>5.9582422979712089</v>
      </c>
      <c r="CL24" s="10">
        <f t="shared" si="26"/>
        <v>5.9582422979712089</v>
      </c>
      <c r="CM24" s="10">
        <f t="shared" si="26"/>
        <v>5.9582422979712089</v>
      </c>
      <c r="CN24" s="10">
        <f t="shared" si="26"/>
        <v>5.9582422979712089</v>
      </c>
      <c r="CO24" s="10">
        <f t="shared" si="26"/>
        <v>5.9582422979712089</v>
      </c>
      <c r="CP24" s="10">
        <f t="shared" si="26"/>
        <v>5.9582422979712089</v>
      </c>
      <c r="CQ24" s="10">
        <f t="shared" si="26"/>
        <v>5.9582422979712089</v>
      </c>
      <c r="CR24" s="10">
        <f t="shared" si="26"/>
        <v>5.9582422979712089</v>
      </c>
      <c r="CS24" s="10">
        <f t="shared" si="26"/>
        <v>5.9582422979712089</v>
      </c>
      <c r="CT24" s="10">
        <f t="shared" si="25"/>
        <v>5.9582422979712089</v>
      </c>
      <c r="CU24" s="10">
        <f t="shared" si="23"/>
        <v>5.9582422979712089</v>
      </c>
      <c r="CV24" s="10">
        <f t="shared" si="23"/>
        <v>5.9582422979712089</v>
      </c>
      <c r="CW24" s="10">
        <f t="shared" si="23"/>
        <v>5.9582422979712089</v>
      </c>
      <c r="CX24" s="10">
        <f t="shared" si="23"/>
        <v>5.9582422979712089</v>
      </c>
      <c r="CY24" s="10">
        <f t="shared" si="23"/>
        <v>5.9582422979712089</v>
      </c>
      <c r="CZ24" s="10">
        <f t="shared" si="23"/>
        <v>5.9582422979712089</v>
      </c>
      <c r="DA24" s="10">
        <f t="shared" si="23"/>
        <v>5.9582422979712089</v>
      </c>
      <c r="DB24" s="10">
        <f t="shared" si="23"/>
        <v>5.9582422979712089</v>
      </c>
      <c r="DC24" s="10">
        <f t="shared" si="23"/>
        <v>5.9582422979712089</v>
      </c>
      <c r="DD24" s="10">
        <f t="shared" si="23"/>
        <v>5.9582422979712089</v>
      </c>
      <c r="DE24" s="10">
        <f t="shared" si="23"/>
        <v>5.9582422979712089</v>
      </c>
      <c r="DF24" s="10">
        <f t="shared" si="23"/>
        <v>5.9582422979712089</v>
      </c>
      <c r="DG24" s="10">
        <f t="shared" si="23"/>
        <v>5.9582422979712089</v>
      </c>
      <c r="DH24" s="10">
        <f t="shared" si="23"/>
        <v>5.9582422979712089</v>
      </c>
      <c r="DI24" s="10">
        <f t="shared" si="23"/>
        <v>5.9582422979712089</v>
      </c>
      <c r="DJ24" s="10">
        <f t="shared" si="23"/>
        <v>5.9582422979712089</v>
      </c>
      <c r="DK24" s="10">
        <f t="shared" si="23"/>
        <v>5.9582422979712089</v>
      </c>
      <c r="DL24" s="10">
        <f t="shared" si="23"/>
        <v>5.9582422979712089</v>
      </c>
      <c r="DM24" s="10">
        <f t="shared" si="23"/>
        <v>5.9582422979712089</v>
      </c>
      <c r="DN24" s="10">
        <f t="shared" si="23"/>
        <v>5.9582422979712089</v>
      </c>
      <c r="DO24" s="10">
        <f t="shared" si="23"/>
        <v>5.9582422979712089</v>
      </c>
      <c r="DP24" s="10">
        <f t="shared" si="23"/>
        <v>5.9582422979712089</v>
      </c>
      <c r="DQ24" s="10">
        <f t="shared" si="23"/>
        <v>5.9582422979712089</v>
      </c>
      <c r="DR24" s="10">
        <f t="shared" si="23"/>
        <v>5.9582422979712089</v>
      </c>
      <c r="DS24" s="10">
        <f t="shared" si="23"/>
        <v>5.9582422979712089</v>
      </c>
      <c r="DT24" s="10">
        <f t="shared" si="23"/>
        <v>5.9582422979712089</v>
      </c>
      <c r="DU24" s="10">
        <f t="shared" si="23"/>
        <v>5.9582422979712089</v>
      </c>
      <c r="DV24" s="10">
        <f t="shared" si="23"/>
        <v>5.9582422979712089</v>
      </c>
      <c r="DW24" s="10">
        <f t="shared" si="23"/>
        <v>5.9582422979712089</v>
      </c>
      <c r="DX24" s="10">
        <f t="shared" si="23"/>
        <v>5.9582422979712089</v>
      </c>
      <c r="DY24" s="10">
        <f t="shared" si="23"/>
        <v>5.9582422979712089</v>
      </c>
      <c r="DZ24" s="10">
        <f t="shared" si="23"/>
        <v>5.9582422979712089</v>
      </c>
      <c r="EA24" s="10">
        <f t="shared" si="23"/>
        <v>5.9582422979712089</v>
      </c>
      <c r="EB24" s="10">
        <f t="shared" si="23"/>
        <v>5.9582422979712089</v>
      </c>
      <c r="EC24" s="10">
        <f t="shared" si="23"/>
        <v>5.9582422979712089</v>
      </c>
      <c r="ED24" s="10">
        <f t="shared" si="23"/>
        <v>5.9582422979712089</v>
      </c>
      <c r="EE24" s="10">
        <f t="shared" si="23"/>
        <v>5.9582422979712089</v>
      </c>
      <c r="EF24" s="10">
        <f t="shared" si="23"/>
        <v>5.9582422979712089</v>
      </c>
      <c r="EG24" s="10">
        <f t="shared" si="23"/>
        <v>5.9582422979712089</v>
      </c>
      <c r="EH24" s="10">
        <f t="shared" si="23"/>
        <v>5.9582422979712089</v>
      </c>
      <c r="EI24" s="10">
        <f t="shared" si="23"/>
        <v>5.9582422979712089</v>
      </c>
      <c r="EJ24" s="10">
        <f t="shared" si="23"/>
        <v>5.9582422979712089</v>
      </c>
      <c r="EK24" s="10">
        <f t="shared" si="23"/>
        <v>5.9582422979712089</v>
      </c>
      <c r="EL24" s="10">
        <f t="shared" si="23"/>
        <v>5.9582422979712089</v>
      </c>
      <c r="EM24" s="10">
        <f t="shared" si="23"/>
        <v>5.9582422979712089</v>
      </c>
      <c r="EN24" s="10">
        <f t="shared" si="23"/>
        <v>5.9582422979712089</v>
      </c>
      <c r="EO24" s="10">
        <f t="shared" si="23"/>
        <v>5.9582422979712089</v>
      </c>
      <c r="EP24" s="10">
        <f t="shared" si="23"/>
        <v>5.9582422979712089</v>
      </c>
      <c r="EQ24" s="10">
        <f t="shared" si="23"/>
        <v>5.9582422979712089</v>
      </c>
      <c r="ER24" s="10">
        <f t="shared" si="23"/>
        <v>5.9582422979712089</v>
      </c>
      <c r="ES24" s="10">
        <f t="shared" si="23"/>
        <v>5.9582422979712089</v>
      </c>
      <c r="ET24" s="10">
        <f t="shared" si="23"/>
        <v>5.9582422979712089</v>
      </c>
      <c r="EU24" s="10">
        <f t="shared" si="23"/>
        <v>5.9582422979712089</v>
      </c>
      <c r="EV24" s="10">
        <f t="shared" si="23"/>
        <v>5.9582422979712089</v>
      </c>
      <c r="EW24" s="10">
        <f t="shared" si="23"/>
        <v>5.9582422979712089</v>
      </c>
      <c r="EX24" s="10">
        <f t="shared" si="23"/>
        <v>5.9582422979712089</v>
      </c>
      <c r="EY24" s="10">
        <f t="shared" si="23"/>
        <v>5.9582422979712089</v>
      </c>
      <c r="EZ24" s="10">
        <f t="shared" si="23"/>
        <v>5.9582422979712089</v>
      </c>
      <c r="FA24" s="10">
        <f t="shared" si="23"/>
        <v>5.9582422979712089</v>
      </c>
      <c r="FB24" s="10">
        <f t="shared" si="23"/>
        <v>5.9582422979712089</v>
      </c>
      <c r="FC24" s="10">
        <f t="shared" si="23"/>
        <v>5.9582422979712089</v>
      </c>
      <c r="FD24" s="10">
        <f t="shared" si="23"/>
        <v>5.9582422979712089</v>
      </c>
      <c r="FE24" s="10">
        <f t="shared" si="22"/>
        <v>5.9582422979712089</v>
      </c>
      <c r="FF24" s="10">
        <f t="shared" si="22"/>
        <v>5.9582422979712089</v>
      </c>
      <c r="FG24" s="10">
        <f t="shared" si="22"/>
        <v>5.9582422979712089</v>
      </c>
      <c r="FH24" s="10">
        <f t="shared" si="22"/>
        <v>5.9582422979712089</v>
      </c>
      <c r="FI24" s="10">
        <f t="shared" si="22"/>
        <v>5.9582422979712089</v>
      </c>
      <c r="FJ24" s="10">
        <f t="shared" si="22"/>
        <v>5.9582422979712089</v>
      </c>
      <c r="FK24" s="10">
        <f t="shared" si="22"/>
        <v>5.9582422979712089</v>
      </c>
      <c r="FL24" s="10">
        <f t="shared" si="22"/>
        <v>5.9582422979712089</v>
      </c>
      <c r="FM24" s="10">
        <f t="shared" si="22"/>
        <v>5.9582422979712089</v>
      </c>
      <c r="FN24" s="10">
        <f t="shared" si="22"/>
        <v>5.9582422979712089</v>
      </c>
      <c r="FO24" s="10">
        <f t="shared" si="22"/>
        <v>5.9582422979712089</v>
      </c>
      <c r="FP24" s="10">
        <f t="shared" si="22"/>
        <v>5.9582422979712089</v>
      </c>
      <c r="FQ24" s="10">
        <f t="shared" si="22"/>
        <v>5.9582422979712089</v>
      </c>
      <c r="FR24" s="10">
        <f t="shared" si="22"/>
        <v>5.9582422979712089</v>
      </c>
      <c r="FS24" s="10">
        <f t="shared" si="22"/>
        <v>5.9582422979712089</v>
      </c>
      <c r="FT24" s="10">
        <f t="shared" si="22"/>
        <v>5.9582422979712089</v>
      </c>
      <c r="FU24" s="10">
        <f t="shared" si="22"/>
        <v>5.9582422979712089</v>
      </c>
      <c r="FV24" s="10">
        <f t="shared" si="22"/>
        <v>5.9582422979712089</v>
      </c>
      <c r="FW24" s="10">
        <f t="shared" si="22"/>
        <v>5.9582422979712089</v>
      </c>
      <c r="FX24" s="10">
        <f t="shared" si="22"/>
        <v>5.9582422979712089</v>
      </c>
      <c r="FY24" s="10">
        <f t="shared" si="22"/>
        <v>5.9582422979712089</v>
      </c>
      <c r="FZ24" s="10">
        <f t="shared" si="22"/>
        <v>5.9582422979712089</v>
      </c>
      <c r="GA24" s="10">
        <f t="shared" si="22"/>
        <v>5.9582422979712089</v>
      </c>
      <c r="GB24" s="10">
        <f t="shared" si="22"/>
        <v>5.9582422979712089</v>
      </c>
      <c r="GC24" s="10">
        <f t="shared" si="22"/>
        <v>5.9582422979712089</v>
      </c>
      <c r="GD24" s="10">
        <f t="shared" si="22"/>
        <v>5.9582422979712089</v>
      </c>
      <c r="GE24" s="10">
        <f t="shared" si="22"/>
        <v>5.9582422979712089</v>
      </c>
      <c r="GF24" s="10">
        <f t="shared" si="22"/>
        <v>5.9582422979712089</v>
      </c>
      <c r="GG24" s="10">
        <f t="shared" si="22"/>
        <v>5.9582422979712089</v>
      </c>
      <c r="GH24" s="10">
        <f t="shared" si="22"/>
        <v>5.9582422979712089</v>
      </c>
      <c r="GI24" s="10">
        <f t="shared" si="22"/>
        <v>5.9582422979712089</v>
      </c>
      <c r="GJ24" s="10">
        <f t="shared" si="22"/>
        <v>5.9582422979712089</v>
      </c>
      <c r="GK24" s="10">
        <f t="shared" si="22"/>
        <v>5.9582422979712089</v>
      </c>
      <c r="GL24" s="10">
        <f t="shared" si="22"/>
        <v>5.9582422979712089</v>
      </c>
      <c r="GM24" s="10">
        <f t="shared" si="22"/>
        <v>5.9582422979712089</v>
      </c>
      <c r="GN24" s="10">
        <f t="shared" si="22"/>
        <v>5.9582422979712089</v>
      </c>
      <c r="GO24" s="10">
        <f t="shared" si="22"/>
        <v>5.9582422979712089</v>
      </c>
      <c r="GP24" s="10">
        <f t="shared" si="22"/>
        <v>5.9582422979712089</v>
      </c>
      <c r="GQ24" s="10">
        <f t="shared" si="22"/>
        <v>5.9582422979712089</v>
      </c>
      <c r="GR24" s="10">
        <f t="shared" si="22"/>
        <v>5.9582422979712089</v>
      </c>
      <c r="GS24" s="10">
        <f t="shared" si="22"/>
        <v>5.9582422979712089</v>
      </c>
      <c r="GT24" s="10">
        <f t="shared" si="22"/>
        <v>5.9582422979712089</v>
      </c>
      <c r="GU24" s="10">
        <f t="shared" si="22"/>
        <v>5.9582422979712089</v>
      </c>
      <c r="GV24" s="10">
        <f t="shared" si="22"/>
        <v>5.9582422979712089</v>
      </c>
      <c r="GW24" s="10">
        <f t="shared" si="22"/>
        <v>5.9582422979712089</v>
      </c>
      <c r="GX24" s="10">
        <f t="shared" si="22"/>
        <v>5.9582422979712089</v>
      </c>
      <c r="GY24" s="10">
        <f t="shared" si="22"/>
        <v>5.9582422979712089</v>
      </c>
      <c r="GZ24" s="10">
        <f t="shared" si="22"/>
        <v>5.9582422979712089</v>
      </c>
      <c r="HA24" s="10">
        <f t="shared" si="22"/>
        <v>5.9582422979712089</v>
      </c>
      <c r="HB24" s="10">
        <f t="shared" si="22"/>
        <v>5.9582422979712089</v>
      </c>
      <c r="HC24" s="10">
        <f t="shared" si="22"/>
        <v>5.9582422979712089</v>
      </c>
    </row>
    <row r="25" spans="1:211">
      <c r="A25" s="24" t="s">
        <v>83</v>
      </c>
      <c r="B25" s="10">
        <f>'CCaMC-VOaMCpUC US'!B25</f>
        <v>2.1561187200126</v>
      </c>
      <c r="C25" s="10">
        <f t="shared" si="21"/>
        <v>2.1561187200126</v>
      </c>
      <c r="D25" s="10">
        <f t="shared" si="21"/>
        <v>2.1561187200126</v>
      </c>
      <c r="E25" s="10">
        <f t="shared" si="21"/>
        <v>2.1561187200126</v>
      </c>
      <c r="F25" s="10">
        <f t="shared" si="24"/>
        <v>2.1561187200126</v>
      </c>
      <c r="G25" s="10">
        <f t="shared" si="24"/>
        <v>2.1561187200126</v>
      </c>
      <c r="H25" s="10">
        <f t="shared" si="24"/>
        <v>2.1561187200126</v>
      </c>
      <c r="I25" s="10">
        <f t="shared" si="24"/>
        <v>2.1561187200126</v>
      </c>
      <c r="J25" s="10">
        <f t="shared" si="24"/>
        <v>2.1561187200126</v>
      </c>
      <c r="K25" s="10">
        <f t="shared" si="24"/>
        <v>2.1561187200126</v>
      </c>
      <c r="L25" s="10">
        <f t="shared" si="24"/>
        <v>2.1561187200126</v>
      </c>
      <c r="M25" s="10">
        <f t="shared" si="24"/>
        <v>2.1561187200126</v>
      </c>
      <c r="N25" s="10">
        <f t="shared" si="24"/>
        <v>2.1561187200126</v>
      </c>
      <c r="O25" s="10">
        <f t="shared" si="24"/>
        <v>2.1561187200126</v>
      </c>
      <c r="P25" s="10">
        <f t="shared" si="24"/>
        <v>2.1561187200126</v>
      </c>
      <c r="Q25" s="10">
        <f t="shared" si="24"/>
        <v>2.1561187200126</v>
      </c>
      <c r="R25" s="10">
        <f t="shared" si="24"/>
        <v>2.1561187200126</v>
      </c>
      <c r="S25" s="10">
        <f t="shared" si="24"/>
        <v>2.1561187200126</v>
      </c>
      <c r="T25" s="10">
        <f t="shared" si="24"/>
        <v>2.1561187200126</v>
      </c>
      <c r="U25" s="10">
        <f t="shared" si="24"/>
        <v>2.1561187200126</v>
      </c>
      <c r="V25" s="10">
        <f t="shared" si="24"/>
        <v>2.1561187200126</v>
      </c>
      <c r="W25" s="10">
        <f t="shared" si="24"/>
        <v>2.1561187200126</v>
      </c>
      <c r="X25" s="10">
        <f t="shared" si="24"/>
        <v>2.1561187200126</v>
      </c>
      <c r="Y25" s="10">
        <f t="shared" si="24"/>
        <v>2.1561187200126</v>
      </c>
      <c r="Z25" s="10">
        <f t="shared" si="24"/>
        <v>2.1561187200126</v>
      </c>
      <c r="AA25" s="10">
        <f t="shared" si="24"/>
        <v>2.1561187200126</v>
      </c>
      <c r="AB25" s="10">
        <f t="shared" si="24"/>
        <v>2.1561187200126</v>
      </c>
      <c r="AC25" s="10">
        <f t="shared" si="24"/>
        <v>2.1561187200126</v>
      </c>
      <c r="AD25" s="10">
        <f t="shared" si="24"/>
        <v>2.1561187200126</v>
      </c>
      <c r="AE25" s="10">
        <f t="shared" si="24"/>
        <v>2.1561187200126</v>
      </c>
      <c r="AF25" s="10">
        <f t="shared" si="24"/>
        <v>2.1561187200126</v>
      </c>
      <c r="AG25" s="10">
        <f t="shared" si="24"/>
        <v>2.1561187200126</v>
      </c>
      <c r="AH25" s="10">
        <f t="shared" si="26"/>
        <v>2.1561187200126</v>
      </c>
      <c r="AI25" s="10">
        <f t="shared" si="26"/>
        <v>2.1561187200126</v>
      </c>
      <c r="AJ25" s="10">
        <f t="shared" si="26"/>
        <v>2.1561187200126</v>
      </c>
      <c r="AK25" s="10">
        <f t="shared" si="26"/>
        <v>2.1561187200126</v>
      </c>
      <c r="AL25" s="10">
        <f t="shared" si="26"/>
        <v>2.1561187200126</v>
      </c>
      <c r="AM25" s="10">
        <f t="shared" si="26"/>
        <v>2.1561187200126</v>
      </c>
      <c r="AN25" s="10">
        <f t="shared" si="26"/>
        <v>2.1561187200126</v>
      </c>
      <c r="AO25" s="10">
        <f t="shared" si="26"/>
        <v>2.1561187200126</v>
      </c>
      <c r="AP25" s="10">
        <f t="shared" si="26"/>
        <v>2.1561187200126</v>
      </c>
      <c r="AQ25" s="10">
        <f t="shared" si="26"/>
        <v>2.1561187200126</v>
      </c>
      <c r="AR25" s="10">
        <f t="shared" si="26"/>
        <v>2.1561187200126</v>
      </c>
      <c r="AS25" s="10">
        <f t="shared" si="26"/>
        <v>2.1561187200126</v>
      </c>
      <c r="AT25" s="10">
        <f t="shared" si="26"/>
        <v>2.1561187200126</v>
      </c>
      <c r="AU25" s="10">
        <f t="shared" si="26"/>
        <v>2.1561187200126</v>
      </c>
      <c r="AV25" s="10">
        <f t="shared" si="26"/>
        <v>2.1561187200126</v>
      </c>
      <c r="AW25" s="10">
        <f t="shared" si="26"/>
        <v>2.1561187200126</v>
      </c>
      <c r="AX25" s="10">
        <f t="shared" si="26"/>
        <v>2.1561187200126</v>
      </c>
      <c r="AY25" s="10">
        <f t="shared" si="26"/>
        <v>2.1561187200126</v>
      </c>
      <c r="AZ25" s="10">
        <f t="shared" si="26"/>
        <v>2.1561187200126</v>
      </c>
      <c r="BA25" s="10">
        <f t="shared" si="26"/>
        <v>2.1561187200126</v>
      </c>
      <c r="BB25" s="10">
        <f t="shared" si="26"/>
        <v>2.1561187200126</v>
      </c>
      <c r="BC25" s="10">
        <f t="shared" si="26"/>
        <v>2.1561187200126</v>
      </c>
      <c r="BD25" s="10">
        <f t="shared" si="26"/>
        <v>2.1561187200126</v>
      </c>
      <c r="BE25" s="10">
        <f t="shared" si="26"/>
        <v>2.1561187200126</v>
      </c>
      <c r="BF25" s="10">
        <f t="shared" si="26"/>
        <v>2.1561187200126</v>
      </c>
      <c r="BG25" s="10">
        <f t="shared" si="26"/>
        <v>2.1561187200126</v>
      </c>
      <c r="BH25" s="10">
        <f t="shared" si="26"/>
        <v>2.1561187200126</v>
      </c>
      <c r="BI25" s="10">
        <f t="shared" si="26"/>
        <v>2.1561187200126</v>
      </c>
      <c r="BJ25" s="10">
        <f t="shared" si="26"/>
        <v>2.1561187200126</v>
      </c>
      <c r="BK25" s="10">
        <f t="shared" si="26"/>
        <v>2.1561187200126</v>
      </c>
      <c r="BL25" s="10">
        <f t="shared" si="26"/>
        <v>2.1561187200126</v>
      </c>
      <c r="BM25" s="10">
        <f t="shared" si="26"/>
        <v>2.1561187200126</v>
      </c>
      <c r="BN25" s="10">
        <f t="shared" si="26"/>
        <v>2.1561187200126</v>
      </c>
      <c r="BO25" s="10">
        <f t="shared" si="26"/>
        <v>2.1561187200126</v>
      </c>
      <c r="BP25" s="10">
        <f t="shared" si="26"/>
        <v>2.1561187200126</v>
      </c>
      <c r="BQ25" s="10">
        <f t="shared" si="26"/>
        <v>2.1561187200126</v>
      </c>
      <c r="BR25" s="10">
        <f t="shared" si="26"/>
        <v>2.1561187200126</v>
      </c>
      <c r="BS25" s="10">
        <f t="shared" si="26"/>
        <v>2.1561187200126</v>
      </c>
      <c r="BT25" s="10">
        <f t="shared" si="26"/>
        <v>2.1561187200126</v>
      </c>
      <c r="BU25" s="10">
        <f t="shared" si="26"/>
        <v>2.1561187200126</v>
      </c>
      <c r="BV25" s="10">
        <f t="shared" si="26"/>
        <v>2.1561187200126</v>
      </c>
      <c r="BW25" s="10">
        <f t="shared" si="26"/>
        <v>2.1561187200126</v>
      </c>
      <c r="BX25" s="10">
        <f t="shared" si="26"/>
        <v>2.1561187200126</v>
      </c>
      <c r="BY25" s="10">
        <f t="shared" si="26"/>
        <v>2.1561187200126</v>
      </c>
      <c r="BZ25" s="10">
        <f t="shared" si="26"/>
        <v>2.1561187200126</v>
      </c>
      <c r="CA25" s="10">
        <f t="shared" si="26"/>
        <v>2.1561187200126</v>
      </c>
      <c r="CB25" s="10">
        <f t="shared" si="26"/>
        <v>2.1561187200126</v>
      </c>
      <c r="CC25" s="10">
        <f t="shared" si="26"/>
        <v>2.1561187200126</v>
      </c>
      <c r="CD25" s="10">
        <f t="shared" si="26"/>
        <v>2.1561187200126</v>
      </c>
      <c r="CE25" s="10">
        <f t="shared" si="26"/>
        <v>2.1561187200126</v>
      </c>
      <c r="CF25" s="10">
        <f t="shared" si="26"/>
        <v>2.1561187200126</v>
      </c>
      <c r="CG25" s="10">
        <f t="shared" si="26"/>
        <v>2.1561187200126</v>
      </c>
      <c r="CH25" s="10">
        <f t="shared" si="26"/>
        <v>2.1561187200126</v>
      </c>
      <c r="CI25" s="10">
        <f t="shared" si="26"/>
        <v>2.1561187200126</v>
      </c>
      <c r="CJ25" s="10">
        <f t="shared" si="26"/>
        <v>2.1561187200126</v>
      </c>
      <c r="CK25" s="10">
        <f t="shared" si="26"/>
        <v>2.1561187200126</v>
      </c>
      <c r="CL25" s="10">
        <f t="shared" si="26"/>
        <v>2.1561187200126</v>
      </c>
      <c r="CM25" s="10">
        <f t="shared" si="26"/>
        <v>2.1561187200126</v>
      </c>
      <c r="CN25" s="10">
        <f t="shared" si="26"/>
        <v>2.1561187200126</v>
      </c>
      <c r="CO25" s="10">
        <f t="shared" si="26"/>
        <v>2.1561187200126</v>
      </c>
      <c r="CP25" s="10">
        <f t="shared" si="26"/>
        <v>2.1561187200126</v>
      </c>
      <c r="CQ25" s="10">
        <f t="shared" si="26"/>
        <v>2.1561187200126</v>
      </c>
      <c r="CR25" s="10">
        <f t="shared" si="26"/>
        <v>2.1561187200126</v>
      </c>
      <c r="CS25" s="10">
        <f t="shared" si="26"/>
        <v>2.1561187200126</v>
      </c>
      <c r="CT25" s="10">
        <f t="shared" si="25"/>
        <v>2.1561187200126</v>
      </c>
      <c r="CU25" s="10">
        <f t="shared" si="23"/>
        <v>2.1561187200126</v>
      </c>
      <c r="CV25" s="10">
        <f t="shared" si="23"/>
        <v>2.1561187200126</v>
      </c>
      <c r="CW25" s="10">
        <f t="shared" si="23"/>
        <v>2.1561187200126</v>
      </c>
      <c r="CX25" s="10">
        <f t="shared" si="23"/>
        <v>2.1561187200126</v>
      </c>
      <c r="CY25" s="10">
        <f t="shared" si="23"/>
        <v>2.1561187200126</v>
      </c>
      <c r="CZ25" s="10">
        <f t="shared" si="23"/>
        <v>2.1561187200126</v>
      </c>
      <c r="DA25" s="10">
        <f t="shared" si="23"/>
        <v>2.1561187200126</v>
      </c>
      <c r="DB25" s="10">
        <f t="shared" si="23"/>
        <v>2.1561187200126</v>
      </c>
      <c r="DC25" s="10">
        <f t="shared" si="23"/>
        <v>2.1561187200126</v>
      </c>
      <c r="DD25" s="10">
        <f t="shared" si="23"/>
        <v>2.1561187200126</v>
      </c>
      <c r="DE25" s="10">
        <f t="shared" si="23"/>
        <v>2.1561187200126</v>
      </c>
      <c r="DF25" s="10">
        <f t="shared" si="23"/>
        <v>2.1561187200126</v>
      </c>
      <c r="DG25" s="10">
        <f t="shared" si="23"/>
        <v>2.1561187200126</v>
      </c>
      <c r="DH25" s="10">
        <f t="shared" si="23"/>
        <v>2.1561187200126</v>
      </c>
      <c r="DI25" s="10">
        <f t="shared" si="23"/>
        <v>2.1561187200126</v>
      </c>
      <c r="DJ25" s="10">
        <f t="shared" si="23"/>
        <v>2.1561187200126</v>
      </c>
      <c r="DK25" s="10">
        <f t="shared" si="23"/>
        <v>2.1561187200126</v>
      </c>
      <c r="DL25" s="10">
        <f t="shared" si="23"/>
        <v>2.1561187200126</v>
      </c>
      <c r="DM25" s="10">
        <f t="shared" si="23"/>
        <v>2.1561187200126</v>
      </c>
      <c r="DN25" s="10">
        <f t="shared" si="23"/>
        <v>2.1561187200126</v>
      </c>
      <c r="DO25" s="10">
        <f t="shared" si="23"/>
        <v>2.1561187200126</v>
      </c>
      <c r="DP25" s="10">
        <f t="shared" si="23"/>
        <v>2.1561187200126</v>
      </c>
      <c r="DQ25" s="10">
        <f t="shared" si="23"/>
        <v>2.1561187200126</v>
      </c>
      <c r="DR25" s="10">
        <f t="shared" si="23"/>
        <v>2.1561187200126</v>
      </c>
      <c r="DS25" s="10">
        <f t="shared" si="23"/>
        <v>2.1561187200126</v>
      </c>
      <c r="DT25" s="10">
        <f t="shared" si="23"/>
        <v>2.1561187200126</v>
      </c>
      <c r="DU25" s="10">
        <f t="shared" si="23"/>
        <v>2.1561187200126</v>
      </c>
      <c r="DV25" s="10">
        <f t="shared" si="23"/>
        <v>2.1561187200126</v>
      </c>
      <c r="DW25" s="10">
        <f t="shared" si="23"/>
        <v>2.1561187200126</v>
      </c>
      <c r="DX25" s="10">
        <f t="shared" si="23"/>
        <v>2.1561187200126</v>
      </c>
      <c r="DY25" s="10">
        <f t="shared" si="23"/>
        <v>2.1561187200126</v>
      </c>
      <c r="DZ25" s="10">
        <f t="shared" si="23"/>
        <v>2.1561187200126</v>
      </c>
      <c r="EA25" s="10">
        <f t="shared" si="23"/>
        <v>2.1561187200126</v>
      </c>
      <c r="EB25" s="10">
        <f t="shared" si="23"/>
        <v>2.1561187200126</v>
      </c>
      <c r="EC25" s="10">
        <f t="shared" si="23"/>
        <v>2.1561187200126</v>
      </c>
      <c r="ED25" s="10">
        <f t="shared" si="23"/>
        <v>2.1561187200126</v>
      </c>
      <c r="EE25" s="10">
        <f t="shared" si="23"/>
        <v>2.1561187200126</v>
      </c>
      <c r="EF25" s="10">
        <f t="shared" si="23"/>
        <v>2.1561187200126</v>
      </c>
      <c r="EG25" s="10">
        <f t="shared" si="23"/>
        <v>2.1561187200126</v>
      </c>
      <c r="EH25" s="10">
        <f t="shared" si="23"/>
        <v>2.1561187200126</v>
      </c>
      <c r="EI25" s="10">
        <f t="shared" si="23"/>
        <v>2.1561187200126</v>
      </c>
      <c r="EJ25" s="10">
        <f t="shared" si="23"/>
        <v>2.1561187200126</v>
      </c>
      <c r="EK25" s="10">
        <f t="shared" si="23"/>
        <v>2.1561187200126</v>
      </c>
      <c r="EL25" s="10">
        <f t="shared" si="23"/>
        <v>2.1561187200126</v>
      </c>
      <c r="EM25" s="10">
        <f t="shared" si="23"/>
        <v>2.1561187200126</v>
      </c>
      <c r="EN25" s="10">
        <f t="shared" si="23"/>
        <v>2.1561187200126</v>
      </c>
      <c r="EO25" s="10">
        <f t="shared" si="23"/>
        <v>2.1561187200126</v>
      </c>
      <c r="EP25" s="10">
        <f t="shared" si="23"/>
        <v>2.1561187200126</v>
      </c>
      <c r="EQ25" s="10">
        <f t="shared" si="23"/>
        <v>2.1561187200126</v>
      </c>
      <c r="ER25" s="10">
        <f t="shared" si="23"/>
        <v>2.1561187200126</v>
      </c>
      <c r="ES25" s="10">
        <f t="shared" si="23"/>
        <v>2.1561187200126</v>
      </c>
      <c r="ET25" s="10">
        <f t="shared" si="23"/>
        <v>2.1561187200126</v>
      </c>
      <c r="EU25" s="10">
        <f t="shared" si="23"/>
        <v>2.1561187200126</v>
      </c>
      <c r="EV25" s="10">
        <f t="shared" si="23"/>
        <v>2.1561187200126</v>
      </c>
      <c r="EW25" s="10">
        <f t="shared" si="23"/>
        <v>2.1561187200126</v>
      </c>
      <c r="EX25" s="10">
        <f t="shared" si="23"/>
        <v>2.1561187200126</v>
      </c>
      <c r="EY25" s="10">
        <f t="shared" si="23"/>
        <v>2.1561187200126</v>
      </c>
      <c r="EZ25" s="10">
        <f t="shared" si="23"/>
        <v>2.1561187200126</v>
      </c>
      <c r="FA25" s="10">
        <f t="shared" si="23"/>
        <v>2.1561187200126</v>
      </c>
      <c r="FB25" s="10">
        <f t="shared" si="23"/>
        <v>2.1561187200126</v>
      </c>
      <c r="FC25" s="10">
        <f t="shared" si="23"/>
        <v>2.1561187200126</v>
      </c>
      <c r="FD25" s="10">
        <f t="shared" si="23"/>
        <v>2.1561187200126</v>
      </c>
      <c r="FE25" s="10">
        <f t="shared" si="22"/>
        <v>2.1561187200126</v>
      </c>
      <c r="FF25" s="10">
        <f t="shared" si="22"/>
        <v>2.1561187200126</v>
      </c>
      <c r="FG25" s="10">
        <f t="shared" si="22"/>
        <v>2.1561187200126</v>
      </c>
      <c r="FH25" s="10">
        <f t="shared" si="22"/>
        <v>2.1561187200126</v>
      </c>
      <c r="FI25" s="10">
        <f t="shared" si="22"/>
        <v>2.1561187200126</v>
      </c>
      <c r="FJ25" s="10">
        <f t="shared" si="22"/>
        <v>2.1561187200126</v>
      </c>
      <c r="FK25" s="10">
        <f t="shared" si="22"/>
        <v>2.1561187200126</v>
      </c>
      <c r="FL25" s="10">
        <f t="shared" si="22"/>
        <v>2.1561187200126</v>
      </c>
      <c r="FM25" s="10">
        <f t="shared" si="22"/>
        <v>2.1561187200126</v>
      </c>
      <c r="FN25" s="10">
        <f t="shared" si="22"/>
        <v>2.1561187200126</v>
      </c>
      <c r="FO25" s="10">
        <f t="shared" si="22"/>
        <v>2.1561187200126</v>
      </c>
      <c r="FP25" s="10">
        <f t="shared" si="22"/>
        <v>2.1561187200126</v>
      </c>
      <c r="FQ25" s="10">
        <f t="shared" si="22"/>
        <v>2.1561187200126</v>
      </c>
      <c r="FR25" s="10">
        <f t="shared" si="22"/>
        <v>2.1561187200126</v>
      </c>
      <c r="FS25" s="10">
        <f t="shared" si="22"/>
        <v>2.1561187200126</v>
      </c>
      <c r="FT25" s="10">
        <f t="shared" si="22"/>
        <v>2.1561187200126</v>
      </c>
      <c r="FU25" s="10">
        <f t="shared" si="22"/>
        <v>2.1561187200126</v>
      </c>
      <c r="FV25" s="10">
        <f t="shared" si="22"/>
        <v>2.1561187200126</v>
      </c>
      <c r="FW25" s="10">
        <f t="shared" si="22"/>
        <v>2.1561187200126</v>
      </c>
      <c r="FX25" s="10">
        <f t="shared" si="22"/>
        <v>2.1561187200126</v>
      </c>
      <c r="FY25" s="10">
        <f t="shared" si="22"/>
        <v>2.1561187200126</v>
      </c>
      <c r="FZ25" s="10">
        <f t="shared" si="22"/>
        <v>2.1561187200126</v>
      </c>
      <c r="GA25" s="10">
        <f t="shared" si="22"/>
        <v>2.1561187200126</v>
      </c>
      <c r="GB25" s="10">
        <f t="shared" si="22"/>
        <v>2.1561187200126</v>
      </c>
      <c r="GC25" s="10">
        <f t="shared" si="22"/>
        <v>2.1561187200126</v>
      </c>
      <c r="GD25" s="10">
        <f t="shared" si="22"/>
        <v>2.1561187200126</v>
      </c>
      <c r="GE25" s="10">
        <f t="shared" si="22"/>
        <v>2.1561187200126</v>
      </c>
      <c r="GF25" s="10">
        <f t="shared" si="22"/>
        <v>2.1561187200126</v>
      </c>
      <c r="GG25" s="10">
        <f t="shared" si="22"/>
        <v>2.1561187200126</v>
      </c>
      <c r="GH25" s="10">
        <f t="shared" si="22"/>
        <v>2.1561187200126</v>
      </c>
      <c r="GI25" s="10">
        <f t="shared" si="22"/>
        <v>2.1561187200126</v>
      </c>
      <c r="GJ25" s="10">
        <f t="shared" si="22"/>
        <v>2.1561187200126</v>
      </c>
      <c r="GK25" s="10">
        <f t="shared" si="22"/>
        <v>2.1561187200126</v>
      </c>
      <c r="GL25" s="10">
        <f t="shared" si="22"/>
        <v>2.1561187200126</v>
      </c>
      <c r="GM25" s="10">
        <f t="shared" si="22"/>
        <v>2.1561187200126</v>
      </c>
      <c r="GN25" s="10">
        <f t="shared" si="22"/>
        <v>2.1561187200126</v>
      </c>
      <c r="GO25" s="10">
        <f t="shared" si="22"/>
        <v>2.1561187200126</v>
      </c>
      <c r="GP25" s="10">
        <f t="shared" si="22"/>
        <v>2.1561187200126</v>
      </c>
      <c r="GQ25" s="10">
        <f t="shared" si="22"/>
        <v>2.1561187200126</v>
      </c>
      <c r="GR25" s="10">
        <f t="shared" si="22"/>
        <v>2.1561187200126</v>
      </c>
      <c r="GS25" s="10">
        <f t="shared" si="22"/>
        <v>2.1561187200126</v>
      </c>
      <c r="GT25" s="10">
        <f t="shared" si="22"/>
        <v>2.1561187200126</v>
      </c>
      <c r="GU25" s="10">
        <f t="shared" si="22"/>
        <v>2.1561187200126</v>
      </c>
      <c r="GV25" s="10">
        <f t="shared" si="22"/>
        <v>2.1561187200126</v>
      </c>
      <c r="GW25" s="10">
        <f t="shared" si="22"/>
        <v>2.1561187200126</v>
      </c>
      <c r="GX25" s="10">
        <f t="shared" si="22"/>
        <v>2.1561187200126</v>
      </c>
      <c r="GY25" s="10">
        <f t="shared" si="22"/>
        <v>2.1561187200126</v>
      </c>
      <c r="GZ25" s="10">
        <f t="shared" si="22"/>
        <v>2.1561187200126</v>
      </c>
      <c r="HA25" s="10">
        <f t="shared" si="22"/>
        <v>2.1561187200126</v>
      </c>
      <c r="HB25" s="10">
        <f t="shared" si="22"/>
        <v>2.1561187200126</v>
      </c>
      <c r="HC25" s="10">
        <f t="shared" si="22"/>
        <v>2.1561187200126</v>
      </c>
    </row>
  </sheetData>
  <phoneticPr fontId="3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F36"/>
  <sheetViews>
    <sheetView workbookViewId="0">
      <selection activeCell="B9" sqref="B9"/>
    </sheetView>
  </sheetViews>
  <sheetFormatPr defaultColWidth="9.08984375" defaultRowHeight="14.5"/>
  <cols>
    <col min="1" max="1" width="31.08984375" bestFit="1" customWidth="1"/>
    <col min="2" max="3" width="31.08984375" customWidth="1"/>
    <col min="4" max="4" width="28.08984375" customWidth="1"/>
    <col min="5" max="31" width="10.81640625" bestFit="1" customWidth="1"/>
  </cols>
  <sheetData>
    <row r="1" spans="1:32">
      <c r="A1" s="12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2">
      <c r="A2" t="s">
        <v>16</v>
      </c>
      <c r="B2" s="15">
        <f>Calculation!C57</f>
        <v>1386477.2229812131</v>
      </c>
      <c r="C2" s="15">
        <f>Calculation!D57</f>
        <v>1435207.4994706169</v>
      </c>
      <c r="D2" s="15">
        <f>Calculation!E57</f>
        <v>1483937.775960021</v>
      </c>
      <c r="E2" s="15">
        <f>Calculation!F57</f>
        <v>1532668.0524494245</v>
      </c>
      <c r="F2" s="15">
        <f>Calculation!G57</f>
        <v>1581398.3289388283</v>
      </c>
      <c r="G2" s="15">
        <f>Calculation!H57</f>
        <v>1630128.6054282323</v>
      </c>
      <c r="H2" s="15">
        <f>Calculation!I57</f>
        <v>1678858.8819176361</v>
      </c>
      <c r="I2" s="15">
        <f>Calculation!J57</f>
        <v>1727589.1584070399</v>
      </c>
      <c r="J2" s="15">
        <f>Calculation!K57</f>
        <v>1776319.4348964437</v>
      </c>
      <c r="K2" s="15">
        <f>Calculation!L57</f>
        <v>1825049.7113858475</v>
      </c>
      <c r="L2" s="15">
        <f>Calculation!M57</f>
        <v>1873779.9878752513</v>
      </c>
      <c r="M2" s="15">
        <f>Calculation!N57</f>
        <v>1922510.2643646554</v>
      </c>
      <c r="N2" s="15">
        <f>Calculation!O57</f>
        <v>1971240.5408540589</v>
      </c>
      <c r="O2" s="15">
        <f>Calculation!P57</f>
        <v>2019970.8173434627</v>
      </c>
      <c r="P2" s="15">
        <f>Calculation!Q57</f>
        <v>2068701.0938328668</v>
      </c>
      <c r="Q2" s="15">
        <f>Calculation!R57</f>
        <v>2117431.3703222708</v>
      </c>
      <c r="R2" s="15">
        <f>Calculation!S57</f>
        <v>2166161.6468116743</v>
      </c>
      <c r="S2" s="15">
        <f>Calculation!T57</f>
        <v>2214891.9233010784</v>
      </c>
      <c r="T2" s="15">
        <f>Calculation!U57</f>
        <v>2263622.1997904824</v>
      </c>
      <c r="U2" s="15">
        <f>Calculation!V57</f>
        <v>2312352.4762798855</v>
      </c>
      <c r="V2" s="15">
        <f>Calculation!W57</f>
        <v>2361082.7527692895</v>
      </c>
      <c r="W2" s="15">
        <f>Calculation!X57</f>
        <v>2409813.0292586936</v>
      </c>
      <c r="X2" s="15">
        <f>Calculation!Y57</f>
        <v>2458543.3057480971</v>
      </c>
      <c r="Y2" s="15">
        <f>Calculation!Z57</f>
        <v>2507273.5822375012</v>
      </c>
      <c r="Z2" s="15">
        <f>Calculation!AA57</f>
        <v>2556003.8587269052</v>
      </c>
      <c r="AA2" s="15">
        <f>Calculation!AB57</f>
        <v>2604734.1352163088</v>
      </c>
      <c r="AB2" s="15">
        <f>Calculation!AC57</f>
        <v>2653464.4117057128</v>
      </c>
      <c r="AC2" s="15">
        <f>Calculation!AD57</f>
        <v>2702194.6881951164</v>
      </c>
      <c r="AD2" s="15">
        <f>Calculation!AE57</f>
        <v>2750924.9646845199</v>
      </c>
      <c r="AE2" s="15">
        <f>Calculation!AF57</f>
        <v>2799655.2411739239</v>
      </c>
      <c r="AF2" s="4"/>
    </row>
    <row r="3" spans="1:32">
      <c r="A3" t="s">
        <v>75</v>
      </c>
      <c r="B3" s="15">
        <f>B4*'CCaMC-BCCpUC US'!B3/'CCaMC-BCCpUC US'!B4</f>
        <v>2439851.4687418812</v>
      </c>
      <c r="C3" s="15">
        <f>C4*'CCaMC-BCCpUC US'!C3/'CCaMC-BCCpUC US'!C4</f>
        <v>2362877.9030521284</v>
      </c>
      <c r="D3" s="15">
        <f>D4*'CCaMC-BCCpUC US'!D3/'CCaMC-BCCpUC US'!D4</f>
        <v>2392405.1284195045</v>
      </c>
      <c r="E3" s="15">
        <f>E4*'CCaMC-BCCpUC US'!E3/'CCaMC-BCCpUC US'!E4</f>
        <v>2422059.0269035613</v>
      </c>
      <c r="F3" s="15">
        <f>F4*'CCaMC-BCCpUC US'!F3/'CCaMC-BCCpUC US'!F4</f>
        <v>2452201.8236956629</v>
      </c>
      <c r="G3" s="15">
        <f>G4*'CCaMC-BCCpUC US'!G3/'CCaMC-BCCpUC US'!G4</f>
        <v>2482480.3602857715</v>
      </c>
      <c r="H3" s="15">
        <f>H4*'CCaMC-BCCpUC US'!H3/'CCaMC-BCCpUC US'!H4</f>
        <v>2513272.917427551</v>
      </c>
      <c r="I3" s="15">
        <f>I4*'CCaMC-BCCpUC US'!I3/'CCaMC-BCCpUC US'!I4</f>
        <v>2544211.1573349475</v>
      </c>
      <c r="J3" s="15">
        <f>J4*'CCaMC-BCCpUC US'!J3/'CCaMC-BCCpUC US'!J4</f>
        <v>2575690.2441836549</v>
      </c>
      <c r="K3" s="15">
        <f>K4*'CCaMC-BCCpUC US'!K3/'CCaMC-BCCpUC US'!K4</f>
        <v>2607325.9262475632</v>
      </c>
      <c r="L3" s="15">
        <f>L4*'CCaMC-BCCpUC US'!L3/'CCaMC-BCCpUC US'!L4</f>
        <v>2639531.1407547267</v>
      </c>
      <c r="M3" s="15">
        <f>M4*'CCaMC-BCCpUC US'!M3/'CCaMC-BCCpUC US'!M4</f>
        <v>2671904.9371714783</v>
      </c>
      <c r="N3" s="15">
        <f>N4*'CCaMC-BCCpUC US'!N3/'CCaMC-BCCpUC US'!N4</f>
        <v>2689652.2382389214</v>
      </c>
      <c r="O3" s="15">
        <f>O4*'CCaMC-BCCpUC US'!O3/'CCaMC-BCCpUC US'!O4</f>
        <v>2722534.1403199313</v>
      </c>
      <c r="P3" s="15">
        <f>P4*'CCaMC-BCCpUC US'!P3/'CCaMC-BCCpUC US'!P4</f>
        <v>2771823.7883418133</v>
      </c>
      <c r="Q3" s="15">
        <f>Q4*'CCaMC-BCCpUC US'!Q3/'CCaMC-BCCpUC US'!Q4</f>
        <v>2789016.4449560349</v>
      </c>
      <c r="R3" s="15">
        <f>R4*'CCaMC-BCCpUC US'!R3/'CCaMC-BCCpUC US'!R4</f>
        <v>2805963.6648450447</v>
      </c>
      <c r="S3" s="15">
        <f>S4*'CCaMC-BCCpUC US'!S3/'CCaMC-BCCpUC US'!S4</f>
        <v>2822846.5038684141</v>
      </c>
      <c r="T3" s="15">
        <f>T4*'CCaMC-BCCpUC US'!T3/'CCaMC-BCCpUC US'!T4</f>
        <v>2839473.7933780137</v>
      </c>
      <c r="U3" s="15">
        <f>U4*'CCaMC-BCCpUC US'!U3/'CCaMC-BCCpUC US'!U4</f>
        <v>2855934.7310740803</v>
      </c>
      <c r="V3" s="15">
        <f>V4*'CCaMC-BCCpUC US'!V3/'CCaMC-BCCpUC US'!V4</f>
        <v>2872324.3403602587</v>
      </c>
      <c r="W3" s="15">
        <f>W4*'CCaMC-BCCpUC US'!W3/'CCaMC-BCCpUC US'!W4</f>
        <v>2888692.060501718</v>
      </c>
      <c r="X3" s="15">
        <f>X4*'CCaMC-BCCpUC US'!X3/'CCaMC-BCCpUC US'!X4</f>
        <v>2904736.8481559353</v>
      </c>
      <c r="Y3" s="15">
        <f>Y4*'CCaMC-BCCpUC US'!Y3/'CCaMC-BCCpUC US'!Y4</f>
        <v>2920498.3210035628</v>
      </c>
      <c r="Z3" s="15">
        <f>Z4*'CCaMC-BCCpUC US'!Z3/'CCaMC-BCCpUC US'!Z4</f>
        <v>2936072.5257519307</v>
      </c>
      <c r="AA3" s="15">
        <f>AA4*'CCaMC-BCCpUC US'!AA3/'CCaMC-BCCpUC US'!AA4</f>
        <v>2951561.8000145215</v>
      </c>
      <c r="AB3" s="15">
        <f>AB4*'CCaMC-BCCpUC US'!AB3/'CCaMC-BCCpUC US'!AB4</f>
        <v>2966749.136026293</v>
      </c>
      <c r="AC3" s="15">
        <f>AC4*'CCaMC-BCCpUC US'!AC3/'CCaMC-BCCpUC US'!AC4</f>
        <v>2981845.2471136819</v>
      </c>
      <c r="AD3" s="15">
        <f>AD4*'CCaMC-BCCpUC US'!AD3/'CCaMC-BCCpUC US'!AD4</f>
        <v>2996900.6635443843</v>
      </c>
      <c r="AE3" s="15">
        <f>AE4*'CCaMC-BCCpUC US'!AE3/'CCaMC-BCCpUC US'!AE4</f>
        <v>3011587.1368017853</v>
      </c>
      <c r="AF3" s="4"/>
    </row>
    <row r="4" spans="1:32">
      <c r="A4" t="s">
        <v>76</v>
      </c>
      <c r="B4">
        <f>Calculation!C58</f>
        <v>881978.10810787068</v>
      </c>
      <c r="C4">
        <f>Calculation!D58</f>
        <v>889882.97938709217</v>
      </c>
      <c r="D4">
        <f>Calculation!E58</f>
        <v>897787.85066631378</v>
      </c>
      <c r="E4">
        <f>Calculation!F58</f>
        <v>905692.72194553539</v>
      </c>
      <c r="F4">
        <f>Calculation!G58</f>
        <v>913597.593224757</v>
      </c>
      <c r="G4">
        <f>Calculation!H58</f>
        <v>921502.46450397861</v>
      </c>
      <c r="H4">
        <f>Calculation!I58</f>
        <v>929407.33578320022</v>
      </c>
      <c r="I4">
        <f>Calculation!J58</f>
        <v>937312.20706242172</v>
      </c>
      <c r="J4">
        <f>Calculation!K58</f>
        <v>945217.07834164344</v>
      </c>
      <c r="K4">
        <f>Calculation!L58</f>
        <v>953121.94962086494</v>
      </c>
      <c r="L4">
        <f>Calculation!M58</f>
        <v>961026.82090008655</v>
      </c>
      <c r="M4">
        <f>Calculation!N58</f>
        <v>968931.69217930816</v>
      </c>
      <c r="N4">
        <f>Calculation!O58</f>
        <v>976836.56345852977</v>
      </c>
      <c r="O4">
        <f>Calculation!P58</f>
        <v>984741.43473775138</v>
      </c>
      <c r="P4">
        <f>Calculation!Q58</f>
        <v>992646.30601697299</v>
      </c>
      <c r="Q4">
        <f>Calculation!R58</f>
        <v>1000551.1772961945</v>
      </c>
      <c r="R4">
        <f>Calculation!S58</f>
        <v>1008456.0485754162</v>
      </c>
      <c r="S4">
        <f>Calculation!T58</f>
        <v>1016360.9198546377</v>
      </c>
      <c r="T4">
        <f>Calculation!U58</f>
        <v>1024265.7911338592</v>
      </c>
      <c r="U4">
        <f>Calculation!V58</f>
        <v>1032170.6624130809</v>
      </c>
      <c r="V4">
        <f>Calculation!W58</f>
        <v>1040075.5336923025</v>
      </c>
      <c r="W4">
        <f>Calculation!X58</f>
        <v>1047980.4049715241</v>
      </c>
      <c r="X4">
        <f>Calculation!Y58</f>
        <v>1055885.2762507459</v>
      </c>
      <c r="Y4">
        <f>Calculation!Z58</f>
        <v>1063790.1475299674</v>
      </c>
      <c r="Z4">
        <f>Calculation!AA58</f>
        <v>1071695.0188091889</v>
      </c>
      <c r="AA4">
        <f>Calculation!AB58</f>
        <v>1079599.8900884106</v>
      </c>
      <c r="AB4">
        <f>Calculation!AC58</f>
        <v>1087504.7613676323</v>
      </c>
      <c r="AC4">
        <f>Calculation!AD58</f>
        <v>1095409.6326468536</v>
      </c>
      <c r="AD4">
        <f>Calculation!AE58</f>
        <v>1103314.5039260753</v>
      </c>
      <c r="AE4">
        <f>Calculation!AF58</f>
        <v>1111219.375205297</v>
      </c>
      <c r="AF4" s="4"/>
    </row>
    <row r="5" spans="1:32">
      <c r="A5" t="s">
        <v>5</v>
      </c>
      <c r="B5" s="15">
        <f>Calculation!C59</f>
        <v>4319515.8078912552</v>
      </c>
      <c r="C5" s="15">
        <f>Calculation!D59</f>
        <v>4423302.1178631531</v>
      </c>
      <c r="D5" s="15">
        <f>Calculation!E59</f>
        <v>4527088.427835051</v>
      </c>
      <c r="E5" s="15">
        <f>Calculation!F59</f>
        <v>4630874.7378069479</v>
      </c>
      <c r="F5" s="15">
        <f>Calculation!G59</f>
        <v>4734661.0477788467</v>
      </c>
      <c r="G5" s="15">
        <f>Calculation!H59</f>
        <v>4838447.3577507446</v>
      </c>
      <c r="H5" s="15">
        <f>Calculation!I59</f>
        <v>4942233.6677226424</v>
      </c>
      <c r="I5" s="15">
        <f>Calculation!J59</f>
        <v>5046019.9776945394</v>
      </c>
      <c r="J5" s="15">
        <f>Calculation!K59</f>
        <v>5149806.2876664372</v>
      </c>
      <c r="K5" s="15">
        <f>Calculation!L59</f>
        <v>5253592.5976383351</v>
      </c>
      <c r="L5" s="15">
        <f>Calculation!M59</f>
        <v>5357378.907610245</v>
      </c>
      <c r="M5" s="15">
        <f>Calculation!N59</f>
        <v>5461165.2175821429</v>
      </c>
      <c r="N5" s="15">
        <f>Calculation!O59</f>
        <v>5564951.5275540398</v>
      </c>
      <c r="O5" s="15">
        <f>Calculation!P59</f>
        <v>5668737.8375259377</v>
      </c>
      <c r="P5" s="15">
        <f>Calculation!Q59</f>
        <v>5772524.1474978356</v>
      </c>
      <c r="Q5" s="15">
        <f>Calculation!R59</f>
        <v>5876310.4574697325</v>
      </c>
      <c r="R5" s="15">
        <f>Calculation!S59</f>
        <v>5980096.7674416304</v>
      </c>
      <c r="S5" s="15">
        <f>Calculation!T59</f>
        <v>6083883.0774135282</v>
      </c>
      <c r="T5" s="15">
        <f>Calculation!U59</f>
        <v>6187669.3873854261</v>
      </c>
      <c r="U5" s="15">
        <f>Calculation!V59</f>
        <v>6291455.697357324</v>
      </c>
      <c r="V5" s="15">
        <f>Calculation!W59</f>
        <v>6395242.0073292218</v>
      </c>
      <c r="W5" s="15">
        <f>Calculation!X59</f>
        <v>6499028.3173011197</v>
      </c>
      <c r="X5" s="15">
        <f>Calculation!Y59</f>
        <v>6602814.6272730175</v>
      </c>
      <c r="Y5" s="15">
        <f>Calculation!Z59</f>
        <v>6706600.9372449145</v>
      </c>
      <c r="Z5" s="15">
        <f>Calculation!AA59</f>
        <v>6810387.2472168123</v>
      </c>
      <c r="AA5" s="15">
        <f>Calculation!AB59</f>
        <v>6914173.5571887102</v>
      </c>
      <c r="AB5" s="15">
        <f>Calculation!AC59</f>
        <v>7017959.8671606071</v>
      </c>
      <c r="AC5" s="15">
        <f>Calculation!AD59</f>
        <v>7121746.177132505</v>
      </c>
      <c r="AD5" s="15">
        <f>Calculation!AE59</f>
        <v>7225532.4871044029</v>
      </c>
      <c r="AE5" s="15">
        <f>Calculation!AF59</f>
        <v>7329318.7970763007</v>
      </c>
    </row>
    <row r="6" spans="1:32">
      <c r="A6" t="s">
        <v>6</v>
      </c>
      <c r="B6" s="15">
        <f>Calculation!C60</f>
        <v>900876.33037434856</v>
      </c>
      <c r="C6" s="15">
        <f>Calculation!D60</f>
        <v>900876.33037434856</v>
      </c>
      <c r="D6" s="15">
        <f>Calculation!E60</f>
        <v>900876.33037434856</v>
      </c>
      <c r="E6" s="15">
        <f>Calculation!F60</f>
        <v>900876.33037434856</v>
      </c>
      <c r="F6" s="15">
        <f>Calculation!G60</f>
        <v>900876.33037434856</v>
      </c>
      <c r="G6" s="15">
        <f>Calculation!H60</f>
        <v>900876.33037434856</v>
      </c>
      <c r="H6" s="15">
        <f>Calculation!I60</f>
        <v>900876.33037434856</v>
      </c>
      <c r="I6" s="15">
        <f>Calculation!J60</f>
        <v>900876.33037434856</v>
      </c>
      <c r="J6" s="15">
        <f>Calculation!K60</f>
        <v>900876.33037434856</v>
      </c>
      <c r="K6" s="15">
        <f>Calculation!L60</f>
        <v>900876.33037434856</v>
      </c>
      <c r="L6" s="15">
        <f>Calculation!M60</f>
        <v>900876.33037434856</v>
      </c>
      <c r="M6" s="15">
        <f>Calculation!N60</f>
        <v>900876.33037434856</v>
      </c>
      <c r="N6" s="15">
        <f>Calculation!O60</f>
        <v>900876.33037434856</v>
      </c>
      <c r="O6" s="15">
        <f>Calculation!P60</f>
        <v>900876.33037434856</v>
      </c>
      <c r="P6" s="15">
        <f>Calculation!Q60</f>
        <v>900876.33037434856</v>
      </c>
      <c r="Q6" s="15">
        <f>Calculation!R60</f>
        <v>900876.33037434856</v>
      </c>
      <c r="R6" s="15">
        <f>Calculation!S60</f>
        <v>900876.33037434856</v>
      </c>
      <c r="S6" s="15">
        <f>Calculation!T60</f>
        <v>900876.33037434856</v>
      </c>
      <c r="T6" s="15">
        <f>Calculation!U60</f>
        <v>900876.33037434856</v>
      </c>
      <c r="U6" s="15">
        <f>Calculation!V60</f>
        <v>900876.33037434856</v>
      </c>
      <c r="V6" s="15">
        <f>Calculation!W60</f>
        <v>900876.33037434856</v>
      </c>
      <c r="W6" s="15">
        <f>Calculation!X60</f>
        <v>900876.33037434856</v>
      </c>
      <c r="X6" s="15">
        <f>Calculation!Y60</f>
        <v>900876.33037434856</v>
      </c>
      <c r="Y6" s="15">
        <f>Calculation!Z60</f>
        <v>900876.33037434856</v>
      </c>
      <c r="Z6" s="15">
        <f>Calculation!AA60</f>
        <v>900876.33037434856</v>
      </c>
      <c r="AA6" s="15">
        <f>Calculation!AB60</f>
        <v>900876.33037434856</v>
      </c>
      <c r="AB6" s="15">
        <f>Calculation!AC60</f>
        <v>900876.33037434856</v>
      </c>
      <c r="AC6" s="15">
        <f>Calculation!AD60</f>
        <v>900876.33037434856</v>
      </c>
      <c r="AD6" s="15">
        <f>Calculation!AE60</f>
        <v>900876.33037434856</v>
      </c>
      <c r="AE6" s="15">
        <f>Calculation!AF60</f>
        <v>900876.33037434856</v>
      </c>
    </row>
    <row r="7" spans="1:32">
      <c r="A7" t="s">
        <v>18</v>
      </c>
      <c r="B7" s="15">
        <f>Calculation!C117</f>
        <v>2480282.8363474817</v>
      </c>
      <c r="C7" s="15">
        <f>Calculation!D117</f>
        <v>2454834.9353341949</v>
      </c>
      <c r="D7" s="15">
        <f>Calculation!E117</f>
        <v>2429387.0343209086</v>
      </c>
      <c r="E7" s="15">
        <f>Calculation!F117</f>
        <v>2403939.1333076218</v>
      </c>
      <c r="F7" s="15">
        <f>Calculation!G117</f>
        <v>2378491.2322943341</v>
      </c>
      <c r="G7" s="15">
        <f>Calculation!H117</f>
        <v>2332685.0104704178</v>
      </c>
      <c r="H7" s="15">
        <f>Calculation!I117</f>
        <v>2286878.7886465015</v>
      </c>
      <c r="I7" s="15">
        <f>Calculation!J117</f>
        <v>2241072.5668225852</v>
      </c>
      <c r="J7" s="15">
        <f>Calculation!K117</f>
        <v>2195266.3449986689</v>
      </c>
      <c r="K7" s="15">
        <f>Calculation!L117</f>
        <v>2149460.1231747521</v>
      </c>
      <c r="L7" s="15">
        <f>Calculation!M117</f>
        <v>2136967.517222771</v>
      </c>
      <c r="M7" s="15">
        <f>Calculation!N117</f>
        <v>2101340.4558041734</v>
      </c>
      <c r="N7" s="15">
        <f>Calculation!O117</f>
        <v>2065713.3943855616</v>
      </c>
      <c r="O7" s="15">
        <f>Calculation!P117</f>
        <v>2030086.3329669638</v>
      </c>
      <c r="P7" s="15">
        <f>Calculation!Q117</f>
        <v>1994459.2715483662</v>
      </c>
      <c r="Q7" s="15">
        <f>Calculation!R117</f>
        <v>1958832.2101297549</v>
      </c>
      <c r="R7" s="15">
        <f>Calculation!S117</f>
        <v>1923205.1487111573</v>
      </c>
      <c r="S7" s="15">
        <f>Calculation!T117</f>
        <v>1887578.0872925597</v>
      </c>
      <c r="T7" s="15">
        <f>Calculation!U117</f>
        <v>1851951.0258739621</v>
      </c>
      <c r="U7" s="15">
        <f>Calculation!V117</f>
        <v>1816323.9644553505</v>
      </c>
      <c r="V7" s="15">
        <f>Calculation!W117</f>
        <v>1780696.9030367527</v>
      </c>
      <c r="W7" s="15">
        <f>Calculation!X117</f>
        <v>1745069.8416181551</v>
      </c>
      <c r="X7" s="15">
        <f>Calculation!Y117</f>
        <v>1709442.7801995438</v>
      </c>
      <c r="Y7" s="15">
        <f>Calculation!Z117</f>
        <v>1673815.7187809462</v>
      </c>
      <c r="Z7" s="15">
        <f>Calculation!AA117</f>
        <v>1638188.6573623486</v>
      </c>
      <c r="AA7" s="15">
        <f>Calculation!AB117</f>
        <v>1602561.5959437508</v>
      </c>
      <c r="AB7" s="15">
        <f>Calculation!AC117</f>
        <v>1566934.5345251395</v>
      </c>
      <c r="AC7" s="15">
        <f>Calculation!AD117</f>
        <v>1531307.4731065419</v>
      </c>
      <c r="AD7" s="15">
        <f>Calculation!AE117</f>
        <v>1495680.4116879443</v>
      </c>
      <c r="AE7" s="15">
        <f>Calculation!AF117</f>
        <v>1460053.3502693328</v>
      </c>
    </row>
    <row r="8" spans="1:32">
      <c r="A8" t="s">
        <v>7</v>
      </c>
      <c r="B8" s="15">
        <f>Calculation!C118</f>
        <v>1252851.4189075385</v>
      </c>
      <c r="C8" s="15">
        <f>Calculation!D118</f>
        <v>1252851.4189075385</v>
      </c>
      <c r="D8" s="15">
        <f>Calculation!E118</f>
        <v>1252851.4189075385</v>
      </c>
      <c r="E8" s="15">
        <f>Calculation!F118</f>
        <v>1252851.4189075385</v>
      </c>
      <c r="F8" s="15">
        <f>Calculation!G118</f>
        <v>1252851.4189075385</v>
      </c>
      <c r="G8" s="15">
        <f>Calculation!H118</f>
        <v>1206978.7403657853</v>
      </c>
      <c r="H8" s="15">
        <f>Calculation!I118</f>
        <v>1161106.0618240321</v>
      </c>
      <c r="I8" s="15">
        <f>Calculation!J118</f>
        <v>1115233.3832822789</v>
      </c>
      <c r="J8" s="15">
        <f>Calculation!K118</f>
        <v>1069360.7047405257</v>
      </c>
      <c r="K8" s="15">
        <f>Calculation!L118</f>
        <v>1023488.0261987724</v>
      </c>
      <c r="L8" s="15">
        <f>Calculation!M118</f>
        <v>1052679.7307253478</v>
      </c>
      <c r="M8" s="15">
        <f>Calculation!N118</f>
        <v>1029743.3914544719</v>
      </c>
      <c r="N8" s="15">
        <f>Calculation!O118</f>
        <v>1006807.0521835891</v>
      </c>
      <c r="O8" s="15">
        <f>Calculation!P118</f>
        <v>983870.71291271306</v>
      </c>
      <c r="P8" s="15">
        <f>Calculation!Q118</f>
        <v>960934.37364183716</v>
      </c>
      <c r="Q8" s="15">
        <f>Calculation!R118</f>
        <v>937998.03437096125</v>
      </c>
      <c r="R8" s="15">
        <f>Calculation!S118</f>
        <v>915061.69510008534</v>
      </c>
      <c r="S8" s="15">
        <f>Calculation!T118</f>
        <v>892125.35582920944</v>
      </c>
      <c r="T8" s="15">
        <f>Calculation!U118</f>
        <v>869189.01655833353</v>
      </c>
      <c r="U8" s="15">
        <f>Calculation!V118</f>
        <v>846252.67728745739</v>
      </c>
      <c r="V8" s="15">
        <f>Calculation!W118</f>
        <v>823316.33801658149</v>
      </c>
      <c r="W8" s="15">
        <f>Calculation!X118</f>
        <v>800379.99874570558</v>
      </c>
      <c r="X8" s="15">
        <f>Calculation!Y118</f>
        <v>777443.65947482281</v>
      </c>
      <c r="Y8" s="15">
        <f>Calculation!Z118</f>
        <v>754507.32020394679</v>
      </c>
      <c r="Z8" s="15">
        <f>Calculation!AA118</f>
        <v>731570.98093307088</v>
      </c>
      <c r="AA8" s="15">
        <f>Calculation!AB118</f>
        <v>708634.64166219486</v>
      </c>
      <c r="AB8" s="15">
        <f>Calculation!AC118</f>
        <v>685698.30239131895</v>
      </c>
      <c r="AC8" s="15">
        <f>Calculation!AD118</f>
        <v>662761.96312044305</v>
      </c>
      <c r="AD8" s="15">
        <f>Calculation!AE118</f>
        <v>639825.62384956714</v>
      </c>
      <c r="AE8" s="15">
        <f>Calculation!AF118</f>
        <v>616889.28457869124</v>
      </c>
    </row>
    <row r="9" spans="1:32">
      <c r="A9" t="s">
        <v>8</v>
      </c>
      <c r="B9" s="15">
        <f>'CCaMC-BCCpUC US'!B9</f>
        <v>6146160.4261342743</v>
      </c>
      <c r="C9" s="15">
        <f>'CCaMC-BCCpUC US'!C9</f>
        <v>6207145.7134810919</v>
      </c>
      <c r="D9" s="15">
        <f>'CCaMC-BCCpUC US'!D9</f>
        <v>5939220.5531089073</v>
      </c>
      <c r="E9" s="15">
        <f>'CCaMC-BCCpUC US'!E9</f>
        <v>5671295.3927367246</v>
      </c>
      <c r="F9" s="15">
        <f>'CCaMC-BCCpUC US'!F9</f>
        <v>5403370.23236454</v>
      </c>
      <c r="G9" s="15">
        <f>'CCaMC-BCCpUC US'!G9</f>
        <v>5135445.0719923563</v>
      </c>
      <c r="H9" s="15">
        <f>'CCaMC-BCCpUC US'!H9</f>
        <v>4867519.9116201727</v>
      </c>
      <c r="I9" s="15">
        <f>'CCaMC-BCCpUC US'!I9</f>
        <v>4599594.751247989</v>
      </c>
      <c r="J9" s="15">
        <f>'CCaMC-BCCpUC US'!J9</f>
        <v>4331669.5908758054</v>
      </c>
      <c r="K9" s="15">
        <f>'CCaMC-BCCpUC US'!K9</f>
        <v>4063744.4305036236</v>
      </c>
      <c r="L9" s="15">
        <f>'CCaMC-BCCpUC US'!L9</f>
        <v>4035313.0558780544</v>
      </c>
      <c r="M9" s="15">
        <f>'CCaMC-BCCpUC US'!M9</f>
        <v>4006881.6812524851</v>
      </c>
      <c r="N9" s="15">
        <f>'CCaMC-BCCpUC US'!N9</f>
        <v>3978450.3066269155</v>
      </c>
      <c r="O9" s="15">
        <f>'CCaMC-BCCpUC US'!O9</f>
        <v>3950018.9320013458</v>
      </c>
      <c r="P9" s="15">
        <f>'CCaMC-BCCpUC US'!P9</f>
        <v>3921587.5573757761</v>
      </c>
      <c r="Q9" s="15">
        <f>'CCaMC-BCCpUC US'!Q9</f>
        <v>3893156.1827502074</v>
      </c>
      <c r="R9" s="15">
        <f>'CCaMC-BCCpUC US'!R9</f>
        <v>3864724.8081246382</v>
      </c>
      <c r="S9" s="15">
        <f>'CCaMC-BCCpUC US'!S9</f>
        <v>3836293.433499068</v>
      </c>
      <c r="T9" s="15">
        <f>'CCaMC-BCCpUC US'!T9</f>
        <v>3807862.0588734988</v>
      </c>
      <c r="U9" s="15">
        <f>'CCaMC-BCCpUC US'!U9</f>
        <v>3779430.6842479291</v>
      </c>
      <c r="V9" s="15">
        <f>'CCaMC-BCCpUC US'!V9</f>
        <v>3750999.3096223604</v>
      </c>
      <c r="W9" s="15">
        <f>'CCaMC-BCCpUC US'!W9</f>
        <v>3722567.9349967898</v>
      </c>
      <c r="X9" s="15">
        <f>'CCaMC-BCCpUC US'!X9</f>
        <v>3694136.560371221</v>
      </c>
      <c r="Y9" s="15">
        <f>'CCaMC-BCCpUC US'!Y9</f>
        <v>3665705.1857456518</v>
      </c>
      <c r="Z9" s="15">
        <f>'CCaMC-BCCpUC US'!Z9</f>
        <v>3637273.8111200822</v>
      </c>
      <c r="AA9" s="15">
        <f>'CCaMC-BCCpUC US'!AA9</f>
        <v>3608842.4364945129</v>
      </c>
      <c r="AB9" s="15">
        <f>'CCaMC-BCCpUC US'!AB9</f>
        <v>3580411.0618689428</v>
      </c>
      <c r="AC9" s="15">
        <f>'CCaMC-BCCpUC US'!AC9</f>
        <v>3551979.6872433741</v>
      </c>
      <c r="AD9" s="15">
        <f>'CCaMC-BCCpUC US'!AD9</f>
        <v>3523548.3126178049</v>
      </c>
      <c r="AE9" s="15">
        <f>'CCaMC-BCCpUC US'!AE9</f>
        <v>3495116.9379922408</v>
      </c>
    </row>
    <row r="10" spans="1:32">
      <c r="A10" t="s">
        <v>9</v>
      </c>
      <c r="B10" s="15">
        <f>Calculation!C64</f>
        <v>3555642.2558865636</v>
      </c>
      <c r="C10" s="15">
        <f>Calculation!D64</f>
        <v>3555642.2558865636</v>
      </c>
      <c r="D10" s="15">
        <f>Calculation!E64</f>
        <v>3555642.2558865636</v>
      </c>
      <c r="E10" s="15">
        <f>Calculation!F64</f>
        <v>3555642.2558865636</v>
      </c>
      <c r="F10" s="15">
        <f>Calculation!G64</f>
        <v>3555642.2558865636</v>
      </c>
      <c r="G10" s="15">
        <f>Calculation!H64</f>
        <v>3555642.2558865636</v>
      </c>
      <c r="H10" s="15">
        <f>Calculation!I64</f>
        <v>3555642.2558865636</v>
      </c>
      <c r="I10" s="15">
        <f>Calculation!J64</f>
        <v>3555642.2558865636</v>
      </c>
      <c r="J10" s="15">
        <f>Calculation!K64</f>
        <v>3555642.2558865636</v>
      </c>
      <c r="K10" s="15">
        <f>Calculation!L64</f>
        <v>3555642.2558865636</v>
      </c>
      <c r="L10" s="15">
        <f>Calculation!M64</f>
        <v>3555642.2558865636</v>
      </c>
      <c r="M10" s="15">
        <f>Calculation!N64</f>
        <v>3555642.2558865636</v>
      </c>
      <c r="N10" s="15">
        <f>Calculation!O64</f>
        <v>3555642.2558865636</v>
      </c>
      <c r="O10" s="15">
        <f>Calculation!P64</f>
        <v>3555642.2558865636</v>
      </c>
      <c r="P10" s="15">
        <f>Calculation!Q64</f>
        <v>3555642.2558865636</v>
      </c>
      <c r="Q10" s="15">
        <f>Calculation!R64</f>
        <v>3555642.2558865636</v>
      </c>
      <c r="R10" s="15">
        <f>Calculation!S64</f>
        <v>3555642.2558865636</v>
      </c>
      <c r="S10" s="15">
        <f>Calculation!T64</f>
        <v>3555642.2558865636</v>
      </c>
      <c r="T10" s="15">
        <f>Calculation!U64</f>
        <v>3555642.2558865636</v>
      </c>
      <c r="U10" s="15">
        <f>Calculation!V64</f>
        <v>3555642.2558865636</v>
      </c>
      <c r="V10" s="15">
        <f>Calculation!W64</f>
        <v>3555642.2558865636</v>
      </c>
      <c r="W10" s="15">
        <f>Calculation!X64</f>
        <v>3555642.2558865636</v>
      </c>
      <c r="X10" s="15">
        <f>Calculation!Y64</f>
        <v>3555642.2558865636</v>
      </c>
      <c r="Y10" s="15">
        <f>Calculation!Z64</f>
        <v>3555642.2558865636</v>
      </c>
      <c r="Z10" s="15">
        <f>Calculation!AA64</f>
        <v>3555642.2558865636</v>
      </c>
      <c r="AA10" s="15">
        <f>Calculation!AB64</f>
        <v>3555642.2558865636</v>
      </c>
      <c r="AB10" s="15">
        <f>Calculation!AC64</f>
        <v>3555642.2558865636</v>
      </c>
      <c r="AC10" s="15">
        <f>Calculation!AD64</f>
        <v>3555642.2558865636</v>
      </c>
      <c r="AD10" s="15">
        <f>Calculation!AE64</f>
        <v>3555642.2558865636</v>
      </c>
      <c r="AE10" s="15">
        <f>Calculation!AF64</f>
        <v>3555642.2558865636</v>
      </c>
    </row>
    <row r="11" spans="1:32">
      <c r="A11" t="s">
        <v>12</v>
      </c>
      <c r="B11" s="15">
        <f>Calculation!C65</f>
        <v>8208000</v>
      </c>
      <c r="C11" s="15">
        <f>Calculation!D65</f>
        <v>8208000</v>
      </c>
      <c r="D11" s="15">
        <f>Calculation!E65</f>
        <v>8208000</v>
      </c>
      <c r="E11" s="15">
        <f>Calculation!F65</f>
        <v>8208000</v>
      </c>
      <c r="F11" s="15">
        <f>Calculation!G65</f>
        <v>8208000</v>
      </c>
      <c r="G11" s="15">
        <f>Calculation!H65</f>
        <v>8208000</v>
      </c>
      <c r="H11" s="15">
        <f>Calculation!I65</f>
        <v>8208000</v>
      </c>
      <c r="I11" s="15">
        <f>Calculation!J65</f>
        <v>8208000</v>
      </c>
      <c r="J11" s="15">
        <f>Calculation!K65</f>
        <v>8208000</v>
      </c>
      <c r="K11" s="15">
        <f>Calculation!L65</f>
        <v>8208000</v>
      </c>
      <c r="L11" s="15">
        <f>Calculation!M65</f>
        <v>8208000.0000000019</v>
      </c>
      <c r="M11" s="15">
        <f>Calculation!N65</f>
        <v>8208000.0000000019</v>
      </c>
      <c r="N11" s="15">
        <f>Calculation!O65</f>
        <v>8208000.0000000019</v>
      </c>
      <c r="O11" s="15">
        <f>Calculation!P65</f>
        <v>8208000.0000000019</v>
      </c>
      <c r="P11" s="15">
        <f>Calculation!Q65</f>
        <v>8208000.0000000019</v>
      </c>
      <c r="Q11" s="15">
        <f>Calculation!R65</f>
        <v>8208000.0000000019</v>
      </c>
      <c r="R11" s="15">
        <f>Calculation!S65</f>
        <v>8208000.0000000019</v>
      </c>
      <c r="S11" s="15">
        <f>Calculation!T65</f>
        <v>8208000.0000000019</v>
      </c>
      <c r="T11" s="15">
        <f>Calculation!U65</f>
        <v>8208000.0000000019</v>
      </c>
      <c r="U11" s="15">
        <f>Calculation!V65</f>
        <v>8208000.0000000019</v>
      </c>
      <c r="V11" s="15">
        <f>Calculation!W65</f>
        <v>8208000.0000000019</v>
      </c>
      <c r="W11" s="15">
        <f>Calculation!X65</f>
        <v>8208000.0000000019</v>
      </c>
      <c r="X11" s="15">
        <f>Calculation!Y65</f>
        <v>8208000.0000000019</v>
      </c>
      <c r="Y11" s="15">
        <f>Calculation!Z65</f>
        <v>8208000.0000000019</v>
      </c>
      <c r="Z11" s="15">
        <f>Calculation!AA65</f>
        <v>8208000.0000000019</v>
      </c>
      <c r="AA11" s="15">
        <f>Calculation!AB65</f>
        <v>8208000.0000000019</v>
      </c>
      <c r="AB11" s="15">
        <f>Calculation!AC65</f>
        <v>8208000.0000000019</v>
      </c>
      <c r="AC11" s="15">
        <f>Calculation!AD65</f>
        <v>8208000.0000000019</v>
      </c>
      <c r="AD11" s="15">
        <f>Calculation!AE65</f>
        <v>8208000.0000000019</v>
      </c>
      <c r="AE11" s="15">
        <f>Calculation!AF65</f>
        <v>8208000.0000000019</v>
      </c>
    </row>
    <row r="12" spans="1:32">
      <c r="A12" t="s">
        <v>13</v>
      </c>
      <c r="B12" s="15">
        <f>Calculation!C66</f>
        <v>1762910.9132371712</v>
      </c>
      <c r="C12" s="15">
        <f>Calculation!D66</f>
        <v>1762910.9132371712</v>
      </c>
      <c r="D12" s="15">
        <f>Calculation!E66</f>
        <v>1762910.9132371712</v>
      </c>
      <c r="E12" s="15">
        <f>Calculation!F66</f>
        <v>1762910.9132371712</v>
      </c>
      <c r="F12" s="15">
        <f>Calculation!G66</f>
        <v>1762910.9132371712</v>
      </c>
      <c r="G12" s="15">
        <f>Calculation!H66</f>
        <v>1762910.9132371712</v>
      </c>
      <c r="H12" s="15">
        <f>Calculation!I66</f>
        <v>1762910.9132371712</v>
      </c>
      <c r="I12" s="15">
        <f>Calculation!J66</f>
        <v>1762910.9132371712</v>
      </c>
      <c r="J12" s="15">
        <f>Calculation!K66</f>
        <v>1762910.9132371712</v>
      </c>
      <c r="K12" s="15">
        <f>Calculation!L66</f>
        <v>1762910.9132371712</v>
      </c>
      <c r="L12" s="15">
        <f>Calculation!M66</f>
        <v>1762910.9132371712</v>
      </c>
      <c r="M12" s="15">
        <f>Calculation!N66</f>
        <v>1762910.9132371712</v>
      </c>
      <c r="N12" s="15">
        <f>Calculation!O66</f>
        <v>1762910.9132371712</v>
      </c>
      <c r="O12" s="15">
        <f>Calculation!P66</f>
        <v>1762910.9132371712</v>
      </c>
      <c r="P12" s="15">
        <f>Calculation!Q66</f>
        <v>1762910.9132371712</v>
      </c>
      <c r="Q12" s="15">
        <f>Calculation!R66</f>
        <v>1762910.9132371712</v>
      </c>
      <c r="R12" s="15">
        <f>Calculation!S66</f>
        <v>1762910.9132371712</v>
      </c>
      <c r="S12" s="15">
        <f>Calculation!T66</f>
        <v>1762910.9132371712</v>
      </c>
      <c r="T12" s="15">
        <f>Calculation!U66</f>
        <v>1762910.9132371712</v>
      </c>
      <c r="U12" s="15">
        <f>Calculation!V66</f>
        <v>1762910.9132371712</v>
      </c>
      <c r="V12" s="15">
        <f>Calculation!W66</f>
        <v>1762910.9132371712</v>
      </c>
      <c r="W12" s="15">
        <f>Calculation!X66</f>
        <v>1762910.9132371712</v>
      </c>
      <c r="X12" s="15">
        <f>Calculation!Y66</f>
        <v>1762910.9132371712</v>
      </c>
      <c r="Y12" s="15">
        <f>Calculation!Z66</f>
        <v>1762910.9132371712</v>
      </c>
      <c r="Z12" s="15">
        <f>Calculation!AA66</f>
        <v>1762910.9132371712</v>
      </c>
      <c r="AA12" s="15">
        <f>Calculation!AB66</f>
        <v>1762910.9132371712</v>
      </c>
      <c r="AB12" s="15">
        <f>Calculation!AC66</f>
        <v>1762910.9132371712</v>
      </c>
      <c r="AC12" s="15">
        <f>Calculation!AD66</f>
        <v>1762910.9132371712</v>
      </c>
      <c r="AD12" s="15">
        <f>Calculation!AE66</f>
        <v>1762910.9132371712</v>
      </c>
      <c r="AE12" s="15">
        <f>Calculation!AF66</f>
        <v>1762910.9132371712</v>
      </c>
    </row>
    <row r="13" spans="1:32">
      <c r="A13" t="s">
        <v>14</v>
      </c>
      <c r="B13" s="15">
        <f>B4*'CCaMC-BCCpUC US'!B13/'CCaMC-BCCpUC US'!B4</f>
        <v>770136.95452791417</v>
      </c>
      <c r="C13" s="15">
        <f>C4*'CCaMC-BCCpUC US'!C13/'CCaMC-BCCpUC US'!C4</f>
        <v>781423.64933991327</v>
      </c>
      <c r="D13" s="15">
        <f>D4*'CCaMC-BCCpUC US'!D13/'CCaMC-BCCpUC US'!D4</f>
        <v>789622.22321815439</v>
      </c>
      <c r="E13" s="15">
        <f>E4*'CCaMC-BCCpUC US'!E13/'CCaMC-BCCpUC US'!E4</f>
        <v>797806.86709743342</v>
      </c>
      <c r="F13" s="15">
        <f>F4*'CCaMC-BCCpUC US'!F13/'CCaMC-BCCpUC US'!F4</f>
        <v>806095.49920121615</v>
      </c>
      <c r="G13" s="15">
        <f>G4*'CCaMC-BCCpUC US'!G13/'CCaMC-BCCpUC US'!G4</f>
        <v>814370.35365098191</v>
      </c>
      <c r="H13" s="15">
        <f>H4*'CCaMC-BCCpUC US'!H13/'CCaMC-BCCpUC US'!H4</f>
        <v>822754.03495562007</v>
      </c>
      <c r="I13" s="15">
        <f>I4*'CCaMC-BCCpUC US'!I13/'CCaMC-BCCpUC US'!I4</f>
        <v>831124.1753316425</v>
      </c>
      <c r="J13" s="15">
        <f>J4*'CCaMC-BCCpUC US'!J13/'CCaMC-BCCpUC US'!J4</f>
        <v>839681.35877732502</v>
      </c>
      <c r="K13" s="15">
        <f>K4*'CCaMC-BCCpUC US'!K13/'CCaMC-BCCpUC US'!K4</f>
        <v>848153.55507551355</v>
      </c>
      <c r="L13" s="15">
        <f>L4*'CCaMC-BCCpUC US'!L13/'CCaMC-BCCpUC US'!L4</f>
        <v>856745.18714284303</v>
      </c>
      <c r="M13" s="15">
        <f>M4*'CCaMC-BCCpUC US'!M13/'CCaMC-BCCpUC US'!M4</f>
        <v>865324.07070671767</v>
      </c>
      <c r="N13" s="15">
        <f>N4*'CCaMC-BCCpUC US'!N13/'CCaMC-BCCpUC US'!N4</f>
        <v>874028.18407950876</v>
      </c>
      <c r="O13" s="15">
        <f>O4*'CCaMC-BCCpUC US'!O13/'CCaMC-BCCpUC US'!O4</f>
        <v>882720.11296587833</v>
      </c>
      <c r="P13" s="15">
        <f>P4*'CCaMC-BCCpUC US'!P13/'CCaMC-BCCpUC US'!P4</f>
        <v>891543.44151524396</v>
      </c>
      <c r="Q13" s="15">
        <f>Q4*'CCaMC-BCCpUC US'!Q13/'CCaMC-BCCpUC US'!Q4</f>
        <v>898199.55009424721</v>
      </c>
      <c r="R13" s="15">
        <f>R4*'CCaMC-BCCpUC US'!R13/'CCaMC-BCCpUC US'!R4</f>
        <v>904925.70215760742</v>
      </c>
      <c r="S13" s="15">
        <f>S4*'CCaMC-BCCpUC US'!S13/'CCaMC-BCCpUC US'!S4</f>
        <v>911555.09059397341</v>
      </c>
      <c r="T13" s="15">
        <f>T4*'CCaMC-BCCpUC US'!T13/'CCaMC-BCCpUC US'!T4</f>
        <v>918169.99357301847</v>
      </c>
      <c r="U13" s="15">
        <f>U4*'CCaMC-BCCpUC US'!U13/'CCaMC-BCCpUC US'!U4</f>
        <v>924770.07066676056</v>
      </c>
      <c r="V13" s="15">
        <f>V4*'CCaMC-BCCpUC US'!V13/'CCaMC-BCCpUC US'!V4</f>
        <v>931354.9706956303</v>
      </c>
      <c r="W13" s="15">
        <f>W4*'CCaMC-BCCpUC US'!W13/'CCaMC-BCCpUC US'!W4</f>
        <v>938005.47364264971</v>
      </c>
      <c r="X13" s="15">
        <f>X4*'CCaMC-BCCpUC US'!X13/'CCaMC-BCCpUC US'!X4</f>
        <v>944560.14334875299</v>
      </c>
      <c r="Y13" s="15">
        <f>Y4*'CCaMC-BCCpUC US'!Y13/'CCaMC-BCCpUC US'!Y4</f>
        <v>951098.53190151812</v>
      </c>
      <c r="Z13" s="15">
        <f>Z4*'CCaMC-BCCpUC US'!Z13/'CCaMC-BCCpUC US'!Z4</f>
        <v>957715.22420039435</v>
      </c>
      <c r="AA13" s="15">
        <f>AA4*'CCaMC-BCCpUC US'!AA13/'CCaMC-BCCpUC US'!AA4</f>
        <v>964221.32976799796</v>
      </c>
      <c r="AB13" s="15">
        <f>AB4*'CCaMC-BCCpUC US'!AB13/'CCaMC-BCCpUC US'!AB4</f>
        <v>970709.9442174189</v>
      </c>
      <c r="AC13" s="15">
        <f>AC4*'CCaMC-BCCpUC US'!AC13/'CCaMC-BCCpUC US'!AC4</f>
        <v>977180.62895970349</v>
      </c>
      <c r="AD13" s="15">
        <f>AD4*'CCaMC-BCCpUC US'!AD13/'CCaMC-BCCpUC US'!AD4</f>
        <v>983723.05641420546</v>
      </c>
      <c r="AE13" s="15">
        <f>AE4*'CCaMC-BCCpUC US'!AE13/'CCaMC-BCCpUC US'!AE4</f>
        <v>990157.86685498804</v>
      </c>
    </row>
    <row r="14" spans="1:32">
      <c r="A14" t="s">
        <v>19</v>
      </c>
      <c r="B14" s="15">
        <f>Calculation!C68</f>
        <v>1386477.2229812131</v>
      </c>
      <c r="C14" s="15">
        <f>Calculation!D68</f>
        <v>1435207.4994706169</v>
      </c>
      <c r="D14" s="15">
        <f>Calculation!E68</f>
        <v>1483937.775960021</v>
      </c>
      <c r="E14" s="15">
        <f>Calculation!F68</f>
        <v>1532668.0524494245</v>
      </c>
      <c r="F14" s="15">
        <f>Calculation!G68</f>
        <v>1581398.3289388283</v>
      </c>
      <c r="G14" s="15">
        <f>Calculation!H68</f>
        <v>1630128.6054282323</v>
      </c>
      <c r="H14" s="15">
        <f>Calculation!I68</f>
        <v>1678858.8819176361</v>
      </c>
      <c r="I14" s="15">
        <f>Calculation!J68</f>
        <v>1727589.1584070399</v>
      </c>
      <c r="J14" s="15">
        <f>Calculation!K68</f>
        <v>1776319.4348964437</v>
      </c>
      <c r="K14" s="15">
        <f>Calculation!L68</f>
        <v>1825049.7113858475</v>
      </c>
      <c r="L14" s="15">
        <f>Calculation!M68</f>
        <v>1873779.9878752513</v>
      </c>
      <c r="M14" s="15">
        <f>Calculation!N68</f>
        <v>1922510.2643646554</v>
      </c>
      <c r="N14" s="15">
        <f>Calculation!O68</f>
        <v>1971240.5408540589</v>
      </c>
      <c r="O14" s="15">
        <f>Calculation!P68</f>
        <v>2019970.8173434627</v>
      </c>
      <c r="P14" s="15">
        <f>Calculation!Q68</f>
        <v>2068701.0938328668</v>
      </c>
      <c r="Q14" s="15">
        <f>Calculation!R68</f>
        <v>2117431.3703222708</v>
      </c>
      <c r="R14" s="15">
        <f>Calculation!S68</f>
        <v>2166161.6468116743</v>
      </c>
      <c r="S14" s="15">
        <f>Calculation!T68</f>
        <v>2214891.9233010784</v>
      </c>
      <c r="T14" s="15">
        <f>Calculation!U68</f>
        <v>2263622.1997904824</v>
      </c>
      <c r="U14" s="15">
        <f>Calculation!V68</f>
        <v>2312352.4762798855</v>
      </c>
      <c r="V14" s="15">
        <f>Calculation!W68</f>
        <v>2361082.7527692895</v>
      </c>
      <c r="W14" s="15">
        <f>Calculation!X68</f>
        <v>2409813.0292586936</v>
      </c>
      <c r="X14" s="15">
        <f>Calculation!Y68</f>
        <v>2458543.3057480971</v>
      </c>
      <c r="Y14" s="15">
        <f>Calculation!Z68</f>
        <v>2507273.5822375012</v>
      </c>
      <c r="Z14" s="15">
        <f>Calculation!AA68</f>
        <v>2556003.8587269052</v>
      </c>
      <c r="AA14" s="15">
        <f>Calculation!AB68</f>
        <v>2604734.1352163088</v>
      </c>
      <c r="AB14" s="15">
        <f>Calculation!AC68</f>
        <v>2653464.4117057128</v>
      </c>
      <c r="AC14" s="15">
        <f>Calculation!AD68</f>
        <v>2702194.6881951164</v>
      </c>
      <c r="AD14" s="15">
        <f>Calculation!AE68</f>
        <v>2750924.9646845199</v>
      </c>
      <c r="AE14" s="15">
        <f>Calculation!AF68</f>
        <v>2799655.2411739239</v>
      </c>
    </row>
    <row r="15" spans="1:32">
      <c r="A15" t="s">
        <v>17</v>
      </c>
      <c r="B15" s="15">
        <f>Calculation!C119</f>
        <v>5138317.1750377435</v>
      </c>
      <c r="C15" s="15">
        <f>Calculation!D119</f>
        <v>4993111.3855294092</v>
      </c>
      <c r="D15" s="15">
        <f>Calculation!E119</f>
        <v>4847905.5960210739</v>
      </c>
      <c r="E15" s="15">
        <f>Calculation!F119</f>
        <v>4702699.8065127395</v>
      </c>
      <c r="F15" s="15">
        <f>Calculation!G119</f>
        <v>4557494.0170044051</v>
      </c>
      <c r="G15" s="15">
        <f>Calculation!H119</f>
        <v>4412288.2274960708</v>
      </c>
      <c r="H15" s="15">
        <f>Calculation!I119</f>
        <v>4267082.4379877355</v>
      </c>
      <c r="I15" s="15">
        <f>Calculation!J119</f>
        <v>4121876.6484794011</v>
      </c>
      <c r="J15" s="15">
        <f>Calculation!K119</f>
        <v>3976670.8589710668</v>
      </c>
      <c r="K15" s="15">
        <f>Calculation!L119</f>
        <v>3831465.0694627301</v>
      </c>
      <c r="L15" s="15">
        <f>Calculation!M119</f>
        <v>3686259.2799544395</v>
      </c>
      <c r="M15" s="15">
        <f>Calculation!N119</f>
        <v>3541053.4904460935</v>
      </c>
      <c r="N15" s="15">
        <f>Calculation!O119</f>
        <v>3395847.7009377475</v>
      </c>
      <c r="O15" s="15">
        <f>Calculation!P119</f>
        <v>3250641.9114294015</v>
      </c>
      <c r="P15" s="15">
        <f>Calculation!Q119</f>
        <v>3105436.121921056</v>
      </c>
      <c r="Q15" s="15">
        <f>Calculation!R119</f>
        <v>2960230.3324127654</v>
      </c>
      <c r="R15" s="15">
        <f>Calculation!S119</f>
        <v>2815024.5429044194</v>
      </c>
      <c r="S15" s="15">
        <f>Calculation!T119</f>
        <v>2669818.7533960734</v>
      </c>
      <c r="T15" s="15">
        <f>Calculation!U119</f>
        <v>2524612.9638877278</v>
      </c>
      <c r="U15" s="15">
        <f>Calculation!V119</f>
        <v>2379407.1743793814</v>
      </c>
      <c r="V15" s="15">
        <f>Calculation!W119</f>
        <v>2234201.3848710912</v>
      </c>
      <c r="W15" s="15">
        <f>Calculation!X119</f>
        <v>2088995.5953627452</v>
      </c>
      <c r="X15" s="15">
        <f>Calculation!Y119</f>
        <v>1943789.8058543997</v>
      </c>
      <c r="Y15" s="15">
        <f>Calculation!Z119</f>
        <v>1798584.0163460532</v>
      </c>
      <c r="Z15" s="15">
        <f>Calculation!AA119</f>
        <v>1653378.2268377077</v>
      </c>
      <c r="AA15" s="15">
        <f>Calculation!AB119</f>
        <v>1508172.4373294171</v>
      </c>
      <c r="AB15" s="15">
        <f>Calculation!AC119</f>
        <v>1362966.6478210713</v>
      </c>
      <c r="AC15" s="15">
        <f>Calculation!AD119</f>
        <v>1217760.8583127253</v>
      </c>
      <c r="AD15" s="15">
        <f>Calculation!AE119</f>
        <v>1072555.0688043793</v>
      </c>
      <c r="AE15" s="15">
        <f>Calculation!AF119</f>
        <v>927349.27929603355</v>
      </c>
    </row>
    <row r="16" spans="1:32">
      <c r="A16" t="s">
        <v>20</v>
      </c>
      <c r="B16" s="15">
        <f>Calculation!C70</f>
        <v>1762910.9132371712</v>
      </c>
      <c r="C16" s="15">
        <f>Calculation!D70</f>
        <v>1762910.9132371712</v>
      </c>
      <c r="D16" s="15">
        <f>Calculation!E70</f>
        <v>1762910.9132371712</v>
      </c>
      <c r="E16" s="15">
        <f>Calculation!F70</f>
        <v>1762910.9132371712</v>
      </c>
      <c r="F16" s="15">
        <f>Calculation!G70</f>
        <v>1762910.9132371712</v>
      </c>
      <c r="G16" s="15">
        <f>Calculation!H70</f>
        <v>1762910.9132371712</v>
      </c>
      <c r="H16" s="15">
        <f>Calculation!I70</f>
        <v>1762910.9132371712</v>
      </c>
      <c r="I16" s="15">
        <f>Calculation!J70</f>
        <v>1762910.9132371712</v>
      </c>
      <c r="J16" s="15">
        <f>Calculation!K70</f>
        <v>1762910.9132371712</v>
      </c>
      <c r="K16" s="15">
        <f>Calculation!L70</f>
        <v>1762910.9132371712</v>
      </c>
      <c r="L16" s="15">
        <f>Calculation!M70</f>
        <v>1762910.9132371712</v>
      </c>
      <c r="M16" s="15">
        <f>Calculation!N70</f>
        <v>1762910.9132371712</v>
      </c>
      <c r="N16" s="15">
        <f>Calculation!O70</f>
        <v>1762910.9132371712</v>
      </c>
      <c r="O16" s="15">
        <f>Calculation!P70</f>
        <v>1762910.9132371712</v>
      </c>
      <c r="P16" s="15">
        <f>Calculation!Q70</f>
        <v>1762910.9132371712</v>
      </c>
      <c r="Q16" s="15">
        <f>Calculation!R70</f>
        <v>1762910.9132371712</v>
      </c>
      <c r="R16" s="15">
        <f>Calculation!S70</f>
        <v>1762910.9132371712</v>
      </c>
      <c r="S16" s="15">
        <f>Calculation!T70</f>
        <v>1762910.9132371712</v>
      </c>
      <c r="T16" s="15">
        <f>Calculation!U70</f>
        <v>1762910.9132371712</v>
      </c>
      <c r="U16" s="15">
        <f>Calculation!V70</f>
        <v>1762910.9132371712</v>
      </c>
      <c r="V16" s="15">
        <f>Calculation!W70</f>
        <v>1762910.9132371712</v>
      </c>
      <c r="W16" s="15">
        <f>Calculation!X70</f>
        <v>1762910.9132371712</v>
      </c>
      <c r="X16" s="15">
        <f>Calculation!Y70</f>
        <v>1762910.9132371712</v>
      </c>
      <c r="Y16" s="15">
        <f>Calculation!Z70</f>
        <v>1762910.9132371712</v>
      </c>
      <c r="Z16" s="15">
        <f>Calculation!AA70</f>
        <v>1762910.9132371712</v>
      </c>
      <c r="AA16" s="15">
        <f>Calculation!AB70</f>
        <v>1762910.9132371712</v>
      </c>
      <c r="AB16" s="15">
        <f>Calculation!AC70</f>
        <v>1762910.9132371712</v>
      </c>
      <c r="AC16" s="15">
        <f>Calculation!AD70</f>
        <v>1762910.9132371712</v>
      </c>
      <c r="AD16" s="15">
        <f>Calculation!AE70</f>
        <v>1762910.9132371712</v>
      </c>
      <c r="AE16" s="15">
        <f>Calculation!AF70</f>
        <v>1762910.9132371712</v>
      </c>
    </row>
    <row r="17" spans="1:31">
      <c r="A17" t="s">
        <v>21</v>
      </c>
      <c r="B17" s="15">
        <f>Calculation!C71</f>
        <v>1762910.9132371712</v>
      </c>
      <c r="C17" s="15">
        <f>Calculation!D71</f>
        <v>1762910.9132371712</v>
      </c>
      <c r="D17" s="15">
        <f>Calculation!E71</f>
        <v>1762910.9132371712</v>
      </c>
      <c r="E17" s="15">
        <f>Calculation!F71</f>
        <v>1762910.9132371712</v>
      </c>
      <c r="F17" s="15">
        <f>Calculation!G71</f>
        <v>1762910.9132371712</v>
      </c>
      <c r="G17" s="15">
        <f>Calculation!H71</f>
        <v>1762910.9132371712</v>
      </c>
      <c r="H17" s="15">
        <f>Calculation!I71</f>
        <v>1762910.9132371712</v>
      </c>
      <c r="I17" s="15">
        <f>Calculation!J71</f>
        <v>1762910.9132371712</v>
      </c>
      <c r="J17" s="15">
        <f>Calculation!K71</f>
        <v>1762910.9132371712</v>
      </c>
      <c r="K17" s="15">
        <f>Calculation!L71</f>
        <v>1762910.9132371712</v>
      </c>
      <c r="L17" s="15">
        <f>Calculation!M71</f>
        <v>1762910.9132371712</v>
      </c>
      <c r="M17" s="15">
        <f>Calculation!N71</f>
        <v>1762910.9132371712</v>
      </c>
      <c r="N17" s="15">
        <f>Calculation!O71</f>
        <v>1762910.9132371712</v>
      </c>
      <c r="O17" s="15">
        <f>Calculation!P71</f>
        <v>1762910.9132371712</v>
      </c>
      <c r="P17" s="15">
        <f>Calculation!Q71</f>
        <v>1762910.9132371712</v>
      </c>
      <c r="Q17" s="15">
        <f>Calculation!R71</f>
        <v>1762910.9132371712</v>
      </c>
      <c r="R17" s="15">
        <f>Calculation!S71</f>
        <v>1762910.9132371712</v>
      </c>
      <c r="S17" s="15">
        <f>Calculation!T71</f>
        <v>1762910.9132371712</v>
      </c>
      <c r="T17" s="15">
        <f>Calculation!U71</f>
        <v>1762910.9132371712</v>
      </c>
      <c r="U17" s="15">
        <f>Calculation!V71</f>
        <v>1762910.9132371712</v>
      </c>
      <c r="V17" s="15">
        <f>Calculation!W71</f>
        <v>1762910.9132371712</v>
      </c>
      <c r="W17" s="15">
        <f>Calculation!X71</f>
        <v>1762910.9132371712</v>
      </c>
      <c r="X17" s="15">
        <f>Calculation!Y71</f>
        <v>1762910.9132371712</v>
      </c>
      <c r="Y17" s="15">
        <f>Calculation!Z71</f>
        <v>1762910.9132371712</v>
      </c>
      <c r="Z17" s="15">
        <f>Calculation!AA71</f>
        <v>1762910.9132371712</v>
      </c>
      <c r="AA17" s="15">
        <f>Calculation!AB71</f>
        <v>1762910.9132371712</v>
      </c>
      <c r="AB17" s="15">
        <f>Calculation!AC71</f>
        <v>1762910.9132371712</v>
      </c>
      <c r="AC17" s="15">
        <f>Calculation!AD71</f>
        <v>1762910.9132371712</v>
      </c>
      <c r="AD17" s="15">
        <f>Calculation!AE71</f>
        <v>1762910.9132371712</v>
      </c>
      <c r="AE17" s="15">
        <f>Calculation!AF71</f>
        <v>1762910.9132371712</v>
      </c>
    </row>
    <row r="18" spans="1:31">
      <c r="A18" t="s">
        <v>22</v>
      </c>
      <c r="B18" s="15">
        <f>Calculation!C72</f>
        <v>4463927.3106192546</v>
      </c>
      <c r="C18" s="15">
        <f>Calculation!D72</f>
        <v>4463927.3106192546</v>
      </c>
      <c r="D18" s="15">
        <f>Calculation!E72</f>
        <v>4463927.3106192546</v>
      </c>
      <c r="E18" s="15">
        <f>Calculation!F72</f>
        <v>4463927.3106192546</v>
      </c>
      <c r="F18" s="15">
        <f>Calculation!G72</f>
        <v>4463927.3106192546</v>
      </c>
      <c r="G18" s="15">
        <f>Calculation!H72</f>
        <v>4463927.3106192546</v>
      </c>
      <c r="H18" s="15">
        <f>Calculation!I72</f>
        <v>4463927.3106192546</v>
      </c>
      <c r="I18" s="15">
        <f>Calculation!J72</f>
        <v>4463927.3106192546</v>
      </c>
      <c r="J18" s="15">
        <f>Calculation!K72</f>
        <v>4463927.3106192546</v>
      </c>
      <c r="K18" s="15">
        <f>Calculation!L72</f>
        <v>4463927.3106192546</v>
      </c>
      <c r="L18" s="15">
        <f>Calculation!M72</f>
        <v>4463927.3106192546</v>
      </c>
      <c r="M18" s="15">
        <f>Calculation!N72</f>
        <v>4463927.3106192546</v>
      </c>
      <c r="N18" s="15">
        <f>Calculation!O72</f>
        <v>4463927.3106192546</v>
      </c>
      <c r="O18" s="15">
        <f>Calculation!P72</f>
        <v>4463927.3106192546</v>
      </c>
      <c r="P18" s="15">
        <f>Calculation!Q72</f>
        <v>4463927.3106192546</v>
      </c>
      <c r="Q18" s="15">
        <f>Calculation!R72</f>
        <v>4463927.3106192546</v>
      </c>
      <c r="R18" s="15">
        <f>Calculation!S72</f>
        <v>4463927.3106192546</v>
      </c>
      <c r="S18" s="15">
        <f>Calculation!T72</f>
        <v>4463927.3106192546</v>
      </c>
      <c r="T18" s="15">
        <f>Calculation!U72</f>
        <v>4463927.3106192546</v>
      </c>
      <c r="U18" s="15">
        <f>Calculation!V72</f>
        <v>4463927.3106192546</v>
      </c>
      <c r="V18" s="15">
        <f>Calculation!W72</f>
        <v>4463927.3106192546</v>
      </c>
      <c r="W18" s="15">
        <f>Calculation!X72</f>
        <v>4463927.3106192546</v>
      </c>
      <c r="X18" s="15">
        <f>Calculation!Y72</f>
        <v>4463927.3106192546</v>
      </c>
      <c r="Y18" s="15">
        <f>Calculation!Z72</f>
        <v>4463927.3106192546</v>
      </c>
      <c r="Z18" s="15">
        <f>Calculation!AA72</f>
        <v>4463927.3106192546</v>
      </c>
      <c r="AA18" s="15">
        <f>Calculation!AB72</f>
        <v>4463927.3106192546</v>
      </c>
      <c r="AB18" s="15">
        <f>Calculation!AC72</f>
        <v>4463927.3106192546</v>
      </c>
      <c r="AC18" s="15">
        <f>Calculation!AD72</f>
        <v>4463927.3106192546</v>
      </c>
      <c r="AD18" s="15">
        <f>Calculation!AE72</f>
        <v>4463927.3106192546</v>
      </c>
      <c r="AE18" s="15">
        <f>Calculation!AF72</f>
        <v>4463927.3106192546</v>
      </c>
    </row>
    <row r="19" spans="1:31">
      <c r="A19" t="s">
        <v>77</v>
      </c>
      <c r="B19">
        <f>'CCaMC-BCCpUC US'!B19</f>
        <v>5111375.590766672</v>
      </c>
      <c r="C19">
        <f>'CCaMC-BCCpUC US'!C19</f>
        <v>5365237.1134441039</v>
      </c>
      <c r="D19">
        <f>'CCaMC-BCCpUC US'!D19</f>
        <v>5301847.5648623854</v>
      </c>
      <c r="E19">
        <f>'CCaMC-BCCpUC US'!E19</f>
        <v>5238458.0162806669</v>
      </c>
      <c r="F19">
        <f>'CCaMC-BCCpUC US'!F19</f>
        <v>5175068.4676989475</v>
      </c>
      <c r="G19">
        <f>'CCaMC-BCCpUC US'!G19</f>
        <v>5111678.9191172291</v>
      </c>
      <c r="H19">
        <f>'CCaMC-BCCpUC US'!H19</f>
        <v>5048289.3705355106</v>
      </c>
      <c r="I19">
        <f>'CCaMC-BCCpUC US'!I19</f>
        <v>4984899.8219537931</v>
      </c>
      <c r="J19">
        <f>'CCaMC-BCCpUC US'!J19</f>
        <v>4921510.2733720755</v>
      </c>
      <c r="K19">
        <f>'CCaMC-BCCpUC US'!K19</f>
        <v>4858120.7247903561</v>
      </c>
      <c r="L19">
        <f>'CCaMC-BCCpUC US'!L19</f>
        <v>4794731.1762086377</v>
      </c>
      <c r="M19">
        <f>'CCaMC-BCCpUC US'!M19</f>
        <v>4731341.6276269183</v>
      </c>
      <c r="N19">
        <f>'CCaMC-BCCpUC US'!N19</f>
        <v>4604562.5304634823</v>
      </c>
      <c r="O19">
        <f>'CCaMC-BCCpUC US'!O19</f>
        <v>4541172.9818817638</v>
      </c>
      <c r="P19">
        <f>'CCaMC-BCCpUC US'!P19</f>
        <v>4541172.9818817638</v>
      </c>
      <c r="Q19">
        <f>'CCaMC-BCCpUC US'!Q19</f>
        <v>4492613.0983352177</v>
      </c>
      <c r="R19">
        <f>'CCaMC-BCCpUC US'!R19</f>
        <v>4444053.2147886716</v>
      </c>
      <c r="S19">
        <f>'CCaMC-BCCpUC US'!S19</f>
        <v>4395590.2571573891</v>
      </c>
      <c r="T19">
        <f>'CCaMC-BCCpUC US'!T19</f>
        <v>4347030.373610843</v>
      </c>
      <c r="U19">
        <f>'CCaMC-BCCpUC US'!U19</f>
        <v>4298470.4900642969</v>
      </c>
      <c r="V19">
        <f>'CCaMC-BCCpUC US'!V19</f>
        <v>4250007.5324330144</v>
      </c>
      <c r="W19">
        <f>'CCaMC-BCCpUC US'!W19</f>
        <v>4201447.6488864683</v>
      </c>
      <c r="X19">
        <f>'CCaMC-BCCpUC US'!X19</f>
        <v>4152887.7653399222</v>
      </c>
      <c r="Y19">
        <f>'CCaMC-BCCpUC US'!Y19</f>
        <v>4104424.8077086397</v>
      </c>
      <c r="Z19">
        <f>'CCaMC-BCCpUC US'!Z19</f>
        <v>4055864.9241620935</v>
      </c>
      <c r="AA19">
        <f>'CCaMC-BCCpUC US'!AA19</f>
        <v>4007401.9665308101</v>
      </c>
      <c r="AB19">
        <f>'CCaMC-BCCpUC US'!AB19</f>
        <v>3958842.0829842649</v>
      </c>
      <c r="AC19">
        <f>'CCaMC-BCCpUC US'!AC19</f>
        <v>3910282.1994377184</v>
      </c>
      <c r="AD19">
        <f>'CCaMC-BCCpUC US'!AD19</f>
        <v>3861819.2418064354</v>
      </c>
      <c r="AE19">
        <f>'CCaMC-BCCpUC US'!AE19</f>
        <v>3813259.3582598893</v>
      </c>
    </row>
    <row r="20" spans="1:31">
      <c r="A20" t="s">
        <v>78</v>
      </c>
      <c r="B20">
        <f>'CCaMC-BCCpUC US'!B20</f>
        <v>2175532.1398605858</v>
      </c>
      <c r="C20">
        <f>'CCaMC-BCCpUC US'!C20</f>
        <v>2325464.6313803531</v>
      </c>
      <c r="D20">
        <f>'CCaMC-BCCpUC US'!D20</f>
        <v>2285249.8294843016</v>
      </c>
      <c r="E20">
        <f>'CCaMC-BCCpUC US'!E20</f>
        <v>2245035.027588251</v>
      </c>
      <c r="F20">
        <f>'CCaMC-BCCpUC US'!F20</f>
        <v>2204820.2256921995</v>
      </c>
      <c r="G20">
        <f>'CCaMC-BCCpUC US'!G20</f>
        <v>2164605.4237961485</v>
      </c>
      <c r="H20">
        <f>'CCaMC-BCCpUC US'!H20</f>
        <v>2124390.621900097</v>
      </c>
      <c r="I20">
        <f>'CCaMC-BCCpUC US'!I20</f>
        <v>2085050.0548278729</v>
      </c>
      <c r="J20">
        <f>'CCaMC-BCCpUC US'!J20</f>
        <v>2044835.2529318216</v>
      </c>
      <c r="K20">
        <f>'CCaMC-BCCpUC US'!K20</f>
        <v>2004620.4510357708</v>
      </c>
      <c r="L20">
        <f>'CCaMC-BCCpUC US'!L20</f>
        <v>1964405.6491397195</v>
      </c>
      <c r="M20">
        <f>'CCaMC-BCCpUC US'!M20</f>
        <v>1924190.8472436683</v>
      </c>
      <c r="N20">
        <f>'CCaMC-BCCpUC US'!N20</f>
        <v>1883976.045347617</v>
      </c>
      <c r="O20">
        <f>'CCaMC-BCCpUC US'!O20</f>
        <v>1843761.2434515657</v>
      </c>
      <c r="P20">
        <f>'CCaMC-BCCpUC US'!P20</f>
        <v>1803546.4415555145</v>
      </c>
      <c r="Q20">
        <f>'CCaMC-BCCpUC US'!Q20</f>
        <v>1783439.0406074887</v>
      </c>
      <c r="R20">
        <f>'CCaMC-BCCpUC US'!R20</f>
        <v>1764205.8744832904</v>
      </c>
      <c r="S20">
        <f>'CCaMC-BCCpUC US'!S20</f>
        <v>1744098.4735352646</v>
      </c>
      <c r="T20">
        <f>'CCaMC-BCCpUC US'!T20</f>
        <v>1724865.3074110667</v>
      </c>
      <c r="U20">
        <f>'CCaMC-BCCpUC US'!U20</f>
        <v>1704757.906463041</v>
      </c>
      <c r="V20">
        <f>'CCaMC-BCCpUC US'!V20</f>
        <v>1685524.7403388426</v>
      </c>
      <c r="W20">
        <f>'CCaMC-BCCpUC US'!W20</f>
        <v>1666291.5742146443</v>
      </c>
      <c r="X20">
        <f>'CCaMC-BCCpUC US'!X20</f>
        <v>1646184.1732666185</v>
      </c>
      <c r="Y20">
        <f>'CCaMC-BCCpUC US'!Y20</f>
        <v>1626951.0071424202</v>
      </c>
      <c r="Z20">
        <f>'CCaMC-BCCpUC US'!Z20</f>
        <v>1606843.6061943944</v>
      </c>
      <c r="AA20">
        <f>'CCaMC-BCCpUC US'!AA20</f>
        <v>1587610.4400701961</v>
      </c>
      <c r="AB20">
        <f>'CCaMC-BCCpUC US'!AB20</f>
        <v>1567503.0391221705</v>
      </c>
      <c r="AC20">
        <f>'CCaMC-BCCpUC US'!AC20</f>
        <v>1548269.872997972</v>
      </c>
      <c r="AD20">
        <f>'CCaMC-BCCpUC US'!AD20</f>
        <v>1528162.4720499464</v>
      </c>
      <c r="AE20">
        <f>'CCaMC-BCCpUC US'!AE20</f>
        <v>1508929.3059257478</v>
      </c>
    </row>
    <row r="21" spans="1:31">
      <c r="A21" t="s">
        <v>79</v>
      </c>
      <c r="B21">
        <f>'CCaMC-BCCpUC US'!B21</f>
        <v>5857355.0922698751</v>
      </c>
      <c r="C21">
        <f>'CCaMC-BCCpUC US'!C21</f>
        <v>5839455.5710459696</v>
      </c>
      <c r="D21">
        <f>'CCaMC-BCCpUC US'!D21</f>
        <v>5821556.0498220641</v>
      </c>
      <c r="E21">
        <f>'CCaMC-BCCpUC US'!E21</f>
        <v>5803656.5285981586</v>
      </c>
      <c r="F21">
        <f>'CCaMC-BCCpUC US'!F21</f>
        <v>5785757.0073742522</v>
      </c>
      <c r="G21">
        <f>'CCaMC-BCCpUC US'!G21</f>
        <v>5767857.4861503467</v>
      </c>
      <c r="H21">
        <f>'CCaMC-BCCpUC US'!H21</f>
        <v>5749957.9649264412</v>
      </c>
      <c r="I21">
        <f>'CCaMC-BCCpUC US'!I21</f>
        <v>5732058.4437025348</v>
      </c>
      <c r="J21">
        <f>'CCaMC-BCCpUC US'!J21</f>
        <v>5714158.9224786293</v>
      </c>
      <c r="K21">
        <f>'CCaMC-BCCpUC US'!K21</f>
        <v>5696259.4012547238</v>
      </c>
      <c r="L21">
        <f>'CCaMC-BCCpUC US'!L21</f>
        <v>5679939.2495505745</v>
      </c>
      <c r="M21">
        <f>'CCaMC-BCCpUC US'!M21</f>
        <v>5663619.0978464251</v>
      </c>
      <c r="N21">
        <f>'CCaMC-BCCpUC US'!N21</f>
        <v>5647298.9461422749</v>
      </c>
      <c r="O21">
        <f>'CCaMC-BCCpUC US'!O21</f>
        <v>5630978.7944381256</v>
      </c>
      <c r="P21">
        <f>'CCaMC-BCCpUC US'!P21</f>
        <v>5614658.6427339762</v>
      </c>
      <c r="Q21">
        <f>'CCaMC-BCCpUC US'!Q21</f>
        <v>5598338.4910298269</v>
      </c>
      <c r="R21">
        <f>'CCaMC-BCCpUC US'!R21</f>
        <v>5582018.3393256776</v>
      </c>
      <c r="S21">
        <f>'CCaMC-BCCpUC US'!S21</f>
        <v>5565698.1876215283</v>
      </c>
      <c r="T21">
        <f>'CCaMC-BCCpUC US'!T21</f>
        <v>5549378.035917379</v>
      </c>
      <c r="U21">
        <f>'CCaMC-BCCpUC US'!U21</f>
        <v>5533057.8842132296</v>
      </c>
      <c r="V21">
        <f>'CCaMC-BCCpUC US'!V21</f>
        <v>5516737.7325090803</v>
      </c>
      <c r="W21">
        <f>'CCaMC-BCCpUC US'!W21</f>
        <v>5500417.580804931</v>
      </c>
      <c r="X21">
        <f>'CCaMC-BCCpUC US'!X21</f>
        <v>5484097.4291007817</v>
      </c>
      <c r="Y21">
        <f>'CCaMC-BCCpUC US'!Y21</f>
        <v>5467777.2773966324</v>
      </c>
      <c r="Z21">
        <f>'CCaMC-BCCpUC US'!Z21</f>
        <v>5451457.125692483</v>
      </c>
      <c r="AA21">
        <f>'CCaMC-BCCpUC US'!AA21</f>
        <v>5435136.9739883328</v>
      </c>
      <c r="AB21">
        <f>'CCaMC-BCCpUC US'!AB21</f>
        <v>5418816.8222841835</v>
      </c>
      <c r="AC21">
        <f>'CCaMC-BCCpUC US'!AC21</f>
        <v>5402496.6705800341</v>
      </c>
      <c r="AD21">
        <f>'CCaMC-BCCpUC US'!AD21</f>
        <v>5386176.5188758848</v>
      </c>
      <c r="AE21">
        <f>'CCaMC-BCCpUC US'!AE21</f>
        <v>5369856.3671717355</v>
      </c>
    </row>
    <row r="22" spans="1:31">
      <c r="A22" t="s">
        <v>80</v>
      </c>
      <c r="B22">
        <f>'CCaMC-BCCpUC US'!B22</f>
        <v>5923789.2829016084</v>
      </c>
      <c r="C22">
        <f>'CCaMC-BCCpUC US'!C22</f>
        <v>6218000.1348871673</v>
      </c>
      <c r="D22">
        <f>'CCaMC-BCCpUC US'!D22</f>
        <v>6144535.3069033511</v>
      </c>
      <c r="E22">
        <f>'CCaMC-BCCpUC US'!E22</f>
        <v>6071070.478919534</v>
      </c>
      <c r="F22">
        <f>'CCaMC-BCCpUC US'!F22</f>
        <v>5997605.650935716</v>
      </c>
      <c r="G22">
        <f>'CCaMC-BCCpUC US'!G22</f>
        <v>5924140.8229518989</v>
      </c>
      <c r="H22">
        <f>'CCaMC-BCCpUC US'!H22</f>
        <v>5850675.9949680818</v>
      </c>
      <c r="I22">
        <f>'CCaMC-BCCpUC US'!I22</f>
        <v>5777211.1669842657</v>
      </c>
      <c r="J22">
        <f>'CCaMC-BCCpUC US'!J22</f>
        <v>5703746.3390004495</v>
      </c>
      <c r="K22">
        <f>'CCaMC-BCCpUC US'!K22</f>
        <v>5630281.5110166315</v>
      </c>
      <c r="L22">
        <f>'CCaMC-BCCpUC US'!L22</f>
        <v>5556816.6830328144</v>
      </c>
      <c r="M22">
        <f>'CCaMC-BCCpUC US'!M22</f>
        <v>5483351.8550489964</v>
      </c>
      <c r="N22">
        <f>'CCaMC-BCCpUC US'!N22</f>
        <v>5336422.1990813632</v>
      </c>
      <c r="O22">
        <f>'CCaMC-BCCpUC US'!O22</f>
        <v>5262957.3710975461</v>
      </c>
      <c r="P22">
        <f>'CCaMC-BCCpUC US'!P22</f>
        <v>5262957.3710975461</v>
      </c>
      <c r="Q22">
        <f>'CCaMC-BCCpUC US'!Q22</f>
        <v>5206679.2689264566</v>
      </c>
      <c r="R22">
        <f>'CCaMC-BCCpUC US'!R22</f>
        <v>5150401.1667553671</v>
      </c>
      <c r="S22">
        <f>'CCaMC-BCCpUC US'!S22</f>
        <v>5094235.3961255383</v>
      </c>
      <c r="T22">
        <f>'CCaMC-BCCpUC US'!T22</f>
        <v>5037957.2939544488</v>
      </c>
      <c r="U22">
        <f>'CCaMC-BCCpUC US'!U22</f>
        <v>4981679.1917833593</v>
      </c>
      <c r="V22">
        <f>'CCaMC-BCCpUC US'!V22</f>
        <v>4925513.4211535305</v>
      </c>
      <c r="W22">
        <f>'CCaMC-BCCpUC US'!W22</f>
        <v>4869235.318982441</v>
      </c>
      <c r="X22">
        <f>'CCaMC-BCCpUC US'!X22</f>
        <v>4812957.2168113515</v>
      </c>
      <c r="Y22">
        <f>'CCaMC-BCCpUC US'!Y22</f>
        <v>4756791.4461815227</v>
      </c>
      <c r="Z22">
        <f>'CCaMC-BCCpUC US'!Z22</f>
        <v>4700513.3440104332</v>
      </c>
      <c r="AA22">
        <f>'CCaMC-BCCpUC US'!AA22</f>
        <v>4644347.5733806035</v>
      </c>
      <c r="AB22">
        <f>'CCaMC-BCCpUC US'!AB22</f>
        <v>4588069.4712095149</v>
      </c>
      <c r="AC22">
        <f>'CCaMC-BCCpUC US'!AC22</f>
        <v>4531791.3690384254</v>
      </c>
      <c r="AD22">
        <f>'CCaMC-BCCpUC US'!AD22</f>
        <v>4475625.5984085957</v>
      </c>
      <c r="AE22">
        <f>'CCaMC-BCCpUC US'!AE22</f>
        <v>4419347.4962375062</v>
      </c>
    </row>
    <row r="23" spans="1:31">
      <c r="A23" t="s">
        <v>81</v>
      </c>
      <c r="B23">
        <f>'CCaMC-BCCpUC US'!B23</f>
        <v>8587076.6537132654</v>
      </c>
      <c r="C23">
        <f>'CCaMC-BCCpUC US'!C23</f>
        <v>8300944.0578278247</v>
      </c>
      <c r="D23">
        <f>'CCaMC-BCCpUC US'!D23</f>
        <v>8014811.4619423822</v>
      </c>
      <c r="E23">
        <f>'CCaMC-BCCpUC US'!E23</f>
        <v>7728678.8660569396</v>
      </c>
      <c r="F23">
        <f>'CCaMC-BCCpUC US'!F23</f>
        <v>7501037.2429677434</v>
      </c>
      <c r="G23">
        <f>'CCaMC-BCCpUC US'!G23</f>
        <v>7362296.246121048</v>
      </c>
      <c r="H23">
        <f>'CCaMC-BCCpUC US'!H23</f>
        <v>7288664.7974982709</v>
      </c>
      <c r="I23">
        <f>'CCaMC-BCCpUC US'!I23</f>
        <v>7240937.0173691111</v>
      </c>
      <c r="J23">
        <f>'CCaMC-BCCpUC US'!J23</f>
        <v>7196742.677430464</v>
      </c>
      <c r="K23">
        <f>'CCaMC-BCCpUC US'!K23</f>
        <v>7570628.4035703922</v>
      </c>
      <c r="L23">
        <f>'CCaMC-BCCpUC US'!L23</f>
        <v>7290234.7589937113</v>
      </c>
      <c r="M23">
        <f>'CCaMC-BCCpUC US'!M23</f>
        <v>7009841.1144170305</v>
      </c>
      <c r="N23">
        <f>'CCaMC-BCCpUC US'!N23</f>
        <v>6729447.4698403496</v>
      </c>
      <c r="O23">
        <f>'CCaMC-BCCpUC US'!O23</f>
        <v>6449053.8252636669</v>
      </c>
      <c r="P23">
        <f>'CCaMC-BCCpUC US'!P23</f>
        <v>6168660.180686987</v>
      </c>
      <c r="Q23">
        <f>'CCaMC-BCCpUC US'!Q23</f>
        <v>5934998.8102064189</v>
      </c>
      <c r="R23">
        <f>'CCaMC-BCCpUC US'!R23</f>
        <v>5701337.4397258516</v>
      </c>
      <c r="S23">
        <f>'CCaMC-BCCpUC US'!S23</f>
        <v>5467676.0692452835</v>
      </c>
      <c r="T23">
        <f>'CCaMC-BCCpUC US'!T23</f>
        <v>5234014.6987647163</v>
      </c>
      <c r="U23">
        <f>'CCaMC-BCCpUC US'!U23</f>
        <v>5000353.3282841481</v>
      </c>
      <c r="V23">
        <f>'CCaMC-BCCpUC US'!V23</f>
        <v>4860156.5059958072</v>
      </c>
      <c r="W23">
        <f>'CCaMC-BCCpUC US'!W23</f>
        <v>4719959.6837074673</v>
      </c>
      <c r="X23">
        <f>'CCaMC-BCCpUC US'!X23</f>
        <v>4579762.8614191264</v>
      </c>
      <c r="Y23">
        <f>'CCaMC-BCCpUC US'!Y23</f>
        <v>4439566.0391307855</v>
      </c>
      <c r="Z23">
        <f>'CCaMC-BCCpUC US'!Z23</f>
        <v>4299369.2168424446</v>
      </c>
      <c r="AA23">
        <f>'CCaMC-BCCpUC US'!AA23</f>
        <v>4205904.6686502192</v>
      </c>
      <c r="AB23">
        <f>'CCaMC-BCCpUC US'!AB23</f>
        <v>4112440.120457991</v>
      </c>
      <c r="AC23">
        <f>'CCaMC-BCCpUC US'!AC23</f>
        <v>4018975.5722657642</v>
      </c>
      <c r="AD23">
        <f>'CCaMC-BCCpUC US'!AD23</f>
        <v>3925511.024073537</v>
      </c>
      <c r="AE23">
        <f>'CCaMC-BCCpUC US'!AE23</f>
        <v>3832046.4758813097</v>
      </c>
    </row>
    <row r="24" spans="1:31">
      <c r="A24" s="24" t="s">
        <v>82</v>
      </c>
      <c r="B24">
        <f>'CCaMC-BCCpUC US'!B24</f>
        <v>949292.12839980132</v>
      </c>
      <c r="C24">
        <f>'CCaMC-BCCpUC US'!C24</f>
        <v>1058173.8307604436</v>
      </c>
      <c r="D24">
        <f>'CCaMC-BCCpUC US'!D24</f>
        <v>1050480.564310764</v>
      </c>
      <c r="E24">
        <f>'CCaMC-BCCpUC US'!E24</f>
        <v>1042787.2978610847</v>
      </c>
      <c r="F24">
        <f>'CCaMC-BCCpUC US'!F24</f>
        <v>1035094.0314114052</v>
      </c>
      <c r="G24">
        <f>'CCaMC-BCCpUC US'!G24</f>
        <v>1027400.764961726</v>
      </c>
      <c r="H24">
        <f>'CCaMC-BCCpUC US'!H24</f>
        <v>1019707.4985120468</v>
      </c>
      <c r="I24">
        <f>'CCaMC-BCCpUC US'!I24</f>
        <v>1012014.2320623671</v>
      </c>
      <c r="J24">
        <f>'CCaMC-BCCpUC US'!J24</f>
        <v>1004408.3890950708</v>
      </c>
      <c r="K24">
        <f>'CCaMC-BCCpUC US'!K24</f>
        <v>996715.12264539115</v>
      </c>
      <c r="L24">
        <f>'CCaMC-BCCpUC US'!L24</f>
        <v>989021.85619571176</v>
      </c>
      <c r="M24">
        <f>'CCaMC-BCCpUC US'!M24</f>
        <v>981328.58974603249</v>
      </c>
      <c r="N24">
        <f>'CCaMC-BCCpUC US'!N24</f>
        <v>973635.3232963531</v>
      </c>
      <c r="O24">
        <f>'CCaMC-BCCpUC US'!O24</f>
        <v>965942.05684667395</v>
      </c>
      <c r="P24">
        <f>'CCaMC-BCCpUC US'!P24</f>
        <v>958248.79039699433</v>
      </c>
      <c r="Q24">
        <f>'CCaMC-BCCpUC US'!Q24</f>
        <v>950555.52394731494</v>
      </c>
      <c r="R24">
        <f>'CCaMC-BCCpUC US'!R24</f>
        <v>942949.68098001846</v>
      </c>
      <c r="S24">
        <f>'CCaMC-BCCpUC US'!S24</f>
        <v>935256.41453033907</v>
      </c>
      <c r="T24">
        <f>'CCaMC-BCCpUC US'!T24</f>
        <v>927563.1480806598</v>
      </c>
      <c r="U24">
        <f>'CCaMC-BCCpUC US'!U24</f>
        <v>919869.88163098029</v>
      </c>
      <c r="V24">
        <f>'CCaMC-BCCpUC US'!V24</f>
        <v>912176.61518130091</v>
      </c>
      <c r="W24">
        <f>'CCaMC-BCCpUC US'!W24</f>
        <v>904483.34873162152</v>
      </c>
      <c r="X24">
        <f>'CCaMC-BCCpUC US'!X24</f>
        <v>896790.08228194225</v>
      </c>
      <c r="Y24">
        <f>'CCaMC-BCCpUC US'!Y24</f>
        <v>889096.81583226286</v>
      </c>
      <c r="Z24">
        <f>'CCaMC-BCCpUC US'!Z24</f>
        <v>881490.97286496626</v>
      </c>
      <c r="AA24">
        <f>'CCaMC-BCCpUC US'!AA24</f>
        <v>873797.70641528687</v>
      </c>
      <c r="AB24">
        <f>'CCaMC-BCCpUC US'!AB24</f>
        <v>866104.43996560748</v>
      </c>
      <c r="AC24">
        <f>'CCaMC-BCCpUC US'!AC24</f>
        <v>858411.17351592821</v>
      </c>
      <c r="AD24">
        <f>'CCaMC-BCCpUC US'!AD24</f>
        <v>850717.90706624882</v>
      </c>
      <c r="AE24">
        <f>'CCaMC-BCCpUC US'!AE24</f>
        <v>843024.64061656944</v>
      </c>
    </row>
    <row r="25" spans="1:31">
      <c r="A25" s="24" t="s">
        <v>83</v>
      </c>
      <c r="B25">
        <f>'CCaMC-BCCpUC US'!B25</f>
        <v>1087150.6301901576</v>
      </c>
      <c r="C25">
        <f>'CCaMC-BCCpUC US'!C25</f>
        <v>1205045.2811634131</v>
      </c>
      <c r="D25">
        <f>'CCaMC-BCCpUC US'!D25</f>
        <v>1194379.6163127213</v>
      </c>
      <c r="E25">
        <f>'CCaMC-BCCpUC US'!E25</f>
        <v>1183801.3749444121</v>
      </c>
      <c r="F25">
        <f>'CCaMC-BCCpUC US'!F25</f>
        <v>1173135.7100937204</v>
      </c>
      <c r="G25">
        <f>'CCaMC-BCCpUC US'!G25</f>
        <v>1162557.4687254112</v>
      </c>
      <c r="H25">
        <f>'CCaMC-BCCpUC US'!H25</f>
        <v>1151891.8038747192</v>
      </c>
      <c r="I25">
        <f>'CCaMC-BCCpUC US'!I25</f>
        <v>1141313.5625064103</v>
      </c>
      <c r="J25">
        <f>'CCaMC-BCCpUC US'!J25</f>
        <v>1130647.8976557183</v>
      </c>
      <c r="K25">
        <f>'CCaMC-BCCpUC US'!K25</f>
        <v>1120069.6562874094</v>
      </c>
      <c r="L25">
        <f>'CCaMC-BCCpUC US'!L25</f>
        <v>1109403.9914367173</v>
      </c>
      <c r="M25">
        <f>'CCaMC-BCCpUC US'!M25</f>
        <v>1098825.7500684082</v>
      </c>
      <c r="N25">
        <f>'CCaMC-BCCpUC US'!N25</f>
        <v>1088160.0852177164</v>
      </c>
      <c r="O25">
        <f>'CCaMC-BCCpUC US'!O25</f>
        <v>1077581.8438494073</v>
      </c>
      <c r="P25">
        <f>'CCaMC-BCCpUC US'!P25</f>
        <v>1066916.1789987157</v>
      </c>
      <c r="Q25">
        <f>'CCaMC-BCCpUC US'!Q25</f>
        <v>1058873.2186195052</v>
      </c>
      <c r="R25">
        <f>'CCaMC-BCCpUC US'!R25</f>
        <v>1050830.2582402949</v>
      </c>
      <c r="S25">
        <f>'CCaMC-BCCpUC US'!S25</f>
        <v>1042787.2978610847</v>
      </c>
      <c r="T25">
        <f>'CCaMC-BCCpUC US'!T25</f>
        <v>1034744.3374818745</v>
      </c>
      <c r="U25">
        <f>'CCaMC-BCCpUC US'!U25</f>
        <v>1026701.3771026643</v>
      </c>
      <c r="V25">
        <f>'CCaMC-BCCpUC US'!V25</f>
        <v>1018658.4167234539</v>
      </c>
      <c r="W25">
        <f>'CCaMC-BCCpUC US'!W25</f>
        <v>1010528.0328618611</v>
      </c>
      <c r="X25">
        <f>'CCaMC-BCCpUC US'!X25</f>
        <v>1002485.0724826509</v>
      </c>
      <c r="Y25">
        <f>'CCaMC-BCCpUC US'!Y25</f>
        <v>994442.11210344045</v>
      </c>
      <c r="Z25">
        <f>'CCaMC-BCCpUC US'!Z25</f>
        <v>986399.15172423038</v>
      </c>
      <c r="AA25">
        <f>'CCaMC-BCCpUC US'!AA25</f>
        <v>978356.19134501996</v>
      </c>
      <c r="AB25">
        <f>'CCaMC-BCCpUC US'!AB25</f>
        <v>970313.23096580978</v>
      </c>
      <c r="AC25">
        <f>'CCaMC-BCCpUC US'!AC25</f>
        <v>962270.27058659948</v>
      </c>
      <c r="AD25">
        <f>'CCaMC-BCCpUC US'!AD25</f>
        <v>954139.88672500674</v>
      </c>
      <c r="AE25">
        <f>'CCaMC-BCCpUC US'!AE25</f>
        <v>946096.92634579632</v>
      </c>
    </row>
    <row r="26" spans="1:31">
      <c r="F26" s="13"/>
    </row>
    <row r="27" spans="1:31">
      <c r="F27" s="13"/>
    </row>
    <row r="28" spans="1:31">
      <c r="F28" s="13"/>
    </row>
    <row r="29" spans="1:31">
      <c r="F29" s="13"/>
    </row>
    <row r="30" spans="1:31">
      <c r="F30" s="13"/>
    </row>
    <row r="31" spans="1:31">
      <c r="F31" s="13"/>
    </row>
    <row r="32" spans="1:31">
      <c r="F32" s="13"/>
    </row>
    <row r="33" spans="6:6">
      <c r="F33" s="13"/>
    </row>
    <row r="34" spans="6:6">
      <c r="F34" s="13"/>
    </row>
    <row r="35" spans="6:6">
      <c r="F35" s="13"/>
    </row>
    <row r="36" spans="6:6">
      <c r="F36" s="13"/>
    </row>
  </sheetData>
  <phoneticPr fontId="3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04D5-FCEC-43DA-93BC-87BC23795B0E}">
  <sheetPr>
    <tabColor theme="3"/>
  </sheetPr>
  <dimension ref="A1:AF36"/>
  <sheetViews>
    <sheetView workbookViewId="0">
      <selection activeCell="B9" sqref="B9"/>
    </sheetView>
  </sheetViews>
  <sheetFormatPr defaultColWidth="9.08984375" defaultRowHeight="14.5"/>
  <cols>
    <col min="1" max="1" width="31.08984375" bestFit="1" customWidth="1"/>
    <col min="2" max="3" width="31.08984375" customWidth="1"/>
    <col min="4" max="4" width="28.08984375" customWidth="1"/>
    <col min="5" max="31" width="10.81640625" bestFit="1" customWidth="1"/>
  </cols>
  <sheetData>
    <row r="1" spans="1:32">
      <c r="A1" s="12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2">
      <c r="A2" t="s">
        <v>16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>
        <v>0</v>
      </c>
      <c r="I2" s="15">
        <v>0</v>
      </c>
      <c r="J2" s="15">
        <v>0</v>
      </c>
      <c r="K2" s="15">
        <v>0</v>
      </c>
      <c r="L2" s="15">
        <v>0</v>
      </c>
      <c r="M2" s="15">
        <v>0</v>
      </c>
      <c r="N2" s="15">
        <v>0</v>
      </c>
      <c r="O2" s="15">
        <v>0</v>
      </c>
      <c r="P2" s="15">
        <v>0</v>
      </c>
      <c r="Q2" s="15">
        <v>0</v>
      </c>
      <c r="R2" s="15">
        <v>0</v>
      </c>
      <c r="S2" s="15">
        <v>0</v>
      </c>
      <c r="T2" s="15">
        <v>0</v>
      </c>
      <c r="U2" s="15">
        <v>0</v>
      </c>
      <c r="V2" s="15">
        <v>0</v>
      </c>
      <c r="W2" s="15">
        <v>0</v>
      </c>
      <c r="X2" s="15">
        <v>0</v>
      </c>
      <c r="Y2" s="15">
        <v>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4"/>
    </row>
    <row r="3" spans="1:32">
      <c r="A3" t="s">
        <v>75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4"/>
    </row>
    <row r="4" spans="1:32">
      <c r="A4" t="s">
        <v>76</v>
      </c>
      <c r="B4" s="15">
        <v>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4"/>
    </row>
    <row r="5" spans="1:32">
      <c r="A5" t="s">
        <v>5</v>
      </c>
      <c r="B5" s="15">
        <v>0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</row>
    <row r="6" spans="1:32">
      <c r="A6" t="s">
        <v>6</v>
      </c>
      <c r="B6" s="15">
        <v>0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</row>
    <row r="7" spans="1:32">
      <c r="A7" t="s">
        <v>18</v>
      </c>
      <c r="B7" s="15">
        <f>Calculation!$B$111</f>
        <v>39059.363967918485</v>
      </c>
      <c r="C7" s="15">
        <f>Calculation!$B$111</f>
        <v>39059.363967918485</v>
      </c>
      <c r="D7" s="15">
        <f>Calculation!$B$111</f>
        <v>39059.363967918485</v>
      </c>
      <c r="E7" s="15">
        <f>Calculation!$B$111</f>
        <v>39059.363967918485</v>
      </c>
      <c r="F7" s="15">
        <f>Calculation!$B$111</f>
        <v>39059.363967918485</v>
      </c>
      <c r="G7" s="15">
        <f>Calculation!$B$111</f>
        <v>39059.363967918485</v>
      </c>
      <c r="H7" s="15">
        <f>Calculation!$B$111</f>
        <v>39059.363967918485</v>
      </c>
      <c r="I7" s="15">
        <f>Calculation!$B$111</f>
        <v>39059.363967918485</v>
      </c>
      <c r="J7" s="15">
        <f>Calculation!$B$111</f>
        <v>39059.363967918485</v>
      </c>
      <c r="K7" s="15">
        <f>Calculation!$B$111</f>
        <v>39059.363967918485</v>
      </c>
      <c r="L7" s="15">
        <f>Calculation!$B$111</f>
        <v>39059.363967918485</v>
      </c>
      <c r="M7" s="15">
        <f>Calculation!$B$111</f>
        <v>39059.363967918485</v>
      </c>
      <c r="N7" s="15">
        <f>Calculation!$B$111</f>
        <v>39059.363967918485</v>
      </c>
      <c r="O7" s="15">
        <f>Calculation!$B$111</f>
        <v>39059.363967918485</v>
      </c>
      <c r="P7" s="15">
        <f>Calculation!$B$111</f>
        <v>39059.363967918485</v>
      </c>
      <c r="Q7" s="15">
        <f>Calculation!$B$111</f>
        <v>39059.363967918485</v>
      </c>
      <c r="R7" s="15">
        <f>Calculation!$B$111</f>
        <v>39059.363967918485</v>
      </c>
      <c r="S7" s="15">
        <f>Calculation!$B$111</f>
        <v>39059.363967918485</v>
      </c>
      <c r="T7" s="15">
        <f>Calculation!$B$111</f>
        <v>39059.363967918485</v>
      </c>
      <c r="U7" s="15">
        <f>Calculation!$B$111</f>
        <v>39059.363967918485</v>
      </c>
      <c r="V7" s="15">
        <f>Calculation!$B$111</f>
        <v>39059.363967918485</v>
      </c>
      <c r="W7" s="15">
        <f>Calculation!$B$111</f>
        <v>39059.363967918485</v>
      </c>
      <c r="X7" s="15">
        <f>Calculation!$B$111</f>
        <v>39059.363967918485</v>
      </c>
      <c r="Y7" s="15">
        <f>Calculation!$B$111</f>
        <v>39059.363967918485</v>
      </c>
      <c r="Z7" s="15">
        <f>Calculation!$B$111</f>
        <v>39059.363967918485</v>
      </c>
      <c r="AA7" s="15">
        <f>Calculation!$B$111</f>
        <v>39059.363967918485</v>
      </c>
      <c r="AB7" s="15">
        <f>Calculation!$B$111</f>
        <v>39059.363967918485</v>
      </c>
      <c r="AC7" s="15">
        <f>Calculation!$B$111</f>
        <v>39059.363967918485</v>
      </c>
      <c r="AD7" s="15">
        <f>Calculation!$B$111</f>
        <v>39059.363967918485</v>
      </c>
      <c r="AE7" s="15">
        <f>Calculation!$B$111</f>
        <v>39059.363967918485</v>
      </c>
    </row>
    <row r="8" spans="1:32">
      <c r="A8" t="s">
        <v>7</v>
      </c>
      <c r="B8" s="15">
        <f>Calculation!$B$112</f>
        <v>21389.651696717265</v>
      </c>
      <c r="C8" s="15">
        <f>Calculation!$B$112</f>
        <v>21389.651696717265</v>
      </c>
      <c r="D8" s="15">
        <f>Calculation!$B$112</f>
        <v>21389.651696717265</v>
      </c>
      <c r="E8" s="15">
        <f>Calculation!$B$112</f>
        <v>21389.651696717265</v>
      </c>
      <c r="F8" s="15">
        <f>Calculation!$B$112</f>
        <v>21389.651696717265</v>
      </c>
      <c r="G8" s="15">
        <f>Calculation!$B$112</f>
        <v>21389.651696717265</v>
      </c>
      <c r="H8" s="15">
        <f>Calculation!$B$112</f>
        <v>21389.651696717265</v>
      </c>
      <c r="I8" s="15">
        <f>Calculation!$B$112</f>
        <v>21389.651696717265</v>
      </c>
      <c r="J8" s="15">
        <f>Calculation!$B$112</f>
        <v>21389.651696717265</v>
      </c>
      <c r="K8" s="15">
        <f>Calculation!$B$112</f>
        <v>21389.651696717265</v>
      </c>
      <c r="L8" s="15">
        <f>Calculation!$B$112</f>
        <v>21389.651696717265</v>
      </c>
      <c r="M8" s="15">
        <f>Calculation!$B$112</f>
        <v>21389.651696717265</v>
      </c>
      <c r="N8" s="15">
        <f>Calculation!$B$112</f>
        <v>21389.651696717265</v>
      </c>
      <c r="O8" s="15">
        <f>Calculation!$B$112</f>
        <v>21389.651696717265</v>
      </c>
      <c r="P8" s="15">
        <f>Calculation!$B$112</f>
        <v>21389.651696717265</v>
      </c>
      <c r="Q8" s="15">
        <f>Calculation!$B$112</f>
        <v>21389.651696717265</v>
      </c>
      <c r="R8" s="15">
        <f>Calculation!$B$112</f>
        <v>21389.651696717265</v>
      </c>
      <c r="S8" s="15">
        <f>Calculation!$B$112</f>
        <v>21389.651696717265</v>
      </c>
      <c r="T8" s="15">
        <f>Calculation!$B$112</f>
        <v>21389.651696717265</v>
      </c>
      <c r="U8" s="15">
        <f>Calculation!$B$112</f>
        <v>21389.651696717265</v>
      </c>
      <c r="V8" s="15">
        <f>Calculation!$B$112</f>
        <v>21389.651696717265</v>
      </c>
      <c r="W8" s="15">
        <f>Calculation!$B$112</f>
        <v>21389.651696717265</v>
      </c>
      <c r="X8" s="15">
        <f>Calculation!$B$112</f>
        <v>21389.651696717265</v>
      </c>
      <c r="Y8" s="15">
        <f>Calculation!$B$112</f>
        <v>21389.651696717265</v>
      </c>
      <c r="Z8" s="15">
        <f>Calculation!$B$112</f>
        <v>21389.651696717265</v>
      </c>
      <c r="AA8" s="15">
        <f>Calculation!$B$112</f>
        <v>21389.651696717265</v>
      </c>
      <c r="AB8" s="15">
        <f>Calculation!$B$112</f>
        <v>21389.651696717265</v>
      </c>
      <c r="AC8" s="15">
        <f>Calculation!$B$112</f>
        <v>21389.651696717265</v>
      </c>
      <c r="AD8" s="15">
        <f>Calculation!$B$112</f>
        <v>21389.651696717265</v>
      </c>
      <c r="AE8" s="15">
        <f>Calculation!$B$112</f>
        <v>21389.651696717265</v>
      </c>
    </row>
    <row r="9" spans="1:32">
      <c r="A9" t="s">
        <v>8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</row>
    <row r="10" spans="1:32">
      <c r="A10" t="s">
        <v>9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</row>
    <row r="11" spans="1:32">
      <c r="A11" t="s">
        <v>12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</row>
    <row r="12" spans="1:32">
      <c r="A12" t="s">
        <v>13</v>
      </c>
      <c r="B12" s="15">
        <v>0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</row>
    <row r="13" spans="1:32">
      <c r="A13" t="s">
        <v>14</v>
      </c>
      <c r="B13" s="15">
        <v>0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</row>
    <row r="14" spans="1:32">
      <c r="A14" t="s">
        <v>19</v>
      </c>
      <c r="B14" s="15">
        <v>0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</row>
    <row r="15" spans="1:32">
      <c r="A15" t="s">
        <v>17</v>
      </c>
      <c r="B15" s="15">
        <f>Calculation!$B$113</f>
        <v>301315.09346679976</v>
      </c>
      <c r="C15" s="15">
        <f>Calculation!$B$113</f>
        <v>301315.09346679976</v>
      </c>
      <c r="D15" s="15">
        <f>Calculation!$B$113</f>
        <v>301315.09346679976</v>
      </c>
      <c r="E15" s="15">
        <f>Calculation!$B$113</f>
        <v>301315.09346679976</v>
      </c>
      <c r="F15" s="15">
        <f>Calculation!$B$113</f>
        <v>301315.09346679976</v>
      </c>
      <c r="G15" s="15">
        <f>Calculation!$B$113</f>
        <v>301315.09346679976</v>
      </c>
      <c r="H15" s="15">
        <f>Calculation!$B$113</f>
        <v>301315.09346679976</v>
      </c>
      <c r="I15" s="15">
        <f>Calculation!$B$113</f>
        <v>301315.09346679976</v>
      </c>
      <c r="J15" s="15">
        <f>Calculation!$B$113</f>
        <v>301315.09346679976</v>
      </c>
      <c r="K15" s="15">
        <f>Calculation!$B$113</f>
        <v>301315.09346679976</v>
      </c>
      <c r="L15" s="15">
        <f>Calculation!$B$113</f>
        <v>301315.09346679976</v>
      </c>
      <c r="M15" s="15">
        <f>Calculation!$B$113</f>
        <v>301315.09346679976</v>
      </c>
      <c r="N15" s="15">
        <f>Calculation!$B$113</f>
        <v>301315.09346679976</v>
      </c>
      <c r="O15" s="15">
        <f>Calculation!$B$113</f>
        <v>301315.09346679976</v>
      </c>
      <c r="P15" s="15">
        <f>Calculation!$B$113</f>
        <v>301315.09346679976</v>
      </c>
      <c r="Q15" s="15">
        <f>Calculation!$B$113</f>
        <v>301315.09346679976</v>
      </c>
      <c r="R15" s="15">
        <f>Calculation!$B$113</f>
        <v>301315.09346679976</v>
      </c>
      <c r="S15" s="15">
        <f>Calculation!$B$113</f>
        <v>301315.09346679976</v>
      </c>
      <c r="T15" s="15">
        <f>Calculation!$B$113</f>
        <v>301315.09346679976</v>
      </c>
      <c r="U15" s="15">
        <f>Calculation!$B$113</f>
        <v>301315.09346679976</v>
      </c>
      <c r="V15" s="15">
        <f>Calculation!$B$113</f>
        <v>301315.09346679976</v>
      </c>
      <c r="W15" s="15">
        <f>Calculation!$B$113</f>
        <v>301315.09346679976</v>
      </c>
      <c r="X15" s="15">
        <f>Calculation!$B$113</f>
        <v>301315.09346679976</v>
      </c>
      <c r="Y15" s="15">
        <f>Calculation!$B$113</f>
        <v>301315.09346679976</v>
      </c>
      <c r="Z15" s="15">
        <f>Calculation!$B$113</f>
        <v>301315.09346679976</v>
      </c>
      <c r="AA15" s="15">
        <f>Calculation!$B$113</f>
        <v>301315.09346679976</v>
      </c>
      <c r="AB15" s="15">
        <f>Calculation!$B$113</f>
        <v>301315.09346679976</v>
      </c>
      <c r="AC15" s="15">
        <f>Calculation!$B$113</f>
        <v>301315.09346679976</v>
      </c>
      <c r="AD15" s="15">
        <f>Calculation!$B$113</f>
        <v>301315.09346679976</v>
      </c>
      <c r="AE15" s="15">
        <f>Calculation!$B$113</f>
        <v>301315.09346679976</v>
      </c>
    </row>
    <row r="16" spans="1:32">
      <c r="A16" t="s">
        <v>20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</row>
    <row r="17" spans="1:31">
      <c r="A17" t="s">
        <v>21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</row>
    <row r="18" spans="1:31">
      <c r="A18" t="s">
        <v>22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</row>
    <row r="19" spans="1:31">
      <c r="A19" t="s">
        <v>77</v>
      </c>
      <c r="B19" s="15">
        <v>0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</row>
    <row r="20" spans="1:31">
      <c r="A20" t="s">
        <v>78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</row>
    <row r="21" spans="1:31">
      <c r="A21" t="s">
        <v>79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</row>
    <row r="22" spans="1:31">
      <c r="A22" t="s">
        <v>80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</row>
    <row r="23" spans="1:31">
      <c r="A23" t="s">
        <v>81</v>
      </c>
      <c r="B23" s="15">
        <v>0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</row>
    <row r="24" spans="1:31">
      <c r="A24" s="24" t="s">
        <v>82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</row>
    <row r="25" spans="1:31">
      <c r="A25" s="24" t="s">
        <v>83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</row>
    <row r="26" spans="1:31">
      <c r="F26" s="13"/>
    </row>
    <row r="27" spans="1:31">
      <c r="F27" s="13"/>
    </row>
    <row r="28" spans="1:31">
      <c r="F28" s="13"/>
    </row>
    <row r="29" spans="1:31">
      <c r="F29" s="13"/>
    </row>
    <row r="30" spans="1:31">
      <c r="F30" s="13"/>
    </row>
    <row r="31" spans="1:31">
      <c r="F31" s="13"/>
    </row>
    <row r="32" spans="1:31">
      <c r="F32" s="13"/>
    </row>
    <row r="33" spans="6:6">
      <c r="F33" s="13"/>
    </row>
    <row r="34" spans="6:6">
      <c r="F34" s="13"/>
    </row>
    <row r="35" spans="6:6">
      <c r="F35" s="13"/>
    </row>
    <row r="36" spans="6:6">
      <c r="F36" s="13"/>
    </row>
  </sheetData>
  <phoneticPr fontId="3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25"/>
  <sheetViews>
    <sheetView zoomScale="70" zoomScaleNormal="70" workbookViewId="0">
      <selection activeCell="B7" sqref="B7"/>
    </sheetView>
  </sheetViews>
  <sheetFormatPr defaultColWidth="9.08984375" defaultRowHeight="14.5"/>
  <cols>
    <col min="1" max="1" width="38.36328125" bestFit="1" customWidth="1"/>
    <col min="2" max="3" width="38.36328125" customWidth="1"/>
    <col min="4" max="16" width="9.08984375" customWidth="1"/>
  </cols>
  <sheetData>
    <row r="1" spans="1:31">
      <c r="A1" s="12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28" t="s">
        <v>36</v>
      </c>
      <c r="B2" s="11">
        <v>0</v>
      </c>
      <c r="C2" s="11">
        <v>0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11">
        <v>0</v>
      </c>
      <c r="AA2" s="11">
        <v>0</v>
      </c>
      <c r="AB2" s="11">
        <v>0</v>
      </c>
      <c r="AC2" s="11">
        <v>0</v>
      </c>
      <c r="AD2" s="11">
        <v>0</v>
      </c>
      <c r="AE2" s="11">
        <v>0</v>
      </c>
    </row>
    <row r="3" spans="1:31">
      <c r="A3" s="28" t="s">
        <v>86</v>
      </c>
      <c r="B3" s="11">
        <v>0</v>
      </c>
      <c r="C3" s="11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11">
        <v>0</v>
      </c>
      <c r="X3" s="11">
        <v>0</v>
      </c>
      <c r="Y3" s="11">
        <v>0</v>
      </c>
      <c r="Z3" s="11">
        <v>0</v>
      </c>
      <c r="AA3" s="11">
        <v>0</v>
      </c>
      <c r="AB3" s="11">
        <v>0</v>
      </c>
      <c r="AC3" s="11">
        <v>0</v>
      </c>
      <c r="AD3" s="11">
        <v>0</v>
      </c>
      <c r="AE3" s="11">
        <v>0</v>
      </c>
    </row>
    <row r="4" spans="1:31">
      <c r="A4" s="28" t="s">
        <v>87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</row>
    <row r="5" spans="1:31">
      <c r="A5" s="28" t="s">
        <v>24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0</v>
      </c>
      <c r="AE5" s="11">
        <v>0</v>
      </c>
    </row>
    <row r="6" spans="1:31">
      <c r="A6" s="28" t="s">
        <v>25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</row>
    <row r="7" spans="1:31">
      <c r="A7" t="s">
        <v>0</v>
      </c>
      <c r="B7" s="23">
        <f>'CCaMC-BSCpUC US'!B7/'CCaMC-BCCpUC US'!B7*'CCaMC-BCCpUC'!B7</f>
        <v>330704.37817968067</v>
      </c>
      <c r="C7" s="23">
        <f>$B7*'CCaMC-BSCpUC US'!C7/'CCaMC-BSCpUC US'!$B7</f>
        <v>248028.28363473408</v>
      </c>
      <c r="D7" s="23">
        <f>$B7*'CCaMC-BSCpUC US'!D7/'CCaMC-BSCpUC US'!$B7</f>
        <v>165352.18908982273</v>
      </c>
      <c r="E7" s="23">
        <f>$B7*'CCaMC-BSCpUC US'!E7/'CCaMC-BSCpUC US'!$B7</f>
        <v>82676.094544911364</v>
      </c>
      <c r="F7" s="23">
        <f>$B7*'CCaMC-BSCpUC US'!F7/'CCaMC-BSCpUC US'!$B7</f>
        <v>0</v>
      </c>
      <c r="G7" s="23">
        <f>$B7*'CCaMC-BSCpUC US'!G7/'CCaMC-BSCpUC US'!$B7</f>
        <v>0</v>
      </c>
      <c r="H7" s="23">
        <f>$B7*'CCaMC-BSCpUC US'!H7/'CCaMC-BSCpUC US'!$B7</f>
        <v>0</v>
      </c>
      <c r="I7" s="23">
        <f>$B7*'CCaMC-BSCpUC US'!I7/'CCaMC-BSCpUC US'!$B7</f>
        <v>0</v>
      </c>
      <c r="J7" s="23">
        <f>$B7*'CCaMC-BSCpUC US'!J7/'CCaMC-BSCpUC US'!$B7</f>
        <v>0</v>
      </c>
      <c r="K7" s="23">
        <f>$B7*'CCaMC-BSCpUC US'!K7/'CCaMC-BSCpUC US'!$B7</f>
        <v>0</v>
      </c>
      <c r="L7" s="23">
        <f>$B7*'CCaMC-BSCpUC US'!L7/'CCaMC-BSCpUC US'!$B7</f>
        <v>0</v>
      </c>
      <c r="M7" s="23">
        <f>$B7*'CCaMC-BSCpUC US'!M7/'CCaMC-BSCpUC US'!$B7</f>
        <v>0</v>
      </c>
      <c r="N7" s="23">
        <f>$B7*'CCaMC-BSCpUC US'!N7/'CCaMC-BSCpUC US'!$B7</f>
        <v>0</v>
      </c>
      <c r="O7" s="23">
        <f>$B7*'CCaMC-BSCpUC US'!O7/'CCaMC-BSCpUC US'!$B7</f>
        <v>0</v>
      </c>
      <c r="P7" s="23">
        <f>$B7*'CCaMC-BSCpUC US'!P7/'CCaMC-BSCpUC US'!$B7</f>
        <v>0</v>
      </c>
      <c r="Q7" s="23">
        <f>$B7*'CCaMC-BSCpUC US'!Q7/'CCaMC-BSCpUC US'!$B7</f>
        <v>0</v>
      </c>
      <c r="R7" s="23">
        <f>$B7*'CCaMC-BSCpUC US'!R7/'CCaMC-BSCpUC US'!$B7</f>
        <v>0</v>
      </c>
      <c r="S7" s="23">
        <f>$B7*'CCaMC-BSCpUC US'!S7/'CCaMC-BSCpUC US'!$B7</f>
        <v>0</v>
      </c>
      <c r="T7" s="23">
        <f>$B7*'CCaMC-BSCpUC US'!T7/'CCaMC-BSCpUC US'!$B7</f>
        <v>0</v>
      </c>
      <c r="U7" s="23">
        <f>$B7*'CCaMC-BSCpUC US'!U7/'CCaMC-BSCpUC US'!$B7</f>
        <v>0</v>
      </c>
      <c r="V7" s="23">
        <f>$B7*'CCaMC-BSCpUC US'!V7/'CCaMC-BSCpUC US'!$B7</f>
        <v>0</v>
      </c>
      <c r="W7" s="23">
        <f>$B7*'CCaMC-BSCpUC US'!W7/'CCaMC-BSCpUC US'!$B7</f>
        <v>0</v>
      </c>
      <c r="X7" s="23">
        <f>$B7*'CCaMC-BSCpUC US'!X7/'CCaMC-BSCpUC US'!$B7</f>
        <v>0</v>
      </c>
      <c r="Y7" s="23">
        <f>$B7*'CCaMC-BSCpUC US'!Y7/'CCaMC-BSCpUC US'!$B7</f>
        <v>0</v>
      </c>
      <c r="Z7" s="23">
        <f>$B7*'CCaMC-BSCpUC US'!Z7/'CCaMC-BSCpUC US'!$B7</f>
        <v>0</v>
      </c>
      <c r="AA7" s="23">
        <f>$B7*'CCaMC-BSCpUC US'!AA7/'CCaMC-BSCpUC US'!$B7</f>
        <v>0</v>
      </c>
      <c r="AB7" s="23">
        <f>$B7*'CCaMC-BSCpUC US'!AB7/'CCaMC-BSCpUC US'!$B7</f>
        <v>0</v>
      </c>
      <c r="AC7" s="23">
        <f>$B7*'CCaMC-BSCpUC US'!AC7/'CCaMC-BSCpUC US'!$B7</f>
        <v>0</v>
      </c>
      <c r="AD7" s="23">
        <f>$B7*'CCaMC-BSCpUC US'!AD7/'CCaMC-BSCpUC US'!$B7</f>
        <v>0</v>
      </c>
      <c r="AE7" s="23">
        <f>$B7*'CCaMC-BSCpUC US'!AE7/'CCaMC-BSCpUC US'!$B7</f>
        <v>0</v>
      </c>
    </row>
    <row r="8" spans="1:31">
      <c r="A8" t="s">
        <v>23</v>
      </c>
      <c r="B8" s="23">
        <f>'CCaMC-BSCpUC US'!B8/'CCaMC-BCCpUC US'!B8*'CCaMC-BCCpUC'!B8</f>
        <v>638954.22364284471</v>
      </c>
      <c r="C8" s="23">
        <f>$B8*'CCaMC-BSCpUC US'!C8/'CCaMC-BSCpUC US'!$B8</f>
        <v>638954.22364284471</v>
      </c>
      <c r="D8" s="23">
        <f>$B8*'CCaMC-BSCpUC US'!D8/'CCaMC-BSCpUC US'!$B8</f>
        <v>638954.22364284471</v>
      </c>
      <c r="E8" s="23">
        <f>$B8*'CCaMC-BSCpUC US'!E8/'CCaMC-BSCpUC US'!$B8</f>
        <v>638954.22364284471</v>
      </c>
      <c r="F8" s="23">
        <f>$B8*'CCaMC-BSCpUC US'!F8/'CCaMC-BSCpUC US'!$B8</f>
        <v>638954.22364284471</v>
      </c>
      <c r="G8" s="23">
        <f>$B8*'CCaMC-BSCpUC US'!G8/'CCaMC-BSCpUC US'!$B8</f>
        <v>611391.49242687819</v>
      </c>
      <c r="H8" s="23">
        <f>$B8*'CCaMC-BSCpUC US'!H8/'CCaMC-BSCpUC US'!$B8</f>
        <v>583828.76121091435</v>
      </c>
      <c r="I8" s="23">
        <f>$B8*'CCaMC-BSCpUC US'!I8/'CCaMC-BSCpUC US'!$B8</f>
        <v>556266.02999494155</v>
      </c>
      <c r="J8" s="23">
        <f>$B8*'CCaMC-BSCpUC US'!J8/'CCaMC-BSCpUC US'!$B8</f>
        <v>528703.29877897748</v>
      </c>
      <c r="K8" s="23">
        <f>$B8*'CCaMC-BSCpUC US'!K8/'CCaMC-BSCpUC US'!$B8</f>
        <v>501140.56756301364</v>
      </c>
      <c r="L8" s="23">
        <f>$B8*'CCaMC-BSCpUC US'!L8/'CCaMC-BSCpUC US'!$B8</f>
        <v>463555.02499578608</v>
      </c>
      <c r="M8" s="23">
        <f>$B8*'CCaMC-BSCpUC US'!M8/'CCaMC-BSCpUC US'!$B8</f>
        <v>425969.48242855852</v>
      </c>
      <c r="N8" s="23">
        <f>$B8*'CCaMC-BSCpUC US'!N8/'CCaMC-BSCpUC US'!$B8</f>
        <v>388383.93986133975</v>
      </c>
      <c r="O8" s="23">
        <f>$B8*'CCaMC-BSCpUC US'!O8/'CCaMC-BSCpUC US'!$B8</f>
        <v>350798.39729411219</v>
      </c>
      <c r="P8" s="23">
        <f>$B8*'CCaMC-BSCpUC US'!P8/'CCaMC-BSCpUC US'!$B8</f>
        <v>313212.85472688463</v>
      </c>
      <c r="Q8" s="23">
        <f>$B8*'CCaMC-BSCpUC US'!Q8/'CCaMC-BSCpUC US'!$B8</f>
        <v>307366.21477198234</v>
      </c>
      <c r="R8" s="23">
        <f>$B8*'CCaMC-BSCpUC US'!R8/'CCaMC-BSCpUC US'!$B8</f>
        <v>301519.5748170822</v>
      </c>
      <c r="S8" s="23">
        <f>$B8*'CCaMC-BSCpUC US'!S8/'CCaMC-BSCpUC US'!$B8</f>
        <v>295672.93486217991</v>
      </c>
      <c r="T8" s="23">
        <f>$B8*'CCaMC-BSCpUC US'!T8/'CCaMC-BSCpUC US'!$B8</f>
        <v>289826.29490727762</v>
      </c>
      <c r="U8" s="23">
        <f>$B8*'CCaMC-BSCpUC US'!U8/'CCaMC-BSCpUC US'!$B8</f>
        <v>283979.65495237528</v>
      </c>
      <c r="V8" s="23">
        <f>$B8*'CCaMC-BSCpUC US'!V8/'CCaMC-BSCpUC US'!$B8</f>
        <v>278133.0149974752</v>
      </c>
      <c r="W8" s="23">
        <f>$B8*'CCaMC-BSCpUC US'!W8/'CCaMC-BSCpUC US'!$B8</f>
        <v>272286.37504257285</v>
      </c>
      <c r="X8" s="23">
        <f>$B8*'CCaMC-BSCpUC US'!X8/'CCaMC-BSCpUC US'!$B8</f>
        <v>266439.73508767056</v>
      </c>
      <c r="Y8" s="23">
        <f>$B8*'CCaMC-BSCpUC US'!Y8/'CCaMC-BSCpUC US'!$B8</f>
        <v>260593.09513276827</v>
      </c>
      <c r="Z8" s="23">
        <f>$B8*'CCaMC-BSCpUC US'!Z8/'CCaMC-BSCpUC US'!$B8</f>
        <v>254746.45517786589</v>
      </c>
      <c r="AA8" s="23">
        <f>$B8*'CCaMC-BSCpUC US'!AA8/'CCaMC-BSCpUC US'!$B8</f>
        <v>248899.81522296584</v>
      </c>
      <c r="AB8" s="23">
        <f>$B8*'CCaMC-BSCpUC US'!AB8/'CCaMC-BSCpUC US'!$B8</f>
        <v>243053.17526806353</v>
      </c>
      <c r="AC8" s="23">
        <f>$B8*'CCaMC-BSCpUC US'!AC8/'CCaMC-BSCpUC US'!$B8</f>
        <v>237206.53531316121</v>
      </c>
      <c r="AD8" s="23">
        <f>$B8*'CCaMC-BSCpUC US'!AD8/'CCaMC-BSCpUC US'!$B8</f>
        <v>231359.89535825892</v>
      </c>
      <c r="AE8" s="23">
        <f>$B8*'CCaMC-BSCpUC US'!AE8/'CCaMC-BSCpUC US'!$B8</f>
        <v>225513.25540335657</v>
      </c>
    </row>
    <row r="9" spans="1:31">
      <c r="A9" s="28" t="s">
        <v>26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</row>
    <row r="10" spans="1:31">
      <c r="A10" s="28" t="s">
        <v>27</v>
      </c>
      <c r="B10" s="11">
        <v>0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</row>
    <row r="11" spans="1:31">
      <c r="A11" s="28" t="s">
        <v>28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11">
        <v>0</v>
      </c>
    </row>
    <row r="12" spans="1:31">
      <c r="A12" s="28" t="s">
        <v>29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>
        <v>0</v>
      </c>
    </row>
    <row r="13" spans="1:31">
      <c r="A13" s="28" t="s">
        <v>30</v>
      </c>
      <c r="B13" s="11">
        <v>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</row>
    <row r="14" spans="1:31">
      <c r="A14" s="28" t="s">
        <v>31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0</v>
      </c>
      <c r="AA14" s="11">
        <v>0</v>
      </c>
      <c r="AB14" s="11">
        <v>0</v>
      </c>
      <c r="AC14" s="11">
        <v>0</v>
      </c>
      <c r="AD14" s="11">
        <v>0</v>
      </c>
      <c r="AE14" s="11">
        <v>0</v>
      </c>
    </row>
    <row r="15" spans="1:31">
      <c r="A15" t="s">
        <v>15</v>
      </c>
      <c r="B15" s="23">
        <f>'CCaMC-BSCpUC US'!B15/'CCaMC-BCCpUC US'!B15*'CCaMC-BCCpUC'!B15</f>
        <v>1137770.2316154826</v>
      </c>
      <c r="C15" s="23">
        <f>$B15*'CCaMC-BSCpUC US'!C15/'CCaMC-BSCpUC US'!$B15</f>
        <v>1247877.0282234384</v>
      </c>
      <c r="D15" s="23">
        <f>$B15*'CCaMC-BSCpUC US'!D15/'CCaMC-BSCpUC US'!$B15</f>
        <v>1357983.8248313942</v>
      </c>
      <c r="E15" s="23">
        <f>$B15*'CCaMC-BSCpUC US'!E15/'CCaMC-BSCpUC US'!$B15</f>
        <v>1468090.6214393501</v>
      </c>
      <c r="F15" s="23">
        <f>$B15*'CCaMC-BSCpUC US'!F15/'CCaMC-BSCpUC US'!$B15</f>
        <v>1578197.4180473061</v>
      </c>
      <c r="G15" s="23">
        <f>$B15*'CCaMC-BSCpUC US'!G15/'CCaMC-BSCpUC US'!$B15</f>
        <v>1688304.2146552617</v>
      </c>
      <c r="H15" s="23">
        <f>$B15*'CCaMC-BSCpUC US'!H15/'CCaMC-BSCpUC US'!$B15</f>
        <v>1798411.011263181</v>
      </c>
      <c r="I15" s="23">
        <f>$B15*'CCaMC-BSCpUC US'!I15/'CCaMC-BSCpUC US'!$B15</f>
        <v>1541495.1525113082</v>
      </c>
      <c r="J15" s="23">
        <f>$B15*'CCaMC-BSCpUC US'!J15/'CCaMC-BSCpUC US'!$B15</f>
        <v>1284579.2937594359</v>
      </c>
      <c r="K15" s="23">
        <f>$B15*'CCaMC-BSCpUC US'!K15/'CCaMC-BSCpUC US'!$B15</f>
        <v>1027663.4350075633</v>
      </c>
      <c r="L15" s="23">
        <f>$B15*'CCaMC-BSCpUC US'!L15/'CCaMC-BSCpUC US'!$B15</f>
        <v>770747.57625561755</v>
      </c>
      <c r="M15" s="23">
        <f>$B15*'CCaMC-BSCpUC US'!M15/'CCaMC-BSCpUC US'!$B15</f>
        <v>513831.71750374517</v>
      </c>
      <c r="N15" s="23">
        <f>$B15*'CCaMC-BSCpUC US'!N15/'CCaMC-BSCpUC US'!$B15</f>
        <v>513831.71750377433</v>
      </c>
      <c r="O15" s="23">
        <f>$B15*'CCaMC-BSCpUC US'!O15/'CCaMC-BSCpUC US'!$B15</f>
        <v>513831.71750377433</v>
      </c>
      <c r="P15" s="23">
        <f>$B15*'CCaMC-BSCpUC US'!P15/'CCaMC-BSCpUC US'!$B15</f>
        <v>513831.71750377433</v>
      </c>
      <c r="Q15" s="23">
        <f>$B15*'CCaMC-BSCpUC US'!Q15/'CCaMC-BSCpUC US'!$B15</f>
        <v>513831.71750377433</v>
      </c>
      <c r="R15" s="23">
        <f>$B15*'CCaMC-BSCpUC US'!R15/'CCaMC-BSCpUC US'!$B15</f>
        <v>513831.71750377433</v>
      </c>
      <c r="S15" s="23">
        <f>$B15*'CCaMC-BSCpUC US'!S15/'CCaMC-BSCpUC US'!$B15</f>
        <v>513831.71750377433</v>
      </c>
      <c r="T15" s="23">
        <f>$B15*'CCaMC-BSCpUC US'!T15/'CCaMC-BSCpUC US'!$B15</f>
        <v>513831.71750377433</v>
      </c>
      <c r="U15" s="23">
        <f>$B15*'CCaMC-BSCpUC US'!U15/'CCaMC-BSCpUC US'!$B15</f>
        <v>513831.71750377433</v>
      </c>
      <c r="V15" s="23">
        <f>$B15*'CCaMC-BSCpUC US'!V15/'CCaMC-BSCpUC US'!$B15</f>
        <v>513831.71750377433</v>
      </c>
      <c r="W15" s="23">
        <f>$B15*'CCaMC-BSCpUC US'!W15/'CCaMC-BSCpUC US'!$B15</f>
        <v>513831.71750377433</v>
      </c>
      <c r="X15" s="23">
        <f>$B15*'CCaMC-BSCpUC US'!X15/'CCaMC-BSCpUC US'!$B15</f>
        <v>513831.71750377433</v>
      </c>
      <c r="Y15" s="23">
        <f>$B15*'CCaMC-BSCpUC US'!Y15/'CCaMC-BSCpUC US'!$B15</f>
        <v>513831.71750377433</v>
      </c>
      <c r="Z15" s="23">
        <f>$B15*'CCaMC-BSCpUC US'!Z15/'CCaMC-BSCpUC US'!$B15</f>
        <v>513831.71750377433</v>
      </c>
      <c r="AA15" s="23">
        <f>$B15*'CCaMC-BSCpUC US'!AA15/'CCaMC-BSCpUC US'!$B15</f>
        <v>513831.71750377433</v>
      </c>
      <c r="AB15" s="23">
        <f>$B15*'CCaMC-BSCpUC US'!AB15/'CCaMC-BSCpUC US'!$B15</f>
        <v>513831.71750377433</v>
      </c>
      <c r="AC15" s="23">
        <f>$B15*'CCaMC-BSCpUC US'!AC15/'CCaMC-BSCpUC US'!$B15</f>
        <v>513831.71750377433</v>
      </c>
      <c r="AD15" s="23">
        <f>$B15*'CCaMC-BSCpUC US'!AD15/'CCaMC-BSCpUC US'!$B15</f>
        <v>513831.71750377433</v>
      </c>
      <c r="AE15" s="23">
        <f>$B15*'CCaMC-BSCpUC US'!AE15/'CCaMC-BSCpUC US'!$B15</f>
        <v>513831.71750377433</v>
      </c>
    </row>
    <row r="16" spans="1:31">
      <c r="A16" s="28" t="s">
        <v>32</v>
      </c>
      <c r="B16" s="11">
        <v>0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</row>
    <row r="17" spans="1:31">
      <c r="A17" s="28" t="s">
        <v>33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</row>
    <row r="18" spans="1:31">
      <c r="A18" s="28" t="s">
        <v>34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</row>
    <row r="19" spans="1:31">
      <c r="A19" t="s">
        <v>77</v>
      </c>
      <c r="B19" s="10">
        <f>'CCaMC-BCCpUC'!B2</f>
        <v>1386477.2229812131</v>
      </c>
      <c r="C19" s="23">
        <f>$B19*'CCaMC-BSCpUC US'!C19/'CCaMC-BSCpUC US'!$B19</f>
        <v>1475126.2166028584</v>
      </c>
      <c r="D19" s="23">
        <f>$B19*'CCaMC-BSCpUC US'!D19/'CCaMC-BSCpUC US'!$B19</f>
        <v>1467306.4211374067</v>
      </c>
      <c r="E19" s="23">
        <f>$B19*'CCaMC-BSCpUC US'!E19/'CCaMC-BSCpUC US'!$B19</f>
        <v>1459486.6256719546</v>
      </c>
      <c r="F19" s="23">
        <f>$B19*'CCaMC-BSCpUC US'!F19/'CCaMC-BSCpUC US'!$B19</f>
        <v>1451666.8302065029</v>
      </c>
      <c r="G19" s="23">
        <f>$B19*'CCaMC-BSCpUC US'!G19/'CCaMC-BSCpUC US'!$B19</f>
        <v>1443847.0347410506</v>
      </c>
      <c r="H19" s="23">
        <f>$B19*'CCaMC-BSCpUC US'!H19/'CCaMC-BSCpUC US'!$B19</f>
        <v>1436027.2392755989</v>
      </c>
      <c r="I19" s="23">
        <f>$B19*'CCaMC-BSCpUC US'!I19/'CCaMC-BSCpUC US'!$B19</f>
        <v>1428207.4438101468</v>
      </c>
      <c r="J19" s="23">
        <f>$B19*'CCaMC-BSCpUC US'!J19/'CCaMC-BSCpUC US'!$B19</f>
        <v>1420387.6483446949</v>
      </c>
      <c r="K19" s="23">
        <f>$B19*'CCaMC-BSCpUC US'!K19/'CCaMC-BSCpUC US'!$B19</f>
        <v>1412567.8528792427</v>
      </c>
      <c r="L19" s="23">
        <f>$B19*'CCaMC-BSCpUC US'!L19/'CCaMC-BSCpUC US'!$B19</f>
        <v>1404748.0574137911</v>
      </c>
      <c r="M19" s="23">
        <f>$B19*'CCaMC-BSCpUC US'!M19/'CCaMC-BSCpUC US'!$B19</f>
        <v>1396928.2619483392</v>
      </c>
      <c r="N19" s="23">
        <f>$B19*'CCaMC-BSCpUC US'!N19/'CCaMC-BSCpUC US'!$B19</f>
        <v>1381288.6710174351</v>
      </c>
      <c r="O19" s="23">
        <f>$B19*'CCaMC-BSCpUC US'!O19/'CCaMC-BSCpUC US'!$B19</f>
        <v>1373468.875551983</v>
      </c>
      <c r="P19" s="23">
        <f>$B19*'CCaMC-BSCpUC US'!P19/'CCaMC-BSCpUC US'!$B19</f>
        <v>1373468.875551983</v>
      </c>
      <c r="Q19" s="23">
        <f>$B19*'CCaMC-BSCpUC US'!Q19/'CCaMC-BSCpUC US'!$B19</f>
        <v>1360733.7800796756</v>
      </c>
      <c r="R19" s="23">
        <f>$B19*'CCaMC-BSCpUC US'!R19/'CCaMC-BSCpUC US'!$B19</f>
        <v>1347954.0000618515</v>
      </c>
      <c r="S19" s="23">
        <f>$B19*'CCaMC-BSCpUC US'!S19/'CCaMC-BSCpUC US'!$B19</f>
        <v>1335218.9045895438</v>
      </c>
      <c r="T19" s="23">
        <f>$B19*'CCaMC-BSCpUC US'!T19/'CCaMC-BSCpUC US'!$B19</f>
        <v>1322439.1245717194</v>
      </c>
      <c r="U19" s="23">
        <f>$B19*'CCaMC-BSCpUC US'!U19/'CCaMC-BSCpUC US'!$B19</f>
        <v>1309659.3445538953</v>
      </c>
      <c r="V19" s="23">
        <f>$B19*'CCaMC-BSCpUC US'!V19/'CCaMC-BSCpUC US'!$B19</f>
        <v>1296924.2490815879</v>
      </c>
      <c r="W19" s="23">
        <f>$B19*'CCaMC-BSCpUC US'!W19/'CCaMC-BSCpUC US'!$B19</f>
        <v>1284144.4690637635</v>
      </c>
      <c r="X19" s="23">
        <f>$B19*'CCaMC-BSCpUC US'!X19/'CCaMC-BSCpUC US'!$B19</f>
        <v>1271409.3735914559</v>
      </c>
      <c r="Y19" s="23">
        <f>$B19*'CCaMC-BSCpUC US'!Y19/'CCaMC-BSCpUC US'!$B19</f>
        <v>1258629.5935736313</v>
      </c>
      <c r="Z19" s="23">
        <f>$B19*'CCaMC-BSCpUC US'!Z19/'CCaMC-BSCpUC US'!$B19</f>
        <v>1245849.8135558071</v>
      </c>
      <c r="AA19" s="23">
        <f>$B19*'CCaMC-BSCpUC US'!AA19/'CCaMC-BSCpUC US'!$B19</f>
        <v>1233114.7180834997</v>
      </c>
      <c r="AB19" s="23">
        <f>$B19*'CCaMC-BSCpUC US'!AB19/'CCaMC-BSCpUC US'!$B19</f>
        <v>1220334.9380656753</v>
      </c>
      <c r="AC19" s="23">
        <f>$B19*'CCaMC-BSCpUC US'!AC19/'CCaMC-BSCpUC US'!$B19</f>
        <v>1207599.8425933677</v>
      </c>
      <c r="AD19" s="23">
        <f>$B19*'CCaMC-BSCpUC US'!AD19/'CCaMC-BSCpUC US'!$B19</f>
        <v>1194820.0625755433</v>
      </c>
      <c r="AE19" s="23">
        <f>$B19*'CCaMC-BSCpUC US'!AE19/'CCaMC-BSCpUC US'!$B19</f>
        <v>1182084.9671032361</v>
      </c>
    </row>
    <row r="20" spans="1:31">
      <c r="A20" t="s">
        <v>78</v>
      </c>
      <c r="B20">
        <f>'CCaMC-BCCpUC'!B4</f>
        <v>881978.10810787068</v>
      </c>
      <c r="C20" s="23">
        <f>$B20*'CCaMC-BSCpUC US'!C20/'CCaMC-BSCpUC US'!$B20</f>
        <v>977623.08897242846</v>
      </c>
      <c r="D20" s="23">
        <f>$B20*'CCaMC-BSCpUC US'!D20/'CCaMC-BSCpUC US'!$B20</f>
        <v>968970.30191100691</v>
      </c>
      <c r="E20" s="23">
        <f>$B20*'CCaMC-BSCpUC US'!E20/'CCaMC-BSCpUC US'!$B20</f>
        <v>960388.43933369534</v>
      </c>
      <c r="F20" s="23">
        <f>$B20*'CCaMC-BSCpUC US'!F20/'CCaMC-BSCpUC US'!$B20</f>
        <v>951735.65227227355</v>
      </c>
      <c r="G20" s="23">
        <f>$B20*'CCaMC-BSCpUC US'!G20/'CCaMC-BSCpUC US'!$B20</f>
        <v>943153.78969496198</v>
      </c>
      <c r="H20" s="23">
        <f>$B20*'CCaMC-BSCpUC US'!H20/'CCaMC-BSCpUC US'!$B20</f>
        <v>934501.00263354008</v>
      </c>
      <c r="I20" s="23">
        <f>$B20*'CCaMC-BSCpUC US'!I20/'CCaMC-BSCpUC US'!$B20</f>
        <v>925919.14005622873</v>
      </c>
      <c r="J20" s="23">
        <f>$B20*'CCaMC-BSCpUC US'!J20/'CCaMC-BSCpUC US'!$B20</f>
        <v>917266.35299480683</v>
      </c>
      <c r="K20" s="23">
        <f>$B20*'CCaMC-BSCpUC US'!K20/'CCaMC-BSCpUC US'!$B20</f>
        <v>908684.49041749537</v>
      </c>
      <c r="L20" s="23">
        <f>$B20*'CCaMC-BSCpUC US'!L20/'CCaMC-BSCpUC US'!$B20</f>
        <v>900031.70335607347</v>
      </c>
      <c r="M20" s="23">
        <f>$B20*'CCaMC-BSCpUC US'!M20/'CCaMC-BSCpUC US'!$B20</f>
        <v>891449.84077876189</v>
      </c>
      <c r="N20" s="23">
        <f>$B20*'CCaMC-BSCpUC US'!N20/'CCaMC-BSCpUC US'!$B20</f>
        <v>882797.05371734023</v>
      </c>
      <c r="O20" s="23">
        <f>$B20*'CCaMC-BSCpUC US'!O20/'CCaMC-BSCpUC US'!$B20</f>
        <v>874215.19114002865</v>
      </c>
      <c r="P20" s="23">
        <f>$B20*'CCaMC-BSCpUC US'!P20/'CCaMC-BSCpUC US'!$B20</f>
        <v>865562.4040786071</v>
      </c>
      <c r="Q20" s="23">
        <f>$B20*'CCaMC-BSCpUC US'!Q20/'CCaMC-BSCpUC US'!$B20</f>
        <v>859037.35154048563</v>
      </c>
      <c r="R20" s="23">
        <f>$B20*'CCaMC-BSCpUC US'!R20/'CCaMC-BSCpUC US'!$B20</f>
        <v>852512.29900236428</v>
      </c>
      <c r="S20" s="23">
        <f>$B20*'CCaMC-BSCpUC US'!S20/'CCaMC-BSCpUC US'!$B20</f>
        <v>845987.24646424316</v>
      </c>
      <c r="T20" s="23">
        <f>$B20*'CCaMC-BSCpUC US'!T20/'CCaMC-BSCpUC US'!$B20</f>
        <v>839462.19392612192</v>
      </c>
      <c r="U20" s="23">
        <f>$B20*'CCaMC-BSCpUC US'!U20/'CCaMC-BSCpUC US'!$B20</f>
        <v>832937.1413880008</v>
      </c>
      <c r="V20" s="23">
        <f>$B20*'CCaMC-BSCpUC US'!V20/'CCaMC-BSCpUC US'!$B20</f>
        <v>826412.08884987934</v>
      </c>
      <c r="W20" s="23">
        <f>$B20*'CCaMC-BSCpUC US'!W20/'CCaMC-BSCpUC US'!$B20</f>
        <v>819816.11182764813</v>
      </c>
      <c r="X20" s="23">
        <f>$B20*'CCaMC-BSCpUC US'!X20/'CCaMC-BSCpUC US'!$B20</f>
        <v>813291.05928952689</v>
      </c>
      <c r="Y20" s="23">
        <f>$B20*'CCaMC-BSCpUC US'!Y20/'CCaMC-BSCpUC US'!$B20</f>
        <v>806766.00675140554</v>
      </c>
      <c r="Z20" s="23">
        <f>$B20*'CCaMC-BSCpUC US'!Z20/'CCaMC-BSCpUC US'!$B20</f>
        <v>800240.95421328442</v>
      </c>
      <c r="AA20" s="23">
        <f>$B20*'CCaMC-BSCpUC US'!AA20/'CCaMC-BSCpUC US'!$B20</f>
        <v>793715.90167516307</v>
      </c>
      <c r="AB20" s="23">
        <f>$B20*'CCaMC-BSCpUC US'!AB20/'CCaMC-BSCpUC US'!$B20</f>
        <v>787190.84913704183</v>
      </c>
      <c r="AC20" s="23">
        <f>$B20*'CCaMC-BSCpUC US'!AC20/'CCaMC-BSCpUC US'!$B20</f>
        <v>780665.7965989206</v>
      </c>
      <c r="AD20" s="23">
        <f>$B20*'CCaMC-BSCpUC US'!AD20/'CCaMC-BSCpUC US'!$B20</f>
        <v>774069.81957668939</v>
      </c>
      <c r="AE20" s="23">
        <f>$B20*'CCaMC-BSCpUC US'!AE20/'CCaMC-BSCpUC US'!$B20</f>
        <v>767544.76703856804</v>
      </c>
    </row>
    <row r="21" spans="1:31">
      <c r="A21" t="s">
        <v>79</v>
      </c>
      <c r="B21" s="10">
        <f>'CCaMC-BCCpUC'!B10</f>
        <v>3555642.2558865636</v>
      </c>
      <c r="C21" s="23">
        <f>$B21*'CCaMC-BSCpUC US'!C21/'CCaMC-BSCpUC US'!$B21</f>
        <v>3376220.0877770302</v>
      </c>
      <c r="D21" s="23">
        <f>$B21*'CCaMC-BSCpUC US'!D21/'CCaMC-BSCpUC US'!$B21</f>
        <v>3262098.8746726546</v>
      </c>
      <c r="E21" s="23">
        <f>$B21*'CCaMC-BSCpUC US'!E21/'CCaMC-BSCpUC US'!$B21</f>
        <v>3147977.6615682798</v>
      </c>
      <c r="F21" s="23">
        <f>$B21*'CCaMC-BSCpUC US'!F21/'CCaMC-BSCpUC US'!$B21</f>
        <v>3057168.4033269887</v>
      </c>
      <c r="G21" s="23">
        <f>$B21*'CCaMC-BSCpUC US'!G21/'CCaMC-BSCpUC US'!$B21</f>
        <v>3001577.4660604685</v>
      </c>
      <c r="H21" s="23">
        <f>$B21*'CCaMC-BSCpUC US'!H21/'CCaMC-BSCpUC US'!$B21</f>
        <v>2972137.9585500336</v>
      </c>
      <c r="I21" s="23">
        <f>$B21*'CCaMC-BSCpUC US'!I21/'CCaMC-BSCpUC US'!$B21</f>
        <v>2953018.3887709733</v>
      </c>
      <c r="J21" s="23">
        <f>$B21*'CCaMC-BSCpUC US'!J21/'CCaMC-BSCpUC US'!$B21</f>
        <v>2935306.3903050874</v>
      </c>
      <c r="K21" s="23">
        <f>$B21*'CCaMC-BSCpUC US'!K21/'CCaMC-BSCpUC US'!$B21</f>
        <v>2918115.9035086608</v>
      </c>
      <c r="L21" s="23">
        <f>$B21*'CCaMC-BSCpUC US'!L21/'CCaMC-BSCpUC US'!$B21</f>
        <v>2896023.7670521443</v>
      </c>
      <c r="M21" s="23">
        <f>$B21*'CCaMC-BSCpUC US'!M21/'CCaMC-BSCpUC US'!$B21</f>
        <v>2875589.020034153</v>
      </c>
      <c r="N21" s="23">
        <f>$B21*'CCaMC-BSCpUC US'!N21/'CCaMC-BSCpUC US'!$B21</f>
        <v>2858460.7486587209</v>
      </c>
      <c r="O21" s="23">
        <f>$B21*'CCaMC-BSCpUC US'!O21/'CCaMC-BSCpUC US'!$B21</f>
        <v>2840543.6704779188</v>
      </c>
      <c r="P21" s="23">
        <f>$B21*'CCaMC-BSCpUC US'!P21/'CCaMC-BSCpUC US'!$B21</f>
        <v>2823140.2513415031</v>
      </c>
      <c r="Q21" s="23">
        <f>$B21*'CCaMC-BSCpUC US'!Q21/'CCaMC-BSCpUC US'!$B21</f>
        <v>2803204.4722429225</v>
      </c>
      <c r="R21" s="23">
        <f>$B21*'CCaMC-BSCpUC US'!R21/'CCaMC-BSCpUC US'!$B21</f>
        <v>2783441.8089068928</v>
      </c>
      <c r="S21" s="23">
        <f>$B21*'CCaMC-BSCpUC US'!S21/'CCaMC-BSCpUC US'!$B21</f>
        <v>2765354.2186482227</v>
      </c>
      <c r="T21" s="23">
        <f>$B21*'CCaMC-BSCpUC US'!T21/'CCaMC-BSCpUC US'!$B21</f>
        <v>2744194.7790450742</v>
      </c>
      <c r="U21" s="23">
        <f>$B21*'CCaMC-BSCpUC US'!U21/'CCaMC-BSCpUC US'!$B21</f>
        <v>2725831.3757199813</v>
      </c>
      <c r="V21" s="23">
        <f>$B21*'CCaMC-BSCpUC US'!V21/'CCaMC-BSCpUC US'!$B21</f>
        <v>2709391.2954046689</v>
      </c>
      <c r="W21" s="23">
        <f>$B21*'CCaMC-BSCpUC US'!W21/'CCaMC-BSCpUC US'!$B21</f>
        <v>2689971.0034007272</v>
      </c>
      <c r="X21" s="23">
        <f>$B21*'CCaMC-BSCpUC US'!X21/'CCaMC-BSCpUC US'!$B21</f>
        <v>2672811.2069092495</v>
      </c>
      <c r="Y21" s="23">
        <f>$B21*'CCaMC-BSCpUC US'!Y21/'CCaMC-BSCpUC US'!$B21</f>
        <v>2654248.2505565626</v>
      </c>
      <c r="Z21" s="23">
        <f>$B21*'CCaMC-BSCpUC US'!Z21/'CCaMC-BSCpUC US'!$B21</f>
        <v>2634479.348352476</v>
      </c>
      <c r="AA21" s="23">
        <f>$B21*'CCaMC-BSCpUC US'!AA21/'CCaMC-BSCpUC US'!$B21</f>
        <v>2615111.7997608245</v>
      </c>
      <c r="AB21" s="23">
        <f>$B21*'CCaMC-BSCpUC US'!AB21/'CCaMC-BSCpUC US'!$B21</f>
        <v>2596754.9047134616</v>
      </c>
      <c r="AC21" s="23">
        <f>$B21*'CCaMC-BSCpUC US'!AC21/'CCaMC-BSCpUC US'!$B21</f>
        <v>2577243.1712086699</v>
      </c>
      <c r="AD21" s="23">
        <f>$B21*'CCaMC-BSCpUC US'!AD21/'CCaMC-BSCpUC US'!$B21</f>
        <v>2556628.2913620933</v>
      </c>
      <c r="AE21" s="23">
        <f>$B21*'CCaMC-BSCpUC US'!AE21/'CCaMC-BSCpUC US'!$B21</f>
        <v>2525640.7192549347</v>
      </c>
    </row>
    <row r="22" spans="1:31">
      <c r="A22" t="s">
        <v>80</v>
      </c>
      <c r="B22" s="10">
        <f>'CCaMC-BCCpUC'!B14</f>
        <v>1386477.2229812131</v>
      </c>
      <c r="C22" s="23">
        <f>$B22*'CCaMC-BSCpUC US'!C22/'CCaMC-BSCpUC US'!$B22</f>
        <v>1475126.2166028586</v>
      </c>
      <c r="D22" s="23">
        <f>$B22*'CCaMC-BSCpUC US'!D22/'CCaMC-BSCpUC US'!$B22</f>
        <v>1467306.4211374067</v>
      </c>
      <c r="E22" s="23">
        <f>$B22*'CCaMC-BSCpUC US'!E22/'CCaMC-BSCpUC US'!$B22</f>
        <v>1459486.6256719546</v>
      </c>
      <c r="F22" s="23">
        <f>$B22*'CCaMC-BSCpUC US'!F22/'CCaMC-BSCpUC US'!$B22</f>
        <v>1451666.8302065027</v>
      </c>
      <c r="G22" s="23">
        <f>$B22*'CCaMC-BSCpUC US'!G22/'CCaMC-BSCpUC US'!$B22</f>
        <v>1443847.0347410506</v>
      </c>
      <c r="H22" s="23">
        <f>$B22*'CCaMC-BSCpUC US'!H22/'CCaMC-BSCpUC US'!$B22</f>
        <v>1436027.2392755989</v>
      </c>
      <c r="I22" s="23">
        <f>$B22*'CCaMC-BSCpUC US'!I22/'CCaMC-BSCpUC US'!$B22</f>
        <v>1428207.4438101468</v>
      </c>
      <c r="J22" s="23">
        <f>$B22*'CCaMC-BSCpUC US'!J22/'CCaMC-BSCpUC US'!$B22</f>
        <v>1420387.6483446946</v>
      </c>
      <c r="K22" s="23">
        <f>$B22*'CCaMC-BSCpUC US'!K22/'CCaMC-BSCpUC US'!$B22</f>
        <v>1412567.8528792427</v>
      </c>
      <c r="L22" s="23">
        <f>$B22*'CCaMC-BSCpUC US'!L22/'CCaMC-BSCpUC US'!$B22</f>
        <v>1404748.0574137911</v>
      </c>
      <c r="M22" s="23">
        <f>$B22*'CCaMC-BSCpUC US'!M22/'CCaMC-BSCpUC US'!$B22</f>
        <v>1396928.2619483389</v>
      </c>
      <c r="N22" s="23">
        <f>$B22*'CCaMC-BSCpUC US'!N22/'CCaMC-BSCpUC US'!$B22</f>
        <v>1381288.6710174351</v>
      </c>
      <c r="O22" s="23">
        <f>$B22*'CCaMC-BSCpUC US'!O22/'CCaMC-BSCpUC US'!$B22</f>
        <v>1373468.875551983</v>
      </c>
      <c r="P22" s="23">
        <f>$B22*'CCaMC-BSCpUC US'!P22/'CCaMC-BSCpUC US'!$B22</f>
        <v>1373468.875551983</v>
      </c>
      <c r="Q22" s="23">
        <f>$B22*'CCaMC-BSCpUC US'!Q22/'CCaMC-BSCpUC US'!$B22</f>
        <v>1360733.7800796758</v>
      </c>
      <c r="R22" s="23">
        <f>$B22*'CCaMC-BSCpUC US'!R22/'CCaMC-BSCpUC US'!$B22</f>
        <v>1347954.0000618512</v>
      </c>
      <c r="S22" s="23">
        <f>$B22*'CCaMC-BSCpUC US'!S22/'CCaMC-BSCpUC US'!$B22</f>
        <v>1335218.9045895438</v>
      </c>
      <c r="T22" s="23">
        <f>$B22*'CCaMC-BSCpUC US'!T22/'CCaMC-BSCpUC US'!$B22</f>
        <v>1322439.1245717197</v>
      </c>
      <c r="U22" s="23">
        <f>$B22*'CCaMC-BSCpUC US'!U22/'CCaMC-BSCpUC US'!$B22</f>
        <v>1309659.3445538951</v>
      </c>
      <c r="V22" s="23">
        <f>$B22*'CCaMC-BSCpUC US'!V22/'CCaMC-BSCpUC US'!$B22</f>
        <v>1296924.2490815879</v>
      </c>
      <c r="W22" s="23">
        <f>$B22*'CCaMC-BSCpUC US'!W22/'CCaMC-BSCpUC US'!$B22</f>
        <v>1284144.4690637635</v>
      </c>
      <c r="X22" s="23">
        <f>$B22*'CCaMC-BSCpUC US'!X22/'CCaMC-BSCpUC US'!$B22</f>
        <v>1271409.3735914559</v>
      </c>
      <c r="Y22" s="23">
        <f>$B22*'CCaMC-BSCpUC US'!Y22/'CCaMC-BSCpUC US'!$B22</f>
        <v>1258629.5935736315</v>
      </c>
      <c r="Z22" s="23">
        <f>$B22*'CCaMC-BSCpUC US'!Z22/'CCaMC-BSCpUC US'!$B22</f>
        <v>1245849.8135558071</v>
      </c>
      <c r="AA22" s="23">
        <f>$B22*'CCaMC-BSCpUC US'!AA22/'CCaMC-BSCpUC US'!$B22</f>
        <v>1233114.7180834997</v>
      </c>
      <c r="AB22" s="23">
        <f>$B22*'CCaMC-BSCpUC US'!AB22/'CCaMC-BSCpUC US'!$B22</f>
        <v>1220334.9380656751</v>
      </c>
      <c r="AC22" s="23">
        <f>$B22*'CCaMC-BSCpUC US'!AC22/'CCaMC-BSCpUC US'!$B22</f>
        <v>1207599.8425933677</v>
      </c>
      <c r="AD22" s="23">
        <f>$B22*'CCaMC-BSCpUC US'!AD22/'CCaMC-BSCpUC US'!$B22</f>
        <v>1194820.0625755435</v>
      </c>
      <c r="AE22" s="23">
        <f>$B22*'CCaMC-BSCpUC US'!AE22/'CCaMC-BSCpUC US'!$B22</f>
        <v>1182084.9671032361</v>
      </c>
    </row>
    <row r="23" spans="1:31">
      <c r="A23" s="28" t="s">
        <v>88</v>
      </c>
      <c r="B23" s="28">
        <v>0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</row>
    <row r="24" spans="1:31">
      <c r="A24" s="28" t="s">
        <v>89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</row>
    <row r="25" spans="1:31">
      <c r="A25" s="28" t="s">
        <v>90</v>
      </c>
      <c r="B25" s="28">
        <v>0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47E9A-CE4A-4416-AF20-A14ED4CD131E}">
  <sheetPr>
    <tabColor theme="3"/>
  </sheetPr>
  <dimension ref="A1:AE25"/>
  <sheetViews>
    <sheetView topLeftCell="L1" zoomScale="70" zoomScaleNormal="70" workbookViewId="0">
      <selection activeCell="Y33" sqref="Y33"/>
    </sheetView>
  </sheetViews>
  <sheetFormatPr defaultColWidth="9.08984375" defaultRowHeight="14.5"/>
  <cols>
    <col min="1" max="1" width="38.36328125" bestFit="1" customWidth="1"/>
    <col min="2" max="2" width="38.36328125" customWidth="1"/>
    <col min="3" max="15" width="9.08984375" customWidth="1"/>
  </cols>
  <sheetData>
    <row r="1" spans="1:31">
      <c r="A1" s="12" t="s">
        <v>35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28" t="s">
        <v>36</v>
      </c>
      <c r="B2" s="11">
        <f>'CCaMC-BCCUSRCpUC US'!B2</f>
        <v>99999</v>
      </c>
      <c r="C2" s="11">
        <f>'CCaMC-BCCUSRCpUC US'!C2</f>
        <v>99999</v>
      </c>
      <c r="D2" s="11">
        <f>'CCaMC-BCCUSRCpUC US'!D2</f>
        <v>99999</v>
      </c>
      <c r="E2" s="11">
        <f>'CCaMC-BCCUSRCpUC US'!E2</f>
        <v>99999</v>
      </c>
      <c r="F2" s="11">
        <f>'CCaMC-BCCUSRCpUC US'!F2</f>
        <v>99999</v>
      </c>
      <c r="G2" s="11">
        <f>'CCaMC-BCCUSRCpUC US'!G2</f>
        <v>99999</v>
      </c>
      <c r="H2" s="11">
        <f>'CCaMC-BCCUSRCpUC US'!H2</f>
        <v>99999</v>
      </c>
      <c r="I2" s="11">
        <f>'CCaMC-BCCUSRCpUC US'!I2</f>
        <v>99999</v>
      </c>
      <c r="J2" s="11">
        <f>'CCaMC-BCCUSRCpUC US'!J2</f>
        <v>99999</v>
      </c>
      <c r="K2" s="11">
        <f>'CCaMC-BCCUSRCpUC US'!K2</f>
        <v>99999</v>
      </c>
      <c r="L2" s="11">
        <f>'CCaMC-BCCUSRCpUC US'!L2</f>
        <v>99999</v>
      </c>
      <c r="M2" s="11">
        <f>'CCaMC-BCCUSRCpUC US'!M2</f>
        <v>99999</v>
      </c>
      <c r="N2" s="11">
        <f>'CCaMC-BCCUSRCpUC US'!N2</f>
        <v>99999</v>
      </c>
      <c r="O2" s="11">
        <f>'CCaMC-BCCUSRCpUC US'!O2</f>
        <v>99999</v>
      </c>
      <c r="P2" s="11">
        <f>'CCaMC-BCCUSRCpUC US'!P2</f>
        <v>99999</v>
      </c>
      <c r="Q2" s="11">
        <f>'CCaMC-BCCUSRCpUC US'!Q2</f>
        <v>99999</v>
      </c>
      <c r="R2" s="11">
        <f>'CCaMC-BCCUSRCpUC US'!R2</f>
        <v>99999</v>
      </c>
      <c r="S2" s="11">
        <f>'CCaMC-BCCUSRCpUC US'!S2</f>
        <v>99999</v>
      </c>
      <c r="T2" s="11">
        <f>'CCaMC-BCCUSRCpUC US'!T2</f>
        <v>99999</v>
      </c>
      <c r="U2" s="11">
        <f>'CCaMC-BCCUSRCpUC US'!U2</f>
        <v>99999</v>
      </c>
      <c r="V2" s="11">
        <f>'CCaMC-BCCUSRCpUC US'!V2</f>
        <v>99999</v>
      </c>
      <c r="W2" s="11">
        <f>'CCaMC-BCCUSRCpUC US'!W2</f>
        <v>99999</v>
      </c>
      <c r="X2" s="11">
        <f>'CCaMC-BCCUSRCpUC US'!X2</f>
        <v>99999</v>
      </c>
      <c r="Y2" s="11">
        <f>'CCaMC-BCCUSRCpUC US'!Y2</f>
        <v>99999</v>
      </c>
      <c r="Z2" s="11">
        <f>'CCaMC-BCCUSRCpUC US'!Z2</f>
        <v>99999</v>
      </c>
      <c r="AA2" s="11">
        <f>'CCaMC-BCCUSRCpUC US'!AA2</f>
        <v>99999</v>
      </c>
      <c r="AB2" s="11">
        <f>'CCaMC-BCCUSRCpUC US'!AB2</f>
        <v>99999</v>
      </c>
      <c r="AC2" s="11">
        <f>'CCaMC-BCCUSRCpUC US'!AC2</f>
        <v>99999</v>
      </c>
      <c r="AD2" s="11">
        <f>'CCaMC-BCCUSRCpUC US'!AD2</f>
        <v>99999</v>
      </c>
      <c r="AE2" s="11">
        <f>'CCaMC-BCCUSRCpUC US'!AE2</f>
        <v>99999</v>
      </c>
    </row>
    <row r="3" spans="1:31">
      <c r="A3" s="28" t="s">
        <v>86</v>
      </c>
      <c r="B3" s="11">
        <f>'CCaMC-BCCUSRCpUC US'!B3</f>
        <v>99999</v>
      </c>
      <c r="C3" s="11">
        <f>'CCaMC-BCCUSRCpUC US'!C3</f>
        <v>99999</v>
      </c>
      <c r="D3" s="11">
        <f>'CCaMC-BCCUSRCpUC US'!D3</f>
        <v>99999</v>
      </c>
      <c r="E3" s="11">
        <f>'CCaMC-BCCUSRCpUC US'!E3</f>
        <v>99999</v>
      </c>
      <c r="F3" s="11">
        <f>'CCaMC-BCCUSRCpUC US'!F3</f>
        <v>99999</v>
      </c>
      <c r="G3" s="11">
        <f>'CCaMC-BCCUSRCpUC US'!G3</f>
        <v>99999</v>
      </c>
      <c r="H3" s="11">
        <f>'CCaMC-BCCUSRCpUC US'!H3</f>
        <v>99999</v>
      </c>
      <c r="I3" s="11">
        <f>'CCaMC-BCCUSRCpUC US'!I3</f>
        <v>99999</v>
      </c>
      <c r="J3" s="11">
        <f>'CCaMC-BCCUSRCpUC US'!J3</f>
        <v>99999</v>
      </c>
      <c r="K3" s="11">
        <f>'CCaMC-BCCUSRCpUC US'!K3</f>
        <v>99999</v>
      </c>
      <c r="L3" s="11">
        <f>'CCaMC-BCCUSRCpUC US'!L3</f>
        <v>99999</v>
      </c>
      <c r="M3" s="11">
        <f>'CCaMC-BCCUSRCpUC US'!M3</f>
        <v>99999</v>
      </c>
      <c r="N3" s="11">
        <f>'CCaMC-BCCUSRCpUC US'!N3</f>
        <v>99999</v>
      </c>
      <c r="O3" s="11">
        <f>'CCaMC-BCCUSRCpUC US'!O3</f>
        <v>99999</v>
      </c>
      <c r="P3" s="11">
        <f>'CCaMC-BCCUSRCpUC US'!P3</f>
        <v>99999</v>
      </c>
      <c r="Q3" s="11">
        <f>'CCaMC-BCCUSRCpUC US'!Q3</f>
        <v>99999</v>
      </c>
      <c r="R3" s="11">
        <f>'CCaMC-BCCUSRCpUC US'!R3</f>
        <v>99999</v>
      </c>
      <c r="S3" s="11">
        <f>'CCaMC-BCCUSRCpUC US'!S3</f>
        <v>99999</v>
      </c>
      <c r="T3" s="11">
        <f>'CCaMC-BCCUSRCpUC US'!T3</f>
        <v>99999</v>
      </c>
      <c r="U3" s="11">
        <f>'CCaMC-BCCUSRCpUC US'!U3</f>
        <v>99999</v>
      </c>
      <c r="V3" s="11">
        <f>'CCaMC-BCCUSRCpUC US'!V3</f>
        <v>99999</v>
      </c>
      <c r="W3" s="11">
        <f>'CCaMC-BCCUSRCpUC US'!W3</f>
        <v>99999</v>
      </c>
      <c r="X3" s="11">
        <f>'CCaMC-BCCUSRCpUC US'!X3</f>
        <v>99999</v>
      </c>
      <c r="Y3" s="11">
        <f>'CCaMC-BCCUSRCpUC US'!Y3</f>
        <v>99999</v>
      </c>
      <c r="Z3" s="11">
        <f>'CCaMC-BCCUSRCpUC US'!Z3</f>
        <v>99999</v>
      </c>
      <c r="AA3" s="11">
        <f>'CCaMC-BCCUSRCpUC US'!AA3</f>
        <v>99999</v>
      </c>
      <c r="AB3" s="11">
        <f>'CCaMC-BCCUSRCpUC US'!AB3</f>
        <v>99999</v>
      </c>
      <c r="AC3" s="11">
        <f>'CCaMC-BCCUSRCpUC US'!AC3</f>
        <v>99999</v>
      </c>
      <c r="AD3" s="11">
        <f>'CCaMC-BCCUSRCpUC US'!AD3</f>
        <v>99999</v>
      </c>
      <c r="AE3" s="11">
        <f>'CCaMC-BCCUSRCpUC US'!AE3</f>
        <v>99999</v>
      </c>
    </row>
    <row r="4" spans="1:31">
      <c r="A4" s="28" t="s">
        <v>87</v>
      </c>
      <c r="B4" s="11">
        <f>'CCaMC-BCCUSRCpUC US'!B4</f>
        <v>99999</v>
      </c>
      <c r="C4" s="11">
        <f>'CCaMC-BCCUSRCpUC US'!C4</f>
        <v>99999</v>
      </c>
      <c r="D4" s="11">
        <f>'CCaMC-BCCUSRCpUC US'!D4</f>
        <v>99999</v>
      </c>
      <c r="E4" s="11">
        <f>'CCaMC-BCCUSRCpUC US'!E4</f>
        <v>99999</v>
      </c>
      <c r="F4" s="11">
        <f>'CCaMC-BCCUSRCpUC US'!F4</f>
        <v>99999</v>
      </c>
      <c r="G4" s="11">
        <f>'CCaMC-BCCUSRCpUC US'!G4</f>
        <v>99999</v>
      </c>
      <c r="H4" s="11">
        <f>'CCaMC-BCCUSRCpUC US'!H4</f>
        <v>99999</v>
      </c>
      <c r="I4" s="11">
        <f>'CCaMC-BCCUSRCpUC US'!I4</f>
        <v>99999</v>
      </c>
      <c r="J4" s="11">
        <f>'CCaMC-BCCUSRCpUC US'!J4</f>
        <v>99999</v>
      </c>
      <c r="K4" s="11">
        <f>'CCaMC-BCCUSRCpUC US'!K4</f>
        <v>99999</v>
      </c>
      <c r="L4" s="11">
        <f>'CCaMC-BCCUSRCpUC US'!L4</f>
        <v>99999</v>
      </c>
      <c r="M4" s="11">
        <f>'CCaMC-BCCUSRCpUC US'!M4</f>
        <v>99999</v>
      </c>
      <c r="N4" s="11">
        <f>'CCaMC-BCCUSRCpUC US'!N4</f>
        <v>99999</v>
      </c>
      <c r="O4" s="11">
        <f>'CCaMC-BCCUSRCpUC US'!O4</f>
        <v>99999</v>
      </c>
      <c r="P4" s="11">
        <f>'CCaMC-BCCUSRCpUC US'!P4</f>
        <v>99999</v>
      </c>
      <c r="Q4" s="11">
        <f>'CCaMC-BCCUSRCpUC US'!Q4</f>
        <v>99999</v>
      </c>
      <c r="R4" s="11">
        <f>'CCaMC-BCCUSRCpUC US'!R4</f>
        <v>99999</v>
      </c>
      <c r="S4" s="11">
        <f>'CCaMC-BCCUSRCpUC US'!S4</f>
        <v>99999</v>
      </c>
      <c r="T4" s="11">
        <f>'CCaMC-BCCUSRCpUC US'!T4</f>
        <v>99999</v>
      </c>
      <c r="U4" s="11">
        <f>'CCaMC-BCCUSRCpUC US'!U4</f>
        <v>99999</v>
      </c>
      <c r="V4" s="11">
        <f>'CCaMC-BCCUSRCpUC US'!V4</f>
        <v>99999</v>
      </c>
      <c r="W4" s="11">
        <f>'CCaMC-BCCUSRCpUC US'!W4</f>
        <v>99999</v>
      </c>
      <c r="X4" s="11">
        <f>'CCaMC-BCCUSRCpUC US'!X4</f>
        <v>99999</v>
      </c>
      <c r="Y4" s="11">
        <f>'CCaMC-BCCUSRCpUC US'!Y4</f>
        <v>99999</v>
      </c>
      <c r="Z4" s="11">
        <f>'CCaMC-BCCUSRCpUC US'!Z4</f>
        <v>99999</v>
      </c>
      <c r="AA4" s="11">
        <f>'CCaMC-BCCUSRCpUC US'!AA4</f>
        <v>99999</v>
      </c>
      <c r="AB4" s="11">
        <f>'CCaMC-BCCUSRCpUC US'!AB4</f>
        <v>99999</v>
      </c>
      <c r="AC4" s="11">
        <f>'CCaMC-BCCUSRCpUC US'!AC4</f>
        <v>99999</v>
      </c>
      <c r="AD4" s="11">
        <f>'CCaMC-BCCUSRCpUC US'!AD4</f>
        <v>99999</v>
      </c>
      <c r="AE4" s="11">
        <f>'CCaMC-BCCUSRCpUC US'!AE4</f>
        <v>99999</v>
      </c>
    </row>
    <row r="5" spans="1:31">
      <c r="A5" s="28" t="s">
        <v>24</v>
      </c>
      <c r="B5" s="11">
        <f>'CCaMC-BCCUSRCpUC US'!B5</f>
        <v>99999</v>
      </c>
      <c r="C5" s="11">
        <f>'CCaMC-BCCUSRCpUC US'!C5</f>
        <v>99999</v>
      </c>
      <c r="D5" s="11">
        <f>'CCaMC-BCCUSRCpUC US'!D5</f>
        <v>99999</v>
      </c>
      <c r="E5" s="11">
        <f>'CCaMC-BCCUSRCpUC US'!E5</f>
        <v>99999</v>
      </c>
      <c r="F5" s="11">
        <f>'CCaMC-BCCUSRCpUC US'!F5</f>
        <v>99999</v>
      </c>
      <c r="G5" s="11">
        <f>'CCaMC-BCCUSRCpUC US'!G5</f>
        <v>99999</v>
      </c>
      <c r="H5" s="11">
        <f>'CCaMC-BCCUSRCpUC US'!H5</f>
        <v>99999</v>
      </c>
      <c r="I5" s="11">
        <f>'CCaMC-BCCUSRCpUC US'!I5</f>
        <v>99999</v>
      </c>
      <c r="J5" s="11">
        <f>'CCaMC-BCCUSRCpUC US'!J5</f>
        <v>99999</v>
      </c>
      <c r="K5" s="11">
        <f>'CCaMC-BCCUSRCpUC US'!K5</f>
        <v>99999</v>
      </c>
      <c r="L5" s="11">
        <f>'CCaMC-BCCUSRCpUC US'!L5</f>
        <v>99999</v>
      </c>
      <c r="M5" s="11">
        <f>'CCaMC-BCCUSRCpUC US'!M5</f>
        <v>99999</v>
      </c>
      <c r="N5" s="11">
        <f>'CCaMC-BCCUSRCpUC US'!N5</f>
        <v>99999</v>
      </c>
      <c r="O5" s="11">
        <f>'CCaMC-BCCUSRCpUC US'!O5</f>
        <v>99999</v>
      </c>
      <c r="P5" s="11">
        <f>'CCaMC-BCCUSRCpUC US'!P5</f>
        <v>99999</v>
      </c>
      <c r="Q5" s="11">
        <f>'CCaMC-BCCUSRCpUC US'!Q5</f>
        <v>99999</v>
      </c>
      <c r="R5" s="11">
        <f>'CCaMC-BCCUSRCpUC US'!R5</f>
        <v>99999</v>
      </c>
      <c r="S5" s="11">
        <f>'CCaMC-BCCUSRCpUC US'!S5</f>
        <v>99999</v>
      </c>
      <c r="T5" s="11">
        <f>'CCaMC-BCCUSRCpUC US'!T5</f>
        <v>99999</v>
      </c>
      <c r="U5" s="11">
        <f>'CCaMC-BCCUSRCpUC US'!U5</f>
        <v>99999</v>
      </c>
      <c r="V5" s="11">
        <f>'CCaMC-BCCUSRCpUC US'!V5</f>
        <v>99999</v>
      </c>
      <c r="W5" s="11">
        <f>'CCaMC-BCCUSRCpUC US'!W5</f>
        <v>99999</v>
      </c>
      <c r="X5" s="11">
        <f>'CCaMC-BCCUSRCpUC US'!X5</f>
        <v>99999</v>
      </c>
      <c r="Y5" s="11">
        <f>'CCaMC-BCCUSRCpUC US'!Y5</f>
        <v>99999</v>
      </c>
      <c r="Z5" s="11">
        <f>'CCaMC-BCCUSRCpUC US'!Z5</f>
        <v>99999</v>
      </c>
      <c r="AA5" s="11">
        <f>'CCaMC-BCCUSRCpUC US'!AA5</f>
        <v>99999</v>
      </c>
      <c r="AB5" s="11">
        <f>'CCaMC-BCCUSRCpUC US'!AB5</f>
        <v>99999</v>
      </c>
      <c r="AC5" s="11">
        <f>'CCaMC-BCCUSRCpUC US'!AC5</f>
        <v>99999</v>
      </c>
      <c r="AD5" s="11">
        <f>'CCaMC-BCCUSRCpUC US'!AD5</f>
        <v>99999</v>
      </c>
      <c r="AE5" s="11">
        <f>'CCaMC-BCCUSRCpUC US'!AE5</f>
        <v>99999</v>
      </c>
    </row>
    <row r="6" spans="1:31">
      <c r="A6" s="28" t="s">
        <v>25</v>
      </c>
      <c r="B6" s="11">
        <f>'CCaMC-BCCUSRCpUC US'!B6</f>
        <v>99999</v>
      </c>
      <c r="C6" s="11">
        <f>'CCaMC-BCCUSRCpUC US'!C6</f>
        <v>99999</v>
      </c>
      <c r="D6" s="11">
        <f>'CCaMC-BCCUSRCpUC US'!D6</f>
        <v>99999</v>
      </c>
      <c r="E6" s="11">
        <f>'CCaMC-BCCUSRCpUC US'!E6</f>
        <v>99999</v>
      </c>
      <c r="F6" s="11">
        <f>'CCaMC-BCCUSRCpUC US'!F6</f>
        <v>99999</v>
      </c>
      <c r="G6" s="11">
        <f>'CCaMC-BCCUSRCpUC US'!G6</f>
        <v>99999</v>
      </c>
      <c r="H6" s="11">
        <f>'CCaMC-BCCUSRCpUC US'!H6</f>
        <v>99999</v>
      </c>
      <c r="I6" s="11">
        <f>'CCaMC-BCCUSRCpUC US'!I6</f>
        <v>99999</v>
      </c>
      <c r="J6" s="11">
        <f>'CCaMC-BCCUSRCpUC US'!J6</f>
        <v>99999</v>
      </c>
      <c r="K6" s="11">
        <f>'CCaMC-BCCUSRCpUC US'!K6</f>
        <v>99999</v>
      </c>
      <c r="L6" s="11">
        <f>'CCaMC-BCCUSRCpUC US'!L6</f>
        <v>99999</v>
      </c>
      <c r="M6" s="11">
        <f>'CCaMC-BCCUSRCpUC US'!M6</f>
        <v>99999</v>
      </c>
      <c r="N6" s="11">
        <f>'CCaMC-BCCUSRCpUC US'!N6</f>
        <v>99999</v>
      </c>
      <c r="O6" s="11">
        <f>'CCaMC-BCCUSRCpUC US'!O6</f>
        <v>99999</v>
      </c>
      <c r="P6" s="11">
        <f>'CCaMC-BCCUSRCpUC US'!P6</f>
        <v>99999</v>
      </c>
      <c r="Q6" s="11">
        <f>'CCaMC-BCCUSRCpUC US'!Q6</f>
        <v>99999</v>
      </c>
      <c r="R6" s="11">
        <f>'CCaMC-BCCUSRCpUC US'!R6</f>
        <v>99999</v>
      </c>
      <c r="S6" s="11">
        <f>'CCaMC-BCCUSRCpUC US'!S6</f>
        <v>99999</v>
      </c>
      <c r="T6" s="11">
        <f>'CCaMC-BCCUSRCpUC US'!T6</f>
        <v>99999</v>
      </c>
      <c r="U6" s="11">
        <f>'CCaMC-BCCUSRCpUC US'!U6</f>
        <v>99999</v>
      </c>
      <c r="V6" s="11">
        <f>'CCaMC-BCCUSRCpUC US'!V6</f>
        <v>99999</v>
      </c>
      <c r="W6" s="11">
        <f>'CCaMC-BCCUSRCpUC US'!W6</f>
        <v>99999</v>
      </c>
      <c r="X6" s="11">
        <f>'CCaMC-BCCUSRCpUC US'!X6</f>
        <v>99999</v>
      </c>
      <c r="Y6" s="11">
        <f>'CCaMC-BCCUSRCpUC US'!Y6</f>
        <v>99999</v>
      </c>
      <c r="Z6" s="11">
        <f>'CCaMC-BCCUSRCpUC US'!Z6</f>
        <v>99999</v>
      </c>
      <c r="AA6" s="11">
        <f>'CCaMC-BCCUSRCpUC US'!AA6</f>
        <v>99999</v>
      </c>
      <c r="AB6" s="11">
        <f>'CCaMC-BCCUSRCpUC US'!AB6</f>
        <v>99999</v>
      </c>
      <c r="AC6" s="11">
        <f>'CCaMC-BCCUSRCpUC US'!AC6</f>
        <v>99999</v>
      </c>
      <c r="AD6" s="11">
        <f>'CCaMC-BCCUSRCpUC US'!AD6</f>
        <v>99999</v>
      </c>
      <c r="AE6" s="11">
        <f>'CCaMC-BCCUSRCpUC US'!AE6</f>
        <v>99999</v>
      </c>
    </row>
    <row r="7" spans="1:31">
      <c r="A7" s="28" t="s">
        <v>124</v>
      </c>
      <c r="B7" s="11">
        <f>'CCaMC-BCCUSRCpUC US'!B7</f>
        <v>99999</v>
      </c>
      <c r="C7" s="11">
        <f>'CCaMC-BCCUSRCpUC US'!C7</f>
        <v>99999</v>
      </c>
      <c r="D7" s="11">
        <f>'CCaMC-BCCUSRCpUC US'!D7</f>
        <v>99999</v>
      </c>
      <c r="E7" s="11">
        <f>'CCaMC-BCCUSRCpUC US'!E7</f>
        <v>99999</v>
      </c>
      <c r="F7" s="11">
        <f>'CCaMC-BCCUSRCpUC US'!F7</f>
        <v>99999</v>
      </c>
      <c r="G7" s="11">
        <f>'CCaMC-BCCUSRCpUC US'!G7</f>
        <v>99999</v>
      </c>
      <c r="H7" s="11">
        <f>'CCaMC-BCCUSRCpUC US'!H7</f>
        <v>99999</v>
      </c>
      <c r="I7" s="11">
        <f>'CCaMC-BCCUSRCpUC US'!I7</f>
        <v>99999</v>
      </c>
      <c r="J7" s="11">
        <f>'CCaMC-BCCUSRCpUC US'!J7</f>
        <v>99999</v>
      </c>
      <c r="K7" s="11">
        <f>'CCaMC-BCCUSRCpUC US'!K7</f>
        <v>99999</v>
      </c>
      <c r="L7" s="11">
        <f>'CCaMC-BCCUSRCpUC US'!L7</f>
        <v>99999</v>
      </c>
      <c r="M7" s="11">
        <f>'CCaMC-BCCUSRCpUC US'!M7</f>
        <v>99999</v>
      </c>
      <c r="N7" s="11">
        <f>'CCaMC-BCCUSRCpUC US'!N7</f>
        <v>99999</v>
      </c>
      <c r="O7" s="11">
        <f>'CCaMC-BCCUSRCpUC US'!O7</f>
        <v>99999</v>
      </c>
      <c r="P7" s="11">
        <f>'CCaMC-BCCUSRCpUC US'!P7</f>
        <v>99999</v>
      </c>
      <c r="Q7" s="11">
        <f>'CCaMC-BCCUSRCpUC US'!Q7</f>
        <v>99999</v>
      </c>
      <c r="R7" s="11">
        <f>'CCaMC-BCCUSRCpUC US'!R7</f>
        <v>99999</v>
      </c>
      <c r="S7" s="11">
        <f>'CCaMC-BCCUSRCpUC US'!S7</f>
        <v>99999</v>
      </c>
      <c r="T7" s="11">
        <f>'CCaMC-BCCUSRCpUC US'!T7</f>
        <v>99999</v>
      </c>
      <c r="U7" s="11">
        <f>'CCaMC-BCCUSRCpUC US'!U7</f>
        <v>99999</v>
      </c>
      <c r="V7" s="11">
        <f>'CCaMC-BCCUSRCpUC US'!V7</f>
        <v>99999</v>
      </c>
      <c r="W7" s="11">
        <f>'CCaMC-BCCUSRCpUC US'!W7</f>
        <v>99999</v>
      </c>
      <c r="X7" s="11">
        <f>'CCaMC-BCCUSRCpUC US'!X7</f>
        <v>99999</v>
      </c>
      <c r="Y7" s="11">
        <f>'CCaMC-BCCUSRCpUC US'!Y7</f>
        <v>99999</v>
      </c>
      <c r="Z7" s="11">
        <f>'CCaMC-BCCUSRCpUC US'!Z7</f>
        <v>99999</v>
      </c>
      <c r="AA7" s="11">
        <f>'CCaMC-BCCUSRCpUC US'!AA7</f>
        <v>99999</v>
      </c>
      <c r="AB7" s="11">
        <f>'CCaMC-BCCUSRCpUC US'!AB7</f>
        <v>99999</v>
      </c>
      <c r="AC7" s="11">
        <f>'CCaMC-BCCUSRCpUC US'!AC7</f>
        <v>99999</v>
      </c>
      <c r="AD7" s="11">
        <f>'CCaMC-BCCUSRCpUC US'!AD7</f>
        <v>99999</v>
      </c>
      <c r="AE7" s="11">
        <f>'CCaMC-BCCUSRCpUC US'!AE7</f>
        <v>99999</v>
      </c>
    </row>
    <row r="8" spans="1:31">
      <c r="A8" s="28" t="s">
        <v>125</v>
      </c>
      <c r="B8" s="11">
        <f>'CCaMC-BCCUSRCpUC US'!B8</f>
        <v>99999</v>
      </c>
      <c r="C8" s="11">
        <f>'CCaMC-BCCUSRCpUC US'!C8</f>
        <v>99999</v>
      </c>
      <c r="D8" s="11">
        <f>'CCaMC-BCCUSRCpUC US'!D8</f>
        <v>99999</v>
      </c>
      <c r="E8" s="11">
        <f>'CCaMC-BCCUSRCpUC US'!E8</f>
        <v>99999</v>
      </c>
      <c r="F8" s="11">
        <f>'CCaMC-BCCUSRCpUC US'!F8</f>
        <v>99999</v>
      </c>
      <c r="G8" s="11">
        <f>'CCaMC-BCCUSRCpUC US'!G8</f>
        <v>99999</v>
      </c>
      <c r="H8" s="11">
        <f>'CCaMC-BCCUSRCpUC US'!H8</f>
        <v>99999</v>
      </c>
      <c r="I8" s="11">
        <f>'CCaMC-BCCUSRCpUC US'!I8</f>
        <v>99999</v>
      </c>
      <c r="J8" s="11">
        <f>'CCaMC-BCCUSRCpUC US'!J8</f>
        <v>99999</v>
      </c>
      <c r="K8" s="11">
        <f>'CCaMC-BCCUSRCpUC US'!K8</f>
        <v>99999</v>
      </c>
      <c r="L8" s="11">
        <f>'CCaMC-BCCUSRCpUC US'!L8</f>
        <v>99999</v>
      </c>
      <c r="M8" s="11">
        <f>'CCaMC-BCCUSRCpUC US'!M8</f>
        <v>99999</v>
      </c>
      <c r="N8" s="11">
        <f>'CCaMC-BCCUSRCpUC US'!N8</f>
        <v>99999</v>
      </c>
      <c r="O8" s="11">
        <f>'CCaMC-BCCUSRCpUC US'!O8</f>
        <v>99999</v>
      </c>
      <c r="P8" s="11">
        <f>'CCaMC-BCCUSRCpUC US'!P8</f>
        <v>99999</v>
      </c>
      <c r="Q8" s="11">
        <f>'CCaMC-BCCUSRCpUC US'!Q8</f>
        <v>99999</v>
      </c>
      <c r="R8" s="11">
        <f>'CCaMC-BCCUSRCpUC US'!R8</f>
        <v>99999</v>
      </c>
      <c r="S8" s="11">
        <f>'CCaMC-BCCUSRCpUC US'!S8</f>
        <v>99999</v>
      </c>
      <c r="T8" s="11">
        <f>'CCaMC-BCCUSRCpUC US'!T8</f>
        <v>99999</v>
      </c>
      <c r="U8" s="11">
        <f>'CCaMC-BCCUSRCpUC US'!U8</f>
        <v>99999</v>
      </c>
      <c r="V8" s="11">
        <f>'CCaMC-BCCUSRCpUC US'!V8</f>
        <v>99999</v>
      </c>
      <c r="W8" s="11">
        <f>'CCaMC-BCCUSRCpUC US'!W8</f>
        <v>99999</v>
      </c>
      <c r="X8" s="11">
        <f>'CCaMC-BCCUSRCpUC US'!X8</f>
        <v>99999</v>
      </c>
      <c r="Y8" s="11">
        <f>'CCaMC-BCCUSRCpUC US'!Y8</f>
        <v>99999</v>
      </c>
      <c r="Z8" s="11">
        <f>'CCaMC-BCCUSRCpUC US'!Z8</f>
        <v>99999</v>
      </c>
      <c r="AA8" s="11">
        <f>'CCaMC-BCCUSRCpUC US'!AA8</f>
        <v>99999</v>
      </c>
      <c r="AB8" s="11">
        <f>'CCaMC-BCCUSRCpUC US'!AB8</f>
        <v>99999</v>
      </c>
      <c r="AC8" s="11">
        <f>'CCaMC-BCCUSRCpUC US'!AC8</f>
        <v>99999</v>
      </c>
      <c r="AD8" s="11">
        <f>'CCaMC-BCCUSRCpUC US'!AD8</f>
        <v>99999</v>
      </c>
      <c r="AE8" s="11">
        <f>'CCaMC-BCCUSRCpUC US'!AE8</f>
        <v>99999</v>
      </c>
    </row>
    <row r="9" spans="1:31">
      <c r="A9" s="28" t="s">
        <v>26</v>
      </c>
      <c r="B9" s="11">
        <f>'CCaMC-BCCUSRCpUC US'!B9</f>
        <v>99999</v>
      </c>
      <c r="C9" s="11">
        <f>'CCaMC-BCCUSRCpUC US'!C9</f>
        <v>99999</v>
      </c>
      <c r="D9" s="11">
        <f>'CCaMC-BCCUSRCpUC US'!D9</f>
        <v>99999</v>
      </c>
      <c r="E9" s="11">
        <f>'CCaMC-BCCUSRCpUC US'!E9</f>
        <v>99999</v>
      </c>
      <c r="F9" s="11">
        <f>'CCaMC-BCCUSRCpUC US'!F9</f>
        <v>99999</v>
      </c>
      <c r="G9" s="11">
        <f>'CCaMC-BCCUSRCpUC US'!G9</f>
        <v>99999</v>
      </c>
      <c r="H9" s="11">
        <f>'CCaMC-BCCUSRCpUC US'!H9</f>
        <v>99999</v>
      </c>
      <c r="I9" s="11">
        <f>'CCaMC-BCCUSRCpUC US'!I9</f>
        <v>99999</v>
      </c>
      <c r="J9" s="11">
        <f>'CCaMC-BCCUSRCpUC US'!J9</f>
        <v>99999</v>
      </c>
      <c r="K9" s="11">
        <f>'CCaMC-BCCUSRCpUC US'!K9</f>
        <v>99999</v>
      </c>
      <c r="L9" s="11">
        <f>'CCaMC-BCCUSRCpUC US'!L9</f>
        <v>99999</v>
      </c>
      <c r="M9" s="11">
        <f>'CCaMC-BCCUSRCpUC US'!M9</f>
        <v>99999</v>
      </c>
      <c r="N9" s="11">
        <f>'CCaMC-BCCUSRCpUC US'!N9</f>
        <v>99999</v>
      </c>
      <c r="O9" s="11">
        <f>'CCaMC-BCCUSRCpUC US'!O9</f>
        <v>99999</v>
      </c>
      <c r="P9" s="11">
        <f>'CCaMC-BCCUSRCpUC US'!P9</f>
        <v>99999</v>
      </c>
      <c r="Q9" s="11">
        <f>'CCaMC-BCCUSRCpUC US'!Q9</f>
        <v>99999</v>
      </c>
      <c r="R9" s="11">
        <f>'CCaMC-BCCUSRCpUC US'!R9</f>
        <v>99999</v>
      </c>
      <c r="S9" s="11">
        <f>'CCaMC-BCCUSRCpUC US'!S9</f>
        <v>99999</v>
      </c>
      <c r="T9" s="11">
        <f>'CCaMC-BCCUSRCpUC US'!T9</f>
        <v>99999</v>
      </c>
      <c r="U9" s="11">
        <f>'CCaMC-BCCUSRCpUC US'!U9</f>
        <v>99999</v>
      </c>
      <c r="V9" s="11">
        <f>'CCaMC-BCCUSRCpUC US'!V9</f>
        <v>99999</v>
      </c>
      <c r="W9" s="11">
        <f>'CCaMC-BCCUSRCpUC US'!W9</f>
        <v>99999</v>
      </c>
      <c r="X9" s="11">
        <f>'CCaMC-BCCUSRCpUC US'!X9</f>
        <v>99999</v>
      </c>
      <c r="Y9" s="11">
        <f>'CCaMC-BCCUSRCpUC US'!Y9</f>
        <v>99999</v>
      </c>
      <c r="Z9" s="11">
        <f>'CCaMC-BCCUSRCpUC US'!Z9</f>
        <v>99999</v>
      </c>
      <c r="AA9" s="11">
        <f>'CCaMC-BCCUSRCpUC US'!AA9</f>
        <v>99999</v>
      </c>
      <c r="AB9" s="11">
        <f>'CCaMC-BCCUSRCpUC US'!AB9</f>
        <v>99999</v>
      </c>
      <c r="AC9" s="11">
        <f>'CCaMC-BCCUSRCpUC US'!AC9</f>
        <v>99999</v>
      </c>
      <c r="AD9" s="11">
        <f>'CCaMC-BCCUSRCpUC US'!AD9</f>
        <v>99999</v>
      </c>
      <c r="AE9" s="11">
        <f>'CCaMC-BCCUSRCpUC US'!AE9</f>
        <v>99999</v>
      </c>
    </row>
    <row r="10" spans="1:31">
      <c r="A10" s="28" t="s">
        <v>27</v>
      </c>
      <c r="B10" s="11">
        <f>'CCaMC-BCCUSRCpUC US'!B10</f>
        <v>99999</v>
      </c>
      <c r="C10" s="11">
        <f>'CCaMC-BCCUSRCpUC US'!C10</f>
        <v>99999</v>
      </c>
      <c r="D10" s="11">
        <f>'CCaMC-BCCUSRCpUC US'!D10</f>
        <v>99999</v>
      </c>
      <c r="E10" s="11">
        <f>'CCaMC-BCCUSRCpUC US'!E10</f>
        <v>99999</v>
      </c>
      <c r="F10" s="11">
        <f>'CCaMC-BCCUSRCpUC US'!F10</f>
        <v>99999</v>
      </c>
      <c r="G10" s="11">
        <f>'CCaMC-BCCUSRCpUC US'!G10</f>
        <v>99999</v>
      </c>
      <c r="H10" s="11">
        <f>'CCaMC-BCCUSRCpUC US'!H10</f>
        <v>99999</v>
      </c>
      <c r="I10" s="11">
        <f>'CCaMC-BCCUSRCpUC US'!I10</f>
        <v>99999</v>
      </c>
      <c r="J10" s="11">
        <f>'CCaMC-BCCUSRCpUC US'!J10</f>
        <v>99999</v>
      </c>
      <c r="K10" s="11">
        <f>'CCaMC-BCCUSRCpUC US'!K10</f>
        <v>99999</v>
      </c>
      <c r="L10" s="11">
        <f>'CCaMC-BCCUSRCpUC US'!L10</f>
        <v>99999</v>
      </c>
      <c r="M10" s="11">
        <f>'CCaMC-BCCUSRCpUC US'!M10</f>
        <v>99999</v>
      </c>
      <c r="N10" s="11">
        <f>'CCaMC-BCCUSRCpUC US'!N10</f>
        <v>99999</v>
      </c>
      <c r="O10" s="11">
        <f>'CCaMC-BCCUSRCpUC US'!O10</f>
        <v>99999</v>
      </c>
      <c r="P10" s="11">
        <f>'CCaMC-BCCUSRCpUC US'!P10</f>
        <v>99999</v>
      </c>
      <c r="Q10" s="11">
        <f>'CCaMC-BCCUSRCpUC US'!Q10</f>
        <v>99999</v>
      </c>
      <c r="R10" s="11">
        <f>'CCaMC-BCCUSRCpUC US'!R10</f>
        <v>99999</v>
      </c>
      <c r="S10" s="11">
        <f>'CCaMC-BCCUSRCpUC US'!S10</f>
        <v>99999</v>
      </c>
      <c r="T10" s="11">
        <f>'CCaMC-BCCUSRCpUC US'!T10</f>
        <v>99999</v>
      </c>
      <c r="U10" s="11">
        <f>'CCaMC-BCCUSRCpUC US'!U10</f>
        <v>99999</v>
      </c>
      <c r="V10" s="11">
        <f>'CCaMC-BCCUSRCpUC US'!V10</f>
        <v>99999</v>
      </c>
      <c r="W10" s="11">
        <f>'CCaMC-BCCUSRCpUC US'!W10</f>
        <v>99999</v>
      </c>
      <c r="X10" s="11">
        <f>'CCaMC-BCCUSRCpUC US'!X10</f>
        <v>99999</v>
      </c>
      <c r="Y10" s="11">
        <f>'CCaMC-BCCUSRCpUC US'!Y10</f>
        <v>99999</v>
      </c>
      <c r="Z10" s="11">
        <f>'CCaMC-BCCUSRCpUC US'!Z10</f>
        <v>99999</v>
      </c>
      <c r="AA10" s="11">
        <f>'CCaMC-BCCUSRCpUC US'!AA10</f>
        <v>99999</v>
      </c>
      <c r="AB10" s="11">
        <f>'CCaMC-BCCUSRCpUC US'!AB10</f>
        <v>99999</v>
      </c>
      <c r="AC10" s="11">
        <f>'CCaMC-BCCUSRCpUC US'!AC10</f>
        <v>99999</v>
      </c>
      <c r="AD10" s="11">
        <f>'CCaMC-BCCUSRCpUC US'!AD10</f>
        <v>99999</v>
      </c>
      <c r="AE10" s="11">
        <f>'CCaMC-BCCUSRCpUC US'!AE10</f>
        <v>99999</v>
      </c>
    </row>
    <row r="11" spans="1:31">
      <c r="A11" s="28" t="s">
        <v>28</v>
      </c>
      <c r="B11" s="11">
        <f>'CCaMC-BCCUSRCpUC US'!B11</f>
        <v>99999</v>
      </c>
      <c r="C11" s="11">
        <f>'CCaMC-BCCUSRCpUC US'!C11</f>
        <v>99999</v>
      </c>
      <c r="D11" s="11">
        <f>'CCaMC-BCCUSRCpUC US'!D11</f>
        <v>99999</v>
      </c>
      <c r="E11" s="11">
        <f>'CCaMC-BCCUSRCpUC US'!E11</f>
        <v>99999</v>
      </c>
      <c r="F11" s="11">
        <f>'CCaMC-BCCUSRCpUC US'!F11</f>
        <v>99999</v>
      </c>
      <c r="G11" s="11">
        <f>'CCaMC-BCCUSRCpUC US'!G11</f>
        <v>99999</v>
      </c>
      <c r="H11" s="11">
        <f>'CCaMC-BCCUSRCpUC US'!H11</f>
        <v>99999</v>
      </c>
      <c r="I11" s="11">
        <f>'CCaMC-BCCUSRCpUC US'!I11</f>
        <v>99999</v>
      </c>
      <c r="J11" s="11">
        <f>'CCaMC-BCCUSRCpUC US'!J11</f>
        <v>99999</v>
      </c>
      <c r="K11" s="11">
        <f>'CCaMC-BCCUSRCpUC US'!K11</f>
        <v>99999</v>
      </c>
      <c r="L11" s="11">
        <f>'CCaMC-BCCUSRCpUC US'!L11</f>
        <v>99999</v>
      </c>
      <c r="M11" s="11">
        <f>'CCaMC-BCCUSRCpUC US'!M11</f>
        <v>99999</v>
      </c>
      <c r="N11" s="11">
        <f>'CCaMC-BCCUSRCpUC US'!N11</f>
        <v>99999</v>
      </c>
      <c r="O11" s="11">
        <f>'CCaMC-BCCUSRCpUC US'!O11</f>
        <v>99999</v>
      </c>
      <c r="P11" s="11">
        <f>'CCaMC-BCCUSRCpUC US'!P11</f>
        <v>99999</v>
      </c>
      <c r="Q11" s="11">
        <f>'CCaMC-BCCUSRCpUC US'!Q11</f>
        <v>99999</v>
      </c>
      <c r="R11" s="11">
        <f>'CCaMC-BCCUSRCpUC US'!R11</f>
        <v>99999</v>
      </c>
      <c r="S11" s="11">
        <f>'CCaMC-BCCUSRCpUC US'!S11</f>
        <v>99999</v>
      </c>
      <c r="T11" s="11">
        <f>'CCaMC-BCCUSRCpUC US'!T11</f>
        <v>99999</v>
      </c>
      <c r="U11" s="11">
        <f>'CCaMC-BCCUSRCpUC US'!U11</f>
        <v>99999</v>
      </c>
      <c r="V11" s="11">
        <f>'CCaMC-BCCUSRCpUC US'!V11</f>
        <v>99999</v>
      </c>
      <c r="W11" s="11">
        <f>'CCaMC-BCCUSRCpUC US'!W11</f>
        <v>99999</v>
      </c>
      <c r="X11" s="11">
        <f>'CCaMC-BCCUSRCpUC US'!X11</f>
        <v>99999</v>
      </c>
      <c r="Y11" s="11">
        <f>'CCaMC-BCCUSRCpUC US'!Y11</f>
        <v>99999</v>
      </c>
      <c r="Z11" s="11">
        <f>'CCaMC-BCCUSRCpUC US'!Z11</f>
        <v>99999</v>
      </c>
      <c r="AA11" s="11">
        <f>'CCaMC-BCCUSRCpUC US'!AA11</f>
        <v>99999</v>
      </c>
      <c r="AB11" s="11">
        <f>'CCaMC-BCCUSRCpUC US'!AB11</f>
        <v>99999</v>
      </c>
      <c r="AC11" s="11">
        <f>'CCaMC-BCCUSRCpUC US'!AC11</f>
        <v>99999</v>
      </c>
      <c r="AD11" s="11">
        <f>'CCaMC-BCCUSRCpUC US'!AD11</f>
        <v>99999</v>
      </c>
      <c r="AE11" s="11">
        <f>'CCaMC-BCCUSRCpUC US'!AE11</f>
        <v>99999</v>
      </c>
    </row>
    <row r="12" spans="1:31">
      <c r="A12" s="28" t="s">
        <v>29</v>
      </c>
      <c r="B12" s="11">
        <f>'CCaMC-BCCUSRCpUC US'!B12</f>
        <v>99999</v>
      </c>
      <c r="C12" s="11">
        <f>'CCaMC-BCCUSRCpUC US'!C12</f>
        <v>99999</v>
      </c>
      <c r="D12" s="11">
        <f>'CCaMC-BCCUSRCpUC US'!D12</f>
        <v>99999</v>
      </c>
      <c r="E12" s="11">
        <f>'CCaMC-BCCUSRCpUC US'!E12</f>
        <v>99999</v>
      </c>
      <c r="F12" s="11">
        <f>'CCaMC-BCCUSRCpUC US'!F12</f>
        <v>99999</v>
      </c>
      <c r="G12" s="11">
        <f>'CCaMC-BCCUSRCpUC US'!G12</f>
        <v>99999</v>
      </c>
      <c r="H12" s="11">
        <f>'CCaMC-BCCUSRCpUC US'!H12</f>
        <v>99999</v>
      </c>
      <c r="I12" s="11">
        <f>'CCaMC-BCCUSRCpUC US'!I12</f>
        <v>99999</v>
      </c>
      <c r="J12" s="11">
        <f>'CCaMC-BCCUSRCpUC US'!J12</f>
        <v>99999</v>
      </c>
      <c r="K12" s="11">
        <f>'CCaMC-BCCUSRCpUC US'!K12</f>
        <v>99999</v>
      </c>
      <c r="L12" s="11">
        <f>'CCaMC-BCCUSRCpUC US'!L12</f>
        <v>99999</v>
      </c>
      <c r="M12" s="11">
        <f>'CCaMC-BCCUSRCpUC US'!M12</f>
        <v>99999</v>
      </c>
      <c r="N12" s="11">
        <f>'CCaMC-BCCUSRCpUC US'!N12</f>
        <v>99999</v>
      </c>
      <c r="O12" s="11">
        <f>'CCaMC-BCCUSRCpUC US'!O12</f>
        <v>99999</v>
      </c>
      <c r="P12" s="11">
        <f>'CCaMC-BCCUSRCpUC US'!P12</f>
        <v>99999</v>
      </c>
      <c r="Q12" s="11">
        <f>'CCaMC-BCCUSRCpUC US'!Q12</f>
        <v>99999</v>
      </c>
      <c r="R12" s="11">
        <f>'CCaMC-BCCUSRCpUC US'!R12</f>
        <v>99999</v>
      </c>
      <c r="S12" s="11">
        <f>'CCaMC-BCCUSRCpUC US'!S12</f>
        <v>99999</v>
      </c>
      <c r="T12" s="11">
        <f>'CCaMC-BCCUSRCpUC US'!T12</f>
        <v>99999</v>
      </c>
      <c r="U12" s="11">
        <f>'CCaMC-BCCUSRCpUC US'!U12</f>
        <v>99999</v>
      </c>
      <c r="V12" s="11">
        <f>'CCaMC-BCCUSRCpUC US'!V12</f>
        <v>99999</v>
      </c>
      <c r="W12" s="11">
        <f>'CCaMC-BCCUSRCpUC US'!W12</f>
        <v>99999</v>
      </c>
      <c r="X12" s="11">
        <f>'CCaMC-BCCUSRCpUC US'!X12</f>
        <v>99999</v>
      </c>
      <c r="Y12" s="11">
        <f>'CCaMC-BCCUSRCpUC US'!Y12</f>
        <v>99999</v>
      </c>
      <c r="Z12" s="11">
        <f>'CCaMC-BCCUSRCpUC US'!Z12</f>
        <v>99999</v>
      </c>
      <c r="AA12" s="11">
        <f>'CCaMC-BCCUSRCpUC US'!AA12</f>
        <v>99999</v>
      </c>
      <c r="AB12" s="11">
        <f>'CCaMC-BCCUSRCpUC US'!AB12</f>
        <v>99999</v>
      </c>
      <c r="AC12" s="11">
        <f>'CCaMC-BCCUSRCpUC US'!AC12</f>
        <v>99999</v>
      </c>
      <c r="AD12" s="11">
        <f>'CCaMC-BCCUSRCpUC US'!AD12</f>
        <v>99999</v>
      </c>
      <c r="AE12" s="11">
        <f>'CCaMC-BCCUSRCpUC US'!AE12</f>
        <v>99999</v>
      </c>
    </row>
    <row r="13" spans="1:31">
      <c r="A13" s="28" t="s">
        <v>30</v>
      </c>
      <c r="B13" s="11">
        <f>'CCaMC-BCCUSRCpUC US'!B13</f>
        <v>99999</v>
      </c>
      <c r="C13" s="11">
        <f>'CCaMC-BCCUSRCpUC US'!C13</f>
        <v>99999</v>
      </c>
      <c r="D13" s="11">
        <f>'CCaMC-BCCUSRCpUC US'!D13</f>
        <v>99999</v>
      </c>
      <c r="E13" s="11">
        <f>'CCaMC-BCCUSRCpUC US'!E13</f>
        <v>99999</v>
      </c>
      <c r="F13" s="11">
        <f>'CCaMC-BCCUSRCpUC US'!F13</f>
        <v>99999</v>
      </c>
      <c r="G13" s="11">
        <f>'CCaMC-BCCUSRCpUC US'!G13</f>
        <v>99999</v>
      </c>
      <c r="H13" s="11">
        <f>'CCaMC-BCCUSRCpUC US'!H13</f>
        <v>99999</v>
      </c>
      <c r="I13" s="11">
        <f>'CCaMC-BCCUSRCpUC US'!I13</f>
        <v>99999</v>
      </c>
      <c r="J13" s="11">
        <f>'CCaMC-BCCUSRCpUC US'!J13</f>
        <v>99999</v>
      </c>
      <c r="K13" s="11">
        <f>'CCaMC-BCCUSRCpUC US'!K13</f>
        <v>99999</v>
      </c>
      <c r="L13" s="11">
        <f>'CCaMC-BCCUSRCpUC US'!L13</f>
        <v>99999</v>
      </c>
      <c r="M13" s="11">
        <f>'CCaMC-BCCUSRCpUC US'!M13</f>
        <v>99999</v>
      </c>
      <c r="N13" s="11">
        <f>'CCaMC-BCCUSRCpUC US'!N13</f>
        <v>99999</v>
      </c>
      <c r="O13" s="11">
        <f>'CCaMC-BCCUSRCpUC US'!O13</f>
        <v>99999</v>
      </c>
      <c r="P13" s="11">
        <f>'CCaMC-BCCUSRCpUC US'!P13</f>
        <v>99999</v>
      </c>
      <c r="Q13" s="11">
        <f>'CCaMC-BCCUSRCpUC US'!Q13</f>
        <v>99999</v>
      </c>
      <c r="R13" s="11">
        <f>'CCaMC-BCCUSRCpUC US'!R13</f>
        <v>99999</v>
      </c>
      <c r="S13" s="11">
        <f>'CCaMC-BCCUSRCpUC US'!S13</f>
        <v>99999</v>
      </c>
      <c r="T13" s="11">
        <f>'CCaMC-BCCUSRCpUC US'!T13</f>
        <v>99999</v>
      </c>
      <c r="U13" s="11">
        <f>'CCaMC-BCCUSRCpUC US'!U13</f>
        <v>99999</v>
      </c>
      <c r="V13" s="11">
        <f>'CCaMC-BCCUSRCpUC US'!V13</f>
        <v>99999</v>
      </c>
      <c r="W13" s="11">
        <f>'CCaMC-BCCUSRCpUC US'!W13</f>
        <v>99999</v>
      </c>
      <c r="X13" s="11">
        <f>'CCaMC-BCCUSRCpUC US'!X13</f>
        <v>99999</v>
      </c>
      <c r="Y13" s="11">
        <f>'CCaMC-BCCUSRCpUC US'!Y13</f>
        <v>99999</v>
      </c>
      <c r="Z13" s="11">
        <f>'CCaMC-BCCUSRCpUC US'!Z13</f>
        <v>99999</v>
      </c>
      <c r="AA13" s="11">
        <f>'CCaMC-BCCUSRCpUC US'!AA13</f>
        <v>99999</v>
      </c>
      <c r="AB13" s="11">
        <f>'CCaMC-BCCUSRCpUC US'!AB13</f>
        <v>99999</v>
      </c>
      <c r="AC13" s="11">
        <f>'CCaMC-BCCUSRCpUC US'!AC13</f>
        <v>99999</v>
      </c>
      <c r="AD13" s="11">
        <f>'CCaMC-BCCUSRCpUC US'!AD13</f>
        <v>99999</v>
      </c>
      <c r="AE13" s="11">
        <f>'CCaMC-BCCUSRCpUC US'!AE13</f>
        <v>99999</v>
      </c>
    </row>
    <row r="14" spans="1:31">
      <c r="A14" s="28" t="s">
        <v>31</v>
      </c>
      <c r="B14" s="11">
        <f>'CCaMC-BCCUSRCpUC US'!B14</f>
        <v>99999</v>
      </c>
      <c r="C14" s="11">
        <f>'CCaMC-BCCUSRCpUC US'!C14</f>
        <v>99999</v>
      </c>
      <c r="D14" s="11">
        <f>'CCaMC-BCCUSRCpUC US'!D14</f>
        <v>99999</v>
      </c>
      <c r="E14" s="11">
        <f>'CCaMC-BCCUSRCpUC US'!E14</f>
        <v>99999</v>
      </c>
      <c r="F14" s="11">
        <f>'CCaMC-BCCUSRCpUC US'!F14</f>
        <v>99999</v>
      </c>
      <c r="G14" s="11">
        <f>'CCaMC-BCCUSRCpUC US'!G14</f>
        <v>99999</v>
      </c>
      <c r="H14" s="11">
        <f>'CCaMC-BCCUSRCpUC US'!H14</f>
        <v>99999</v>
      </c>
      <c r="I14" s="11">
        <f>'CCaMC-BCCUSRCpUC US'!I14</f>
        <v>99999</v>
      </c>
      <c r="J14" s="11">
        <f>'CCaMC-BCCUSRCpUC US'!J14</f>
        <v>99999</v>
      </c>
      <c r="K14" s="11">
        <f>'CCaMC-BCCUSRCpUC US'!K14</f>
        <v>99999</v>
      </c>
      <c r="L14" s="11">
        <f>'CCaMC-BCCUSRCpUC US'!L14</f>
        <v>99999</v>
      </c>
      <c r="M14" s="11">
        <f>'CCaMC-BCCUSRCpUC US'!M14</f>
        <v>99999</v>
      </c>
      <c r="N14" s="11">
        <f>'CCaMC-BCCUSRCpUC US'!N14</f>
        <v>99999</v>
      </c>
      <c r="O14" s="11">
        <f>'CCaMC-BCCUSRCpUC US'!O14</f>
        <v>99999</v>
      </c>
      <c r="P14" s="11">
        <f>'CCaMC-BCCUSRCpUC US'!P14</f>
        <v>99999</v>
      </c>
      <c r="Q14" s="11">
        <f>'CCaMC-BCCUSRCpUC US'!Q14</f>
        <v>99999</v>
      </c>
      <c r="R14" s="11">
        <f>'CCaMC-BCCUSRCpUC US'!R14</f>
        <v>99999</v>
      </c>
      <c r="S14" s="11">
        <f>'CCaMC-BCCUSRCpUC US'!S14</f>
        <v>99999</v>
      </c>
      <c r="T14" s="11">
        <f>'CCaMC-BCCUSRCpUC US'!T14</f>
        <v>99999</v>
      </c>
      <c r="U14" s="11">
        <f>'CCaMC-BCCUSRCpUC US'!U14</f>
        <v>99999</v>
      </c>
      <c r="V14" s="11">
        <f>'CCaMC-BCCUSRCpUC US'!V14</f>
        <v>99999</v>
      </c>
      <c r="W14" s="11">
        <f>'CCaMC-BCCUSRCpUC US'!W14</f>
        <v>99999</v>
      </c>
      <c r="X14" s="11">
        <f>'CCaMC-BCCUSRCpUC US'!X14</f>
        <v>99999</v>
      </c>
      <c r="Y14" s="11">
        <f>'CCaMC-BCCUSRCpUC US'!Y14</f>
        <v>99999</v>
      </c>
      <c r="Z14" s="11">
        <f>'CCaMC-BCCUSRCpUC US'!Z14</f>
        <v>99999</v>
      </c>
      <c r="AA14" s="11">
        <f>'CCaMC-BCCUSRCpUC US'!AA14</f>
        <v>99999</v>
      </c>
      <c r="AB14" s="11">
        <f>'CCaMC-BCCUSRCpUC US'!AB14</f>
        <v>99999</v>
      </c>
      <c r="AC14" s="11">
        <f>'CCaMC-BCCUSRCpUC US'!AC14</f>
        <v>99999</v>
      </c>
      <c r="AD14" s="11">
        <f>'CCaMC-BCCUSRCpUC US'!AD14</f>
        <v>99999</v>
      </c>
      <c r="AE14" s="11">
        <f>'CCaMC-BCCUSRCpUC US'!AE14</f>
        <v>99999</v>
      </c>
    </row>
    <row r="15" spans="1:31">
      <c r="A15" s="28" t="s">
        <v>126</v>
      </c>
      <c r="B15" s="11">
        <f>'CCaMC-BCCUSRCpUC US'!B15</f>
        <v>99999</v>
      </c>
      <c r="C15" s="11">
        <f>'CCaMC-BCCUSRCpUC US'!C15</f>
        <v>99999</v>
      </c>
      <c r="D15" s="11">
        <f>'CCaMC-BCCUSRCpUC US'!D15</f>
        <v>99999</v>
      </c>
      <c r="E15" s="11">
        <f>'CCaMC-BCCUSRCpUC US'!E15</f>
        <v>99999</v>
      </c>
      <c r="F15" s="11">
        <f>'CCaMC-BCCUSRCpUC US'!F15</f>
        <v>99999</v>
      </c>
      <c r="G15" s="11">
        <f>'CCaMC-BCCUSRCpUC US'!G15</f>
        <v>99999</v>
      </c>
      <c r="H15" s="11">
        <f>'CCaMC-BCCUSRCpUC US'!H15</f>
        <v>99999</v>
      </c>
      <c r="I15" s="11">
        <f>'CCaMC-BCCUSRCpUC US'!I15</f>
        <v>99999</v>
      </c>
      <c r="J15" s="11">
        <f>'CCaMC-BCCUSRCpUC US'!J15</f>
        <v>99999</v>
      </c>
      <c r="K15" s="11">
        <f>'CCaMC-BCCUSRCpUC US'!K15</f>
        <v>99999</v>
      </c>
      <c r="L15" s="11">
        <f>'CCaMC-BCCUSRCpUC US'!L15</f>
        <v>99999</v>
      </c>
      <c r="M15" s="11">
        <f>'CCaMC-BCCUSRCpUC US'!M15</f>
        <v>99999</v>
      </c>
      <c r="N15" s="11">
        <f>'CCaMC-BCCUSRCpUC US'!N15</f>
        <v>99999</v>
      </c>
      <c r="O15" s="11">
        <f>'CCaMC-BCCUSRCpUC US'!O15</f>
        <v>99999</v>
      </c>
      <c r="P15" s="11">
        <f>'CCaMC-BCCUSRCpUC US'!P15</f>
        <v>99999</v>
      </c>
      <c r="Q15" s="11">
        <f>'CCaMC-BCCUSRCpUC US'!Q15</f>
        <v>99999</v>
      </c>
      <c r="R15" s="11">
        <f>'CCaMC-BCCUSRCpUC US'!R15</f>
        <v>99999</v>
      </c>
      <c r="S15" s="11">
        <f>'CCaMC-BCCUSRCpUC US'!S15</f>
        <v>99999</v>
      </c>
      <c r="T15" s="11">
        <f>'CCaMC-BCCUSRCpUC US'!T15</f>
        <v>99999</v>
      </c>
      <c r="U15" s="11">
        <f>'CCaMC-BCCUSRCpUC US'!U15</f>
        <v>99999</v>
      </c>
      <c r="V15" s="11">
        <f>'CCaMC-BCCUSRCpUC US'!V15</f>
        <v>99999</v>
      </c>
      <c r="W15" s="11">
        <f>'CCaMC-BCCUSRCpUC US'!W15</f>
        <v>99999</v>
      </c>
      <c r="X15" s="11">
        <f>'CCaMC-BCCUSRCpUC US'!X15</f>
        <v>99999</v>
      </c>
      <c r="Y15" s="11">
        <f>'CCaMC-BCCUSRCpUC US'!Y15</f>
        <v>99999</v>
      </c>
      <c r="Z15" s="11">
        <f>'CCaMC-BCCUSRCpUC US'!Z15</f>
        <v>99999</v>
      </c>
      <c r="AA15" s="11">
        <f>'CCaMC-BCCUSRCpUC US'!AA15</f>
        <v>99999</v>
      </c>
      <c r="AB15" s="11">
        <f>'CCaMC-BCCUSRCpUC US'!AB15</f>
        <v>99999</v>
      </c>
      <c r="AC15" s="11">
        <f>'CCaMC-BCCUSRCpUC US'!AC15</f>
        <v>99999</v>
      </c>
      <c r="AD15" s="11">
        <f>'CCaMC-BCCUSRCpUC US'!AD15</f>
        <v>99999</v>
      </c>
      <c r="AE15" s="11">
        <f>'CCaMC-BCCUSRCpUC US'!AE15</f>
        <v>99999</v>
      </c>
    </row>
    <row r="16" spans="1:31">
      <c r="A16" s="28" t="s">
        <v>32</v>
      </c>
      <c r="B16" s="11">
        <f>'CCaMC-BCCUSRCpUC US'!B16</f>
        <v>99999</v>
      </c>
      <c r="C16" s="11">
        <f>'CCaMC-BCCUSRCpUC US'!C16</f>
        <v>99999</v>
      </c>
      <c r="D16" s="11">
        <f>'CCaMC-BCCUSRCpUC US'!D16</f>
        <v>99999</v>
      </c>
      <c r="E16" s="11">
        <f>'CCaMC-BCCUSRCpUC US'!E16</f>
        <v>99999</v>
      </c>
      <c r="F16" s="11">
        <f>'CCaMC-BCCUSRCpUC US'!F16</f>
        <v>99999</v>
      </c>
      <c r="G16" s="11">
        <f>'CCaMC-BCCUSRCpUC US'!G16</f>
        <v>99999</v>
      </c>
      <c r="H16" s="11">
        <f>'CCaMC-BCCUSRCpUC US'!H16</f>
        <v>99999</v>
      </c>
      <c r="I16" s="11">
        <f>'CCaMC-BCCUSRCpUC US'!I16</f>
        <v>99999</v>
      </c>
      <c r="J16" s="11">
        <f>'CCaMC-BCCUSRCpUC US'!J16</f>
        <v>99999</v>
      </c>
      <c r="K16" s="11">
        <f>'CCaMC-BCCUSRCpUC US'!K16</f>
        <v>99999</v>
      </c>
      <c r="L16" s="11">
        <f>'CCaMC-BCCUSRCpUC US'!L16</f>
        <v>99999</v>
      </c>
      <c r="M16" s="11">
        <f>'CCaMC-BCCUSRCpUC US'!M16</f>
        <v>99999</v>
      </c>
      <c r="N16" s="11">
        <f>'CCaMC-BCCUSRCpUC US'!N16</f>
        <v>99999</v>
      </c>
      <c r="O16" s="11">
        <f>'CCaMC-BCCUSRCpUC US'!O16</f>
        <v>99999</v>
      </c>
      <c r="P16" s="11">
        <f>'CCaMC-BCCUSRCpUC US'!P16</f>
        <v>99999</v>
      </c>
      <c r="Q16" s="11">
        <f>'CCaMC-BCCUSRCpUC US'!Q16</f>
        <v>99999</v>
      </c>
      <c r="R16" s="11">
        <f>'CCaMC-BCCUSRCpUC US'!R16</f>
        <v>99999</v>
      </c>
      <c r="S16" s="11">
        <f>'CCaMC-BCCUSRCpUC US'!S16</f>
        <v>99999</v>
      </c>
      <c r="T16" s="11">
        <f>'CCaMC-BCCUSRCpUC US'!T16</f>
        <v>99999</v>
      </c>
      <c r="U16" s="11">
        <f>'CCaMC-BCCUSRCpUC US'!U16</f>
        <v>99999</v>
      </c>
      <c r="V16" s="11">
        <f>'CCaMC-BCCUSRCpUC US'!V16</f>
        <v>99999</v>
      </c>
      <c r="W16" s="11">
        <f>'CCaMC-BCCUSRCpUC US'!W16</f>
        <v>99999</v>
      </c>
      <c r="X16" s="11">
        <f>'CCaMC-BCCUSRCpUC US'!X16</f>
        <v>99999</v>
      </c>
      <c r="Y16" s="11">
        <f>'CCaMC-BCCUSRCpUC US'!Y16</f>
        <v>99999</v>
      </c>
      <c r="Z16" s="11">
        <f>'CCaMC-BCCUSRCpUC US'!Z16</f>
        <v>99999</v>
      </c>
      <c r="AA16" s="11">
        <f>'CCaMC-BCCUSRCpUC US'!AA16</f>
        <v>99999</v>
      </c>
      <c r="AB16" s="11">
        <f>'CCaMC-BCCUSRCpUC US'!AB16</f>
        <v>99999</v>
      </c>
      <c r="AC16" s="11">
        <f>'CCaMC-BCCUSRCpUC US'!AC16</f>
        <v>99999</v>
      </c>
      <c r="AD16" s="11">
        <f>'CCaMC-BCCUSRCpUC US'!AD16</f>
        <v>99999</v>
      </c>
      <c r="AE16" s="11">
        <f>'CCaMC-BCCUSRCpUC US'!AE16</f>
        <v>99999</v>
      </c>
    </row>
    <row r="17" spans="1:31">
      <c r="A17" s="28" t="s">
        <v>33</v>
      </c>
      <c r="B17" s="11">
        <f>'CCaMC-BCCUSRCpUC US'!B17</f>
        <v>99999</v>
      </c>
      <c r="C17" s="11">
        <f>'CCaMC-BCCUSRCpUC US'!C17</f>
        <v>99999</v>
      </c>
      <c r="D17" s="11">
        <f>'CCaMC-BCCUSRCpUC US'!D17</f>
        <v>99999</v>
      </c>
      <c r="E17" s="11">
        <f>'CCaMC-BCCUSRCpUC US'!E17</f>
        <v>99999</v>
      </c>
      <c r="F17" s="11">
        <f>'CCaMC-BCCUSRCpUC US'!F17</f>
        <v>99999</v>
      </c>
      <c r="G17" s="11">
        <f>'CCaMC-BCCUSRCpUC US'!G17</f>
        <v>99999</v>
      </c>
      <c r="H17" s="11">
        <f>'CCaMC-BCCUSRCpUC US'!H17</f>
        <v>99999</v>
      </c>
      <c r="I17" s="11">
        <f>'CCaMC-BCCUSRCpUC US'!I17</f>
        <v>99999</v>
      </c>
      <c r="J17" s="11">
        <f>'CCaMC-BCCUSRCpUC US'!J17</f>
        <v>99999</v>
      </c>
      <c r="K17" s="11">
        <f>'CCaMC-BCCUSRCpUC US'!K17</f>
        <v>99999</v>
      </c>
      <c r="L17" s="11">
        <f>'CCaMC-BCCUSRCpUC US'!L17</f>
        <v>99999</v>
      </c>
      <c r="M17" s="11">
        <f>'CCaMC-BCCUSRCpUC US'!M17</f>
        <v>99999</v>
      </c>
      <c r="N17" s="11">
        <f>'CCaMC-BCCUSRCpUC US'!N17</f>
        <v>99999</v>
      </c>
      <c r="O17" s="11">
        <f>'CCaMC-BCCUSRCpUC US'!O17</f>
        <v>99999</v>
      </c>
      <c r="P17" s="11">
        <f>'CCaMC-BCCUSRCpUC US'!P17</f>
        <v>99999</v>
      </c>
      <c r="Q17" s="11">
        <f>'CCaMC-BCCUSRCpUC US'!Q17</f>
        <v>99999</v>
      </c>
      <c r="R17" s="11">
        <f>'CCaMC-BCCUSRCpUC US'!R17</f>
        <v>99999</v>
      </c>
      <c r="S17" s="11">
        <f>'CCaMC-BCCUSRCpUC US'!S17</f>
        <v>99999</v>
      </c>
      <c r="T17" s="11">
        <f>'CCaMC-BCCUSRCpUC US'!T17</f>
        <v>99999</v>
      </c>
      <c r="U17" s="11">
        <f>'CCaMC-BCCUSRCpUC US'!U17</f>
        <v>99999</v>
      </c>
      <c r="V17" s="11">
        <f>'CCaMC-BCCUSRCpUC US'!V17</f>
        <v>99999</v>
      </c>
      <c r="W17" s="11">
        <f>'CCaMC-BCCUSRCpUC US'!W17</f>
        <v>99999</v>
      </c>
      <c r="X17" s="11">
        <f>'CCaMC-BCCUSRCpUC US'!X17</f>
        <v>99999</v>
      </c>
      <c r="Y17" s="11">
        <f>'CCaMC-BCCUSRCpUC US'!Y17</f>
        <v>99999</v>
      </c>
      <c r="Z17" s="11">
        <f>'CCaMC-BCCUSRCpUC US'!Z17</f>
        <v>99999</v>
      </c>
      <c r="AA17" s="11">
        <f>'CCaMC-BCCUSRCpUC US'!AA17</f>
        <v>99999</v>
      </c>
      <c r="AB17" s="11">
        <f>'CCaMC-BCCUSRCpUC US'!AB17</f>
        <v>99999</v>
      </c>
      <c r="AC17" s="11">
        <f>'CCaMC-BCCUSRCpUC US'!AC17</f>
        <v>99999</v>
      </c>
      <c r="AD17" s="11">
        <f>'CCaMC-BCCUSRCpUC US'!AD17</f>
        <v>99999</v>
      </c>
      <c r="AE17" s="11">
        <f>'CCaMC-BCCUSRCpUC US'!AE17</f>
        <v>99999</v>
      </c>
    </row>
    <row r="18" spans="1:31">
      <c r="A18" s="28" t="s">
        <v>34</v>
      </c>
      <c r="B18" s="11">
        <f>'CCaMC-BCCUSRCpUC US'!B18</f>
        <v>99999</v>
      </c>
      <c r="C18" s="11">
        <f>'CCaMC-BCCUSRCpUC US'!C18</f>
        <v>99999</v>
      </c>
      <c r="D18" s="11">
        <f>'CCaMC-BCCUSRCpUC US'!D18</f>
        <v>99999</v>
      </c>
      <c r="E18" s="11">
        <f>'CCaMC-BCCUSRCpUC US'!E18</f>
        <v>99999</v>
      </c>
      <c r="F18" s="11">
        <f>'CCaMC-BCCUSRCpUC US'!F18</f>
        <v>99999</v>
      </c>
      <c r="G18" s="11">
        <f>'CCaMC-BCCUSRCpUC US'!G18</f>
        <v>99999</v>
      </c>
      <c r="H18" s="11">
        <f>'CCaMC-BCCUSRCpUC US'!H18</f>
        <v>99999</v>
      </c>
      <c r="I18" s="11">
        <f>'CCaMC-BCCUSRCpUC US'!I18</f>
        <v>99999</v>
      </c>
      <c r="J18" s="11">
        <f>'CCaMC-BCCUSRCpUC US'!J18</f>
        <v>99999</v>
      </c>
      <c r="K18" s="11">
        <f>'CCaMC-BCCUSRCpUC US'!K18</f>
        <v>99999</v>
      </c>
      <c r="L18" s="11">
        <f>'CCaMC-BCCUSRCpUC US'!L18</f>
        <v>99999</v>
      </c>
      <c r="M18" s="11">
        <f>'CCaMC-BCCUSRCpUC US'!M18</f>
        <v>99999</v>
      </c>
      <c r="N18" s="11">
        <f>'CCaMC-BCCUSRCpUC US'!N18</f>
        <v>99999</v>
      </c>
      <c r="O18" s="11">
        <f>'CCaMC-BCCUSRCpUC US'!O18</f>
        <v>99999</v>
      </c>
      <c r="P18" s="11">
        <f>'CCaMC-BCCUSRCpUC US'!P18</f>
        <v>99999</v>
      </c>
      <c r="Q18" s="11">
        <f>'CCaMC-BCCUSRCpUC US'!Q18</f>
        <v>99999</v>
      </c>
      <c r="R18" s="11">
        <f>'CCaMC-BCCUSRCpUC US'!R18</f>
        <v>99999</v>
      </c>
      <c r="S18" s="11">
        <f>'CCaMC-BCCUSRCpUC US'!S18</f>
        <v>99999</v>
      </c>
      <c r="T18" s="11">
        <f>'CCaMC-BCCUSRCpUC US'!T18</f>
        <v>99999</v>
      </c>
      <c r="U18" s="11">
        <f>'CCaMC-BCCUSRCpUC US'!U18</f>
        <v>99999</v>
      </c>
      <c r="V18" s="11">
        <f>'CCaMC-BCCUSRCpUC US'!V18</f>
        <v>99999</v>
      </c>
      <c r="W18" s="11">
        <f>'CCaMC-BCCUSRCpUC US'!W18</f>
        <v>99999</v>
      </c>
      <c r="X18" s="11">
        <f>'CCaMC-BCCUSRCpUC US'!X18</f>
        <v>99999</v>
      </c>
      <c r="Y18" s="11">
        <f>'CCaMC-BCCUSRCpUC US'!Y18</f>
        <v>99999</v>
      </c>
      <c r="Z18" s="11">
        <f>'CCaMC-BCCUSRCpUC US'!Z18</f>
        <v>99999</v>
      </c>
      <c r="AA18" s="11">
        <f>'CCaMC-BCCUSRCpUC US'!AA18</f>
        <v>99999</v>
      </c>
      <c r="AB18" s="11">
        <f>'CCaMC-BCCUSRCpUC US'!AB18</f>
        <v>99999</v>
      </c>
      <c r="AC18" s="11">
        <f>'CCaMC-BCCUSRCpUC US'!AC18</f>
        <v>99999</v>
      </c>
      <c r="AD18" s="11">
        <f>'CCaMC-BCCUSRCpUC US'!AD18</f>
        <v>99999</v>
      </c>
      <c r="AE18" s="11">
        <f>'CCaMC-BCCUSRCpUC US'!AE18</f>
        <v>99999</v>
      </c>
    </row>
    <row r="19" spans="1:31">
      <c r="A19" t="s">
        <v>77</v>
      </c>
      <c r="B19" s="4">
        <f>'CCaMC-BCCUSRCpUC US'!B19</f>
        <v>2208697.0648847581</v>
      </c>
      <c r="C19" s="4">
        <f>'CCaMC-BCCUSRCpUC US'!C19</f>
        <v>2281829.897111339</v>
      </c>
      <c r="D19" s="4">
        <f>'CCaMC-BCCUSRCpUC US'!D19</f>
        <v>2236468.5687684584</v>
      </c>
      <c r="E19" s="4">
        <f>'CCaMC-BCCUSRCpUC US'!E19</f>
        <v>2191204.1663408396</v>
      </c>
      <c r="F19" s="4">
        <f>'CCaMC-BCCUSRCpUC US'!F19</f>
        <v>2145842.837997959</v>
      </c>
      <c r="G19" s="4">
        <f>'CCaMC-BCCUSRCpUC US'!G19</f>
        <v>2100578.4355703406</v>
      </c>
      <c r="H19" s="4">
        <f>'CCaMC-BCCUSRCpUC US'!H19</f>
        <v>2055314.0331427217</v>
      </c>
      <c r="I19" s="4">
        <f>'CCaMC-BCCUSRCpUC US'!I19</f>
        <v>2009952.7047998405</v>
      </c>
      <c r="J19" s="4">
        <f>'CCaMC-BCCUSRCpUC US'!J19</f>
        <v>1964688.3023722221</v>
      </c>
      <c r="K19" s="4">
        <f>'CCaMC-BCCUSRCpUC US'!K19</f>
        <v>1919326.9740293408</v>
      </c>
      <c r="L19" s="4">
        <f>'CCaMC-BCCUSRCpUC US'!L19</f>
        <v>1874062.5716017226</v>
      </c>
      <c r="M19" s="4">
        <f>'CCaMC-BCCUSRCpUC US'!M19</f>
        <v>1828701.2432588416</v>
      </c>
      <c r="N19" s="4">
        <f>'CCaMC-BCCUSRCpUC US'!N19</f>
        <v>1738075.5124883417</v>
      </c>
      <c r="O19" s="4">
        <f>'CCaMC-BCCUSRCpUC US'!O19</f>
        <v>1692811.1100607233</v>
      </c>
      <c r="P19" s="4">
        <f>'CCaMC-BCCUSRCpUC US'!P19</f>
        <v>1692811.1100607233</v>
      </c>
      <c r="Q19" s="4">
        <f>'CCaMC-BCCUSRCpUC US'!Q19</f>
        <v>1674201.3343303101</v>
      </c>
      <c r="R19" s="4">
        <f>'CCaMC-BCCUSRCpUC US'!R19</f>
        <v>1655591.5585998977</v>
      </c>
      <c r="S19" s="4">
        <f>'CCaMC-BCCUSRCpUC US'!S19</f>
        <v>1637078.7087847472</v>
      </c>
      <c r="T19" s="4">
        <f>'CCaMC-BCCUSRCpUC US'!T19</f>
        <v>1618468.9330543347</v>
      </c>
      <c r="U19" s="4">
        <f>'CCaMC-BCCUSRCpUC US'!U19</f>
        <v>1599859.1573239218</v>
      </c>
      <c r="V19" s="4">
        <f>'CCaMC-BCCUSRCpUC US'!V19</f>
        <v>1581249.3815935093</v>
      </c>
      <c r="W19" s="4">
        <f>'CCaMC-BCCUSRCpUC US'!W19</f>
        <v>1562639.6058630964</v>
      </c>
      <c r="X19" s="4">
        <f>'CCaMC-BCCUSRCpUC US'!X19</f>
        <v>1544126.7560479462</v>
      </c>
      <c r="Y19" s="4">
        <f>'CCaMC-BCCUSRCpUC US'!Y19</f>
        <v>1525516.9803175335</v>
      </c>
      <c r="Z19" s="4">
        <f>'CCaMC-BCCUSRCpUC US'!Z19</f>
        <v>1506907.2045871208</v>
      </c>
      <c r="AA19" s="4">
        <f>'CCaMC-BCCUSRCpUC US'!AA19</f>
        <v>1488297.4288567079</v>
      </c>
      <c r="AB19" s="4">
        <f>'CCaMC-BCCUSRCpUC US'!AB19</f>
        <v>1469687.6531262952</v>
      </c>
      <c r="AC19" s="4">
        <f>'CCaMC-BCCUSRCpUC US'!AC19</f>
        <v>1451174.8033111452</v>
      </c>
      <c r="AD19" s="4">
        <f>'CCaMC-BCCUSRCpUC US'!AD19</f>
        <v>1432565.0275807322</v>
      </c>
      <c r="AE19" s="4">
        <f>'CCaMC-BCCUSRCpUC US'!AE19</f>
        <v>1413955.2518503193</v>
      </c>
    </row>
    <row r="20" spans="1:31">
      <c r="A20" t="s">
        <v>78</v>
      </c>
      <c r="B20" s="4">
        <f>'CCaMC-BCCUSRCpUC US'!B20</f>
        <v>1072474.759463849</v>
      </c>
      <c r="C20" s="4">
        <f>'CCaMC-BCCUSRCpUC US'!C20</f>
        <v>1107130.980894767</v>
      </c>
      <c r="D20" s="4">
        <f>'CCaMC-BCCUSRCpUC US'!D20</f>
        <v>1084226.0285104939</v>
      </c>
      <c r="E20" s="4">
        <f>'CCaMC-BCCUSRCpUC US'!E20</f>
        <v>1061233.6526438387</v>
      </c>
      <c r="F20" s="4">
        <f>'CCaMC-BCCUSRCpUC US'!F20</f>
        <v>1038241.2767771832</v>
      </c>
      <c r="G20" s="4">
        <f>'CCaMC-BCCUSRCpUC US'!G20</f>
        <v>1015248.9009105279</v>
      </c>
      <c r="H20" s="4">
        <f>'CCaMC-BCCUSRCpUC US'!H20</f>
        <v>992256.52504387253</v>
      </c>
      <c r="I20" s="4">
        <f>'CCaMC-BCCUSRCpUC US'!I20</f>
        <v>969264.14917721727</v>
      </c>
      <c r="J20" s="4">
        <f>'CCaMC-BCCUSRCpUC US'!J20</f>
        <v>946271.7733105619</v>
      </c>
      <c r="K20" s="4">
        <f>'CCaMC-BCCUSRCpUC US'!K20</f>
        <v>923279.3974439064</v>
      </c>
      <c r="L20" s="4">
        <f>'CCaMC-BCCUSRCpUC US'!L20</f>
        <v>900287.02157725103</v>
      </c>
      <c r="M20" s="4">
        <f>'CCaMC-BCCUSRCpUC US'!M20</f>
        <v>877382.06919297844</v>
      </c>
      <c r="N20" s="4">
        <f>'CCaMC-BCCUSRCpUC US'!N20</f>
        <v>854389.69332632306</v>
      </c>
      <c r="O20" s="4">
        <f>'CCaMC-BCCUSRCpUC US'!O20</f>
        <v>831397.31745966768</v>
      </c>
      <c r="P20" s="4">
        <f>'CCaMC-BCCUSRCpUC US'!P20</f>
        <v>808404.94159301231</v>
      </c>
      <c r="Q20" s="4">
        <f>'CCaMC-BCCUSRCpUC US'!Q20</f>
        <v>799138.05246044404</v>
      </c>
      <c r="R20" s="4">
        <f>'CCaMC-BCCUSRCpUC US'!R20</f>
        <v>789871.16332787566</v>
      </c>
      <c r="S20" s="4">
        <f>'CCaMC-BCCUSRCpUC US'!S20</f>
        <v>780604.27419530728</v>
      </c>
      <c r="T20" s="4">
        <f>'CCaMC-BCCUSRCpUC US'!T20</f>
        <v>771424.80854512169</v>
      </c>
      <c r="U20" s="4">
        <f>'CCaMC-BCCUSRCpUC US'!U20</f>
        <v>762157.91941255331</v>
      </c>
      <c r="V20" s="4">
        <f>'CCaMC-BCCUSRCpUC US'!V20</f>
        <v>752891.03027998505</v>
      </c>
      <c r="W20" s="4">
        <f>'CCaMC-BCCUSRCpUC US'!W20</f>
        <v>743624.14114741667</v>
      </c>
      <c r="X20" s="4">
        <f>'CCaMC-BCCUSRCpUC US'!X20</f>
        <v>734357.25201484829</v>
      </c>
      <c r="Y20" s="4">
        <f>'CCaMC-BCCUSRCpUC US'!Y20</f>
        <v>725090.36288228002</v>
      </c>
      <c r="Z20" s="4">
        <f>'CCaMC-BCCUSRCpUC US'!Z20</f>
        <v>715910.89723209455</v>
      </c>
      <c r="AA20" s="4">
        <f>'CCaMC-BCCUSRCpUC US'!AA20</f>
        <v>706644.00809952605</v>
      </c>
      <c r="AB20" s="4">
        <f>'CCaMC-BCCUSRCpUC US'!AB20</f>
        <v>697377.11896695779</v>
      </c>
      <c r="AC20" s="4">
        <f>'CCaMC-BCCUSRCpUC US'!AC20</f>
        <v>688110.22983438952</v>
      </c>
      <c r="AD20" s="4">
        <f>'CCaMC-BCCUSRCpUC US'!AD20</f>
        <v>678843.34070182114</v>
      </c>
      <c r="AE20" s="4">
        <f>'CCaMC-BCCUSRCpUC US'!AE20</f>
        <v>669576.45156925288</v>
      </c>
    </row>
    <row r="21" spans="1:31">
      <c r="A21" t="s">
        <v>79</v>
      </c>
      <c r="B21" s="4">
        <f>'CCaMC-BCCUSRCpUC US'!B21</f>
        <v>2208697.0648847581</v>
      </c>
      <c r="C21" s="4">
        <f>'CCaMC-BCCUSRCpUC US'!C21</f>
        <v>2281829.897111339</v>
      </c>
      <c r="D21" s="4">
        <f>'CCaMC-BCCUSRCpUC US'!D21</f>
        <v>2236468.5687684584</v>
      </c>
      <c r="E21" s="4">
        <f>'CCaMC-BCCUSRCpUC US'!E21</f>
        <v>2191204.1663408396</v>
      </c>
      <c r="F21" s="4">
        <f>'CCaMC-BCCUSRCpUC US'!F21</f>
        <v>2145842.837997959</v>
      </c>
      <c r="G21" s="4">
        <f>'CCaMC-BCCUSRCpUC US'!G21</f>
        <v>2100578.4355703406</v>
      </c>
      <c r="H21" s="4">
        <f>'CCaMC-BCCUSRCpUC US'!H21</f>
        <v>2055314.0331427217</v>
      </c>
      <c r="I21" s="4">
        <f>'CCaMC-BCCUSRCpUC US'!I21</f>
        <v>2009952.7047998405</v>
      </c>
      <c r="J21" s="4">
        <f>'CCaMC-BCCUSRCpUC US'!J21</f>
        <v>1964688.3023722221</v>
      </c>
      <c r="K21" s="4">
        <f>'CCaMC-BCCUSRCpUC US'!K21</f>
        <v>1919326.9740293408</v>
      </c>
      <c r="L21" s="4">
        <f>'CCaMC-BCCUSRCpUC US'!L21</f>
        <v>1874062.5716017226</v>
      </c>
      <c r="M21" s="4">
        <f>'CCaMC-BCCUSRCpUC US'!M21</f>
        <v>1828701.2432588416</v>
      </c>
      <c r="N21" s="4">
        <f>'CCaMC-BCCUSRCpUC US'!N21</f>
        <v>1738075.5124883417</v>
      </c>
      <c r="O21" s="4">
        <f>'CCaMC-BCCUSRCpUC US'!O21</f>
        <v>1692811.1100607233</v>
      </c>
      <c r="P21" s="4">
        <f>'CCaMC-BCCUSRCpUC US'!P21</f>
        <v>1692811.1100607233</v>
      </c>
      <c r="Q21" s="4">
        <f>'CCaMC-BCCUSRCpUC US'!Q21</f>
        <v>1674201.3343303101</v>
      </c>
      <c r="R21" s="4">
        <f>'CCaMC-BCCUSRCpUC US'!R21</f>
        <v>1655591.5585998977</v>
      </c>
      <c r="S21" s="4">
        <f>'CCaMC-BCCUSRCpUC US'!S21</f>
        <v>1637078.7087847472</v>
      </c>
      <c r="T21" s="4">
        <f>'CCaMC-BCCUSRCpUC US'!T21</f>
        <v>1618468.9330543347</v>
      </c>
      <c r="U21" s="4">
        <f>'CCaMC-BCCUSRCpUC US'!U21</f>
        <v>1599859.1573239218</v>
      </c>
      <c r="V21" s="4">
        <f>'CCaMC-BCCUSRCpUC US'!V21</f>
        <v>1581249.3815935093</v>
      </c>
      <c r="W21" s="4">
        <f>'CCaMC-BCCUSRCpUC US'!W21</f>
        <v>1562639.6058630964</v>
      </c>
      <c r="X21" s="4">
        <f>'CCaMC-BCCUSRCpUC US'!X21</f>
        <v>1544126.7560479462</v>
      </c>
      <c r="Y21" s="4">
        <f>'CCaMC-BCCUSRCpUC US'!Y21</f>
        <v>1525516.9803175335</v>
      </c>
      <c r="Z21" s="4">
        <f>'CCaMC-BCCUSRCpUC US'!Z21</f>
        <v>1506907.2045871208</v>
      </c>
      <c r="AA21" s="4">
        <f>'CCaMC-BCCUSRCpUC US'!AA21</f>
        <v>1488297.4288567079</v>
      </c>
      <c r="AB21" s="4">
        <f>'CCaMC-BCCUSRCpUC US'!AB21</f>
        <v>1469687.6531262952</v>
      </c>
      <c r="AC21" s="4">
        <f>'CCaMC-BCCUSRCpUC US'!AC21</f>
        <v>1451174.8033111452</v>
      </c>
      <c r="AD21" s="4">
        <f>'CCaMC-BCCUSRCpUC US'!AD21</f>
        <v>1432565.0275807322</v>
      </c>
      <c r="AE21" s="4">
        <f>'CCaMC-BCCUSRCpUC US'!AE21</f>
        <v>1413955.2518503193</v>
      </c>
    </row>
    <row r="22" spans="1:31">
      <c r="A22" t="s">
        <v>80</v>
      </c>
      <c r="B22" s="4">
        <f>'CCaMC-BCCUSRCpUC US'!B22</f>
        <v>2208697.0648847581</v>
      </c>
      <c r="C22" s="4">
        <f>'CCaMC-BCCUSRCpUC US'!C22</f>
        <v>2281829.897111339</v>
      </c>
      <c r="D22" s="4">
        <f>'CCaMC-BCCUSRCpUC US'!D22</f>
        <v>2236468.5687684584</v>
      </c>
      <c r="E22" s="4">
        <f>'CCaMC-BCCUSRCpUC US'!E22</f>
        <v>2191204.1663408396</v>
      </c>
      <c r="F22" s="4">
        <f>'CCaMC-BCCUSRCpUC US'!F22</f>
        <v>2145842.837997959</v>
      </c>
      <c r="G22" s="4">
        <f>'CCaMC-BCCUSRCpUC US'!G22</f>
        <v>2100578.4355703406</v>
      </c>
      <c r="H22" s="4">
        <f>'CCaMC-BCCUSRCpUC US'!H22</f>
        <v>2055314.0331427217</v>
      </c>
      <c r="I22" s="4">
        <f>'CCaMC-BCCUSRCpUC US'!I22</f>
        <v>2009952.7047998405</v>
      </c>
      <c r="J22" s="4">
        <f>'CCaMC-BCCUSRCpUC US'!J22</f>
        <v>1964688.3023722221</v>
      </c>
      <c r="K22" s="4">
        <f>'CCaMC-BCCUSRCpUC US'!K22</f>
        <v>1919326.9740293408</v>
      </c>
      <c r="L22" s="4">
        <f>'CCaMC-BCCUSRCpUC US'!L22</f>
        <v>1874062.5716017226</v>
      </c>
      <c r="M22" s="4">
        <f>'CCaMC-BCCUSRCpUC US'!M22</f>
        <v>1828701.2432588416</v>
      </c>
      <c r="N22" s="4">
        <f>'CCaMC-BCCUSRCpUC US'!N22</f>
        <v>1738075.5124883417</v>
      </c>
      <c r="O22" s="4">
        <f>'CCaMC-BCCUSRCpUC US'!O22</f>
        <v>1692811.1100607233</v>
      </c>
      <c r="P22" s="4">
        <f>'CCaMC-BCCUSRCpUC US'!P22</f>
        <v>1692811.1100607233</v>
      </c>
      <c r="Q22" s="4">
        <f>'CCaMC-BCCUSRCpUC US'!Q22</f>
        <v>1674201.3343303101</v>
      </c>
      <c r="R22" s="4">
        <f>'CCaMC-BCCUSRCpUC US'!R22</f>
        <v>1655591.5585998977</v>
      </c>
      <c r="S22" s="4">
        <f>'CCaMC-BCCUSRCpUC US'!S22</f>
        <v>1637078.7087847472</v>
      </c>
      <c r="T22" s="4">
        <f>'CCaMC-BCCUSRCpUC US'!T22</f>
        <v>1618468.9330543347</v>
      </c>
      <c r="U22" s="4">
        <f>'CCaMC-BCCUSRCpUC US'!U22</f>
        <v>1599859.1573239218</v>
      </c>
      <c r="V22" s="4">
        <f>'CCaMC-BCCUSRCpUC US'!V22</f>
        <v>1581249.3815935093</v>
      </c>
      <c r="W22" s="4">
        <f>'CCaMC-BCCUSRCpUC US'!W22</f>
        <v>1562639.6058630964</v>
      </c>
      <c r="X22" s="4">
        <f>'CCaMC-BCCUSRCpUC US'!X22</f>
        <v>1544126.7560479462</v>
      </c>
      <c r="Y22" s="4">
        <f>'CCaMC-BCCUSRCpUC US'!Y22</f>
        <v>1525516.9803175335</v>
      </c>
      <c r="Z22" s="4">
        <f>'CCaMC-BCCUSRCpUC US'!Z22</f>
        <v>1506907.2045871208</v>
      </c>
      <c r="AA22" s="4">
        <f>'CCaMC-BCCUSRCpUC US'!AA22</f>
        <v>1488297.4288567079</v>
      </c>
      <c r="AB22" s="4">
        <f>'CCaMC-BCCUSRCpUC US'!AB22</f>
        <v>1469687.6531262952</v>
      </c>
      <c r="AC22" s="4">
        <f>'CCaMC-BCCUSRCpUC US'!AC22</f>
        <v>1451174.8033111452</v>
      </c>
      <c r="AD22" s="4">
        <f>'CCaMC-BCCUSRCpUC US'!AD22</f>
        <v>1432565.0275807322</v>
      </c>
      <c r="AE22" s="4">
        <f>'CCaMC-BCCUSRCpUC US'!AE22</f>
        <v>1413955.2518503193</v>
      </c>
    </row>
    <row r="23" spans="1:31">
      <c r="A23" s="28" t="s">
        <v>88</v>
      </c>
      <c r="B23" s="11">
        <f>'CCaMC-BCCUSRCpUC US'!B23</f>
        <v>99999</v>
      </c>
      <c r="C23" s="11">
        <f>'CCaMC-BCCUSRCpUC US'!C23</f>
        <v>99999</v>
      </c>
      <c r="D23" s="11">
        <f>'CCaMC-BCCUSRCpUC US'!D23</f>
        <v>99999</v>
      </c>
      <c r="E23" s="11">
        <f>'CCaMC-BCCUSRCpUC US'!E23</f>
        <v>99999</v>
      </c>
      <c r="F23" s="11">
        <f>'CCaMC-BCCUSRCpUC US'!F23</f>
        <v>99999</v>
      </c>
      <c r="G23" s="11">
        <f>'CCaMC-BCCUSRCpUC US'!G23</f>
        <v>99999</v>
      </c>
      <c r="H23" s="11">
        <f>'CCaMC-BCCUSRCpUC US'!H23</f>
        <v>99999</v>
      </c>
      <c r="I23" s="11">
        <f>'CCaMC-BCCUSRCpUC US'!I23</f>
        <v>99999</v>
      </c>
      <c r="J23" s="11">
        <f>'CCaMC-BCCUSRCpUC US'!J23</f>
        <v>99999</v>
      </c>
      <c r="K23" s="11">
        <f>'CCaMC-BCCUSRCpUC US'!K23</f>
        <v>99999</v>
      </c>
      <c r="L23" s="11">
        <f>'CCaMC-BCCUSRCpUC US'!L23</f>
        <v>99999</v>
      </c>
      <c r="M23" s="11">
        <f>'CCaMC-BCCUSRCpUC US'!M23</f>
        <v>99999</v>
      </c>
      <c r="N23" s="11">
        <f>'CCaMC-BCCUSRCpUC US'!N23</f>
        <v>99999</v>
      </c>
      <c r="O23" s="11">
        <f>'CCaMC-BCCUSRCpUC US'!O23</f>
        <v>99999</v>
      </c>
      <c r="P23" s="11">
        <f>'CCaMC-BCCUSRCpUC US'!P23</f>
        <v>99999</v>
      </c>
      <c r="Q23" s="11">
        <f>'CCaMC-BCCUSRCpUC US'!Q23</f>
        <v>99999</v>
      </c>
      <c r="R23" s="11">
        <f>'CCaMC-BCCUSRCpUC US'!R23</f>
        <v>99999</v>
      </c>
      <c r="S23" s="11">
        <f>'CCaMC-BCCUSRCpUC US'!S23</f>
        <v>99999</v>
      </c>
      <c r="T23" s="11">
        <f>'CCaMC-BCCUSRCpUC US'!T23</f>
        <v>99999</v>
      </c>
      <c r="U23" s="11">
        <f>'CCaMC-BCCUSRCpUC US'!U23</f>
        <v>99999</v>
      </c>
      <c r="V23" s="11">
        <f>'CCaMC-BCCUSRCpUC US'!V23</f>
        <v>99999</v>
      </c>
      <c r="W23" s="11">
        <f>'CCaMC-BCCUSRCpUC US'!W23</f>
        <v>99999</v>
      </c>
      <c r="X23" s="11">
        <f>'CCaMC-BCCUSRCpUC US'!X23</f>
        <v>99999</v>
      </c>
      <c r="Y23" s="11">
        <f>'CCaMC-BCCUSRCpUC US'!Y23</f>
        <v>99999</v>
      </c>
      <c r="Z23" s="11">
        <f>'CCaMC-BCCUSRCpUC US'!Z23</f>
        <v>99999</v>
      </c>
      <c r="AA23" s="11">
        <f>'CCaMC-BCCUSRCpUC US'!AA23</f>
        <v>99999</v>
      </c>
      <c r="AB23" s="11">
        <f>'CCaMC-BCCUSRCpUC US'!AB23</f>
        <v>99999</v>
      </c>
      <c r="AC23" s="11">
        <f>'CCaMC-BCCUSRCpUC US'!AC23</f>
        <v>99999</v>
      </c>
      <c r="AD23" s="11">
        <f>'CCaMC-BCCUSRCpUC US'!AD23</f>
        <v>99999</v>
      </c>
      <c r="AE23" s="11">
        <f>'CCaMC-BCCUSRCpUC US'!AE23</f>
        <v>99999</v>
      </c>
    </row>
    <row r="24" spans="1:31">
      <c r="A24" s="28" t="s">
        <v>89</v>
      </c>
      <c r="B24" s="11">
        <f>'CCaMC-BCCUSRCpUC US'!B24</f>
        <v>99999</v>
      </c>
      <c r="C24" s="11">
        <f>'CCaMC-BCCUSRCpUC US'!C24</f>
        <v>99999</v>
      </c>
      <c r="D24" s="11">
        <f>'CCaMC-BCCUSRCpUC US'!D24</f>
        <v>99999</v>
      </c>
      <c r="E24" s="11">
        <f>'CCaMC-BCCUSRCpUC US'!E24</f>
        <v>99999</v>
      </c>
      <c r="F24" s="11">
        <f>'CCaMC-BCCUSRCpUC US'!F24</f>
        <v>99999</v>
      </c>
      <c r="G24" s="11">
        <f>'CCaMC-BCCUSRCpUC US'!G24</f>
        <v>99999</v>
      </c>
      <c r="H24" s="11">
        <f>'CCaMC-BCCUSRCpUC US'!H24</f>
        <v>99999</v>
      </c>
      <c r="I24" s="11">
        <f>'CCaMC-BCCUSRCpUC US'!I24</f>
        <v>99999</v>
      </c>
      <c r="J24" s="11">
        <f>'CCaMC-BCCUSRCpUC US'!J24</f>
        <v>99999</v>
      </c>
      <c r="K24" s="11">
        <f>'CCaMC-BCCUSRCpUC US'!K24</f>
        <v>99999</v>
      </c>
      <c r="L24" s="11">
        <f>'CCaMC-BCCUSRCpUC US'!L24</f>
        <v>99999</v>
      </c>
      <c r="M24" s="11">
        <f>'CCaMC-BCCUSRCpUC US'!M24</f>
        <v>99999</v>
      </c>
      <c r="N24" s="11">
        <f>'CCaMC-BCCUSRCpUC US'!N24</f>
        <v>99999</v>
      </c>
      <c r="O24" s="11">
        <f>'CCaMC-BCCUSRCpUC US'!O24</f>
        <v>99999</v>
      </c>
      <c r="P24" s="11">
        <f>'CCaMC-BCCUSRCpUC US'!P24</f>
        <v>99999</v>
      </c>
      <c r="Q24" s="11">
        <f>'CCaMC-BCCUSRCpUC US'!Q24</f>
        <v>99999</v>
      </c>
      <c r="R24" s="11">
        <f>'CCaMC-BCCUSRCpUC US'!R24</f>
        <v>99999</v>
      </c>
      <c r="S24" s="11">
        <f>'CCaMC-BCCUSRCpUC US'!S24</f>
        <v>99999</v>
      </c>
      <c r="T24" s="11">
        <f>'CCaMC-BCCUSRCpUC US'!T24</f>
        <v>99999</v>
      </c>
      <c r="U24" s="11">
        <f>'CCaMC-BCCUSRCpUC US'!U24</f>
        <v>99999</v>
      </c>
      <c r="V24" s="11">
        <f>'CCaMC-BCCUSRCpUC US'!V24</f>
        <v>99999</v>
      </c>
      <c r="W24" s="11">
        <f>'CCaMC-BCCUSRCpUC US'!W24</f>
        <v>99999</v>
      </c>
      <c r="X24" s="11">
        <f>'CCaMC-BCCUSRCpUC US'!X24</f>
        <v>99999</v>
      </c>
      <c r="Y24" s="11">
        <f>'CCaMC-BCCUSRCpUC US'!Y24</f>
        <v>99999</v>
      </c>
      <c r="Z24" s="11">
        <f>'CCaMC-BCCUSRCpUC US'!Z24</f>
        <v>99999</v>
      </c>
      <c r="AA24" s="11">
        <f>'CCaMC-BCCUSRCpUC US'!AA24</f>
        <v>99999</v>
      </c>
      <c r="AB24" s="11">
        <f>'CCaMC-BCCUSRCpUC US'!AB24</f>
        <v>99999</v>
      </c>
      <c r="AC24" s="11">
        <f>'CCaMC-BCCUSRCpUC US'!AC24</f>
        <v>99999</v>
      </c>
      <c r="AD24" s="11">
        <f>'CCaMC-BCCUSRCpUC US'!AD24</f>
        <v>99999</v>
      </c>
      <c r="AE24" s="11">
        <f>'CCaMC-BCCUSRCpUC US'!AE24</f>
        <v>99999</v>
      </c>
    </row>
    <row r="25" spans="1:31">
      <c r="A25" s="28" t="s">
        <v>90</v>
      </c>
      <c r="B25" s="11">
        <f>'CCaMC-BCCUSRCpUC US'!B25</f>
        <v>99999</v>
      </c>
      <c r="C25" s="11">
        <f>'CCaMC-BCCUSRCpUC US'!C25</f>
        <v>99999</v>
      </c>
      <c r="D25" s="11">
        <f>'CCaMC-BCCUSRCpUC US'!D25</f>
        <v>99999</v>
      </c>
      <c r="E25" s="11">
        <f>'CCaMC-BCCUSRCpUC US'!E25</f>
        <v>99999</v>
      </c>
      <c r="F25" s="11">
        <f>'CCaMC-BCCUSRCpUC US'!F25</f>
        <v>99999</v>
      </c>
      <c r="G25" s="11">
        <f>'CCaMC-BCCUSRCpUC US'!G25</f>
        <v>99999</v>
      </c>
      <c r="H25" s="11">
        <f>'CCaMC-BCCUSRCpUC US'!H25</f>
        <v>99999</v>
      </c>
      <c r="I25" s="11">
        <f>'CCaMC-BCCUSRCpUC US'!I25</f>
        <v>99999</v>
      </c>
      <c r="J25" s="11">
        <f>'CCaMC-BCCUSRCpUC US'!J25</f>
        <v>99999</v>
      </c>
      <c r="K25" s="11">
        <f>'CCaMC-BCCUSRCpUC US'!K25</f>
        <v>99999</v>
      </c>
      <c r="L25" s="11">
        <f>'CCaMC-BCCUSRCpUC US'!L25</f>
        <v>99999</v>
      </c>
      <c r="M25" s="11">
        <f>'CCaMC-BCCUSRCpUC US'!M25</f>
        <v>99999</v>
      </c>
      <c r="N25" s="11">
        <f>'CCaMC-BCCUSRCpUC US'!N25</f>
        <v>99999</v>
      </c>
      <c r="O25" s="11">
        <f>'CCaMC-BCCUSRCpUC US'!O25</f>
        <v>99999</v>
      </c>
      <c r="P25" s="11">
        <f>'CCaMC-BCCUSRCpUC US'!P25</f>
        <v>99999</v>
      </c>
      <c r="Q25" s="11">
        <f>'CCaMC-BCCUSRCpUC US'!Q25</f>
        <v>99999</v>
      </c>
      <c r="R25" s="11">
        <f>'CCaMC-BCCUSRCpUC US'!R25</f>
        <v>99999</v>
      </c>
      <c r="S25" s="11">
        <f>'CCaMC-BCCUSRCpUC US'!S25</f>
        <v>99999</v>
      </c>
      <c r="T25" s="11">
        <f>'CCaMC-BCCUSRCpUC US'!T25</f>
        <v>99999</v>
      </c>
      <c r="U25" s="11">
        <f>'CCaMC-BCCUSRCpUC US'!U25</f>
        <v>99999</v>
      </c>
      <c r="V25" s="11">
        <f>'CCaMC-BCCUSRCpUC US'!V25</f>
        <v>99999</v>
      </c>
      <c r="W25" s="11">
        <f>'CCaMC-BCCUSRCpUC US'!W25</f>
        <v>99999</v>
      </c>
      <c r="X25" s="11">
        <f>'CCaMC-BCCUSRCpUC US'!X25</f>
        <v>99999</v>
      </c>
      <c r="Y25" s="11">
        <f>'CCaMC-BCCUSRCpUC US'!Y25</f>
        <v>99999</v>
      </c>
      <c r="Z25" s="11">
        <f>'CCaMC-BCCUSRCpUC US'!Z25</f>
        <v>99999</v>
      </c>
      <c r="AA25" s="11">
        <f>'CCaMC-BCCUSRCpUC US'!AA25</f>
        <v>99999</v>
      </c>
      <c r="AB25" s="11">
        <f>'CCaMC-BCCUSRCpUC US'!AB25</f>
        <v>99999</v>
      </c>
      <c r="AC25" s="11">
        <f>'CCaMC-BCCUSRCpUC US'!AC25</f>
        <v>99999</v>
      </c>
      <c r="AD25" s="11">
        <f>'CCaMC-BCCUSRCpUC US'!AD25</f>
        <v>99999</v>
      </c>
      <c r="AE25" s="11">
        <f>'CCaMC-BCCUSRCpUC US'!AE25</f>
        <v>99999</v>
      </c>
    </row>
  </sheetData>
  <phoneticPr fontId="3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350D42B0D95040ACC873ED5DCB146E" ma:contentTypeVersion="10" ma:contentTypeDescription="Create a new document." ma:contentTypeScope="" ma:versionID="07e9ea90ad522b71e445466745b665d9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2528a4ec313a4f0a1f4e92f7a0496c8f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FFE77-3C69-49B1-8B04-61E3EF87E864}">
  <ds:schemaRefs>
    <ds:schemaRef ds:uri="http://schemas.microsoft.com/office/2006/metadata/properties"/>
    <ds:schemaRef ds:uri="http://schemas.microsoft.com/office/infopath/2007/PartnerControls"/>
    <ds:schemaRef ds:uri="688c5d3b-a76a-458b-b159-91c2a1154680"/>
  </ds:schemaRefs>
</ds:datastoreItem>
</file>

<file path=customXml/itemProps2.xml><?xml version="1.0" encoding="utf-8"?>
<ds:datastoreItem xmlns:ds="http://schemas.openxmlformats.org/officeDocument/2006/customXml" ds:itemID="{CD9387A4-E217-4346-871F-8ECEED9454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5d3b-a76a-458b-b159-91c2a1154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A28FF7-32D9-44A6-80F1-D8D1FE833CC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About</vt:lpstr>
      <vt:lpstr>KRW</vt:lpstr>
      <vt:lpstr>NREL ATB</vt:lpstr>
      <vt:lpstr>Calculation</vt:lpstr>
      <vt:lpstr>US Values &gt;</vt:lpstr>
      <vt:lpstr>CCaMC-ACAPEXpUC US</vt:lpstr>
      <vt:lpstr>CCaMC-AFOaMCpUC US</vt:lpstr>
      <vt:lpstr>CCaMC-VOaMCpUC US</vt:lpstr>
      <vt:lpstr>CCaMC-BSCpUC US</vt:lpstr>
      <vt:lpstr>CCaMC-BCCpUC US</vt:lpstr>
      <vt:lpstr>CCaMC-BCCUSRCpUC US</vt:lpstr>
      <vt:lpstr>CCaMC-ACAPEXpUC</vt:lpstr>
      <vt:lpstr>CCaMC-AFOaMCpUC</vt:lpstr>
      <vt:lpstr>CCaMC-VOaMCpUC</vt:lpstr>
      <vt:lpstr>CCaMC-BCCpUC</vt:lpstr>
      <vt:lpstr>CCaMC-SLCCpUC</vt:lpstr>
      <vt:lpstr>CCaMC-BSCpUC</vt:lpstr>
      <vt:lpstr>CCaMC-BCCUSRCpUC</vt:lpstr>
      <vt:lpstr>cpi_2019_to_2012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2014-02-14T06:19:38Z</dcterms:created>
  <dcterms:modified xsi:type="dcterms:W3CDTF">2026-09-08T20:14:25Z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  <property fmtid="{D5CDD505-2E9C-101B-9397-08002B2CF9AE}" pid="3" name="MediaServiceImageTags">
    <vt:lpwstr/>
  </property>
</Properties>
</file>