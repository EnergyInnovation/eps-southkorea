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ry Francis Swint\Vensim\eps-southkorea\InputData\elec\CRbQ\"/>
    </mc:Choice>
  </mc:AlternateContent>
  <xr:revisionPtr revIDLastSave="0" documentId="13_ncr:1_{808F2FC8-22E0-4D37-9535-8A9ECCDD9339}" xr6:coauthVersionLast="47" xr6:coauthVersionMax="47" xr10:uidLastSave="{00000000-0000-0000-0000-000000000000}"/>
  <bookViews>
    <workbookView xWindow="9510" yWindow="0" windowWidth="9780" windowHeight="11370" tabRatio="692" firstSheet="7" activeTab="9" xr2:uid="{00000000-000D-0000-FFFF-FFFF00000000}"/>
  </bookViews>
  <sheets>
    <sheet name="About" sheetId="14" r:id="rId1"/>
    <sheet name="19-20 Retirements" sheetId="28" r:id="rId2"/>
    <sheet name="MOTIE_21-34 Retirements" sheetId="29" r:id="rId3"/>
    <sheet name="EPSIS_RAW" sheetId="35" r:id="rId4"/>
    <sheet name="EPSIS" sheetId="36" r:id="rId5"/>
    <sheet name="EPSIS_Cal" sheetId="32" r:id="rId6"/>
    <sheet name="35-50 Retirements" sheetId="37" r:id="rId7"/>
    <sheet name="MPPC" sheetId="31" r:id="rId8"/>
    <sheet name="Calcs" sheetId="22" r:id="rId9"/>
    <sheet name="CRbQ" sheetId="2" r:id="rId10"/>
  </sheets>
  <definedNames>
    <definedName name="_xlnm._FilterDatabase" localSheetId="4" hidden="1">EPSIS!$B$1:$B$605</definedName>
    <definedName name="_xlnm.Extract" localSheetId="4">EPSIS!$M$4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8" i="2" l="1"/>
  <c r="AE18" i="2"/>
  <c r="AD19" i="2"/>
  <c r="AE19" i="2"/>
  <c r="AD20" i="2"/>
  <c r="AE20" i="2"/>
  <c r="AD21" i="2"/>
  <c r="AE21" i="2"/>
  <c r="AD22" i="2"/>
  <c r="AE22" i="2"/>
  <c r="AD23" i="2"/>
  <c r="AE23" i="2"/>
  <c r="AD24" i="2"/>
  <c r="AE24" i="2"/>
  <c r="AD25" i="2"/>
  <c r="AE25" i="2"/>
  <c r="B2" i="2" l="1"/>
  <c r="C2" i="2"/>
  <c r="D2" i="2"/>
  <c r="E2" i="2"/>
  <c r="F2" i="2"/>
  <c r="G2" i="2"/>
  <c r="H2" i="2"/>
  <c r="I2" i="2"/>
  <c r="J2" i="2"/>
  <c r="K2" i="2"/>
  <c r="L2" i="2"/>
  <c r="M2" i="2"/>
  <c r="N2" i="2"/>
  <c r="O2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G57" i="22" l="1"/>
  <c r="B57" i="22"/>
  <c r="M179" i="32" a="1"/>
  <c r="M179" i="32" s="1"/>
  <c r="M180" i="32" a="1"/>
  <c r="M180" i="32" s="1"/>
  <c r="N180" i="32" s="1"/>
  <c r="M181" i="32" a="1"/>
  <c r="M181" i="32" s="1"/>
  <c r="M182" i="32" a="1"/>
  <c r="M182" i="32" s="1"/>
  <c r="M183" i="32" a="1"/>
  <c r="M183" i="32" s="1"/>
  <c r="O183" i="32" s="1"/>
  <c r="R183" i="32" s="1"/>
  <c r="S183" i="32" s="1"/>
  <c r="M184" i="32" a="1"/>
  <c r="M184" i="32" s="1"/>
  <c r="M185" i="32" a="1"/>
  <c r="M185" i="32" s="1"/>
  <c r="M186" i="32" a="1"/>
  <c r="M186" i="32" s="1"/>
  <c r="M187" i="32" a="1"/>
  <c r="M187" i="32" s="1"/>
  <c r="M188" i="32" a="1"/>
  <c r="M188" i="32" s="1"/>
  <c r="N188" i="32" s="1"/>
  <c r="M177" i="32" a="1"/>
  <c r="M177" i="32" s="1"/>
  <c r="M178" i="32" a="1"/>
  <c r="M178" i="32" s="1"/>
  <c r="F35" i="29"/>
  <c r="R5" i="22"/>
  <c r="S5" i="22"/>
  <c r="T5" i="22"/>
  <c r="U5" i="22"/>
  <c r="V5" i="22"/>
  <c r="W5" i="22"/>
  <c r="X5" i="22"/>
  <c r="Y5" i="22"/>
  <c r="Z5" i="22"/>
  <c r="AA5" i="22"/>
  <c r="AB5" i="22"/>
  <c r="AC5" i="22"/>
  <c r="AD5" i="22"/>
  <c r="AE5" i="22"/>
  <c r="AF5" i="22"/>
  <c r="R6" i="22"/>
  <c r="S6" i="22"/>
  <c r="T6" i="22"/>
  <c r="U6" i="22"/>
  <c r="V6" i="22"/>
  <c r="W6" i="22"/>
  <c r="X6" i="22"/>
  <c r="Y6" i="22"/>
  <c r="Z6" i="22"/>
  <c r="AA6" i="22"/>
  <c r="AB6" i="22"/>
  <c r="AC6" i="22"/>
  <c r="AD6" i="22"/>
  <c r="AE6" i="22"/>
  <c r="AF6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R8" i="22"/>
  <c r="S8" i="22"/>
  <c r="T8" i="22"/>
  <c r="U8" i="22"/>
  <c r="V8" i="22"/>
  <c r="W8" i="22"/>
  <c r="X8" i="22"/>
  <c r="Y8" i="22"/>
  <c r="Z8" i="22"/>
  <c r="AA8" i="22"/>
  <c r="AB8" i="22"/>
  <c r="AC8" i="22"/>
  <c r="AD8" i="22"/>
  <c r="AE8" i="22"/>
  <c r="AF8" i="22"/>
  <c r="R10" i="22"/>
  <c r="S10" i="22"/>
  <c r="T10" i="22"/>
  <c r="U10" i="22"/>
  <c r="V10" i="22"/>
  <c r="W10" i="22"/>
  <c r="X10" i="22"/>
  <c r="Y10" i="22"/>
  <c r="Z10" i="22"/>
  <c r="AA10" i="22"/>
  <c r="AB10" i="22"/>
  <c r="AC10" i="22"/>
  <c r="AD10" i="22"/>
  <c r="AE10" i="22"/>
  <c r="AF10" i="22"/>
  <c r="R12" i="22"/>
  <c r="S12" i="22"/>
  <c r="T12" i="22"/>
  <c r="U12" i="22"/>
  <c r="V12" i="22"/>
  <c r="W12" i="22"/>
  <c r="X12" i="22"/>
  <c r="Y12" i="22"/>
  <c r="Z12" i="22"/>
  <c r="AA12" i="22"/>
  <c r="AB12" i="22"/>
  <c r="AC12" i="22"/>
  <c r="AD12" i="22"/>
  <c r="AE12" i="22"/>
  <c r="AF12" i="22"/>
  <c r="R13" i="22"/>
  <c r="S13" i="22"/>
  <c r="T13" i="22"/>
  <c r="U13" i="22"/>
  <c r="V13" i="22"/>
  <c r="W13" i="22"/>
  <c r="X13" i="22"/>
  <c r="Y13" i="22"/>
  <c r="Z13" i="22"/>
  <c r="AA13" i="22"/>
  <c r="AB13" i="22"/>
  <c r="AC13" i="22"/>
  <c r="AD13" i="22"/>
  <c r="AE13" i="22"/>
  <c r="AF13" i="22"/>
  <c r="R14" i="22"/>
  <c r="S14" i="22"/>
  <c r="T14" i="22"/>
  <c r="U14" i="22"/>
  <c r="V14" i="22"/>
  <c r="W14" i="22"/>
  <c r="X14" i="22"/>
  <c r="Y14" i="22"/>
  <c r="Z14" i="22"/>
  <c r="AA14" i="22"/>
  <c r="AB14" i="22"/>
  <c r="AC14" i="22"/>
  <c r="AD14" i="22"/>
  <c r="AE14" i="22"/>
  <c r="AF14" i="22"/>
  <c r="R15" i="22"/>
  <c r="S15" i="22"/>
  <c r="T15" i="22"/>
  <c r="U15" i="22"/>
  <c r="V15" i="22"/>
  <c r="W15" i="22"/>
  <c r="X15" i="22"/>
  <c r="Y15" i="22"/>
  <c r="Z15" i="22"/>
  <c r="AA15" i="22"/>
  <c r="AB15" i="22"/>
  <c r="AC15" i="22"/>
  <c r="AD15" i="22"/>
  <c r="AE15" i="22"/>
  <c r="AF15" i="22"/>
  <c r="R17" i="22"/>
  <c r="S17" i="22"/>
  <c r="T17" i="22"/>
  <c r="U17" i="22"/>
  <c r="V17" i="22"/>
  <c r="W17" i="22"/>
  <c r="X17" i="22"/>
  <c r="Y17" i="22"/>
  <c r="Z17" i="22"/>
  <c r="AA17" i="22"/>
  <c r="AB17" i="22"/>
  <c r="AC17" i="22"/>
  <c r="AD17" i="22"/>
  <c r="AE17" i="22"/>
  <c r="AF17" i="22"/>
  <c r="Q5" i="22"/>
  <c r="Q6" i="22"/>
  <c r="Q7" i="22"/>
  <c r="Q8" i="22"/>
  <c r="Q10" i="22"/>
  <c r="Q12" i="22"/>
  <c r="Q13" i="22"/>
  <c r="Q14" i="22"/>
  <c r="Q15" i="22"/>
  <c r="Q17" i="22"/>
  <c r="L47" i="32"/>
  <c r="L48" i="32"/>
  <c r="L49" i="32"/>
  <c r="L50" i="32"/>
  <c r="L51" i="32"/>
  <c r="L52" i="32"/>
  <c r="L53" i="32"/>
  <c r="L54" i="32"/>
  <c r="L46" i="32"/>
  <c r="N48" i="32"/>
  <c r="O48" i="32"/>
  <c r="N49" i="32"/>
  <c r="O49" i="32"/>
  <c r="N50" i="32"/>
  <c r="O50" i="32"/>
  <c r="N51" i="32"/>
  <c r="O51" i="32"/>
  <c r="N52" i="32"/>
  <c r="O52" i="32"/>
  <c r="N53" i="32"/>
  <c r="O53" i="32"/>
  <c r="N54" i="32"/>
  <c r="O54" i="32"/>
  <c r="O47" i="32"/>
  <c r="N47" i="32"/>
  <c r="O46" i="32"/>
  <c r="N46" i="32"/>
  <c r="O26" i="32"/>
  <c r="O25" i="32"/>
  <c r="N26" i="32"/>
  <c r="N25" i="32"/>
  <c r="L26" i="32"/>
  <c r="L25" i="32"/>
  <c r="B124" i="32"/>
  <c r="F123" i="32"/>
  <c r="M193" i="32"/>
  <c r="Q192" i="32"/>
  <c r="B135" i="32"/>
  <c r="F134" i="32"/>
  <c r="D33" i="32"/>
  <c r="M3" i="32"/>
  <c r="Q2" i="32"/>
  <c r="C33" i="32"/>
  <c r="B33" i="32"/>
  <c r="F32" i="32"/>
  <c r="O186" i="32" l="1"/>
  <c r="R186" i="32" s="1"/>
  <c r="S186" i="32" s="1"/>
  <c r="N186" i="32"/>
  <c r="L186" i="32"/>
  <c r="L185" i="32"/>
  <c r="O185" i="32"/>
  <c r="R185" i="32" s="1"/>
  <c r="S185" i="32" s="1"/>
  <c r="N183" i="32"/>
  <c r="N181" i="32"/>
  <c r="O181" i="32"/>
  <c r="R181" i="32" s="1"/>
  <c r="S181" i="32" s="1"/>
  <c r="L181" i="32"/>
  <c r="L187" i="32"/>
  <c r="N187" i="32"/>
  <c r="O187" i="32"/>
  <c r="R187" i="32" s="1"/>
  <c r="S187" i="32" s="1"/>
  <c r="N182" i="32"/>
  <c r="O182" i="32"/>
  <c r="R182" i="32" s="1"/>
  <c r="S182" i="32" s="1"/>
  <c r="L182" i="32"/>
  <c r="L184" i="32"/>
  <c r="N184" i="32"/>
  <c r="O184" i="32"/>
  <c r="R184" i="32" s="1"/>
  <c r="S184" i="32" s="1"/>
  <c r="L179" i="32"/>
  <c r="N179" i="32"/>
  <c r="O179" i="32"/>
  <c r="R179" i="32" s="1"/>
  <c r="S179" i="32" s="1"/>
  <c r="N185" i="32"/>
  <c r="L180" i="32"/>
  <c r="L183" i="32"/>
  <c r="L188" i="32"/>
  <c r="O188" i="32"/>
  <c r="R188" i="32" s="1"/>
  <c r="S188" i="32" s="1"/>
  <c r="O180" i="32"/>
  <c r="R180" i="32" s="1"/>
  <c r="S180" i="32" s="1"/>
  <c r="N178" i="32"/>
  <c r="O178" i="32"/>
  <c r="R178" i="32" s="1"/>
  <c r="S178" i="32" s="1"/>
  <c r="L178" i="32"/>
  <c r="L177" i="32"/>
  <c r="N177" i="32"/>
  <c r="O177" i="32"/>
  <c r="R177" i="32" s="1"/>
  <c r="S177" i="32" s="1"/>
  <c r="C3" i="32"/>
  <c r="B3" i="32"/>
  <c r="F2" i="32"/>
  <c r="D601" i="36"/>
  <c r="H2" i="36"/>
  <c r="D3" i="36" s="1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33" i="36"/>
  <c r="E34" i="36"/>
  <c r="E35" i="36"/>
  <c r="E36" i="36"/>
  <c r="E37" i="36"/>
  <c r="E38" i="36"/>
  <c r="E39" i="36"/>
  <c r="E40" i="36"/>
  <c r="E41" i="36"/>
  <c r="E42" i="36"/>
  <c r="E43" i="36"/>
  <c r="E44" i="36"/>
  <c r="E45" i="36"/>
  <c r="E46" i="36"/>
  <c r="E47" i="36"/>
  <c r="E48" i="36"/>
  <c r="E49" i="36"/>
  <c r="E50" i="36"/>
  <c r="E51" i="36"/>
  <c r="E52" i="36"/>
  <c r="E53" i="36"/>
  <c r="E54" i="36"/>
  <c r="E55" i="36"/>
  <c r="E56" i="36"/>
  <c r="E57" i="36"/>
  <c r="E58" i="36"/>
  <c r="E59" i="36"/>
  <c r="E60" i="36"/>
  <c r="E61" i="36"/>
  <c r="E62" i="36"/>
  <c r="E63" i="36"/>
  <c r="E64" i="36"/>
  <c r="E65" i="36"/>
  <c r="E66" i="36"/>
  <c r="E67" i="36"/>
  <c r="E68" i="36"/>
  <c r="E69" i="36"/>
  <c r="E70" i="36"/>
  <c r="E71" i="36"/>
  <c r="E72" i="36"/>
  <c r="E73" i="36"/>
  <c r="E74" i="36"/>
  <c r="E75" i="36"/>
  <c r="E76" i="36"/>
  <c r="E77" i="36"/>
  <c r="E78" i="36"/>
  <c r="E79" i="36"/>
  <c r="E80" i="36"/>
  <c r="E81" i="36"/>
  <c r="E82" i="36"/>
  <c r="E83" i="36"/>
  <c r="E84" i="36"/>
  <c r="E85" i="36"/>
  <c r="E86" i="36"/>
  <c r="E87" i="36"/>
  <c r="E88" i="36"/>
  <c r="E89" i="36"/>
  <c r="E90" i="36"/>
  <c r="E91" i="36"/>
  <c r="E92" i="36"/>
  <c r="E93" i="36"/>
  <c r="E94" i="36"/>
  <c r="E95" i="36"/>
  <c r="E96" i="36"/>
  <c r="E97" i="36"/>
  <c r="E98" i="36"/>
  <c r="E99" i="36"/>
  <c r="E100" i="36"/>
  <c r="E101" i="36"/>
  <c r="E102" i="36"/>
  <c r="E103" i="36"/>
  <c r="E104" i="36"/>
  <c r="E105" i="36"/>
  <c r="E106" i="36"/>
  <c r="E107" i="36"/>
  <c r="E108" i="36"/>
  <c r="E109" i="36"/>
  <c r="E110" i="36"/>
  <c r="E111" i="36"/>
  <c r="E112" i="36"/>
  <c r="E113" i="36"/>
  <c r="E114" i="36"/>
  <c r="E115" i="36"/>
  <c r="E116" i="36"/>
  <c r="E117" i="36"/>
  <c r="E118" i="36"/>
  <c r="E119" i="36"/>
  <c r="E120" i="36"/>
  <c r="E121" i="36"/>
  <c r="E122" i="36"/>
  <c r="E123" i="36"/>
  <c r="E124" i="36"/>
  <c r="E125" i="36"/>
  <c r="E126" i="36"/>
  <c r="E127" i="36"/>
  <c r="E128" i="36"/>
  <c r="E129" i="36"/>
  <c r="E130" i="36"/>
  <c r="E131" i="36"/>
  <c r="E132" i="36"/>
  <c r="E133" i="36"/>
  <c r="E134" i="36"/>
  <c r="E135" i="36"/>
  <c r="E136" i="36"/>
  <c r="E137" i="36"/>
  <c r="E138" i="36"/>
  <c r="E139" i="36"/>
  <c r="E140" i="36"/>
  <c r="E141" i="36"/>
  <c r="E142" i="36"/>
  <c r="E143" i="36"/>
  <c r="E144" i="36"/>
  <c r="E145" i="36"/>
  <c r="E146" i="36"/>
  <c r="E147" i="36"/>
  <c r="E148" i="36"/>
  <c r="E149" i="36"/>
  <c r="E150" i="36"/>
  <c r="E151" i="36"/>
  <c r="E152" i="36"/>
  <c r="E153" i="36"/>
  <c r="E154" i="36"/>
  <c r="E155" i="36"/>
  <c r="E156" i="36"/>
  <c r="E157" i="36"/>
  <c r="E158" i="36"/>
  <c r="E159" i="36"/>
  <c r="E160" i="36"/>
  <c r="E161" i="36"/>
  <c r="E162" i="36"/>
  <c r="E163" i="36"/>
  <c r="E164" i="36"/>
  <c r="E165" i="36"/>
  <c r="E166" i="36"/>
  <c r="E167" i="36"/>
  <c r="E168" i="36"/>
  <c r="E169" i="36"/>
  <c r="E170" i="36"/>
  <c r="E171" i="36"/>
  <c r="E172" i="36"/>
  <c r="E173" i="36"/>
  <c r="E174" i="36"/>
  <c r="E175" i="36"/>
  <c r="E176" i="36"/>
  <c r="E177" i="36"/>
  <c r="E178" i="36"/>
  <c r="E179" i="36"/>
  <c r="E180" i="36"/>
  <c r="E181" i="36"/>
  <c r="E182" i="36"/>
  <c r="E183" i="36"/>
  <c r="E184" i="36"/>
  <c r="E185" i="36"/>
  <c r="E186" i="36"/>
  <c r="E187" i="36"/>
  <c r="E188" i="36"/>
  <c r="E189" i="36"/>
  <c r="E190" i="36"/>
  <c r="E191" i="36"/>
  <c r="E192" i="36"/>
  <c r="E193" i="36"/>
  <c r="E194" i="36"/>
  <c r="E195" i="36"/>
  <c r="E196" i="36"/>
  <c r="E197" i="36"/>
  <c r="E198" i="36"/>
  <c r="E199" i="36"/>
  <c r="E200" i="36"/>
  <c r="E201" i="36"/>
  <c r="E202" i="36"/>
  <c r="E203" i="36"/>
  <c r="E204" i="36"/>
  <c r="E205" i="36"/>
  <c r="E206" i="36"/>
  <c r="E207" i="36"/>
  <c r="E208" i="36"/>
  <c r="E209" i="36"/>
  <c r="E210" i="36"/>
  <c r="E211" i="36"/>
  <c r="E212" i="36"/>
  <c r="E213" i="36"/>
  <c r="E214" i="36"/>
  <c r="E215" i="36"/>
  <c r="E216" i="36"/>
  <c r="E217" i="36"/>
  <c r="E218" i="36"/>
  <c r="E219" i="36"/>
  <c r="E220" i="36"/>
  <c r="E221" i="36"/>
  <c r="E222" i="36"/>
  <c r="E223" i="36"/>
  <c r="E224" i="36"/>
  <c r="E225" i="36"/>
  <c r="E226" i="36"/>
  <c r="E227" i="36"/>
  <c r="E228" i="36"/>
  <c r="E229" i="36"/>
  <c r="E230" i="36"/>
  <c r="E231" i="36"/>
  <c r="E232" i="36"/>
  <c r="E233" i="36"/>
  <c r="E234" i="36"/>
  <c r="E235" i="36"/>
  <c r="E236" i="36"/>
  <c r="E237" i="36"/>
  <c r="E238" i="36"/>
  <c r="E239" i="36"/>
  <c r="E240" i="36"/>
  <c r="E241" i="36"/>
  <c r="E242" i="36"/>
  <c r="E243" i="36"/>
  <c r="E244" i="36"/>
  <c r="E245" i="36"/>
  <c r="E246" i="36"/>
  <c r="E247" i="36"/>
  <c r="E248" i="36"/>
  <c r="E249" i="36"/>
  <c r="E250" i="36"/>
  <c r="E251" i="36"/>
  <c r="E252" i="36"/>
  <c r="E253" i="36"/>
  <c r="E254" i="36"/>
  <c r="E255" i="36"/>
  <c r="E256" i="36"/>
  <c r="E257" i="36"/>
  <c r="E258" i="36"/>
  <c r="E259" i="36"/>
  <c r="E260" i="36"/>
  <c r="E261" i="36"/>
  <c r="E262" i="36"/>
  <c r="E263" i="36"/>
  <c r="E264" i="36"/>
  <c r="E265" i="36"/>
  <c r="E266" i="36"/>
  <c r="E267" i="36"/>
  <c r="E268" i="36"/>
  <c r="E269" i="36"/>
  <c r="E270" i="36"/>
  <c r="E271" i="36"/>
  <c r="E272" i="36"/>
  <c r="E273" i="36"/>
  <c r="E274" i="36"/>
  <c r="E275" i="36"/>
  <c r="E276" i="36"/>
  <c r="E277" i="36"/>
  <c r="E278" i="36"/>
  <c r="E279" i="36"/>
  <c r="E280" i="36"/>
  <c r="E281" i="36"/>
  <c r="E282" i="36"/>
  <c r="E283" i="36"/>
  <c r="E284" i="36"/>
  <c r="E285" i="36"/>
  <c r="E286" i="36"/>
  <c r="E287" i="36"/>
  <c r="E288" i="36"/>
  <c r="E289" i="36"/>
  <c r="E290" i="36"/>
  <c r="E291" i="36"/>
  <c r="E292" i="36"/>
  <c r="E293" i="36"/>
  <c r="E294" i="36"/>
  <c r="E295" i="36"/>
  <c r="E296" i="36"/>
  <c r="E297" i="36"/>
  <c r="E298" i="36"/>
  <c r="E299" i="36"/>
  <c r="E300" i="36"/>
  <c r="E301" i="36"/>
  <c r="E302" i="36"/>
  <c r="E303" i="36"/>
  <c r="E304" i="36"/>
  <c r="E305" i="36"/>
  <c r="E306" i="36"/>
  <c r="E307" i="36"/>
  <c r="E308" i="36"/>
  <c r="E309" i="36"/>
  <c r="E310" i="36"/>
  <c r="E311" i="36"/>
  <c r="E312" i="36"/>
  <c r="E313" i="36"/>
  <c r="E314" i="36"/>
  <c r="E315" i="36"/>
  <c r="E316" i="36"/>
  <c r="E317" i="36"/>
  <c r="E318" i="36"/>
  <c r="E319" i="36"/>
  <c r="E320" i="36"/>
  <c r="E321" i="36"/>
  <c r="E322" i="36"/>
  <c r="E323" i="36"/>
  <c r="E324" i="36"/>
  <c r="E325" i="36"/>
  <c r="E326" i="36"/>
  <c r="E327" i="36"/>
  <c r="E328" i="36"/>
  <c r="E329" i="36"/>
  <c r="E330" i="36"/>
  <c r="E331" i="36"/>
  <c r="E332" i="36"/>
  <c r="E333" i="36"/>
  <c r="E334" i="36"/>
  <c r="E335" i="36"/>
  <c r="E336" i="36"/>
  <c r="E337" i="36"/>
  <c r="E338" i="36"/>
  <c r="E339" i="36"/>
  <c r="E340" i="36"/>
  <c r="E341" i="36"/>
  <c r="E342" i="36"/>
  <c r="E343" i="36"/>
  <c r="E344" i="36"/>
  <c r="E345" i="36"/>
  <c r="E346" i="36"/>
  <c r="E347" i="36"/>
  <c r="E348" i="36"/>
  <c r="E349" i="36"/>
  <c r="E350" i="36"/>
  <c r="E351" i="36"/>
  <c r="E352" i="36"/>
  <c r="E353" i="36"/>
  <c r="E354" i="36"/>
  <c r="E355" i="36"/>
  <c r="E356" i="36"/>
  <c r="E357" i="36"/>
  <c r="E358" i="36"/>
  <c r="E359" i="36"/>
  <c r="E360" i="36"/>
  <c r="E361" i="36"/>
  <c r="E362" i="36"/>
  <c r="E363" i="36"/>
  <c r="E364" i="36"/>
  <c r="E365" i="36"/>
  <c r="E366" i="36"/>
  <c r="E367" i="36"/>
  <c r="E368" i="36"/>
  <c r="E369" i="36"/>
  <c r="E370" i="36"/>
  <c r="E371" i="36"/>
  <c r="E372" i="36"/>
  <c r="E373" i="36"/>
  <c r="E374" i="36"/>
  <c r="E375" i="36"/>
  <c r="E376" i="36"/>
  <c r="E377" i="36"/>
  <c r="E378" i="36"/>
  <c r="E379" i="36"/>
  <c r="E380" i="36"/>
  <c r="E381" i="36"/>
  <c r="E382" i="36"/>
  <c r="E383" i="36"/>
  <c r="E384" i="36"/>
  <c r="E385" i="36"/>
  <c r="E386" i="36"/>
  <c r="E387" i="36"/>
  <c r="E388" i="36"/>
  <c r="E389" i="36"/>
  <c r="E390" i="36"/>
  <c r="E391" i="36"/>
  <c r="E392" i="36"/>
  <c r="E393" i="36"/>
  <c r="E394" i="36"/>
  <c r="E395" i="36"/>
  <c r="E396" i="36"/>
  <c r="E397" i="36"/>
  <c r="E398" i="36"/>
  <c r="E399" i="36"/>
  <c r="E400" i="36"/>
  <c r="E401" i="36"/>
  <c r="E402" i="36"/>
  <c r="E403" i="36"/>
  <c r="E404" i="36"/>
  <c r="E405" i="36"/>
  <c r="E406" i="36"/>
  <c r="E407" i="36"/>
  <c r="E408" i="36"/>
  <c r="E409" i="36"/>
  <c r="E410" i="36"/>
  <c r="E411" i="36"/>
  <c r="E412" i="36"/>
  <c r="E413" i="36"/>
  <c r="E414" i="36"/>
  <c r="E415" i="36"/>
  <c r="E416" i="36"/>
  <c r="E417" i="36"/>
  <c r="E418" i="36"/>
  <c r="E419" i="36"/>
  <c r="E420" i="36"/>
  <c r="E421" i="36"/>
  <c r="E422" i="36"/>
  <c r="E423" i="36"/>
  <c r="E424" i="36"/>
  <c r="E425" i="36"/>
  <c r="E426" i="36"/>
  <c r="E427" i="36"/>
  <c r="E428" i="36"/>
  <c r="E429" i="36"/>
  <c r="E430" i="36"/>
  <c r="E431" i="36"/>
  <c r="E432" i="36"/>
  <c r="E433" i="36"/>
  <c r="E434" i="36"/>
  <c r="E435" i="36"/>
  <c r="E436" i="36"/>
  <c r="E437" i="36"/>
  <c r="E438" i="36"/>
  <c r="E439" i="36"/>
  <c r="E440" i="36"/>
  <c r="E441" i="36"/>
  <c r="E442" i="36"/>
  <c r="E443" i="36"/>
  <c r="E444" i="36"/>
  <c r="E445" i="36"/>
  <c r="E446" i="36"/>
  <c r="E447" i="36"/>
  <c r="E448" i="36"/>
  <c r="E449" i="36"/>
  <c r="E450" i="36"/>
  <c r="E451" i="36"/>
  <c r="E452" i="36"/>
  <c r="E453" i="36"/>
  <c r="E454" i="36"/>
  <c r="E455" i="36"/>
  <c r="E456" i="36"/>
  <c r="E457" i="36"/>
  <c r="E458" i="36"/>
  <c r="E459" i="36"/>
  <c r="E460" i="36"/>
  <c r="E461" i="36"/>
  <c r="E462" i="36"/>
  <c r="E463" i="36"/>
  <c r="E464" i="36"/>
  <c r="E465" i="36"/>
  <c r="E466" i="36"/>
  <c r="E467" i="36"/>
  <c r="E468" i="36"/>
  <c r="E469" i="36"/>
  <c r="E470" i="36"/>
  <c r="E471" i="36"/>
  <c r="E472" i="36"/>
  <c r="E473" i="36"/>
  <c r="E474" i="36"/>
  <c r="E475" i="36"/>
  <c r="E476" i="36"/>
  <c r="E477" i="36"/>
  <c r="E478" i="36"/>
  <c r="E479" i="36"/>
  <c r="E480" i="36"/>
  <c r="E481" i="36"/>
  <c r="E482" i="36"/>
  <c r="E483" i="36"/>
  <c r="E484" i="36"/>
  <c r="E485" i="36"/>
  <c r="E486" i="36"/>
  <c r="E487" i="36"/>
  <c r="E488" i="36"/>
  <c r="E489" i="36"/>
  <c r="E490" i="36"/>
  <c r="E491" i="36"/>
  <c r="E492" i="36"/>
  <c r="E493" i="36"/>
  <c r="E494" i="36"/>
  <c r="E495" i="36"/>
  <c r="E496" i="36"/>
  <c r="E497" i="36"/>
  <c r="E498" i="36"/>
  <c r="E499" i="36"/>
  <c r="E500" i="36"/>
  <c r="E501" i="36"/>
  <c r="E502" i="36"/>
  <c r="E503" i="36"/>
  <c r="E504" i="36"/>
  <c r="E505" i="36"/>
  <c r="E506" i="36"/>
  <c r="E507" i="36"/>
  <c r="E508" i="36"/>
  <c r="E509" i="36"/>
  <c r="E510" i="36"/>
  <c r="E511" i="36"/>
  <c r="E512" i="36"/>
  <c r="E513" i="36"/>
  <c r="E514" i="36"/>
  <c r="E515" i="36"/>
  <c r="E516" i="36"/>
  <c r="E517" i="36"/>
  <c r="E518" i="36"/>
  <c r="E519" i="36"/>
  <c r="E520" i="36"/>
  <c r="E521" i="36"/>
  <c r="E522" i="36"/>
  <c r="E523" i="36"/>
  <c r="E524" i="36"/>
  <c r="E525" i="36"/>
  <c r="E526" i="36"/>
  <c r="E527" i="36"/>
  <c r="E528" i="36"/>
  <c r="E529" i="36"/>
  <c r="E530" i="36"/>
  <c r="E531" i="36"/>
  <c r="E532" i="36"/>
  <c r="E533" i="36"/>
  <c r="E534" i="36"/>
  <c r="E535" i="36"/>
  <c r="E536" i="36"/>
  <c r="E537" i="36"/>
  <c r="E538" i="36"/>
  <c r="E539" i="36"/>
  <c r="E540" i="36"/>
  <c r="E541" i="36"/>
  <c r="E542" i="36"/>
  <c r="E543" i="36"/>
  <c r="E544" i="36"/>
  <c r="E545" i="36"/>
  <c r="E546" i="36"/>
  <c r="E547" i="36"/>
  <c r="E548" i="36"/>
  <c r="E549" i="36"/>
  <c r="E550" i="36"/>
  <c r="E551" i="36"/>
  <c r="E552" i="36"/>
  <c r="E553" i="36"/>
  <c r="E554" i="36"/>
  <c r="E555" i="36"/>
  <c r="E556" i="36"/>
  <c r="E557" i="36"/>
  <c r="E558" i="36"/>
  <c r="E559" i="36"/>
  <c r="E560" i="36"/>
  <c r="E561" i="36"/>
  <c r="E562" i="36"/>
  <c r="E563" i="36"/>
  <c r="E564" i="36"/>
  <c r="E565" i="36"/>
  <c r="E566" i="36"/>
  <c r="E567" i="36"/>
  <c r="E568" i="36"/>
  <c r="E569" i="36"/>
  <c r="E570" i="36"/>
  <c r="E571" i="36"/>
  <c r="E572" i="36"/>
  <c r="E573" i="36"/>
  <c r="E574" i="36"/>
  <c r="E575" i="36"/>
  <c r="E576" i="36"/>
  <c r="E577" i="36"/>
  <c r="E578" i="36"/>
  <c r="E579" i="36"/>
  <c r="E580" i="36"/>
  <c r="E581" i="36"/>
  <c r="E582" i="36"/>
  <c r="E583" i="36"/>
  <c r="E584" i="36"/>
  <c r="E585" i="36"/>
  <c r="E586" i="36"/>
  <c r="E587" i="36"/>
  <c r="E588" i="36"/>
  <c r="E589" i="36"/>
  <c r="E590" i="36"/>
  <c r="E591" i="36"/>
  <c r="E592" i="36"/>
  <c r="E593" i="36"/>
  <c r="E594" i="36"/>
  <c r="E595" i="36"/>
  <c r="E596" i="36"/>
  <c r="E597" i="36"/>
  <c r="E598" i="36"/>
  <c r="E599" i="36"/>
  <c r="E600" i="36"/>
  <c r="E601" i="36"/>
  <c r="E602" i="36"/>
  <c r="E603" i="36"/>
  <c r="B3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76" i="36"/>
  <c r="B77" i="36"/>
  <c r="B78" i="36"/>
  <c r="B79" i="36"/>
  <c r="B80" i="36"/>
  <c r="B81" i="36"/>
  <c r="B82" i="36"/>
  <c r="B83" i="36"/>
  <c r="B84" i="36"/>
  <c r="B85" i="36"/>
  <c r="B86" i="36"/>
  <c r="B87" i="36"/>
  <c r="B88" i="36"/>
  <c r="B89" i="36"/>
  <c r="B90" i="36"/>
  <c r="B91" i="36"/>
  <c r="B92" i="36"/>
  <c r="B93" i="36"/>
  <c r="B94" i="36"/>
  <c r="B95" i="36"/>
  <c r="B96" i="36"/>
  <c r="B97" i="36"/>
  <c r="B98" i="36"/>
  <c r="B99" i="36"/>
  <c r="B100" i="36"/>
  <c r="B101" i="36"/>
  <c r="B102" i="36"/>
  <c r="B103" i="36"/>
  <c r="B104" i="36"/>
  <c r="B105" i="36"/>
  <c r="B106" i="36"/>
  <c r="B107" i="36"/>
  <c r="B108" i="36"/>
  <c r="B109" i="36"/>
  <c r="B110" i="36"/>
  <c r="B111" i="36"/>
  <c r="B112" i="36"/>
  <c r="B113" i="36"/>
  <c r="B114" i="36"/>
  <c r="B115" i="36"/>
  <c r="B116" i="36"/>
  <c r="B117" i="36"/>
  <c r="B118" i="36"/>
  <c r="B119" i="36"/>
  <c r="B120" i="36"/>
  <c r="B121" i="36"/>
  <c r="B122" i="36"/>
  <c r="B123" i="36"/>
  <c r="B124" i="36"/>
  <c r="B125" i="36"/>
  <c r="B126" i="36"/>
  <c r="B127" i="36"/>
  <c r="B128" i="36"/>
  <c r="B129" i="36"/>
  <c r="B130" i="36"/>
  <c r="B131" i="36"/>
  <c r="B132" i="36"/>
  <c r="B133" i="36"/>
  <c r="B134" i="36"/>
  <c r="B135" i="36"/>
  <c r="B136" i="36"/>
  <c r="B137" i="36"/>
  <c r="B138" i="36"/>
  <c r="B139" i="36"/>
  <c r="B140" i="36"/>
  <c r="B141" i="36"/>
  <c r="B142" i="36"/>
  <c r="B143" i="36"/>
  <c r="B144" i="36"/>
  <c r="B145" i="36"/>
  <c r="B146" i="36"/>
  <c r="B147" i="36"/>
  <c r="B148" i="36"/>
  <c r="B149" i="36"/>
  <c r="B150" i="36"/>
  <c r="B151" i="36"/>
  <c r="B152" i="36"/>
  <c r="B153" i="36"/>
  <c r="B154" i="36"/>
  <c r="B155" i="36"/>
  <c r="B156" i="36"/>
  <c r="B157" i="36"/>
  <c r="B158" i="36"/>
  <c r="B159" i="36"/>
  <c r="B160" i="36"/>
  <c r="B161" i="36"/>
  <c r="B162" i="36"/>
  <c r="B163" i="36"/>
  <c r="B164" i="36"/>
  <c r="B165" i="36"/>
  <c r="B166" i="36"/>
  <c r="B167" i="36"/>
  <c r="B168" i="36"/>
  <c r="B169" i="36"/>
  <c r="B170" i="36"/>
  <c r="B171" i="36"/>
  <c r="B172" i="36"/>
  <c r="B173" i="36"/>
  <c r="B174" i="36"/>
  <c r="B175" i="36"/>
  <c r="B176" i="36"/>
  <c r="B177" i="36"/>
  <c r="B178" i="36"/>
  <c r="B179" i="36"/>
  <c r="B180" i="36"/>
  <c r="B181" i="36"/>
  <c r="B182" i="36"/>
  <c r="B183" i="36"/>
  <c r="B184" i="36"/>
  <c r="B185" i="36"/>
  <c r="B186" i="36"/>
  <c r="B187" i="36"/>
  <c r="B188" i="36"/>
  <c r="B189" i="36"/>
  <c r="B190" i="36"/>
  <c r="B191" i="36"/>
  <c r="B192" i="36"/>
  <c r="B193" i="36"/>
  <c r="B194" i="36"/>
  <c r="B195" i="36"/>
  <c r="B196" i="36"/>
  <c r="B197" i="36"/>
  <c r="B198" i="36"/>
  <c r="B199" i="36"/>
  <c r="B200" i="36"/>
  <c r="B201" i="36"/>
  <c r="B202" i="36"/>
  <c r="B203" i="36"/>
  <c r="B204" i="36"/>
  <c r="B205" i="36"/>
  <c r="B206" i="36"/>
  <c r="B207" i="36"/>
  <c r="B208" i="36"/>
  <c r="B209" i="36"/>
  <c r="B210" i="36"/>
  <c r="B211" i="36"/>
  <c r="B212" i="36"/>
  <c r="B213" i="36"/>
  <c r="B214" i="36"/>
  <c r="B215" i="36"/>
  <c r="B216" i="36"/>
  <c r="B217" i="36"/>
  <c r="B218" i="36"/>
  <c r="B219" i="36"/>
  <c r="B220" i="36"/>
  <c r="B221" i="36"/>
  <c r="B222" i="36"/>
  <c r="B223" i="36"/>
  <c r="B224" i="36"/>
  <c r="B225" i="36"/>
  <c r="B226" i="36"/>
  <c r="B227" i="36"/>
  <c r="B228" i="36"/>
  <c r="B229" i="36"/>
  <c r="B230" i="36"/>
  <c r="B231" i="36"/>
  <c r="B232" i="36"/>
  <c r="B233" i="36"/>
  <c r="B234" i="36"/>
  <c r="B235" i="36"/>
  <c r="B236" i="36"/>
  <c r="B237" i="36"/>
  <c r="B238" i="36"/>
  <c r="B239" i="36"/>
  <c r="B240" i="36"/>
  <c r="B241" i="36"/>
  <c r="B242" i="36"/>
  <c r="B243" i="36"/>
  <c r="B244" i="36"/>
  <c r="B245" i="36"/>
  <c r="B246" i="36"/>
  <c r="B247" i="36"/>
  <c r="B248" i="36"/>
  <c r="B249" i="36"/>
  <c r="B250" i="36"/>
  <c r="B251" i="36"/>
  <c r="B252" i="36"/>
  <c r="B253" i="36"/>
  <c r="B254" i="36"/>
  <c r="B255" i="36"/>
  <c r="B256" i="36"/>
  <c r="B257" i="36"/>
  <c r="B258" i="36"/>
  <c r="B259" i="36"/>
  <c r="B260" i="36"/>
  <c r="B261" i="36"/>
  <c r="B262" i="36"/>
  <c r="B263" i="36"/>
  <c r="B264" i="36"/>
  <c r="B265" i="36"/>
  <c r="B266" i="36"/>
  <c r="B267" i="36"/>
  <c r="B268" i="36"/>
  <c r="B269" i="36"/>
  <c r="B270" i="36"/>
  <c r="B271" i="36"/>
  <c r="B272" i="36"/>
  <c r="B273" i="36"/>
  <c r="B274" i="36"/>
  <c r="B275" i="36"/>
  <c r="B276" i="36"/>
  <c r="B277" i="36"/>
  <c r="B278" i="36"/>
  <c r="B279" i="36"/>
  <c r="B280" i="36"/>
  <c r="B281" i="36"/>
  <c r="B282" i="36"/>
  <c r="B283" i="36"/>
  <c r="B284" i="36"/>
  <c r="B285" i="36"/>
  <c r="B286" i="36"/>
  <c r="B287" i="36"/>
  <c r="B288" i="36"/>
  <c r="B289" i="36"/>
  <c r="B290" i="36"/>
  <c r="B291" i="36"/>
  <c r="B292" i="36"/>
  <c r="B293" i="36"/>
  <c r="B294" i="36"/>
  <c r="B295" i="36"/>
  <c r="B296" i="36"/>
  <c r="B297" i="36"/>
  <c r="B298" i="36"/>
  <c r="B299" i="36"/>
  <c r="B300" i="36"/>
  <c r="B301" i="36"/>
  <c r="B302" i="36"/>
  <c r="B303" i="36"/>
  <c r="B304" i="36"/>
  <c r="B305" i="36"/>
  <c r="B306" i="36"/>
  <c r="B307" i="36"/>
  <c r="B308" i="36"/>
  <c r="B309" i="36"/>
  <c r="B310" i="36"/>
  <c r="B311" i="36"/>
  <c r="B312" i="36"/>
  <c r="B313" i="36"/>
  <c r="B314" i="36"/>
  <c r="B315" i="36"/>
  <c r="B316" i="36"/>
  <c r="B317" i="36"/>
  <c r="B318" i="36"/>
  <c r="B319" i="36"/>
  <c r="B320" i="36"/>
  <c r="B321" i="36"/>
  <c r="B322" i="36"/>
  <c r="B323" i="36"/>
  <c r="B324" i="36"/>
  <c r="B325" i="36"/>
  <c r="B326" i="36"/>
  <c r="B327" i="36"/>
  <c r="B328" i="36"/>
  <c r="B329" i="36"/>
  <c r="B330" i="36"/>
  <c r="B331" i="36"/>
  <c r="B332" i="36"/>
  <c r="B333" i="36"/>
  <c r="B334" i="36"/>
  <c r="B335" i="36"/>
  <c r="B336" i="36"/>
  <c r="B337" i="36"/>
  <c r="B338" i="36"/>
  <c r="B339" i="36"/>
  <c r="B340" i="36"/>
  <c r="B341" i="36"/>
  <c r="B342" i="36"/>
  <c r="B343" i="36"/>
  <c r="B344" i="36"/>
  <c r="B345" i="36"/>
  <c r="B346" i="36"/>
  <c r="B347" i="36"/>
  <c r="B348" i="36"/>
  <c r="B349" i="36"/>
  <c r="B350" i="36"/>
  <c r="B351" i="36"/>
  <c r="B352" i="36"/>
  <c r="B353" i="36"/>
  <c r="B354" i="36"/>
  <c r="B355" i="36"/>
  <c r="B356" i="36"/>
  <c r="B357" i="36"/>
  <c r="B358" i="36"/>
  <c r="B359" i="36"/>
  <c r="B360" i="36"/>
  <c r="B361" i="36"/>
  <c r="B362" i="36"/>
  <c r="B363" i="36"/>
  <c r="B364" i="36"/>
  <c r="B365" i="36"/>
  <c r="B366" i="36"/>
  <c r="B367" i="36"/>
  <c r="B368" i="36"/>
  <c r="B369" i="36"/>
  <c r="B370" i="36"/>
  <c r="B371" i="36"/>
  <c r="B372" i="36"/>
  <c r="B373" i="36"/>
  <c r="B374" i="36"/>
  <c r="B375" i="36"/>
  <c r="B376" i="36"/>
  <c r="B377" i="36"/>
  <c r="B378" i="36"/>
  <c r="B379" i="36"/>
  <c r="B380" i="36"/>
  <c r="B381" i="36"/>
  <c r="B382" i="36"/>
  <c r="B383" i="36"/>
  <c r="B384" i="36"/>
  <c r="B385" i="36"/>
  <c r="B386" i="36"/>
  <c r="B387" i="36"/>
  <c r="B388" i="36"/>
  <c r="B389" i="36"/>
  <c r="B390" i="36"/>
  <c r="B391" i="36"/>
  <c r="B392" i="36"/>
  <c r="B393" i="36"/>
  <c r="B394" i="36"/>
  <c r="B395" i="36"/>
  <c r="B396" i="36"/>
  <c r="B397" i="36"/>
  <c r="B398" i="36"/>
  <c r="B399" i="36"/>
  <c r="B400" i="36"/>
  <c r="B401" i="36"/>
  <c r="B402" i="36"/>
  <c r="B403" i="36"/>
  <c r="B404" i="36"/>
  <c r="B405" i="36"/>
  <c r="B406" i="36"/>
  <c r="B407" i="36"/>
  <c r="B408" i="36"/>
  <c r="B409" i="36"/>
  <c r="B410" i="36"/>
  <c r="B411" i="36"/>
  <c r="B412" i="36"/>
  <c r="B413" i="36"/>
  <c r="B414" i="36"/>
  <c r="B415" i="36"/>
  <c r="B416" i="36"/>
  <c r="B417" i="36"/>
  <c r="B418" i="36"/>
  <c r="B419" i="36"/>
  <c r="B420" i="36"/>
  <c r="B421" i="36"/>
  <c r="B422" i="36"/>
  <c r="B423" i="36"/>
  <c r="B424" i="36"/>
  <c r="B425" i="36"/>
  <c r="B426" i="36"/>
  <c r="B427" i="36"/>
  <c r="B428" i="36"/>
  <c r="B429" i="36"/>
  <c r="B430" i="36"/>
  <c r="B431" i="36"/>
  <c r="B432" i="36"/>
  <c r="B433" i="36"/>
  <c r="B434" i="36"/>
  <c r="B435" i="36"/>
  <c r="B436" i="36"/>
  <c r="B437" i="36"/>
  <c r="B438" i="36"/>
  <c r="B439" i="36"/>
  <c r="B440" i="36"/>
  <c r="B441" i="36"/>
  <c r="B442" i="36"/>
  <c r="B443" i="36"/>
  <c r="B444" i="36"/>
  <c r="B445" i="36"/>
  <c r="B446" i="36"/>
  <c r="B447" i="36"/>
  <c r="B448" i="36"/>
  <c r="B449" i="36"/>
  <c r="B450" i="36"/>
  <c r="B451" i="36"/>
  <c r="B452" i="36"/>
  <c r="B453" i="36"/>
  <c r="B454" i="36"/>
  <c r="B455" i="36"/>
  <c r="B456" i="36"/>
  <c r="B457" i="36"/>
  <c r="B458" i="36"/>
  <c r="B459" i="36"/>
  <c r="B460" i="36"/>
  <c r="B461" i="36"/>
  <c r="B462" i="36"/>
  <c r="B463" i="36"/>
  <c r="B464" i="36"/>
  <c r="B465" i="36"/>
  <c r="B466" i="36"/>
  <c r="B467" i="36"/>
  <c r="B468" i="36"/>
  <c r="B469" i="36"/>
  <c r="B470" i="36"/>
  <c r="B471" i="36"/>
  <c r="B472" i="36"/>
  <c r="B473" i="36"/>
  <c r="B474" i="36"/>
  <c r="B475" i="36"/>
  <c r="B476" i="36"/>
  <c r="B477" i="36"/>
  <c r="B478" i="36"/>
  <c r="B479" i="36"/>
  <c r="B480" i="36"/>
  <c r="B481" i="36"/>
  <c r="B482" i="36"/>
  <c r="B483" i="36"/>
  <c r="B484" i="36"/>
  <c r="B485" i="36"/>
  <c r="B486" i="36"/>
  <c r="B487" i="36"/>
  <c r="B488" i="36"/>
  <c r="B489" i="36"/>
  <c r="B490" i="36"/>
  <c r="B491" i="36"/>
  <c r="B492" i="36"/>
  <c r="B493" i="36"/>
  <c r="B494" i="36"/>
  <c r="B495" i="36"/>
  <c r="B496" i="36"/>
  <c r="B497" i="36"/>
  <c r="B498" i="36"/>
  <c r="B499" i="36"/>
  <c r="B500" i="36"/>
  <c r="B501" i="36"/>
  <c r="B502" i="36"/>
  <c r="B503" i="36"/>
  <c r="B504" i="36"/>
  <c r="B505" i="36"/>
  <c r="B506" i="36"/>
  <c r="B507" i="36"/>
  <c r="B508" i="36"/>
  <c r="B509" i="36"/>
  <c r="B510" i="36"/>
  <c r="B511" i="36"/>
  <c r="B512" i="36"/>
  <c r="B513" i="36"/>
  <c r="B514" i="36"/>
  <c r="B515" i="36"/>
  <c r="B516" i="36"/>
  <c r="B517" i="36"/>
  <c r="B518" i="36"/>
  <c r="B519" i="36"/>
  <c r="B520" i="36"/>
  <c r="B521" i="36"/>
  <c r="B522" i="36"/>
  <c r="B523" i="36"/>
  <c r="B524" i="36"/>
  <c r="B525" i="36"/>
  <c r="B526" i="36"/>
  <c r="B527" i="36"/>
  <c r="B528" i="36"/>
  <c r="B529" i="36"/>
  <c r="B530" i="36"/>
  <c r="B531" i="36"/>
  <c r="B532" i="36"/>
  <c r="B533" i="36"/>
  <c r="B534" i="36"/>
  <c r="B535" i="36"/>
  <c r="B536" i="36"/>
  <c r="B537" i="36"/>
  <c r="B538" i="36"/>
  <c r="B539" i="36"/>
  <c r="B540" i="36"/>
  <c r="B541" i="36"/>
  <c r="B542" i="36"/>
  <c r="B543" i="36"/>
  <c r="B544" i="36"/>
  <c r="B545" i="36"/>
  <c r="B546" i="36"/>
  <c r="B547" i="36"/>
  <c r="B548" i="36"/>
  <c r="B549" i="36"/>
  <c r="B550" i="36"/>
  <c r="B551" i="36"/>
  <c r="B552" i="36"/>
  <c r="B553" i="36"/>
  <c r="B554" i="36"/>
  <c r="B555" i="36"/>
  <c r="B556" i="36"/>
  <c r="B557" i="36"/>
  <c r="B558" i="36"/>
  <c r="B559" i="36"/>
  <c r="B560" i="36"/>
  <c r="B561" i="36"/>
  <c r="B562" i="36"/>
  <c r="B563" i="36"/>
  <c r="B564" i="36"/>
  <c r="B565" i="36"/>
  <c r="B566" i="36"/>
  <c r="B567" i="36"/>
  <c r="B568" i="36"/>
  <c r="B569" i="36"/>
  <c r="B570" i="36"/>
  <c r="B571" i="36"/>
  <c r="B572" i="36"/>
  <c r="B573" i="36"/>
  <c r="B574" i="36"/>
  <c r="B575" i="36"/>
  <c r="B576" i="36"/>
  <c r="B577" i="36"/>
  <c r="B578" i="36"/>
  <c r="B579" i="36"/>
  <c r="B580" i="36"/>
  <c r="B581" i="36"/>
  <c r="B582" i="36"/>
  <c r="B583" i="36"/>
  <c r="B584" i="36"/>
  <c r="B585" i="36"/>
  <c r="B586" i="36"/>
  <c r="B587" i="36"/>
  <c r="B588" i="36"/>
  <c r="B589" i="36"/>
  <c r="B590" i="36"/>
  <c r="B591" i="36"/>
  <c r="B592" i="36"/>
  <c r="B593" i="36"/>
  <c r="B594" i="36"/>
  <c r="B595" i="36"/>
  <c r="B596" i="36"/>
  <c r="B597" i="36"/>
  <c r="B598" i="36"/>
  <c r="B599" i="36"/>
  <c r="B600" i="36"/>
  <c r="B601" i="36"/>
  <c r="B602" i="36"/>
  <c r="B603" i="36"/>
  <c r="C3" i="36"/>
  <c r="F3" i="36" s="1"/>
  <c r="C4" i="36"/>
  <c r="F4" i="36" s="1"/>
  <c r="C5" i="36"/>
  <c r="F5" i="36" s="1"/>
  <c r="C6" i="36"/>
  <c r="F6" i="36" s="1"/>
  <c r="C7" i="36"/>
  <c r="F7" i="36" s="1"/>
  <c r="C8" i="36"/>
  <c r="F8" i="36" s="1"/>
  <c r="C9" i="36"/>
  <c r="F9" i="36" s="1"/>
  <c r="C10" i="36"/>
  <c r="F10" i="36" s="1"/>
  <c r="C11" i="36"/>
  <c r="F11" i="36" s="1"/>
  <c r="C12" i="36"/>
  <c r="F12" i="36" s="1"/>
  <c r="C13" i="36"/>
  <c r="F13" i="36" s="1"/>
  <c r="C14" i="36"/>
  <c r="F14" i="36" s="1"/>
  <c r="C15" i="36"/>
  <c r="F15" i="36" s="1"/>
  <c r="C16" i="36"/>
  <c r="F16" i="36" s="1"/>
  <c r="C17" i="36"/>
  <c r="F17" i="36" s="1"/>
  <c r="C18" i="36"/>
  <c r="F18" i="36" s="1"/>
  <c r="C19" i="36"/>
  <c r="F19" i="36" s="1"/>
  <c r="C20" i="36"/>
  <c r="F20" i="36" s="1"/>
  <c r="C21" i="36"/>
  <c r="F21" i="36" s="1"/>
  <c r="C22" i="36"/>
  <c r="F22" i="36" s="1"/>
  <c r="C23" i="36"/>
  <c r="F23" i="36" s="1"/>
  <c r="C24" i="36"/>
  <c r="F24" i="36" s="1"/>
  <c r="C25" i="36"/>
  <c r="F25" i="36" s="1"/>
  <c r="C26" i="36"/>
  <c r="F26" i="36" s="1"/>
  <c r="C27" i="36"/>
  <c r="F27" i="36" s="1"/>
  <c r="C28" i="36"/>
  <c r="F28" i="36" s="1"/>
  <c r="C29" i="36"/>
  <c r="F29" i="36" s="1"/>
  <c r="C30" i="36"/>
  <c r="F30" i="36" s="1"/>
  <c r="C31" i="36"/>
  <c r="F31" i="36" s="1"/>
  <c r="C32" i="36"/>
  <c r="F32" i="36" s="1"/>
  <c r="C33" i="36"/>
  <c r="F33" i="36" s="1"/>
  <c r="C34" i="36"/>
  <c r="F34" i="36" s="1"/>
  <c r="C35" i="36"/>
  <c r="F35" i="36" s="1"/>
  <c r="C36" i="36"/>
  <c r="F36" i="36" s="1"/>
  <c r="C37" i="36"/>
  <c r="F37" i="36" s="1"/>
  <c r="C38" i="36"/>
  <c r="F38" i="36" s="1"/>
  <c r="C39" i="36"/>
  <c r="F39" i="36" s="1"/>
  <c r="C40" i="36"/>
  <c r="F40" i="36" s="1"/>
  <c r="C41" i="36"/>
  <c r="F41" i="36" s="1"/>
  <c r="C42" i="36"/>
  <c r="F42" i="36" s="1"/>
  <c r="C43" i="36"/>
  <c r="F43" i="36" s="1"/>
  <c r="C44" i="36"/>
  <c r="F44" i="36" s="1"/>
  <c r="C45" i="36"/>
  <c r="F45" i="36" s="1"/>
  <c r="C46" i="36"/>
  <c r="F46" i="36" s="1"/>
  <c r="C47" i="36"/>
  <c r="F47" i="36" s="1"/>
  <c r="C48" i="36"/>
  <c r="F48" i="36" s="1"/>
  <c r="C49" i="36"/>
  <c r="F49" i="36" s="1"/>
  <c r="C50" i="36"/>
  <c r="F50" i="36" s="1"/>
  <c r="C51" i="36"/>
  <c r="F51" i="36" s="1"/>
  <c r="C52" i="36"/>
  <c r="F52" i="36" s="1"/>
  <c r="C53" i="36"/>
  <c r="F53" i="36" s="1"/>
  <c r="C54" i="36"/>
  <c r="F54" i="36" s="1"/>
  <c r="C55" i="36"/>
  <c r="F55" i="36" s="1"/>
  <c r="C56" i="36"/>
  <c r="F56" i="36" s="1"/>
  <c r="C57" i="36"/>
  <c r="F57" i="36" s="1"/>
  <c r="C58" i="36"/>
  <c r="F58" i="36" s="1"/>
  <c r="C59" i="36"/>
  <c r="F59" i="36" s="1"/>
  <c r="C60" i="36"/>
  <c r="F60" i="36" s="1"/>
  <c r="C61" i="36"/>
  <c r="F61" i="36" s="1"/>
  <c r="C62" i="36"/>
  <c r="F62" i="36" s="1"/>
  <c r="C63" i="36"/>
  <c r="F63" i="36" s="1"/>
  <c r="C64" i="36"/>
  <c r="F64" i="36" s="1"/>
  <c r="C65" i="36"/>
  <c r="F65" i="36" s="1"/>
  <c r="C66" i="36"/>
  <c r="F66" i="36" s="1"/>
  <c r="C67" i="36"/>
  <c r="F67" i="36" s="1"/>
  <c r="C68" i="36"/>
  <c r="F68" i="36" s="1"/>
  <c r="C69" i="36"/>
  <c r="F69" i="36" s="1"/>
  <c r="C70" i="36"/>
  <c r="F70" i="36" s="1"/>
  <c r="C71" i="36"/>
  <c r="F71" i="36" s="1"/>
  <c r="C72" i="36"/>
  <c r="F72" i="36" s="1"/>
  <c r="C73" i="36"/>
  <c r="F73" i="36" s="1"/>
  <c r="C74" i="36"/>
  <c r="F74" i="36" s="1"/>
  <c r="C75" i="36"/>
  <c r="F75" i="36" s="1"/>
  <c r="C76" i="36"/>
  <c r="F76" i="36" s="1"/>
  <c r="C77" i="36"/>
  <c r="F77" i="36" s="1"/>
  <c r="C78" i="36"/>
  <c r="F78" i="36" s="1"/>
  <c r="C79" i="36"/>
  <c r="F79" i="36" s="1"/>
  <c r="C80" i="36"/>
  <c r="F80" i="36" s="1"/>
  <c r="C81" i="36"/>
  <c r="F81" i="36" s="1"/>
  <c r="C82" i="36"/>
  <c r="F82" i="36" s="1"/>
  <c r="C83" i="36"/>
  <c r="F83" i="36" s="1"/>
  <c r="C84" i="36"/>
  <c r="F84" i="36" s="1"/>
  <c r="C85" i="36"/>
  <c r="F85" i="36" s="1"/>
  <c r="C86" i="36"/>
  <c r="F86" i="36" s="1"/>
  <c r="C87" i="36"/>
  <c r="F87" i="36" s="1"/>
  <c r="C88" i="36"/>
  <c r="F88" i="36" s="1"/>
  <c r="C89" i="36"/>
  <c r="F89" i="36" s="1"/>
  <c r="C90" i="36"/>
  <c r="F90" i="36" s="1"/>
  <c r="C91" i="36"/>
  <c r="F91" i="36" s="1"/>
  <c r="C92" i="36"/>
  <c r="F92" i="36" s="1"/>
  <c r="C93" i="36"/>
  <c r="F93" i="36" s="1"/>
  <c r="C94" i="36"/>
  <c r="F94" i="36" s="1"/>
  <c r="C95" i="36"/>
  <c r="F95" i="36" s="1"/>
  <c r="C96" i="36"/>
  <c r="F96" i="36" s="1"/>
  <c r="C97" i="36"/>
  <c r="F97" i="36" s="1"/>
  <c r="C98" i="36"/>
  <c r="F98" i="36" s="1"/>
  <c r="C99" i="36"/>
  <c r="F99" i="36" s="1"/>
  <c r="C100" i="36"/>
  <c r="F100" i="36" s="1"/>
  <c r="C101" i="36"/>
  <c r="F101" i="36" s="1"/>
  <c r="C102" i="36"/>
  <c r="F102" i="36" s="1"/>
  <c r="C103" i="36"/>
  <c r="F103" i="36" s="1"/>
  <c r="C104" i="36"/>
  <c r="F104" i="36" s="1"/>
  <c r="C105" i="36"/>
  <c r="F105" i="36" s="1"/>
  <c r="C106" i="36"/>
  <c r="F106" i="36" s="1"/>
  <c r="C107" i="36"/>
  <c r="F107" i="36" s="1"/>
  <c r="C108" i="36"/>
  <c r="F108" i="36" s="1"/>
  <c r="C109" i="36"/>
  <c r="F109" i="36" s="1"/>
  <c r="C110" i="36"/>
  <c r="F110" i="36" s="1"/>
  <c r="C111" i="36"/>
  <c r="F111" i="36" s="1"/>
  <c r="C112" i="36"/>
  <c r="F112" i="36" s="1"/>
  <c r="C113" i="36"/>
  <c r="F113" i="36" s="1"/>
  <c r="C114" i="36"/>
  <c r="F114" i="36" s="1"/>
  <c r="C115" i="36"/>
  <c r="F115" i="36" s="1"/>
  <c r="C116" i="36"/>
  <c r="F116" i="36" s="1"/>
  <c r="C117" i="36"/>
  <c r="F117" i="36" s="1"/>
  <c r="C118" i="36"/>
  <c r="F118" i="36" s="1"/>
  <c r="C119" i="36"/>
  <c r="F119" i="36" s="1"/>
  <c r="C120" i="36"/>
  <c r="F120" i="36" s="1"/>
  <c r="C121" i="36"/>
  <c r="F121" i="36" s="1"/>
  <c r="C122" i="36"/>
  <c r="F122" i="36" s="1"/>
  <c r="C123" i="36"/>
  <c r="F123" i="36" s="1"/>
  <c r="C124" i="36"/>
  <c r="F124" i="36" s="1"/>
  <c r="C125" i="36"/>
  <c r="F125" i="36" s="1"/>
  <c r="C126" i="36"/>
  <c r="F126" i="36" s="1"/>
  <c r="C127" i="36"/>
  <c r="F127" i="36" s="1"/>
  <c r="C128" i="36"/>
  <c r="F128" i="36" s="1"/>
  <c r="C129" i="36"/>
  <c r="F129" i="36" s="1"/>
  <c r="C130" i="36"/>
  <c r="F130" i="36" s="1"/>
  <c r="C131" i="36"/>
  <c r="F131" i="36" s="1"/>
  <c r="C132" i="36"/>
  <c r="F132" i="36" s="1"/>
  <c r="C133" i="36"/>
  <c r="F133" i="36" s="1"/>
  <c r="C134" i="36"/>
  <c r="F134" i="36" s="1"/>
  <c r="C135" i="36"/>
  <c r="F135" i="36" s="1"/>
  <c r="C136" i="36"/>
  <c r="F136" i="36" s="1"/>
  <c r="C137" i="36"/>
  <c r="F137" i="36" s="1"/>
  <c r="C138" i="36"/>
  <c r="F138" i="36" s="1"/>
  <c r="C139" i="36"/>
  <c r="F139" i="36" s="1"/>
  <c r="C140" i="36"/>
  <c r="F140" i="36" s="1"/>
  <c r="C141" i="36"/>
  <c r="F141" i="36" s="1"/>
  <c r="C142" i="36"/>
  <c r="F142" i="36" s="1"/>
  <c r="C143" i="36"/>
  <c r="F143" i="36" s="1"/>
  <c r="C144" i="36"/>
  <c r="F144" i="36" s="1"/>
  <c r="C145" i="36"/>
  <c r="F145" i="36" s="1"/>
  <c r="C146" i="36"/>
  <c r="F146" i="36" s="1"/>
  <c r="C147" i="36"/>
  <c r="F147" i="36" s="1"/>
  <c r="C148" i="36"/>
  <c r="F148" i="36" s="1"/>
  <c r="C149" i="36"/>
  <c r="F149" i="36" s="1"/>
  <c r="C150" i="36"/>
  <c r="F150" i="36" s="1"/>
  <c r="C151" i="36"/>
  <c r="F151" i="36" s="1"/>
  <c r="C152" i="36"/>
  <c r="F152" i="36" s="1"/>
  <c r="C153" i="36"/>
  <c r="F153" i="36" s="1"/>
  <c r="C154" i="36"/>
  <c r="F154" i="36" s="1"/>
  <c r="C155" i="36"/>
  <c r="F155" i="36" s="1"/>
  <c r="C156" i="36"/>
  <c r="F156" i="36" s="1"/>
  <c r="C157" i="36"/>
  <c r="F157" i="36" s="1"/>
  <c r="C158" i="36"/>
  <c r="F158" i="36" s="1"/>
  <c r="C159" i="36"/>
  <c r="F159" i="36" s="1"/>
  <c r="C160" i="36"/>
  <c r="F160" i="36" s="1"/>
  <c r="C161" i="36"/>
  <c r="F161" i="36" s="1"/>
  <c r="C162" i="36"/>
  <c r="F162" i="36" s="1"/>
  <c r="C163" i="36"/>
  <c r="F163" i="36" s="1"/>
  <c r="C164" i="36"/>
  <c r="F164" i="36" s="1"/>
  <c r="C165" i="36"/>
  <c r="F165" i="36" s="1"/>
  <c r="C166" i="36"/>
  <c r="F166" i="36" s="1"/>
  <c r="C167" i="36"/>
  <c r="F167" i="36" s="1"/>
  <c r="C168" i="36"/>
  <c r="F168" i="36" s="1"/>
  <c r="C169" i="36"/>
  <c r="F169" i="36" s="1"/>
  <c r="C170" i="36"/>
  <c r="F170" i="36" s="1"/>
  <c r="C171" i="36"/>
  <c r="F171" i="36" s="1"/>
  <c r="C172" i="36"/>
  <c r="F172" i="36" s="1"/>
  <c r="C173" i="36"/>
  <c r="F173" i="36" s="1"/>
  <c r="C174" i="36"/>
  <c r="F174" i="36" s="1"/>
  <c r="C175" i="36"/>
  <c r="F175" i="36" s="1"/>
  <c r="C176" i="36"/>
  <c r="F176" i="36" s="1"/>
  <c r="C177" i="36"/>
  <c r="F177" i="36" s="1"/>
  <c r="C178" i="36"/>
  <c r="F178" i="36" s="1"/>
  <c r="C179" i="36"/>
  <c r="F179" i="36" s="1"/>
  <c r="C180" i="36"/>
  <c r="F180" i="36" s="1"/>
  <c r="C181" i="36"/>
  <c r="F181" i="36" s="1"/>
  <c r="C182" i="36"/>
  <c r="F182" i="36" s="1"/>
  <c r="C183" i="36"/>
  <c r="F183" i="36" s="1"/>
  <c r="C184" i="36"/>
  <c r="F184" i="36" s="1"/>
  <c r="C185" i="36"/>
  <c r="F185" i="36" s="1"/>
  <c r="C186" i="36"/>
  <c r="F186" i="36" s="1"/>
  <c r="C187" i="36"/>
  <c r="F187" i="36" s="1"/>
  <c r="C188" i="36"/>
  <c r="F188" i="36" s="1"/>
  <c r="C189" i="36"/>
  <c r="F189" i="36" s="1"/>
  <c r="C190" i="36"/>
  <c r="F190" i="36" s="1"/>
  <c r="C191" i="36"/>
  <c r="F191" i="36" s="1"/>
  <c r="C192" i="36"/>
  <c r="F192" i="36" s="1"/>
  <c r="C193" i="36"/>
  <c r="F193" i="36" s="1"/>
  <c r="C194" i="36"/>
  <c r="F194" i="36" s="1"/>
  <c r="C195" i="36"/>
  <c r="F195" i="36" s="1"/>
  <c r="C196" i="36"/>
  <c r="F196" i="36" s="1"/>
  <c r="C197" i="36"/>
  <c r="F197" i="36" s="1"/>
  <c r="C198" i="36"/>
  <c r="F198" i="36" s="1"/>
  <c r="C199" i="36"/>
  <c r="F199" i="36" s="1"/>
  <c r="C200" i="36"/>
  <c r="F200" i="36" s="1"/>
  <c r="C201" i="36"/>
  <c r="F201" i="36" s="1"/>
  <c r="C202" i="36"/>
  <c r="F202" i="36" s="1"/>
  <c r="C203" i="36"/>
  <c r="F203" i="36" s="1"/>
  <c r="C204" i="36"/>
  <c r="F204" i="36" s="1"/>
  <c r="C205" i="36"/>
  <c r="F205" i="36" s="1"/>
  <c r="C206" i="36"/>
  <c r="F206" i="36" s="1"/>
  <c r="C207" i="36"/>
  <c r="F207" i="36" s="1"/>
  <c r="C208" i="36"/>
  <c r="F208" i="36" s="1"/>
  <c r="C209" i="36"/>
  <c r="F209" i="36" s="1"/>
  <c r="C210" i="36"/>
  <c r="F210" i="36" s="1"/>
  <c r="C211" i="36"/>
  <c r="F211" i="36" s="1"/>
  <c r="C212" i="36"/>
  <c r="F212" i="36" s="1"/>
  <c r="C213" i="36"/>
  <c r="F213" i="36" s="1"/>
  <c r="C214" i="36"/>
  <c r="F214" i="36" s="1"/>
  <c r="C215" i="36"/>
  <c r="F215" i="36" s="1"/>
  <c r="C216" i="36"/>
  <c r="F216" i="36" s="1"/>
  <c r="C217" i="36"/>
  <c r="F217" i="36" s="1"/>
  <c r="C218" i="36"/>
  <c r="F218" i="36" s="1"/>
  <c r="C219" i="36"/>
  <c r="F219" i="36" s="1"/>
  <c r="C220" i="36"/>
  <c r="F220" i="36" s="1"/>
  <c r="C221" i="36"/>
  <c r="F221" i="36" s="1"/>
  <c r="C222" i="36"/>
  <c r="F222" i="36" s="1"/>
  <c r="C223" i="36"/>
  <c r="F223" i="36" s="1"/>
  <c r="C224" i="36"/>
  <c r="F224" i="36" s="1"/>
  <c r="C225" i="36"/>
  <c r="F225" i="36" s="1"/>
  <c r="C226" i="36"/>
  <c r="F226" i="36" s="1"/>
  <c r="C227" i="36"/>
  <c r="F227" i="36" s="1"/>
  <c r="C228" i="36"/>
  <c r="F228" i="36" s="1"/>
  <c r="C229" i="36"/>
  <c r="F229" i="36" s="1"/>
  <c r="C230" i="36"/>
  <c r="F230" i="36" s="1"/>
  <c r="C231" i="36"/>
  <c r="F231" i="36" s="1"/>
  <c r="C232" i="36"/>
  <c r="F232" i="36" s="1"/>
  <c r="C233" i="36"/>
  <c r="F233" i="36" s="1"/>
  <c r="C234" i="36"/>
  <c r="F234" i="36" s="1"/>
  <c r="C235" i="36"/>
  <c r="F235" i="36" s="1"/>
  <c r="M49" i="32" s="1" a="1"/>
  <c r="M49" i="32" s="1"/>
  <c r="C236" i="36"/>
  <c r="F236" i="36" s="1"/>
  <c r="C237" i="36"/>
  <c r="F237" i="36" s="1"/>
  <c r="C238" i="36"/>
  <c r="F238" i="36" s="1"/>
  <c r="C239" i="36"/>
  <c r="F239" i="36" s="1"/>
  <c r="C240" i="36"/>
  <c r="F240" i="36" s="1"/>
  <c r="C241" i="36"/>
  <c r="F241" i="36" s="1"/>
  <c r="C242" i="36"/>
  <c r="F242" i="36" s="1"/>
  <c r="C243" i="36"/>
  <c r="F243" i="36" s="1"/>
  <c r="C244" i="36"/>
  <c r="F244" i="36" s="1"/>
  <c r="C245" i="36"/>
  <c r="F245" i="36" s="1"/>
  <c r="C246" i="36"/>
  <c r="F246" i="36" s="1"/>
  <c r="C247" i="36"/>
  <c r="F247" i="36" s="1"/>
  <c r="C248" i="36"/>
  <c r="F248" i="36" s="1"/>
  <c r="C249" i="36"/>
  <c r="F249" i="36" s="1"/>
  <c r="C250" i="36"/>
  <c r="F250" i="36" s="1"/>
  <c r="C251" i="36"/>
  <c r="F251" i="36" s="1"/>
  <c r="C252" i="36"/>
  <c r="F252" i="36" s="1"/>
  <c r="C253" i="36"/>
  <c r="F253" i="36" s="1"/>
  <c r="C254" i="36"/>
  <c r="F254" i="36" s="1"/>
  <c r="C255" i="36"/>
  <c r="F255" i="36" s="1"/>
  <c r="C256" i="36"/>
  <c r="F256" i="36" s="1"/>
  <c r="C257" i="36"/>
  <c r="F257" i="36" s="1"/>
  <c r="C258" i="36"/>
  <c r="F258" i="36" s="1"/>
  <c r="C259" i="36"/>
  <c r="F259" i="36" s="1"/>
  <c r="C260" i="36"/>
  <c r="F260" i="36" s="1"/>
  <c r="C261" i="36"/>
  <c r="F261" i="36" s="1"/>
  <c r="C262" i="36"/>
  <c r="F262" i="36" s="1"/>
  <c r="C263" i="36"/>
  <c r="F263" i="36" s="1"/>
  <c r="C264" i="36"/>
  <c r="F264" i="36" s="1"/>
  <c r="C265" i="36"/>
  <c r="F265" i="36" s="1"/>
  <c r="C266" i="36"/>
  <c r="F266" i="36" s="1"/>
  <c r="C267" i="36"/>
  <c r="F267" i="36" s="1"/>
  <c r="C268" i="36"/>
  <c r="F268" i="36" s="1"/>
  <c r="C269" i="36"/>
  <c r="F269" i="36" s="1"/>
  <c r="C270" i="36"/>
  <c r="F270" i="36" s="1"/>
  <c r="C271" i="36"/>
  <c r="F271" i="36" s="1"/>
  <c r="C272" i="36"/>
  <c r="F272" i="36" s="1"/>
  <c r="C273" i="36"/>
  <c r="F273" i="36" s="1"/>
  <c r="C274" i="36"/>
  <c r="F274" i="36" s="1"/>
  <c r="C275" i="36"/>
  <c r="F275" i="36" s="1"/>
  <c r="C276" i="36"/>
  <c r="F276" i="36" s="1"/>
  <c r="C277" i="36"/>
  <c r="F277" i="36" s="1"/>
  <c r="C278" i="36"/>
  <c r="F278" i="36" s="1"/>
  <c r="C279" i="36"/>
  <c r="F279" i="36" s="1"/>
  <c r="C280" i="36"/>
  <c r="F280" i="36" s="1"/>
  <c r="C281" i="36"/>
  <c r="F281" i="36" s="1"/>
  <c r="C282" i="36"/>
  <c r="F282" i="36" s="1"/>
  <c r="C283" i="36"/>
  <c r="F283" i="36" s="1"/>
  <c r="C284" i="36"/>
  <c r="F284" i="36" s="1"/>
  <c r="C285" i="36"/>
  <c r="F285" i="36" s="1"/>
  <c r="C286" i="36"/>
  <c r="F286" i="36" s="1"/>
  <c r="C287" i="36"/>
  <c r="F287" i="36" s="1"/>
  <c r="C288" i="36"/>
  <c r="F288" i="36" s="1"/>
  <c r="C289" i="36"/>
  <c r="F289" i="36" s="1"/>
  <c r="C290" i="36"/>
  <c r="F290" i="36" s="1"/>
  <c r="C291" i="36"/>
  <c r="F291" i="36" s="1"/>
  <c r="C292" i="36"/>
  <c r="F292" i="36" s="1"/>
  <c r="C293" i="36"/>
  <c r="F293" i="36" s="1"/>
  <c r="C294" i="36"/>
  <c r="F294" i="36" s="1"/>
  <c r="C295" i="36"/>
  <c r="F295" i="36" s="1"/>
  <c r="C296" i="36"/>
  <c r="F296" i="36" s="1"/>
  <c r="C297" i="36"/>
  <c r="F297" i="36" s="1"/>
  <c r="C298" i="36"/>
  <c r="F298" i="36" s="1"/>
  <c r="C299" i="36"/>
  <c r="F299" i="36" s="1"/>
  <c r="C300" i="36"/>
  <c r="F300" i="36" s="1"/>
  <c r="C301" i="36"/>
  <c r="F301" i="36" s="1"/>
  <c r="C302" i="36"/>
  <c r="F302" i="36" s="1"/>
  <c r="C303" i="36"/>
  <c r="F303" i="36" s="1"/>
  <c r="C304" i="36"/>
  <c r="F304" i="36" s="1"/>
  <c r="C305" i="36"/>
  <c r="F305" i="36" s="1"/>
  <c r="C306" i="36"/>
  <c r="F306" i="36" s="1"/>
  <c r="C307" i="36"/>
  <c r="F307" i="36" s="1"/>
  <c r="C308" i="36"/>
  <c r="F308" i="36" s="1"/>
  <c r="C309" i="36"/>
  <c r="F309" i="36" s="1"/>
  <c r="C310" i="36"/>
  <c r="F310" i="36" s="1"/>
  <c r="C311" i="36"/>
  <c r="F311" i="36" s="1"/>
  <c r="C312" i="36"/>
  <c r="F312" i="36" s="1"/>
  <c r="C313" i="36"/>
  <c r="F313" i="36" s="1"/>
  <c r="C314" i="36"/>
  <c r="F314" i="36" s="1"/>
  <c r="C315" i="36"/>
  <c r="F315" i="36" s="1"/>
  <c r="C316" i="36"/>
  <c r="F316" i="36" s="1"/>
  <c r="C317" i="36"/>
  <c r="F317" i="36" s="1"/>
  <c r="C318" i="36"/>
  <c r="F318" i="36" s="1"/>
  <c r="C319" i="36"/>
  <c r="F319" i="36" s="1"/>
  <c r="C320" i="36"/>
  <c r="F320" i="36" s="1"/>
  <c r="C321" i="36"/>
  <c r="F321" i="36" s="1"/>
  <c r="C322" i="36"/>
  <c r="F322" i="36" s="1"/>
  <c r="C323" i="36"/>
  <c r="F323" i="36" s="1"/>
  <c r="C324" i="36"/>
  <c r="F324" i="36" s="1"/>
  <c r="C325" i="36"/>
  <c r="F325" i="36" s="1"/>
  <c r="C326" i="36"/>
  <c r="F326" i="36" s="1"/>
  <c r="C327" i="36"/>
  <c r="F327" i="36" s="1"/>
  <c r="C328" i="36"/>
  <c r="F328" i="36" s="1"/>
  <c r="C329" i="36"/>
  <c r="F329" i="36" s="1"/>
  <c r="C330" i="36"/>
  <c r="F330" i="36" s="1"/>
  <c r="C331" i="36"/>
  <c r="F331" i="36" s="1"/>
  <c r="C332" i="36"/>
  <c r="F332" i="36" s="1"/>
  <c r="C333" i="36"/>
  <c r="F333" i="36" s="1"/>
  <c r="C334" i="36"/>
  <c r="F334" i="36" s="1"/>
  <c r="C335" i="36"/>
  <c r="F335" i="36" s="1"/>
  <c r="C336" i="36"/>
  <c r="F336" i="36" s="1"/>
  <c r="C337" i="36"/>
  <c r="F337" i="36" s="1"/>
  <c r="C338" i="36"/>
  <c r="F338" i="36" s="1"/>
  <c r="C339" i="36"/>
  <c r="F339" i="36" s="1"/>
  <c r="C340" i="36"/>
  <c r="F340" i="36" s="1"/>
  <c r="C341" i="36"/>
  <c r="F341" i="36" s="1"/>
  <c r="C342" i="36"/>
  <c r="F342" i="36" s="1"/>
  <c r="C343" i="36"/>
  <c r="F343" i="36" s="1"/>
  <c r="C344" i="36"/>
  <c r="F344" i="36" s="1"/>
  <c r="C345" i="36"/>
  <c r="F345" i="36" s="1"/>
  <c r="C346" i="36"/>
  <c r="F346" i="36" s="1"/>
  <c r="C347" i="36"/>
  <c r="F347" i="36" s="1"/>
  <c r="C348" i="36"/>
  <c r="F348" i="36" s="1"/>
  <c r="C349" i="36"/>
  <c r="F349" i="36" s="1"/>
  <c r="C350" i="36"/>
  <c r="F350" i="36" s="1"/>
  <c r="C351" i="36"/>
  <c r="F351" i="36" s="1"/>
  <c r="C352" i="36"/>
  <c r="F352" i="36" s="1"/>
  <c r="C353" i="36"/>
  <c r="F353" i="36" s="1"/>
  <c r="C354" i="36"/>
  <c r="F354" i="36" s="1"/>
  <c r="C355" i="36"/>
  <c r="F355" i="36" s="1"/>
  <c r="C356" i="36"/>
  <c r="F356" i="36" s="1"/>
  <c r="C357" i="36"/>
  <c r="F357" i="36" s="1"/>
  <c r="C358" i="36"/>
  <c r="F358" i="36" s="1"/>
  <c r="C359" i="36"/>
  <c r="F359" i="36" s="1"/>
  <c r="C360" i="36"/>
  <c r="F360" i="36" s="1"/>
  <c r="C361" i="36"/>
  <c r="F361" i="36" s="1"/>
  <c r="C362" i="36"/>
  <c r="F362" i="36" s="1"/>
  <c r="C363" i="36"/>
  <c r="F363" i="36" s="1"/>
  <c r="C364" i="36"/>
  <c r="F364" i="36" s="1"/>
  <c r="C365" i="36"/>
  <c r="F365" i="36" s="1"/>
  <c r="C366" i="36"/>
  <c r="F366" i="36" s="1"/>
  <c r="C367" i="36"/>
  <c r="F367" i="36" s="1"/>
  <c r="C368" i="36"/>
  <c r="F368" i="36" s="1"/>
  <c r="C369" i="36"/>
  <c r="F369" i="36" s="1"/>
  <c r="C370" i="36"/>
  <c r="F370" i="36" s="1"/>
  <c r="C371" i="36"/>
  <c r="F371" i="36" s="1"/>
  <c r="C372" i="36"/>
  <c r="F372" i="36" s="1"/>
  <c r="C373" i="36"/>
  <c r="F373" i="36" s="1"/>
  <c r="C374" i="36"/>
  <c r="F374" i="36" s="1"/>
  <c r="C375" i="36"/>
  <c r="F375" i="36" s="1"/>
  <c r="C376" i="36"/>
  <c r="F376" i="36" s="1"/>
  <c r="C377" i="36"/>
  <c r="F377" i="36" s="1"/>
  <c r="C378" i="36"/>
  <c r="F378" i="36" s="1"/>
  <c r="C379" i="36"/>
  <c r="F379" i="36" s="1"/>
  <c r="C380" i="36"/>
  <c r="F380" i="36" s="1"/>
  <c r="C381" i="36"/>
  <c r="F381" i="36" s="1"/>
  <c r="C382" i="36"/>
  <c r="F382" i="36" s="1"/>
  <c r="C383" i="36"/>
  <c r="F383" i="36" s="1"/>
  <c r="C384" i="36"/>
  <c r="F384" i="36" s="1"/>
  <c r="C385" i="36"/>
  <c r="F385" i="36" s="1"/>
  <c r="C386" i="36"/>
  <c r="F386" i="36" s="1"/>
  <c r="C387" i="36"/>
  <c r="F387" i="36" s="1"/>
  <c r="C388" i="36"/>
  <c r="F388" i="36" s="1"/>
  <c r="C389" i="36"/>
  <c r="F389" i="36" s="1"/>
  <c r="C390" i="36"/>
  <c r="F390" i="36" s="1"/>
  <c r="C391" i="36"/>
  <c r="F391" i="36" s="1"/>
  <c r="C392" i="36"/>
  <c r="F392" i="36" s="1"/>
  <c r="C393" i="36"/>
  <c r="F393" i="36" s="1"/>
  <c r="C394" i="36"/>
  <c r="F394" i="36" s="1"/>
  <c r="C395" i="36"/>
  <c r="F395" i="36" s="1"/>
  <c r="C396" i="36"/>
  <c r="F396" i="36" s="1"/>
  <c r="C397" i="36"/>
  <c r="F397" i="36" s="1"/>
  <c r="C398" i="36"/>
  <c r="F398" i="36" s="1"/>
  <c r="C399" i="36"/>
  <c r="F399" i="36" s="1"/>
  <c r="C400" i="36"/>
  <c r="F400" i="36" s="1"/>
  <c r="C401" i="36"/>
  <c r="F401" i="36" s="1"/>
  <c r="C402" i="36"/>
  <c r="F402" i="36" s="1"/>
  <c r="C403" i="36"/>
  <c r="F403" i="36" s="1"/>
  <c r="C404" i="36"/>
  <c r="F404" i="36" s="1"/>
  <c r="C405" i="36"/>
  <c r="F405" i="36" s="1"/>
  <c r="C406" i="36"/>
  <c r="F406" i="36" s="1"/>
  <c r="C407" i="36"/>
  <c r="F407" i="36" s="1"/>
  <c r="C408" i="36"/>
  <c r="F408" i="36" s="1"/>
  <c r="C409" i="36"/>
  <c r="F409" i="36" s="1"/>
  <c r="C410" i="36"/>
  <c r="F410" i="36" s="1"/>
  <c r="C411" i="36"/>
  <c r="F411" i="36" s="1"/>
  <c r="C412" i="36"/>
  <c r="F412" i="36" s="1"/>
  <c r="C413" i="36"/>
  <c r="F413" i="36" s="1"/>
  <c r="C414" i="36"/>
  <c r="F414" i="36" s="1"/>
  <c r="C415" i="36"/>
  <c r="F415" i="36" s="1"/>
  <c r="C416" i="36"/>
  <c r="F416" i="36" s="1"/>
  <c r="C417" i="36"/>
  <c r="F417" i="36" s="1"/>
  <c r="C418" i="36"/>
  <c r="F418" i="36" s="1"/>
  <c r="C419" i="36"/>
  <c r="F419" i="36" s="1"/>
  <c r="C420" i="36"/>
  <c r="F420" i="36" s="1"/>
  <c r="C421" i="36"/>
  <c r="F421" i="36" s="1"/>
  <c r="C422" i="36"/>
  <c r="F422" i="36" s="1"/>
  <c r="C423" i="36"/>
  <c r="F423" i="36" s="1"/>
  <c r="C424" i="36"/>
  <c r="F424" i="36" s="1"/>
  <c r="C425" i="36"/>
  <c r="F425" i="36" s="1"/>
  <c r="C426" i="36"/>
  <c r="F426" i="36" s="1"/>
  <c r="C427" i="36"/>
  <c r="F427" i="36" s="1"/>
  <c r="C428" i="36"/>
  <c r="F428" i="36" s="1"/>
  <c r="C429" i="36"/>
  <c r="F429" i="36" s="1"/>
  <c r="C430" i="36"/>
  <c r="F430" i="36" s="1"/>
  <c r="C431" i="36"/>
  <c r="F431" i="36" s="1"/>
  <c r="C432" i="36"/>
  <c r="F432" i="36" s="1"/>
  <c r="C433" i="36"/>
  <c r="F433" i="36" s="1"/>
  <c r="C434" i="36"/>
  <c r="F434" i="36" s="1"/>
  <c r="C435" i="36"/>
  <c r="F435" i="36" s="1"/>
  <c r="C436" i="36"/>
  <c r="F436" i="36" s="1"/>
  <c r="C437" i="36"/>
  <c r="F437" i="36" s="1"/>
  <c r="C438" i="36"/>
  <c r="F438" i="36" s="1"/>
  <c r="C439" i="36"/>
  <c r="F439" i="36" s="1"/>
  <c r="C440" i="36"/>
  <c r="F440" i="36" s="1"/>
  <c r="C441" i="36"/>
  <c r="F441" i="36" s="1"/>
  <c r="C442" i="36"/>
  <c r="F442" i="36" s="1"/>
  <c r="C443" i="36"/>
  <c r="F443" i="36" s="1"/>
  <c r="C444" i="36"/>
  <c r="F444" i="36" s="1"/>
  <c r="C445" i="36"/>
  <c r="F445" i="36" s="1"/>
  <c r="C446" i="36"/>
  <c r="F446" i="36" s="1"/>
  <c r="C447" i="36"/>
  <c r="F447" i="36" s="1"/>
  <c r="C448" i="36"/>
  <c r="F448" i="36" s="1"/>
  <c r="C449" i="36"/>
  <c r="F449" i="36" s="1"/>
  <c r="C450" i="36"/>
  <c r="F450" i="36" s="1"/>
  <c r="C451" i="36"/>
  <c r="F451" i="36" s="1"/>
  <c r="C452" i="36"/>
  <c r="F452" i="36" s="1"/>
  <c r="C453" i="36"/>
  <c r="F453" i="36" s="1"/>
  <c r="C454" i="36"/>
  <c r="F454" i="36" s="1"/>
  <c r="C455" i="36"/>
  <c r="F455" i="36" s="1"/>
  <c r="C456" i="36"/>
  <c r="F456" i="36" s="1"/>
  <c r="C457" i="36"/>
  <c r="F457" i="36" s="1"/>
  <c r="C458" i="36"/>
  <c r="F458" i="36" s="1"/>
  <c r="C459" i="36"/>
  <c r="F459" i="36" s="1"/>
  <c r="C460" i="36"/>
  <c r="F460" i="36" s="1"/>
  <c r="C461" i="36"/>
  <c r="F461" i="36" s="1"/>
  <c r="C462" i="36"/>
  <c r="F462" i="36" s="1"/>
  <c r="C463" i="36"/>
  <c r="F463" i="36" s="1"/>
  <c r="C464" i="36"/>
  <c r="F464" i="36" s="1"/>
  <c r="C465" i="36"/>
  <c r="F465" i="36" s="1"/>
  <c r="C466" i="36"/>
  <c r="F466" i="36" s="1"/>
  <c r="C467" i="36"/>
  <c r="F467" i="36" s="1"/>
  <c r="C468" i="36"/>
  <c r="F468" i="36" s="1"/>
  <c r="C469" i="36"/>
  <c r="F469" i="36" s="1"/>
  <c r="C470" i="36"/>
  <c r="F470" i="36" s="1"/>
  <c r="C471" i="36"/>
  <c r="F471" i="36" s="1"/>
  <c r="C472" i="36"/>
  <c r="F472" i="36" s="1"/>
  <c r="C473" i="36"/>
  <c r="F473" i="36" s="1"/>
  <c r="C474" i="36"/>
  <c r="F474" i="36" s="1"/>
  <c r="C475" i="36"/>
  <c r="F475" i="36" s="1"/>
  <c r="C476" i="36"/>
  <c r="F476" i="36" s="1"/>
  <c r="C477" i="36"/>
  <c r="F477" i="36" s="1"/>
  <c r="C478" i="36"/>
  <c r="F478" i="36" s="1"/>
  <c r="C479" i="36"/>
  <c r="F479" i="36" s="1"/>
  <c r="C480" i="36"/>
  <c r="F480" i="36" s="1"/>
  <c r="C481" i="36"/>
  <c r="F481" i="36" s="1"/>
  <c r="C482" i="36"/>
  <c r="F482" i="36" s="1"/>
  <c r="C483" i="36"/>
  <c r="F483" i="36" s="1"/>
  <c r="C484" i="36"/>
  <c r="F484" i="36" s="1"/>
  <c r="C485" i="36"/>
  <c r="F485" i="36" s="1"/>
  <c r="C486" i="36"/>
  <c r="F486" i="36" s="1"/>
  <c r="C487" i="36"/>
  <c r="F487" i="36" s="1"/>
  <c r="C488" i="36"/>
  <c r="F488" i="36" s="1"/>
  <c r="C489" i="36"/>
  <c r="F489" i="36" s="1"/>
  <c r="C490" i="36"/>
  <c r="F490" i="36" s="1"/>
  <c r="C491" i="36"/>
  <c r="F491" i="36" s="1"/>
  <c r="C492" i="36"/>
  <c r="F492" i="36" s="1"/>
  <c r="C493" i="36"/>
  <c r="F493" i="36" s="1"/>
  <c r="C494" i="36"/>
  <c r="F494" i="36" s="1"/>
  <c r="C495" i="36"/>
  <c r="F495" i="36" s="1"/>
  <c r="C496" i="36"/>
  <c r="F496" i="36" s="1"/>
  <c r="C497" i="36"/>
  <c r="F497" i="36" s="1"/>
  <c r="C498" i="36"/>
  <c r="F498" i="36" s="1"/>
  <c r="C499" i="36"/>
  <c r="F499" i="36" s="1"/>
  <c r="C500" i="36"/>
  <c r="F500" i="36" s="1"/>
  <c r="C501" i="36"/>
  <c r="F501" i="36" s="1"/>
  <c r="C502" i="36"/>
  <c r="F502" i="36" s="1"/>
  <c r="C503" i="36"/>
  <c r="F503" i="36" s="1"/>
  <c r="C504" i="36"/>
  <c r="F504" i="36" s="1"/>
  <c r="C505" i="36"/>
  <c r="F505" i="36" s="1"/>
  <c r="C506" i="36"/>
  <c r="F506" i="36" s="1"/>
  <c r="C507" i="36"/>
  <c r="F507" i="36" s="1"/>
  <c r="C508" i="36"/>
  <c r="F508" i="36" s="1"/>
  <c r="C509" i="36"/>
  <c r="F509" i="36" s="1"/>
  <c r="C510" i="36"/>
  <c r="F510" i="36" s="1"/>
  <c r="C511" i="36"/>
  <c r="F511" i="36" s="1"/>
  <c r="C512" i="36"/>
  <c r="F512" i="36" s="1"/>
  <c r="C513" i="36"/>
  <c r="F513" i="36" s="1"/>
  <c r="C514" i="36"/>
  <c r="F514" i="36" s="1"/>
  <c r="C515" i="36"/>
  <c r="F515" i="36" s="1"/>
  <c r="C516" i="36"/>
  <c r="F516" i="36" s="1"/>
  <c r="C517" i="36"/>
  <c r="F517" i="36" s="1"/>
  <c r="C518" i="36"/>
  <c r="F518" i="36" s="1"/>
  <c r="C519" i="36"/>
  <c r="F519" i="36" s="1"/>
  <c r="C520" i="36"/>
  <c r="F520" i="36" s="1"/>
  <c r="C521" i="36"/>
  <c r="F521" i="36" s="1"/>
  <c r="C522" i="36"/>
  <c r="F522" i="36" s="1"/>
  <c r="C523" i="36"/>
  <c r="F523" i="36" s="1"/>
  <c r="C524" i="36"/>
  <c r="F524" i="36" s="1"/>
  <c r="C525" i="36"/>
  <c r="F525" i="36" s="1"/>
  <c r="C526" i="36"/>
  <c r="F526" i="36" s="1"/>
  <c r="C527" i="36"/>
  <c r="F527" i="36" s="1"/>
  <c r="C528" i="36"/>
  <c r="F528" i="36" s="1"/>
  <c r="C529" i="36"/>
  <c r="F529" i="36" s="1"/>
  <c r="C530" i="36"/>
  <c r="F530" i="36" s="1"/>
  <c r="C531" i="36"/>
  <c r="F531" i="36" s="1"/>
  <c r="C532" i="36"/>
  <c r="F532" i="36" s="1"/>
  <c r="C533" i="36"/>
  <c r="F533" i="36" s="1"/>
  <c r="C534" i="36"/>
  <c r="F534" i="36" s="1"/>
  <c r="C535" i="36"/>
  <c r="F535" i="36" s="1"/>
  <c r="C536" i="36"/>
  <c r="F536" i="36" s="1"/>
  <c r="C537" i="36"/>
  <c r="F537" i="36" s="1"/>
  <c r="C538" i="36"/>
  <c r="F538" i="36" s="1"/>
  <c r="C539" i="36"/>
  <c r="F539" i="36" s="1"/>
  <c r="C540" i="36"/>
  <c r="F540" i="36" s="1"/>
  <c r="C541" i="36"/>
  <c r="F541" i="36" s="1"/>
  <c r="C542" i="36"/>
  <c r="F542" i="36" s="1"/>
  <c r="C543" i="36"/>
  <c r="F543" i="36" s="1"/>
  <c r="C544" i="36"/>
  <c r="F544" i="36" s="1"/>
  <c r="C545" i="36"/>
  <c r="F545" i="36" s="1"/>
  <c r="C546" i="36"/>
  <c r="F546" i="36" s="1"/>
  <c r="C547" i="36"/>
  <c r="F547" i="36" s="1"/>
  <c r="C548" i="36"/>
  <c r="F548" i="36" s="1"/>
  <c r="C549" i="36"/>
  <c r="F549" i="36" s="1"/>
  <c r="C550" i="36"/>
  <c r="F550" i="36" s="1"/>
  <c r="C551" i="36"/>
  <c r="F551" i="36" s="1"/>
  <c r="C552" i="36"/>
  <c r="F552" i="36" s="1"/>
  <c r="C553" i="36"/>
  <c r="F553" i="36" s="1"/>
  <c r="C554" i="36"/>
  <c r="F554" i="36" s="1"/>
  <c r="C555" i="36"/>
  <c r="F555" i="36" s="1"/>
  <c r="C556" i="36"/>
  <c r="F556" i="36" s="1"/>
  <c r="C557" i="36"/>
  <c r="F557" i="36" s="1"/>
  <c r="C558" i="36"/>
  <c r="F558" i="36" s="1"/>
  <c r="C559" i="36"/>
  <c r="F559" i="36" s="1"/>
  <c r="C560" i="36"/>
  <c r="F560" i="36" s="1"/>
  <c r="C561" i="36"/>
  <c r="F561" i="36" s="1"/>
  <c r="C562" i="36"/>
  <c r="F562" i="36" s="1"/>
  <c r="C563" i="36"/>
  <c r="F563" i="36" s="1"/>
  <c r="C564" i="36"/>
  <c r="F564" i="36" s="1"/>
  <c r="C565" i="36"/>
  <c r="F565" i="36" s="1"/>
  <c r="C566" i="36"/>
  <c r="F566" i="36" s="1"/>
  <c r="C567" i="36"/>
  <c r="F567" i="36" s="1"/>
  <c r="C568" i="36"/>
  <c r="F568" i="36" s="1"/>
  <c r="C569" i="36"/>
  <c r="F569" i="36" s="1"/>
  <c r="C570" i="36"/>
  <c r="F570" i="36" s="1"/>
  <c r="C571" i="36"/>
  <c r="F571" i="36" s="1"/>
  <c r="C572" i="36"/>
  <c r="F572" i="36" s="1"/>
  <c r="C573" i="36"/>
  <c r="F573" i="36" s="1"/>
  <c r="C574" i="36"/>
  <c r="F574" i="36" s="1"/>
  <c r="C575" i="36"/>
  <c r="F575" i="36" s="1"/>
  <c r="C576" i="36"/>
  <c r="F576" i="36" s="1"/>
  <c r="C577" i="36"/>
  <c r="F577" i="36" s="1"/>
  <c r="C578" i="36"/>
  <c r="F578" i="36" s="1"/>
  <c r="C579" i="36"/>
  <c r="F579" i="36" s="1"/>
  <c r="C580" i="36"/>
  <c r="F580" i="36" s="1"/>
  <c r="C581" i="36"/>
  <c r="F581" i="36" s="1"/>
  <c r="C582" i="36"/>
  <c r="F582" i="36" s="1"/>
  <c r="C583" i="36"/>
  <c r="F583" i="36" s="1"/>
  <c r="C584" i="36"/>
  <c r="F584" i="36" s="1"/>
  <c r="C585" i="36"/>
  <c r="F585" i="36" s="1"/>
  <c r="C586" i="36"/>
  <c r="F586" i="36" s="1"/>
  <c r="C587" i="36"/>
  <c r="F587" i="36" s="1"/>
  <c r="C588" i="36"/>
  <c r="F588" i="36" s="1"/>
  <c r="C589" i="36"/>
  <c r="F589" i="36" s="1"/>
  <c r="C590" i="36"/>
  <c r="F590" i="36" s="1"/>
  <c r="C591" i="36"/>
  <c r="F591" i="36" s="1"/>
  <c r="C592" i="36"/>
  <c r="F592" i="36" s="1"/>
  <c r="C593" i="36"/>
  <c r="F593" i="36" s="1"/>
  <c r="C594" i="36"/>
  <c r="F594" i="36" s="1"/>
  <c r="C595" i="36"/>
  <c r="F595" i="36" s="1"/>
  <c r="C596" i="36"/>
  <c r="F596" i="36" s="1"/>
  <c r="C597" i="36"/>
  <c r="F597" i="36" s="1"/>
  <c r="C598" i="36"/>
  <c r="F598" i="36" s="1"/>
  <c r="C599" i="36"/>
  <c r="F599" i="36" s="1"/>
  <c r="C600" i="36"/>
  <c r="F600" i="36" s="1"/>
  <c r="C601" i="36"/>
  <c r="F601" i="36" s="1"/>
  <c r="C602" i="36"/>
  <c r="F602" i="36" s="1"/>
  <c r="C603" i="36"/>
  <c r="F603" i="36" s="1"/>
  <c r="E2" i="36"/>
  <c r="C2" i="36"/>
  <c r="F2" i="36" s="1"/>
  <c r="M47" i="32" l="1" a="1"/>
  <c r="M47" i="32" s="1"/>
  <c r="M196" i="32" a="1"/>
  <c r="M196" i="32" s="1"/>
  <c r="B54" i="32" a="1"/>
  <c r="B54" i="32" s="1"/>
  <c r="B102" i="32" a="1"/>
  <c r="B102" i="32" s="1"/>
  <c r="A102" i="32" s="1"/>
  <c r="M18" i="32" a="1"/>
  <c r="M18" i="32" s="1"/>
  <c r="M39" i="32" a="1"/>
  <c r="M39" i="32" s="1"/>
  <c r="M53" i="32" a="1"/>
  <c r="M53" i="32" s="1"/>
  <c r="M67" i="32" a="1"/>
  <c r="M67" i="32" s="1"/>
  <c r="L67" i="32" s="1"/>
  <c r="M87" i="32" a="1"/>
  <c r="M87" i="32" s="1"/>
  <c r="L87" i="32" s="1"/>
  <c r="M101" i="32" a="1"/>
  <c r="M101" i="32" s="1"/>
  <c r="L101" i="32" s="1"/>
  <c r="M115" i="32" a="1"/>
  <c r="M115" i="32" s="1"/>
  <c r="L115" i="32" s="1"/>
  <c r="M135" i="32" a="1"/>
  <c r="M135" i="32" s="1"/>
  <c r="O135" i="32" s="1"/>
  <c r="M149" i="32" a="1"/>
  <c r="M149" i="32" s="1"/>
  <c r="L149" i="32" s="1"/>
  <c r="M163" i="32" a="1"/>
  <c r="M163" i="32" s="1"/>
  <c r="L163" i="32" s="1"/>
  <c r="B250" i="32" a="1"/>
  <c r="B250" i="32" s="1"/>
  <c r="M197" i="32" a="1"/>
  <c r="M197" i="32" s="1"/>
  <c r="B55" i="32" a="1"/>
  <c r="B55" i="32" s="1"/>
  <c r="B103" i="32" a="1"/>
  <c r="B103" i="32" s="1"/>
  <c r="A103" i="32" s="1"/>
  <c r="M19" i="32" a="1"/>
  <c r="M19" i="32" s="1"/>
  <c r="M40" i="32" a="1"/>
  <c r="M40" i="32" s="1"/>
  <c r="M54" i="32" a="1"/>
  <c r="M54" i="32" s="1"/>
  <c r="B251" i="32" a="1"/>
  <c r="B251" i="32" s="1"/>
  <c r="M198" i="32" a="1"/>
  <c r="M198" i="32" s="1"/>
  <c r="B66" i="32" a="1"/>
  <c r="B66" i="32" s="1"/>
  <c r="B35" i="32" a="1"/>
  <c r="B35" i="32" s="1"/>
  <c r="M20" i="32" a="1"/>
  <c r="M20" i="32" s="1"/>
  <c r="M41" i="32" a="1"/>
  <c r="M41" i="32" s="1"/>
  <c r="M55" i="32" a="1"/>
  <c r="M55" i="32" s="1"/>
  <c r="L55" i="32" s="1"/>
  <c r="M75" i="32" a="1"/>
  <c r="M75" i="32" s="1"/>
  <c r="L75" i="32" s="1"/>
  <c r="M89" i="32" a="1"/>
  <c r="M89" i="32" s="1"/>
  <c r="L89" i="32" s="1"/>
  <c r="M103" i="32" a="1"/>
  <c r="M103" i="32" s="1"/>
  <c r="O103" i="32" s="1"/>
  <c r="M123" i="32" a="1"/>
  <c r="M123" i="32" s="1"/>
  <c r="L123" i="32" s="1"/>
  <c r="M137" i="32" a="1"/>
  <c r="M137" i="32" s="1"/>
  <c r="N137" i="32" s="1"/>
  <c r="M151" i="32" a="1"/>
  <c r="M151" i="32" s="1"/>
  <c r="O151" i="32" s="1"/>
  <c r="M171" i="32" a="1"/>
  <c r="M171" i="32" s="1"/>
  <c r="O171" i="32" s="1"/>
  <c r="B252" i="32" a="1"/>
  <c r="B252" i="32" s="1"/>
  <c r="M199" i="32" a="1"/>
  <c r="M199" i="32" s="1"/>
  <c r="B67" i="32" a="1"/>
  <c r="B67" i="32" s="1"/>
  <c r="M6" i="32" a="1"/>
  <c r="M6" i="32" s="1"/>
  <c r="M27" i="32" a="1"/>
  <c r="M27" i="32" s="1"/>
  <c r="M42" i="32" a="1"/>
  <c r="M42" i="32" s="1"/>
  <c r="M56" i="32" a="1"/>
  <c r="M56" i="32" s="1"/>
  <c r="O56" i="32" s="1"/>
  <c r="M76" i="32" a="1"/>
  <c r="M76" i="32" s="1"/>
  <c r="O76" i="32" s="1"/>
  <c r="M90" i="32" a="1"/>
  <c r="M90" i="32" s="1"/>
  <c r="L90" i="32" s="1"/>
  <c r="M104" i="32" a="1"/>
  <c r="M104" i="32" s="1"/>
  <c r="L104" i="32" s="1"/>
  <c r="B249" i="32" a="1"/>
  <c r="B249" i="32" s="1"/>
  <c r="M207" i="32" a="1"/>
  <c r="M207" i="32" s="1"/>
  <c r="L207" i="32" s="1"/>
  <c r="B118" i="32" a="1"/>
  <c r="B118" i="32" s="1"/>
  <c r="A118" i="32" s="1"/>
  <c r="B78" i="32" a="1"/>
  <c r="B78" i="32" s="1"/>
  <c r="M7" i="32" a="1"/>
  <c r="M7" i="32" s="1"/>
  <c r="M29" i="32" a="1"/>
  <c r="M29" i="32" s="1"/>
  <c r="M43" i="32" a="1"/>
  <c r="M43" i="32" s="1"/>
  <c r="M63" i="32" a="1"/>
  <c r="M63" i="32" s="1"/>
  <c r="L63" i="32" s="1"/>
  <c r="M77" i="32" a="1"/>
  <c r="M77" i="32" s="1"/>
  <c r="O77" i="32" s="1"/>
  <c r="M91" i="32" a="1"/>
  <c r="M91" i="32" s="1"/>
  <c r="O91" i="32" s="1"/>
  <c r="R91" i="32" s="1"/>
  <c r="S91" i="32" s="1"/>
  <c r="M111" i="32" a="1"/>
  <c r="M111" i="32" s="1"/>
  <c r="O111" i="32" s="1"/>
  <c r="M125" i="32" a="1"/>
  <c r="M125" i="32" s="1"/>
  <c r="L125" i="32" s="1"/>
  <c r="M139" i="32" a="1"/>
  <c r="M139" i="32" s="1"/>
  <c r="L139" i="32" s="1"/>
  <c r="M159" i="32" a="1"/>
  <c r="M159" i="32" s="1"/>
  <c r="N159" i="32" s="1"/>
  <c r="M173" i="32" a="1"/>
  <c r="M173" i="32" s="1"/>
  <c r="L173" i="32" s="1"/>
  <c r="M214" i="32" a="1"/>
  <c r="M214" i="32" s="1"/>
  <c r="L214" i="32" s="1"/>
  <c r="B42" i="32" a="1"/>
  <c r="B42" i="32" s="1"/>
  <c r="B90" i="32" a="1"/>
  <c r="B90" i="32" s="1"/>
  <c r="M15" i="32" a="1"/>
  <c r="M15" i="32" s="1"/>
  <c r="M31" i="32" a="1"/>
  <c r="M31" i="32" s="1"/>
  <c r="M51" i="32" a="1"/>
  <c r="M51" i="32" s="1"/>
  <c r="M65" i="32" a="1"/>
  <c r="M65" i="32" s="1"/>
  <c r="O65" i="32" s="1"/>
  <c r="M79" i="32" a="1"/>
  <c r="M79" i="32" s="1"/>
  <c r="O79" i="32" s="1"/>
  <c r="R79" i="32" s="1"/>
  <c r="S79" i="32" s="1"/>
  <c r="M99" i="32" a="1"/>
  <c r="M99" i="32" s="1"/>
  <c r="O99" i="32" s="1"/>
  <c r="M113" i="32" a="1"/>
  <c r="M113" i="32" s="1"/>
  <c r="O113" i="32" s="1"/>
  <c r="R113" i="32" s="1"/>
  <c r="S113" i="32" s="1"/>
  <c r="M127" i="32" a="1"/>
  <c r="M127" i="32" s="1"/>
  <c r="O127" i="32" s="1"/>
  <c r="R127" i="32" s="1"/>
  <c r="S127" i="32" s="1"/>
  <c r="M147" i="32" a="1"/>
  <c r="M147" i="32" s="1"/>
  <c r="L147" i="32" s="1"/>
  <c r="M161" i="32" a="1"/>
  <c r="M161" i="32" s="1"/>
  <c r="O161" i="32" s="1"/>
  <c r="R161" i="32" s="1"/>
  <c r="S161" i="32" s="1"/>
  <c r="M175" i="32" a="1"/>
  <c r="M175" i="32" s="1"/>
  <c r="N175" i="32" s="1"/>
  <c r="M30" i="32" a="1"/>
  <c r="M30" i="32" s="1"/>
  <c r="M80" i="32" a="1"/>
  <c r="M80" i="32" s="1"/>
  <c r="N80" i="32" s="1"/>
  <c r="M124" i="32" a="1"/>
  <c r="M124" i="32" s="1"/>
  <c r="O124" i="32" s="1"/>
  <c r="M152" i="32" a="1"/>
  <c r="M152" i="32" s="1"/>
  <c r="L152" i="32" s="1"/>
  <c r="M32" i="32" a="1"/>
  <c r="M32" i="32" s="1"/>
  <c r="M88" i="32" a="1"/>
  <c r="M88" i="32" s="1"/>
  <c r="L88" i="32" s="1"/>
  <c r="M126" i="32" a="1"/>
  <c r="M126" i="32" s="1"/>
  <c r="N126" i="32" s="1"/>
  <c r="M160" i="32" a="1"/>
  <c r="M160" i="32" s="1"/>
  <c r="L160" i="32" s="1"/>
  <c r="B117" i="32" a="1"/>
  <c r="B117" i="32" s="1"/>
  <c r="D117" i="32" s="1"/>
  <c r="G117" i="32" s="1"/>
  <c r="H117" i="32" s="1"/>
  <c r="M44" i="32" a="1"/>
  <c r="M44" i="32" s="1"/>
  <c r="O44" i="32" s="1"/>
  <c r="M92" i="32" a="1"/>
  <c r="M92" i="32" s="1"/>
  <c r="O92" i="32" s="1"/>
  <c r="M128" i="32" a="1"/>
  <c r="M128" i="32" s="1"/>
  <c r="O128" i="32" s="1"/>
  <c r="R128" i="32" s="1"/>
  <c r="S128" i="32" s="1"/>
  <c r="M162" i="32" a="1"/>
  <c r="M162" i="32" s="1"/>
  <c r="L162" i="32" s="1"/>
  <c r="B43" i="32" a="1"/>
  <c r="B43" i="32" s="1"/>
  <c r="M52" i="32" a="1"/>
  <c r="M52" i="32" s="1"/>
  <c r="M100" i="32" a="1"/>
  <c r="M100" i="32" s="1"/>
  <c r="N100" i="32" s="1"/>
  <c r="M136" i="32" a="1"/>
  <c r="M136" i="32" s="1"/>
  <c r="N136" i="32" s="1"/>
  <c r="M164" i="32" a="1"/>
  <c r="M164" i="32" s="1"/>
  <c r="N164" i="32" s="1"/>
  <c r="M8" i="32" a="1"/>
  <c r="M8" i="32" s="1"/>
  <c r="M68" i="32" a="1"/>
  <c r="M68" i="32" s="1"/>
  <c r="O68" i="32" s="1"/>
  <c r="M114" i="32" a="1"/>
  <c r="M114" i="32" s="1"/>
  <c r="O114" i="32" s="1"/>
  <c r="R114" i="32" s="1"/>
  <c r="S114" i="32" s="1"/>
  <c r="M17" i="32" a="1"/>
  <c r="M17" i="32" s="1"/>
  <c r="M78" i="32" a="1"/>
  <c r="M78" i="32" s="1"/>
  <c r="L78" i="32" s="1"/>
  <c r="M116" i="32" a="1"/>
  <c r="M116" i="32" s="1"/>
  <c r="M150" i="32" a="1"/>
  <c r="M150" i="32" s="1"/>
  <c r="O150" i="32" s="1"/>
  <c r="R150" i="32" s="1"/>
  <c r="S150" i="32" s="1"/>
  <c r="M140" i="32" a="1"/>
  <c r="M140" i="32" s="1"/>
  <c r="L140" i="32" s="1"/>
  <c r="B79" i="32" a="1"/>
  <c r="B79" i="32" s="1"/>
  <c r="M148" i="32" a="1"/>
  <c r="M148" i="32" s="1"/>
  <c r="L148" i="32" s="1"/>
  <c r="M172" i="32" a="1"/>
  <c r="M172" i="32" s="1"/>
  <c r="N172" i="32" s="1"/>
  <c r="B91" i="32" a="1"/>
  <c r="B91" i="32" s="1"/>
  <c r="M208" i="32" a="1"/>
  <c r="M208" i="32" s="1"/>
  <c r="L208" i="32" s="1"/>
  <c r="M64" i="32" a="1"/>
  <c r="M64" i="32" s="1"/>
  <c r="L64" i="32" s="1"/>
  <c r="M174" i="32" a="1"/>
  <c r="M174" i="32" s="1"/>
  <c r="L174" i="32" s="1"/>
  <c r="M102" i="32" a="1"/>
  <c r="M102" i="32" s="1"/>
  <c r="L102" i="32" s="1"/>
  <c r="M195" i="32" a="1"/>
  <c r="M195" i="32" s="1"/>
  <c r="M66" i="32" a="1"/>
  <c r="M66" i="32" s="1"/>
  <c r="L66" i="32" s="1"/>
  <c r="M176" i="32" a="1"/>
  <c r="M176" i="32" s="1"/>
  <c r="N176" i="32" s="1"/>
  <c r="M112" i="32" a="1"/>
  <c r="M112" i="32" s="1"/>
  <c r="L112" i="32" s="1"/>
  <c r="M138" i="32" a="1"/>
  <c r="M138" i="32" s="1"/>
  <c r="L138" i="32" s="1"/>
  <c r="M16" i="32" a="1"/>
  <c r="M16" i="32" s="1"/>
  <c r="B196" i="32" a="1"/>
  <c r="B196" i="32" s="1"/>
  <c r="B217" i="32" a="1"/>
  <c r="B217" i="32" s="1"/>
  <c r="B209" i="32" a="1"/>
  <c r="B209" i="32" s="1"/>
  <c r="B155" i="32" a="1"/>
  <c r="B155" i="32" s="1"/>
  <c r="B186" i="32" a="1"/>
  <c r="B186" i="32" s="1"/>
  <c r="B180" i="32" a="1"/>
  <c r="B180" i="32" s="1"/>
  <c r="B235" i="32" a="1"/>
  <c r="B235" i="32" s="1"/>
  <c r="B224" i="32" a="1"/>
  <c r="B224" i="32" s="1"/>
  <c r="B202" i="32" a="1"/>
  <c r="B202" i="32" s="1"/>
  <c r="B201" i="32" a="1"/>
  <c r="B201" i="32" s="1"/>
  <c r="B216" i="32" a="1"/>
  <c r="B216" i="32" s="1"/>
  <c r="B140" i="32" a="1"/>
  <c r="B140" i="32" s="1"/>
  <c r="B146" i="32" a="1"/>
  <c r="B146" i="32" s="1"/>
  <c r="B170" i="32" a="1"/>
  <c r="B170" i="32" s="1"/>
  <c r="M86" i="32" a="1"/>
  <c r="M86" i="32" s="1"/>
  <c r="B98" i="32" a="1"/>
  <c r="B98" i="32" s="1"/>
  <c r="D98" i="32" s="1"/>
  <c r="G98" i="32" s="1"/>
  <c r="H98" i="32" s="1"/>
  <c r="M73" i="32" a="1"/>
  <c r="M73" i="32" s="1"/>
  <c r="B73" i="32" a="1"/>
  <c r="B73" i="32" s="1"/>
  <c r="M156" i="32" a="1"/>
  <c r="M156" i="32" s="1"/>
  <c r="L156" i="32" s="1"/>
  <c r="M60" i="32" a="1"/>
  <c r="M60" i="32" s="1"/>
  <c r="L60" i="32" s="1"/>
  <c r="B60" i="32" a="1"/>
  <c r="B60" i="32" s="1"/>
  <c r="M143" i="32" a="1"/>
  <c r="M143" i="32" s="1"/>
  <c r="N143" i="32" s="1"/>
  <c r="M35" i="32" a="1"/>
  <c r="M35" i="32" s="1"/>
  <c r="B47" i="32" a="1"/>
  <c r="B47" i="32" s="1"/>
  <c r="M106" i="32" a="1"/>
  <c r="M106" i="32" s="1"/>
  <c r="L106" i="32" s="1"/>
  <c r="B106" i="32" a="1"/>
  <c r="B106" i="32" s="1"/>
  <c r="A106" i="32" s="1"/>
  <c r="M169" i="32" a="1"/>
  <c r="M169" i="32" s="1"/>
  <c r="L169" i="32" s="1"/>
  <c r="M93" i="32" a="1"/>
  <c r="M93" i="32" s="1"/>
  <c r="O93" i="32" s="1"/>
  <c r="B105" i="32" a="1"/>
  <c r="B105" i="32" s="1"/>
  <c r="D105" i="32" s="1"/>
  <c r="G105" i="32" s="1"/>
  <c r="H105" i="32" s="1"/>
  <c r="B92" i="32" a="1"/>
  <c r="B92" i="32" s="1"/>
  <c r="B89" i="32" a="1"/>
  <c r="B89" i="32" s="1"/>
  <c r="B88" i="32" a="1"/>
  <c r="B88" i="32" s="1"/>
  <c r="B138" i="32" a="1"/>
  <c r="B138" i="32" s="1"/>
  <c r="B74" i="32" a="1"/>
  <c r="B74" i="32" s="1"/>
  <c r="M37" i="32" a="1"/>
  <c r="M37" i="32" s="1"/>
  <c r="M24" i="32" a="1"/>
  <c r="M24" i="32" s="1"/>
  <c r="M119" i="32" a="1"/>
  <c r="M119" i="32" s="1"/>
  <c r="L119" i="32" s="1"/>
  <c r="M82" i="32" a="1"/>
  <c r="M82" i="32" s="1"/>
  <c r="O82" i="32" s="1"/>
  <c r="R82" i="32" s="1"/>
  <c r="S82" i="32" s="1"/>
  <c r="M165" i="32" a="1"/>
  <c r="M165" i="32" s="1"/>
  <c r="O165" i="32" s="1"/>
  <c r="R165" i="32" s="1"/>
  <c r="S165" i="32" s="1"/>
  <c r="B68" i="32" a="1"/>
  <c r="B68" i="32" s="1"/>
  <c r="B64" i="32" a="1"/>
  <c r="B64" i="32" s="1"/>
  <c r="B38" i="32" a="1"/>
  <c r="B38" i="32" s="1"/>
  <c r="M96" i="32" a="1"/>
  <c r="M96" i="32" s="1"/>
  <c r="L96" i="32" s="1"/>
  <c r="B83" i="32" a="1"/>
  <c r="B83" i="32" s="1"/>
  <c r="B46" i="32" a="1"/>
  <c r="B46" i="32" s="1"/>
  <c r="B40" i="32" a="1"/>
  <c r="B40" i="32" s="1"/>
  <c r="B189" i="32" a="1"/>
  <c r="B189" i="32" s="1"/>
  <c r="B128" i="32" a="1"/>
  <c r="B128" i="32" s="1"/>
  <c r="B211" i="32" a="1"/>
  <c r="B211" i="32" s="1"/>
  <c r="B144" i="32" a="1"/>
  <c r="B144" i="32" s="1"/>
  <c r="B160" i="32" a="1"/>
  <c r="B160" i="32" s="1"/>
  <c r="B173" i="32" a="1"/>
  <c r="B173" i="32" s="1"/>
  <c r="B227" i="32" a="1"/>
  <c r="B227" i="32" s="1"/>
  <c r="B239" i="32" a="1"/>
  <c r="B239" i="32" s="1"/>
  <c r="B204" i="32" a="1"/>
  <c r="B204" i="32" s="1"/>
  <c r="B203" i="32" a="1"/>
  <c r="B203" i="32" s="1"/>
  <c r="B221" i="32" a="1"/>
  <c r="B221" i="32" s="1"/>
  <c r="B199" i="32" a="1"/>
  <c r="B199" i="32" s="1"/>
  <c r="B139" i="32" a="1"/>
  <c r="B139" i="32" s="1"/>
  <c r="B162" i="32" a="1"/>
  <c r="B162" i="32" s="1"/>
  <c r="M170" i="32" a="1"/>
  <c r="M170" i="32" s="1"/>
  <c r="L170" i="32" s="1"/>
  <c r="M74" i="32" a="1"/>
  <c r="M74" i="32" s="1"/>
  <c r="O74" i="32" s="1"/>
  <c r="B86" i="32" a="1"/>
  <c r="B86" i="32" s="1"/>
  <c r="M157" i="32" a="1"/>
  <c r="M157" i="32" s="1"/>
  <c r="O157" i="32" s="1"/>
  <c r="M61" i="32" a="1"/>
  <c r="M61" i="32" s="1"/>
  <c r="O61" i="32" s="1"/>
  <c r="B61" i="32" a="1"/>
  <c r="B61" i="32" s="1"/>
  <c r="M144" i="32" a="1"/>
  <c r="M144" i="32" s="1"/>
  <c r="N144" i="32" s="1"/>
  <c r="M36" i="32" a="1"/>
  <c r="M36" i="32" s="1"/>
  <c r="B48" i="32" a="1"/>
  <c r="B48" i="32" s="1"/>
  <c r="M131" i="32" a="1"/>
  <c r="M131" i="32" s="1"/>
  <c r="L131" i="32" s="1"/>
  <c r="M23" i="32" a="1"/>
  <c r="M23" i="32" s="1"/>
  <c r="B114" i="32" a="1"/>
  <c r="B114" i="32" s="1"/>
  <c r="M94" i="32" a="1"/>
  <c r="M94" i="32" s="1"/>
  <c r="O94" i="32" s="1"/>
  <c r="B94" i="32" a="1"/>
  <c r="B94" i="32" s="1"/>
  <c r="M5" i="32" a="1"/>
  <c r="M5" i="32" s="1"/>
  <c r="M81" i="32" a="1"/>
  <c r="M81" i="32" s="1"/>
  <c r="L81" i="32" s="1"/>
  <c r="B93" i="32" a="1"/>
  <c r="B93" i="32" s="1"/>
  <c r="B80" i="32" a="1"/>
  <c r="B80" i="32" s="1"/>
  <c r="B77" i="32" a="1"/>
  <c r="B77" i="32" s="1"/>
  <c r="B76" i="32" a="1"/>
  <c r="B76" i="32" s="1"/>
  <c r="M158" i="32" a="1"/>
  <c r="M158" i="32" s="1"/>
  <c r="O158" i="32" s="1"/>
  <c r="M145" i="32" a="1"/>
  <c r="M145" i="32" s="1"/>
  <c r="O145" i="32" s="1"/>
  <c r="B49" i="32" a="1"/>
  <c r="B49" i="32" s="1"/>
  <c r="B36" i="32" a="1"/>
  <c r="B36" i="32" s="1"/>
  <c r="M11" i="32" a="1"/>
  <c r="M11" i="32" s="1"/>
  <c r="B82" i="32" a="1"/>
  <c r="B82" i="32" s="1"/>
  <c r="M69" i="32" a="1"/>
  <c r="M69" i="32" s="1"/>
  <c r="B65" i="32" a="1"/>
  <c r="B65" i="32" s="1"/>
  <c r="B218" i="32" a="1"/>
  <c r="B218" i="32" s="1"/>
  <c r="M109" i="32" a="1"/>
  <c r="M109" i="32" s="1"/>
  <c r="L109" i="32" s="1"/>
  <c r="B96" i="32" a="1"/>
  <c r="B96" i="32" s="1"/>
  <c r="D96" i="32" s="1"/>
  <c r="G96" i="32" s="1"/>
  <c r="H96" i="32" s="1"/>
  <c r="M34" i="32" a="1"/>
  <c r="M34" i="32" s="1"/>
  <c r="B129" i="32" a="1"/>
  <c r="B129" i="32" s="1"/>
  <c r="B169" i="32" a="1"/>
  <c r="B169" i="32" s="1"/>
  <c r="B231" i="32" a="1"/>
  <c r="B231" i="32" s="1"/>
  <c r="B243" i="32" a="1"/>
  <c r="B243" i="32" s="1"/>
  <c r="B193" i="32" a="1"/>
  <c r="B193" i="32" s="1"/>
  <c r="B154" i="32" a="1"/>
  <c r="B154" i="32" s="1"/>
  <c r="B167" i="32" a="1"/>
  <c r="B167" i="32" s="1"/>
  <c r="B172" i="32" a="1"/>
  <c r="B172" i="32" s="1"/>
  <c r="B234" i="32" a="1"/>
  <c r="B234" i="32" s="1"/>
  <c r="B223" i="32" a="1"/>
  <c r="B223" i="32" s="1"/>
  <c r="B222" i="32" a="1"/>
  <c r="B222" i="32" s="1"/>
  <c r="B233" i="32" a="1"/>
  <c r="B233" i="32" s="1"/>
  <c r="B215" i="32" a="1"/>
  <c r="B215" i="32" s="1"/>
  <c r="B198" i="32" a="1"/>
  <c r="B198" i="32" s="1"/>
  <c r="M62" i="32" a="1"/>
  <c r="M62" i="32" s="1"/>
  <c r="O62" i="32" s="1"/>
  <c r="R62" i="32" s="1"/>
  <c r="S62" i="32" s="1"/>
  <c r="M132" i="32" a="1"/>
  <c r="M132" i="32" s="1"/>
  <c r="L132" i="32" s="1"/>
  <c r="B99" i="32" a="1"/>
  <c r="B99" i="32" s="1"/>
  <c r="C99" i="32" s="1"/>
  <c r="B81" i="32" a="1"/>
  <c r="B81" i="32" s="1"/>
  <c r="B51" i="32" a="1"/>
  <c r="B51" i="32" s="1"/>
  <c r="B63" i="32" a="1"/>
  <c r="B63" i="32" s="1"/>
  <c r="B115" i="32" a="1"/>
  <c r="B115" i="32" s="1"/>
  <c r="B156" i="32" a="1"/>
  <c r="B156" i="32" s="1"/>
  <c r="B188" i="32" a="1"/>
  <c r="B188" i="32" s="1"/>
  <c r="B230" i="32" a="1"/>
  <c r="B230" i="32" s="1"/>
  <c r="B208" i="32" a="1"/>
  <c r="B208" i="32" s="1"/>
  <c r="B192" i="32" a="1"/>
  <c r="B192" i="32" s="1"/>
  <c r="B143" i="32" a="1"/>
  <c r="B143" i="32" s="1"/>
  <c r="B166" i="32" a="1"/>
  <c r="B166" i="32" s="1"/>
  <c r="B248" i="32" a="1"/>
  <c r="B248" i="32" s="1"/>
  <c r="B247" i="32" a="1"/>
  <c r="B247" i="32" s="1"/>
  <c r="B246" i="32" a="1"/>
  <c r="B246" i="32" s="1"/>
  <c r="B245" i="32" a="1"/>
  <c r="B245" i="32" s="1"/>
  <c r="B220" i="32" a="1"/>
  <c r="B220" i="32" s="1"/>
  <c r="B214" i="32" a="1"/>
  <c r="B214" i="32" s="1"/>
  <c r="B197" i="32" a="1"/>
  <c r="B197" i="32" s="1"/>
  <c r="B111" i="32" a="1"/>
  <c r="B111" i="32" s="1"/>
  <c r="C111" i="32" s="1"/>
  <c r="M146" i="32" a="1"/>
  <c r="M146" i="32" s="1"/>
  <c r="L146" i="32" s="1"/>
  <c r="M50" i="32" a="1"/>
  <c r="M50" i="32" s="1"/>
  <c r="B62" i="32" a="1"/>
  <c r="B62" i="32" s="1"/>
  <c r="M133" i="32" a="1"/>
  <c r="M133" i="32" s="1"/>
  <c r="O133" i="32" s="1"/>
  <c r="M25" i="32" a="1"/>
  <c r="M25" i="32" s="1"/>
  <c r="B37" i="32" a="1"/>
  <c r="B37" i="32" s="1"/>
  <c r="M120" i="32" a="1"/>
  <c r="M120" i="32" s="1"/>
  <c r="O120" i="32" s="1"/>
  <c r="M12" i="32" a="1"/>
  <c r="M12" i="32" s="1"/>
  <c r="M378" i="32" a="1"/>
  <c r="M378" i="32" s="1"/>
  <c r="N378" i="32" s="1"/>
  <c r="M107" i="32" a="1"/>
  <c r="M107" i="32" s="1"/>
  <c r="N107" i="32" s="1"/>
  <c r="B107" i="32" a="1"/>
  <c r="B107" i="32" s="1"/>
  <c r="A107" i="32" s="1"/>
  <c r="M166" i="32" a="1"/>
  <c r="M166" i="32" s="1"/>
  <c r="L166" i="32" s="1"/>
  <c r="M70" i="32" a="1"/>
  <c r="M70" i="32" s="1"/>
  <c r="L70" i="32" s="1"/>
  <c r="B70" i="32" a="1"/>
  <c r="B70" i="32" s="1"/>
  <c r="M153" i="32" a="1"/>
  <c r="M153" i="32" s="1"/>
  <c r="L153" i="32" s="1"/>
  <c r="M57" i="32" a="1"/>
  <c r="M57" i="32" s="1"/>
  <c r="L57" i="32" s="1"/>
  <c r="B69" i="32" a="1"/>
  <c r="B69" i="32" s="1"/>
  <c r="B56" i="32" a="1"/>
  <c r="B56" i="32" s="1"/>
  <c r="B53" i="32" a="1"/>
  <c r="B53" i="32" s="1"/>
  <c r="B52" i="32" a="1"/>
  <c r="B52" i="32" s="1"/>
  <c r="B181" i="32" a="1"/>
  <c r="B181" i="32" s="1"/>
  <c r="B226" i="32" a="1"/>
  <c r="B226" i="32" s="1"/>
  <c r="B142" i="32" a="1"/>
  <c r="B142" i="32" s="1"/>
  <c r="B178" i="32" a="1"/>
  <c r="B178" i="32" s="1"/>
  <c r="B164" i="32" a="1"/>
  <c r="B164" i="32" s="1"/>
  <c r="B238" i="32" a="1"/>
  <c r="B238" i="32" s="1"/>
  <c r="M122" i="32" a="1"/>
  <c r="M122" i="32" s="1"/>
  <c r="O122" i="32" s="1"/>
  <c r="B109" i="32" a="1"/>
  <c r="B109" i="32" s="1"/>
  <c r="A109" i="32" s="1"/>
  <c r="M83" i="32" a="1"/>
  <c r="M83" i="32" s="1"/>
  <c r="B137" i="32" a="1"/>
  <c r="B137" i="32" s="1"/>
  <c r="B149" i="32" a="1"/>
  <c r="B149" i="32" s="1"/>
  <c r="B182" i="32" a="1"/>
  <c r="B182" i="32" s="1"/>
  <c r="B187" i="32" a="1"/>
  <c r="B187" i="32" s="1"/>
  <c r="B210" i="32" a="1"/>
  <c r="B210" i="32" s="1"/>
  <c r="B207" i="32" a="1"/>
  <c r="B207" i="32" s="1"/>
  <c r="B191" i="32" a="1"/>
  <c r="B191" i="32" s="1"/>
  <c r="B147" i="32" a="1"/>
  <c r="B147" i="32" s="1"/>
  <c r="B126" i="32" a="1"/>
  <c r="B126" i="32" s="1"/>
  <c r="B184" i="32" a="1"/>
  <c r="B184" i="32" s="1"/>
  <c r="B165" i="32" a="1"/>
  <c r="B165" i="32" s="1"/>
  <c r="B171" i="32" a="1"/>
  <c r="B171" i="32" s="1"/>
  <c r="B244" i="32" a="1"/>
  <c r="B244" i="32" s="1"/>
  <c r="B219" i="32" a="1"/>
  <c r="B219" i="32" s="1"/>
  <c r="B213" i="32" a="1"/>
  <c r="B213" i="32" s="1"/>
  <c r="B87" i="32" a="1"/>
  <c r="B87" i="32" s="1"/>
  <c r="M134" i="32" a="1"/>
  <c r="M134" i="32" s="1"/>
  <c r="O134" i="32" s="1"/>
  <c r="M38" i="32" a="1"/>
  <c r="M38" i="32" s="1"/>
  <c r="B50" i="32" a="1"/>
  <c r="B50" i="32" s="1"/>
  <c r="M121" i="32" a="1"/>
  <c r="M121" i="32" s="1"/>
  <c r="M13" i="32" a="1"/>
  <c r="M13" i="32" s="1"/>
  <c r="M379" i="32" a="1"/>
  <c r="M379" i="32" s="1"/>
  <c r="N379" i="32" s="1"/>
  <c r="M108" i="32" a="1"/>
  <c r="M108" i="32" s="1"/>
  <c r="L108" i="32" s="1"/>
  <c r="B108" i="32" a="1"/>
  <c r="B108" i="32" s="1"/>
  <c r="M202" i="32" a="1"/>
  <c r="M202" i="32" s="1"/>
  <c r="M95" i="32" a="1"/>
  <c r="M95" i="32" s="1"/>
  <c r="L95" i="32" s="1"/>
  <c r="B95" i="32" a="1"/>
  <c r="B95" i="32" s="1"/>
  <c r="A95" i="32" s="1"/>
  <c r="M154" i="32" a="1"/>
  <c r="M154" i="32" s="1"/>
  <c r="L154" i="32" s="1"/>
  <c r="M58" i="32" a="1"/>
  <c r="M58" i="32" s="1"/>
  <c r="L58" i="32" s="1"/>
  <c r="B58" i="32" a="1"/>
  <c r="B58" i="32" s="1"/>
  <c r="M141" i="32" a="1"/>
  <c r="M141" i="32" s="1"/>
  <c r="O141" i="32" s="1"/>
  <c r="M45" i="32" a="1"/>
  <c r="M45" i="32" s="1"/>
  <c r="B57" i="32" a="1"/>
  <c r="B57" i="32" s="1"/>
  <c r="B44" i="32" a="1"/>
  <c r="B44" i="32" s="1"/>
  <c r="B41" i="32" a="1"/>
  <c r="B41" i="32" s="1"/>
  <c r="M206" i="32" a="1"/>
  <c r="M206" i="32" s="1"/>
  <c r="O206" i="32" s="1"/>
  <c r="R206" i="32" s="1"/>
  <c r="S206" i="32" s="1"/>
  <c r="B145" i="32" a="1"/>
  <c r="B145" i="32" s="1"/>
  <c r="B174" i="32" a="1"/>
  <c r="B174" i="32" s="1"/>
  <c r="B242" i="32" a="1"/>
  <c r="B242" i="32" s="1"/>
  <c r="B206" i="32" a="1"/>
  <c r="B206" i="32" s="1"/>
  <c r="B185" i="32" a="1"/>
  <c r="B185" i="32" s="1"/>
  <c r="B151" i="32" a="1"/>
  <c r="B151" i="32" s="1"/>
  <c r="B177" i="32" a="1"/>
  <c r="B177" i="32" s="1"/>
  <c r="M26" i="32" a="1"/>
  <c r="M26" i="32" s="1"/>
  <c r="M203" i="32" a="1"/>
  <c r="M203" i="32" s="1"/>
  <c r="M142" i="32" a="1"/>
  <c r="M142" i="32" s="1"/>
  <c r="L142" i="32" s="1"/>
  <c r="B175" i="32" a="1"/>
  <c r="B175" i="32" s="1"/>
  <c r="B195" i="32" a="1"/>
  <c r="B195" i="32" s="1"/>
  <c r="B148" i="32" a="1"/>
  <c r="B148" i="32" s="1"/>
  <c r="B168" i="32" a="1"/>
  <c r="B168" i="32" s="1"/>
  <c r="B236" i="32" a="1"/>
  <c r="B236" i="32" s="1"/>
  <c r="B241" i="32" a="1"/>
  <c r="B241" i="32" s="1"/>
  <c r="B225" i="32" a="1"/>
  <c r="B225" i="32" s="1"/>
  <c r="B190" i="32" a="1"/>
  <c r="B190" i="32" s="1"/>
  <c r="B179" i="32" a="1"/>
  <c r="B179" i="32" s="1"/>
  <c r="B159" i="32" a="1"/>
  <c r="B159" i="32" s="1"/>
  <c r="B141" i="32" a="1"/>
  <c r="B141" i="32" s="1"/>
  <c r="B158" i="32" a="1"/>
  <c r="B158" i="32" s="1"/>
  <c r="B163" i="32" a="1"/>
  <c r="B163" i="32" s="1"/>
  <c r="B183" i="32" a="1"/>
  <c r="B183" i="32" s="1"/>
  <c r="B237" i="32" a="1"/>
  <c r="B237" i="32" s="1"/>
  <c r="B39" i="32" a="1"/>
  <c r="B39" i="32" s="1"/>
  <c r="M110" i="32" a="1"/>
  <c r="M110" i="32" s="1"/>
  <c r="O110" i="32" s="1"/>
  <c r="M14" i="32" a="1"/>
  <c r="M14" i="32" s="1"/>
  <c r="M380" i="32" a="1"/>
  <c r="M380" i="32" s="1"/>
  <c r="N380" i="32" s="1"/>
  <c r="M97" i="32" a="1"/>
  <c r="M97" i="32" s="1"/>
  <c r="O97" i="32" s="1"/>
  <c r="B97" i="32" a="1"/>
  <c r="B97" i="32" s="1"/>
  <c r="A97" i="32" s="1"/>
  <c r="B75" i="32" a="1"/>
  <c r="B75" i="32" s="1"/>
  <c r="M84" i="32" a="1"/>
  <c r="M84" i="32" s="1"/>
  <c r="L84" i="32" s="1"/>
  <c r="B84" i="32" a="1"/>
  <c r="B84" i="32" s="1"/>
  <c r="M167" i="32" a="1"/>
  <c r="M167" i="32" s="1"/>
  <c r="L167" i="32" s="1"/>
  <c r="M71" i="32" a="1"/>
  <c r="M71" i="32" s="1"/>
  <c r="L71" i="32" s="1"/>
  <c r="B71" i="32" a="1"/>
  <c r="B71" i="32" s="1"/>
  <c r="M130" i="32" a="1"/>
  <c r="M130" i="32" s="1"/>
  <c r="L130" i="32" s="1"/>
  <c r="M22" i="32" a="1"/>
  <c r="M22" i="32" s="1"/>
  <c r="B116" i="32" a="1"/>
  <c r="B116" i="32" s="1"/>
  <c r="M117" i="32" a="1"/>
  <c r="M117" i="32" s="1"/>
  <c r="N117" i="32" s="1"/>
  <c r="M21" i="32" a="1"/>
  <c r="M21" i="32" s="1"/>
  <c r="M200" i="32" a="1"/>
  <c r="M200" i="32" s="1"/>
  <c r="B113" i="32" a="1"/>
  <c r="B113" i="32" s="1"/>
  <c r="D113" i="32" s="1"/>
  <c r="G113" i="32" s="1"/>
  <c r="H113" i="32" s="1"/>
  <c r="B112" i="32" a="1"/>
  <c r="B112" i="32" s="1"/>
  <c r="A112" i="32" s="1"/>
  <c r="B127" i="32" a="1"/>
  <c r="B127" i="32" s="1"/>
  <c r="B212" i="32" a="1"/>
  <c r="B212" i="32" s="1"/>
  <c r="B194" i="32" a="1"/>
  <c r="B194" i="32" s="1"/>
  <c r="B161" i="32" a="1"/>
  <c r="B161" i="32" s="1"/>
  <c r="B229" i="32" a="1"/>
  <c r="B229" i="32" s="1"/>
  <c r="B228" i="32" a="1"/>
  <c r="B228" i="32" s="1"/>
  <c r="B240" i="32" a="1"/>
  <c r="B240" i="32" s="1"/>
  <c r="B205" i="32" a="1"/>
  <c r="B205" i="32" s="1"/>
  <c r="B153" i="32" a="1"/>
  <c r="B153" i="32" s="1"/>
  <c r="B152" i="32" a="1"/>
  <c r="B152" i="32" s="1"/>
  <c r="B200" i="32" a="1"/>
  <c r="B200" i="32" s="1"/>
  <c r="B150" i="32" a="1"/>
  <c r="B150" i="32" s="1"/>
  <c r="B85" i="32" a="1"/>
  <c r="B85" i="32" s="1"/>
  <c r="M10" i="32" a="1"/>
  <c r="M10" i="32" s="1"/>
  <c r="M201" i="32" a="1"/>
  <c r="M201" i="32" s="1"/>
  <c r="B100" i="32" a="1"/>
  <c r="B100" i="32" s="1"/>
  <c r="C100" i="32" s="1"/>
  <c r="B157" i="32" a="1"/>
  <c r="B157" i="32" s="1"/>
  <c r="M168" i="32" a="1"/>
  <c r="M168" i="32" s="1"/>
  <c r="L168" i="32" s="1"/>
  <c r="B101" i="32" a="1"/>
  <c r="B101" i="32" s="1"/>
  <c r="A101" i="32" s="1"/>
  <c r="B176" i="32" a="1"/>
  <c r="B176" i="32" s="1"/>
  <c r="M72" i="32" a="1"/>
  <c r="M72" i="32" s="1"/>
  <c r="L72" i="32" s="1"/>
  <c r="M129" i="32" a="1"/>
  <c r="M129" i="32" s="1"/>
  <c r="O129" i="32" s="1"/>
  <c r="R129" i="32" s="1"/>
  <c r="S129" i="32" s="1"/>
  <c r="M28" i="32" a="1"/>
  <c r="M28" i="32" s="1"/>
  <c r="M85" i="32" a="1"/>
  <c r="M85" i="32" s="1"/>
  <c r="L85" i="32" s="1"/>
  <c r="B232" i="32" a="1"/>
  <c r="B232" i="32" s="1"/>
  <c r="M205" i="32" a="1"/>
  <c r="M205" i="32" s="1"/>
  <c r="L205" i="32" s="1"/>
  <c r="B72" i="32" a="1"/>
  <c r="B72" i="32" s="1"/>
  <c r="M105" i="32" a="1"/>
  <c r="M105" i="32" s="1"/>
  <c r="L105" i="32" s="1"/>
  <c r="B45" i="32" a="1"/>
  <c r="B45" i="32" s="1"/>
  <c r="M98" i="32" a="1"/>
  <c r="M98" i="32" s="1"/>
  <c r="L98" i="32" s="1"/>
  <c r="M155" i="32" a="1"/>
  <c r="M155" i="32" s="1"/>
  <c r="O155" i="32" s="1"/>
  <c r="M33" i="32" a="1"/>
  <c r="M33" i="32" s="1"/>
  <c r="M204" i="32" a="1"/>
  <c r="M204" i="32" s="1"/>
  <c r="O204" i="32" s="1"/>
  <c r="R204" i="32" s="1"/>
  <c r="S204" i="32" s="1"/>
  <c r="M118" i="32" a="1"/>
  <c r="M118" i="32" s="1"/>
  <c r="O118" i="32" s="1"/>
  <c r="B110" i="32" a="1"/>
  <c r="B110" i="32" s="1"/>
  <c r="C110" i="32" s="1"/>
  <c r="M59" i="32" a="1"/>
  <c r="M59" i="32" s="1"/>
  <c r="L59" i="32" s="1"/>
  <c r="M9" i="32" a="1"/>
  <c r="M9" i="32" s="1"/>
  <c r="B59" i="32" a="1"/>
  <c r="B59" i="32" s="1"/>
  <c r="B104" i="32" a="1"/>
  <c r="B104" i="32" s="1"/>
  <c r="C104" i="32" s="1"/>
  <c r="M48" i="32" a="1"/>
  <c r="M48" i="32" s="1"/>
  <c r="O57" i="32"/>
  <c r="N113" i="32"/>
  <c r="O81" i="32"/>
  <c r="C103" i="32"/>
  <c r="O73" i="32"/>
  <c r="R73" i="32" s="1"/>
  <c r="S73" i="32" s="1"/>
  <c r="L161" i="32"/>
  <c r="L73" i="32"/>
  <c r="L69" i="32"/>
  <c r="N125" i="32"/>
  <c r="O95" i="32"/>
  <c r="O87" i="32"/>
  <c r="O69" i="32"/>
  <c r="R69" i="32" s="1"/>
  <c r="S69" i="32" s="1"/>
  <c r="O156" i="32"/>
  <c r="O175" i="32"/>
  <c r="R175" i="32" s="1"/>
  <c r="S175" i="32" s="1"/>
  <c r="M46" i="32" a="1"/>
  <c r="M46" i="32" s="1"/>
  <c r="C117" i="32"/>
  <c r="O108" i="32"/>
  <c r="N78" i="32"/>
  <c r="O86" i="32"/>
  <c r="N87" i="32"/>
  <c r="O121" i="32"/>
  <c r="O116" i="32"/>
  <c r="O78" i="32"/>
  <c r="R78" i="32" s="1"/>
  <c r="S78" i="32" s="1"/>
  <c r="O152" i="32"/>
  <c r="L175" i="32"/>
  <c r="L121" i="32"/>
  <c r="O71" i="32"/>
  <c r="R71" i="32" s="1"/>
  <c r="S71" i="32" s="1"/>
  <c r="L116" i="32"/>
  <c r="O144" i="32"/>
  <c r="O146" i="32"/>
  <c r="R146" i="32" s="1"/>
  <c r="S146" i="32" s="1"/>
  <c r="L113" i="32"/>
  <c r="L68" i="32"/>
  <c r="A117" i="32"/>
  <c r="N156" i="32"/>
  <c r="L137" i="32"/>
  <c r="L65" i="32"/>
  <c r="O101" i="32"/>
  <c r="N139" i="32"/>
  <c r="N73" i="32"/>
  <c r="O139" i="32"/>
  <c r="L86" i="32"/>
  <c r="O166" i="32"/>
  <c r="A111" i="32"/>
  <c r="C101" i="32"/>
  <c r="A98" i="32"/>
  <c r="B12" i="32" a="1"/>
  <c r="B12" i="32" s="1"/>
  <c r="B24" i="32" a="1"/>
  <c r="B24" i="32" s="1"/>
  <c r="B13" i="32" a="1"/>
  <c r="B13" i="32" s="1"/>
  <c r="B25" i="32" a="1"/>
  <c r="B25" i="32" s="1"/>
  <c r="B16" i="32" a="1"/>
  <c r="B16" i="32" s="1"/>
  <c r="B17" i="32" a="1"/>
  <c r="B17" i="32" s="1"/>
  <c r="B5" i="32" a="1"/>
  <c r="B5" i="32" s="1"/>
  <c r="B6" i="32" a="1"/>
  <c r="B6" i="32" s="1"/>
  <c r="B18" i="32" a="1"/>
  <c r="B18" i="32" s="1"/>
  <c r="B7" i="32" a="1"/>
  <c r="B7" i="32" s="1"/>
  <c r="B19" i="32" a="1"/>
  <c r="B19" i="32" s="1"/>
  <c r="B14" i="32" a="1"/>
  <c r="B14" i="32" s="1"/>
  <c r="B8" i="32" a="1"/>
  <c r="B8" i="32" s="1"/>
  <c r="B20" i="32" a="1"/>
  <c r="B20" i="32" s="1"/>
  <c r="B9" i="32" a="1"/>
  <c r="B9" i="32" s="1"/>
  <c r="B21" i="32" a="1"/>
  <c r="B21" i="32" s="1"/>
  <c r="B11" i="32" a="1"/>
  <c r="B11" i="32" s="1"/>
  <c r="B10" i="32" a="1"/>
  <c r="B10" i="32" s="1"/>
  <c r="B22" i="32" a="1"/>
  <c r="B22" i="32" s="1"/>
  <c r="B23" i="32" a="1"/>
  <c r="B23" i="32" s="1"/>
  <c r="B15" i="32" a="1"/>
  <c r="B15" i="32" s="1"/>
  <c r="B28" i="32" a="1"/>
  <c r="B28" i="32" s="1"/>
  <c r="B26" i="32" a="1"/>
  <c r="B26" i="32" s="1"/>
  <c r="B27" i="32" a="1"/>
  <c r="B27" i="32" s="1"/>
  <c r="D600" i="36"/>
  <c r="D594" i="36"/>
  <c r="D541" i="36"/>
  <c r="D529" i="36"/>
  <c r="D397" i="36"/>
  <c r="D385" i="36"/>
  <c r="D253" i="36"/>
  <c r="D241" i="36"/>
  <c r="D109" i="36"/>
  <c r="D97" i="36"/>
  <c r="D553" i="36"/>
  <c r="D409" i="36"/>
  <c r="D265" i="36"/>
  <c r="D121" i="36"/>
  <c r="D517" i="36"/>
  <c r="D373" i="36"/>
  <c r="D229" i="36"/>
  <c r="D85" i="36"/>
  <c r="D589" i="36"/>
  <c r="D505" i="36"/>
  <c r="D361" i="36"/>
  <c r="D217" i="36"/>
  <c r="D73" i="36"/>
  <c r="D588" i="36"/>
  <c r="D493" i="36"/>
  <c r="D349" i="36"/>
  <c r="D205" i="36"/>
  <c r="D61" i="36"/>
  <c r="D582" i="36"/>
  <c r="D481" i="36"/>
  <c r="D337" i="36"/>
  <c r="D193" i="36"/>
  <c r="D49" i="36"/>
  <c r="D577" i="36"/>
  <c r="N158" i="32" s="1"/>
  <c r="D469" i="36"/>
  <c r="D325" i="36"/>
  <c r="D181" i="36"/>
  <c r="D37" i="36"/>
  <c r="D576" i="36"/>
  <c r="D457" i="36"/>
  <c r="D313" i="36"/>
  <c r="D169" i="36"/>
  <c r="D25" i="36"/>
  <c r="D570" i="36"/>
  <c r="D445" i="36"/>
  <c r="D301" i="36"/>
  <c r="N116" i="32" s="1"/>
  <c r="D157" i="36"/>
  <c r="D13" i="36"/>
  <c r="D565" i="36"/>
  <c r="D433" i="36"/>
  <c r="D289" i="36"/>
  <c r="D145" i="36"/>
  <c r="D564" i="36"/>
  <c r="N151" i="32" s="1"/>
  <c r="D421" i="36"/>
  <c r="D277" i="36"/>
  <c r="N94" i="32" s="1"/>
  <c r="D133" i="36"/>
  <c r="D602" i="36"/>
  <c r="D590" i="36"/>
  <c r="D578" i="36"/>
  <c r="D566" i="36"/>
  <c r="D554" i="36"/>
  <c r="D542" i="36"/>
  <c r="D530" i="36"/>
  <c r="D518" i="36"/>
  <c r="D506" i="36"/>
  <c r="D494" i="36"/>
  <c r="D482" i="36"/>
  <c r="D470" i="36"/>
  <c r="D458" i="36"/>
  <c r="D446" i="36"/>
  <c r="D434" i="36"/>
  <c r="D422" i="36"/>
  <c r="D410" i="36"/>
  <c r="D398" i="36"/>
  <c r="D386" i="36"/>
  <c r="D374" i="36"/>
  <c r="D362" i="36"/>
  <c r="D350" i="36"/>
  <c r="D338" i="36"/>
  <c r="D326" i="36"/>
  <c r="D314" i="36"/>
  <c r="D302" i="36"/>
  <c r="D290" i="36"/>
  <c r="D278" i="36"/>
  <c r="N95" i="32" s="1"/>
  <c r="D266" i="36"/>
  <c r="D254" i="36"/>
  <c r="D242" i="36"/>
  <c r="D230" i="36"/>
  <c r="D218" i="36"/>
  <c r="D206" i="36"/>
  <c r="D194" i="36"/>
  <c r="D182" i="36"/>
  <c r="D170" i="36"/>
  <c r="D158" i="36"/>
  <c r="D146" i="36"/>
  <c r="D134" i="36"/>
  <c r="D122" i="36"/>
  <c r="D110" i="36"/>
  <c r="D98" i="36"/>
  <c r="D86" i="36"/>
  <c r="D74" i="36"/>
  <c r="D62" i="36"/>
  <c r="D50" i="36"/>
  <c r="D38" i="36"/>
  <c r="D26" i="36"/>
  <c r="D14" i="36"/>
  <c r="D552" i="36"/>
  <c r="D540" i="36"/>
  <c r="D528" i="36"/>
  <c r="D516" i="36"/>
  <c r="D504" i="36"/>
  <c r="D492" i="36"/>
  <c r="D480" i="36"/>
  <c r="D468" i="36"/>
  <c r="D456" i="36"/>
  <c r="D444" i="36"/>
  <c r="D432" i="36"/>
  <c r="D420" i="36"/>
  <c r="D408" i="36"/>
  <c r="D396" i="36"/>
  <c r="D384" i="36"/>
  <c r="D372" i="36"/>
  <c r="D360" i="36"/>
  <c r="D348" i="36"/>
  <c r="D336" i="36"/>
  <c r="D324" i="36"/>
  <c r="D312" i="36"/>
  <c r="D300" i="36"/>
  <c r="D288" i="36"/>
  <c r="D276" i="36"/>
  <c r="D264" i="36"/>
  <c r="D252" i="36"/>
  <c r="N69" i="32" s="1"/>
  <c r="D240" i="36"/>
  <c r="N57" i="32" s="1"/>
  <c r="D228" i="36"/>
  <c r="D216" i="36"/>
  <c r="D204" i="36"/>
  <c r="D192" i="36"/>
  <c r="D180" i="36"/>
  <c r="D168" i="36"/>
  <c r="D156" i="36"/>
  <c r="D144" i="36"/>
  <c r="D132" i="36"/>
  <c r="D120" i="36"/>
  <c r="D108" i="36"/>
  <c r="D96" i="36"/>
  <c r="D84" i="36"/>
  <c r="D72" i="36"/>
  <c r="D60" i="36"/>
  <c r="D48" i="36"/>
  <c r="D36" i="36"/>
  <c r="D24" i="36"/>
  <c r="D12" i="36"/>
  <c r="D599" i="36"/>
  <c r="D587" i="36"/>
  <c r="D575" i="36"/>
  <c r="D563" i="36"/>
  <c r="N150" i="32" s="1"/>
  <c r="D551" i="36"/>
  <c r="D539" i="36"/>
  <c r="C98" i="32" s="1"/>
  <c r="D527" i="36"/>
  <c r="D515" i="36"/>
  <c r="D503" i="36"/>
  <c r="D491" i="36"/>
  <c r="D479" i="36"/>
  <c r="D467" i="36"/>
  <c r="D455" i="36"/>
  <c r="D443" i="36"/>
  <c r="D431" i="36"/>
  <c r="D419" i="36"/>
  <c r="D407" i="36"/>
  <c r="D395" i="36"/>
  <c r="D383" i="36"/>
  <c r="D371" i="36"/>
  <c r="D359" i="36"/>
  <c r="D347" i="36"/>
  <c r="D335" i="36"/>
  <c r="D323" i="36"/>
  <c r="D311" i="36"/>
  <c r="D299" i="36"/>
  <c r="D287" i="36"/>
  <c r="D275" i="36"/>
  <c r="D263" i="36"/>
  <c r="D251" i="36"/>
  <c r="D239" i="36"/>
  <c r="D227" i="36"/>
  <c r="D215" i="36"/>
  <c r="D203" i="36"/>
  <c r="D191" i="36"/>
  <c r="D179" i="36"/>
  <c r="D167" i="36"/>
  <c r="D155" i="36"/>
  <c r="D143" i="36"/>
  <c r="D131" i="36"/>
  <c r="D119" i="36"/>
  <c r="D107" i="36"/>
  <c r="D95" i="36"/>
  <c r="D83" i="36"/>
  <c r="D71" i="36"/>
  <c r="D59" i="36"/>
  <c r="D47" i="36"/>
  <c r="D35" i="36"/>
  <c r="D23" i="36"/>
  <c r="D11" i="36"/>
  <c r="D598" i="36"/>
  <c r="D586" i="36"/>
  <c r="N166" i="32" s="1"/>
  <c r="D574" i="36"/>
  <c r="D562" i="36"/>
  <c r="D550" i="36"/>
  <c r="D538" i="36"/>
  <c r="D526" i="36"/>
  <c r="D514" i="36"/>
  <c r="D502" i="36"/>
  <c r="D490" i="36"/>
  <c r="D478" i="36"/>
  <c r="D466" i="36"/>
  <c r="D454" i="36"/>
  <c r="D442" i="36"/>
  <c r="D430" i="36"/>
  <c r="D418" i="36"/>
  <c r="D406" i="36"/>
  <c r="D394" i="36"/>
  <c r="D382" i="36"/>
  <c r="D370" i="36"/>
  <c r="D358" i="36"/>
  <c r="D346" i="36"/>
  <c r="D334" i="36"/>
  <c r="D322" i="36"/>
  <c r="D310" i="36"/>
  <c r="D298" i="36"/>
  <c r="D286" i="36"/>
  <c r="D274" i="36"/>
  <c r="D262" i="36"/>
  <c r="D250" i="36"/>
  <c r="D238" i="36"/>
  <c r="N55" i="32" s="1"/>
  <c r="D226" i="36"/>
  <c r="D214" i="36"/>
  <c r="D202" i="36"/>
  <c r="D190" i="36"/>
  <c r="D178" i="36"/>
  <c r="D166" i="36"/>
  <c r="D154" i="36"/>
  <c r="D142" i="36"/>
  <c r="D130" i="36"/>
  <c r="D118" i="36"/>
  <c r="D106" i="36"/>
  <c r="D94" i="36"/>
  <c r="D82" i="36"/>
  <c r="D70" i="36"/>
  <c r="D58" i="36"/>
  <c r="D46" i="36"/>
  <c r="D34" i="36"/>
  <c r="D22" i="36"/>
  <c r="D10" i="36"/>
  <c r="D597" i="36"/>
  <c r="D585" i="36"/>
  <c r="D573" i="36"/>
  <c r="D561" i="36"/>
  <c r="D549" i="36"/>
  <c r="D537" i="36"/>
  <c r="D525" i="36"/>
  <c r="D513" i="36"/>
  <c r="D501" i="36"/>
  <c r="D489" i="36"/>
  <c r="D477" i="36"/>
  <c r="D465" i="36"/>
  <c r="D453" i="36"/>
  <c r="D441" i="36"/>
  <c r="D429" i="36"/>
  <c r="D417" i="36"/>
  <c r="D405" i="36"/>
  <c r="D393" i="36"/>
  <c r="D381" i="36"/>
  <c r="D369" i="36"/>
  <c r="D357" i="36"/>
  <c r="D345" i="36"/>
  <c r="D333" i="36"/>
  <c r="D321" i="36"/>
  <c r="D309" i="36"/>
  <c r="D297" i="36"/>
  <c r="D285" i="36"/>
  <c r="D273" i="36"/>
  <c r="N90" i="32" s="1"/>
  <c r="D261" i="36"/>
  <c r="D249" i="36"/>
  <c r="N66" i="32" s="1"/>
  <c r="D237" i="36"/>
  <c r="D225" i="36"/>
  <c r="D213" i="36"/>
  <c r="D201" i="36"/>
  <c r="D189" i="36"/>
  <c r="D177" i="36"/>
  <c r="D165" i="36"/>
  <c r="D153" i="36"/>
  <c r="D141" i="36"/>
  <c r="D129" i="36"/>
  <c r="D117" i="36"/>
  <c r="D105" i="36"/>
  <c r="D93" i="36"/>
  <c r="D81" i="36"/>
  <c r="D69" i="36"/>
  <c r="D57" i="36"/>
  <c r="D45" i="36"/>
  <c r="D33" i="36"/>
  <c r="D21" i="36"/>
  <c r="D9" i="36"/>
  <c r="D596" i="36"/>
  <c r="D584" i="36"/>
  <c r="D572" i="36"/>
  <c r="D560" i="36"/>
  <c r="D548" i="36"/>
  <c r="D536" i="36"/>
  <c r="D524" i="36"/>
  <c r="D512" i="36"/>
  <c r="D500" i="36"/>
  <c r="D488" i="36"/>
  <c r="D476" i="36"/>
  <c r="D464" i="36"/>
  <c r="D452" i="36"/>
  <c r="D440" i="36"/>
  <c r="D428" i="36"/>
  <c r="D416" i="36"/>
  <c r="D404" i="36"/>
  <c r="D392" i="36"/>
  <c r="D380" i="36"/>
  <c r="D368" i="36"/>
  <c r="D356" i="36"/>
  <c r="D344" i="36"/>
  <c r="D332" i="36"/>
  <c r="D320" i="36"/>
  <c r="D308" i="36"/>
  <c r="D296" i="36"/>
  <c r="D284" i="36"/>
  <c r="D272" i="36"/>
  <c r="D260" i="36"/>
  <c r="D248" i="36"/>
  <c r="D236" i="36"/>
  <c r="D224" i="36"/>
  <c r="D212" i="36"/>
  <c r="D200" i="36"/>
  <c r="D188" i="36"/>
  <c r="D176" i="36"/>
  <c r="D164" i="36"/>
  <c r="D152" i="36"/>
  <c r="D140" i="36"/>
  <c r="D128" i="36"/>
  <c r="D116" i="36"/>
  <c r="D104" i="36"/>
  <c r="D92" i="36"/>
  <c r="D80" i="36"/>
  <c r="D68" i="36"/>
  <c r="D56" i="36"/>
  <c r="D44" i="36"/>
  <c r="D32" i="36"/>
  <c r="D20" i="36"/>
  <c r="D8" i="36"/>
  <c r="D595" i="36"/>
  <c r="D583" i="36"/>
  <c r="D571" i="36"/>
  <c r="D559" i="36"/>
  <c r="N146" i="32" s="1"/>
  <c r="D547" i="36"/>
  <c r="D535" i="36"/>
  <c r="D523" i="36"/>
  <c r="D511" i="36"/>
  <c r="D499" i="36"/>
  <c r="D487" i="36"/>
  <c r="D475" i="36"/>
  <c r="D463" i="36"/>
  <c r="D451" i="36"/>
  <c r="D439" i="36"/>
  <c r="D427" i="36"/>
  <c r="D415" i="36"/>
  <c r="D403" i="36"/>
  <c r="D391" i="36"/>
  <c r="D379" i="36"/>
  <c r="D367" i="36"/>
  <c r="D355" i="36"/>
  <c r="D343" i="36"/>
  <c r="D331" i="36"/>
  <c r="D319" i="36"/>
  <c r="D307" i="36"/>
  <c r="D295" i="36"/>
  <c r="D283" i="36"/>
  <c r="D271" i="36"/>
  <c r="D259" i="36"/>
  <c r="D247" i="36"/>
  <c r="D235" i="36"/>
  <c r="D223" i="36"/>
  <c r="D211" i="36"/>
  <c r="D199" i="36"/>
  <c r="D187" i="36"/>
  <c r="D175" i="36"/>
  <c r="D163" i="36"/>
  <c r="D151" i="36"/>
  <c r="D139" i="36"/>
  <c r="D127" i="36"/>
  <c r="D115" i="36"/>
  <c r="D103" i="36"/>
  <c r="D91" i="36"/>
  <c r="D79" i="36"/>
  <c r="D67" i="36"/>
  <c r="D55" i="36"/>
  <c r="D43" i="36"/>
  <c r="D31" i="36"/>
  <c r="D19" i="36"/>
  <c r="D7" i="36"/>
  <c r="D558" i="36"/>
  <c r="D546" i="36"/>
  <c r="D534" i="36"/>
  <c r="D522" i="36"/>
  <c r="D510" i="36"/>
  <c r="D498" i="36"/>
  <c r="D486" i="36"/>
  <c r="D474" i="36"/>
  <c r="D462" i="36"/>
  <c r="D450" i="36"/>
  <c r="D438" i="36"/>
  <c r="D426" i="36"/>
  <c r="D414" i="36"/>
  <c r="D402" i="36"/>
  <c r="D390" i="36"/>
  <c r="D378" i="36"/>
  <c r="D366" i="36"/>
  <c r="D354" i="36"/>
  <c r="D342" i="36"/>
  <c r="D330" i="36"/>
  <c r="D318" i="36"/>
  <c r="D306" i="36"/>
  <c r="D294" i="36"/>
  <c r="N109" i="32" s="1"/>
  <c r="D282" i="36"/>
  <c r="D270" i="36"/>
  <c r="D258" i="36"/>
  <c r="D246" i="36"/>
  <c r="D234" i="36"/>
  <c r="D222" i="36"/>
  <c r="D210" i="36"/>
  <c r="D198" i="36"/>
  <c r="D186" i="36"/>
  <c r="D174" i="36"/>
  <c r="D162" i="36"/>
  <c r="D150" i="36"/>
  <c r="D138" i="36"/>
  <c r="D126" i="36"/>
  <c r="D114" i="36"/>
  <c r="D102" i="36"/>
  <c r="D90" i="36"/>
  <c r="D78" i="36"/>
  <c r="D66" i="36"/>
  <c r="D54" i="36"/>
  <c r="D42" i="36"/>
  <c r="D30" i="36"/>
  <c r="D18" i="36"/>
  <c r="D6" i="36"/>
  <c r="D593" i="36"/>
  <c r="D581" i="36"/>
  <c r="D569" i="36"/>
  <c r="D557" i="36"/>
  <c r="D545" i="36"/>
  <c r="D533" i="36"/>
  <c r="D521" i="36"/>
  <c r="D509" i="36"/>
  <c r="D497" i="36"/>
  <c r="D485" i="36"/>
  <c r="D473" i="36"/>
  <c r="D461" i="36"/>
  <c r="D449" i="36"/>
  <c r="D437" i="36"/>
  <c r="D425" i="36"/>
  <c r="D413" i="36"/>
  <c r="D401" i="36"/>
  <c r="D389" i="36"/>
  <c r="D377" i="36"/>
  <c r="D365" i="36"/>
  <c r="D353" i="36"/>
  <c r="D341" i="36"/>
  <c r="D329" i="36"/>
  <c r="D317" i="36"/>
  <c r="D305" i="36"/>
  <c r="D293" i="36"/>
  <c r="D281" i="36"/>
  <c r="D269" i="36"/>
  <c r="N86" i="32" s="1"/>
  <c r="D257" i="36"/>
  <c r="D245" i="36"/>
  <c r="D233" i="36"/>
  <c r="D221" i="36"/>
  <c r="D209" i="36"/>
  <c r="D197" i="36"/>
  <c r="D185" i="36"/>
  <c r="D173" i="36"/>
  <c r="D161" i="36"/>
  <c r="D149" i="36"/>
  <c r="D137" i="36"/>
  <c r="D125" i="36"/>
  <c r="D113" i="36"/>
  <c r="D101" i="36"/>
  <c r="D89" i="36"/>
  <c r="D77" i="36"/>
  <c r="D65" i="36"/>
  <c r="D53" i="36"/>
  <c r="D41" i="36"/>
  <c r="D29" i="36"/>
  <c r="D17" i="36"/>
  <c r="D5" i="36"/>
  <c r="D2" i="36"/>
  <c r="D592" i="36"/>
  <c r="D580" i="36"/>
  <c r="N161" i="32" s="1"/>
  <c r="D568" i="36"/>
  <c r="D556" i="36"/>
  <c r="D544" i="36"/>
  <c r="D532" i="36"/>
  <c r="D520" i="36"/>
  <c r="D508" i="36"/>
  <c r="D496" i="36"/>
  <c r="D484" i="36"/>
  <c r="D472" i="36"/>
  <c r="D460" i="36"/>
  <c r="D448" i="36"/>
  <c r="D436" i="36"/>
  <c r="D424" i="36"/>
  <c r="D412" i="36"/>
  <c r="D400" i="36"/>
  <c r="D388" i="36"/>
  <c r="D376" i="36"/>
  <c r="D364" i="36"/>
  <c r="D352" i="36"/>
  <c r="D340" i="36"/>
  <c r="D328" i="36"/>
  <c r="D316" i="36"/>
  <c r="D304" i="36"/>
  <c r="D292" i="36"/>
  <c r="D280" i="36"/>
  <c r="D268" i="36"/>
  <c r="D256" i="36"/>
  <c r="D244" i="36"/>
  <c r="D232" i="36"/>
  <c r="D220" i="36"/>
  <c r="D208" i="36"/>
  <c r="D196" i="36"/>
  <c r="D184" i="36"/>
  <c r="D172" i="36"/>
  <c r="D160" i="36"/>
  <c r="D148" i="36"/>
  <c r="D136" i="36"/>
  <c r="D124" i="36"/>
  <c r="D112" i="36"/>
  <c r="D100" i="36"/>
  <c r="D88" i="36"/>
  <c r="D76" i="36"/>
  <c r="D64" i="36"/>
  <c r="D52" i="36"/>
  <c r="D40" i="36"/>
  <c r="D28" i="36"/>
  <c r="D16" i="36"/>
  <c r="D4" i="36"/>
  <c r="D603" i="36"/>
  <c r="D591" i="36"/>
  <c r="D579" i="36"/>
  <c r="D567" i="36"/>
  <c r="D555" i="36"/>
  <c r="D543" i="36"/>
  <c r="D531" i="36"/>
  <c r="D519" i="36"/>
  <c r="D507" i="36"/>
  <c r="D495" i="36"/>
  <c r="D483" i="36"/>
  <c r="D471" i="36"/>
  <c r="D459" i="36"/>
  <c r="D447" i="36"/>
  <c r="D435" i="36"/>
  <c r="D423" i="36"/>
  <c r="D411" i="36"/>
  <c r="D399" i="36"/>
  <c r="D387" i="36"/>
  <c r="D375" i="36"/>
  <c r="D363" i="36"/>
  <c r="D351" i="36"/>
  <c r="D339" i="36"/>
  <c r="D327" i="36"/>
  <c r="D315" i="36"/>
  <c r="D303" i="36"/>
  <c r="D291" i="36"/>
  <c r="D279" i="36"/>
  <c r="D267" i="36"/>
  <c r="D255" i="36"/>
  <c r="D243" i="36"/>
  <c r="D231" i="36"/>
  <c r="D219" i="36"/>
  <c r="D207" i="36"/>
  <c r="D195" i="36"/>
  <c r="D183" i="36"/>
  <c r="D171" i="36"/>
  <c r="D159" i="36"/>
  <c r="D147" i="36"/>
  <c r="D135" i="36"/>
  <c r="D123" i="36"/>
  <c r="D111" i="36"/>
  <c r="D99" i="36"/>
  <c r="D87" i="36"/>
  <c r="D75" i="36"/>
  <c r="D63" i="36"/>
  <c r="D51" i="36"/>
  <c r="D39" i="36"/>
  <c r="D27" i="36"/>
  <c r="D15" i="36"/>
  <c r="D57" i="22"/>
  <c r="D58" i="22"/>
  <c r="D59" i="22"/>
  <c r="Q60" i="22"/>
  <c r="R60" i="22"/>
  <c r="S60" i="22"/>
  <c r="T60" i="22"/>
  <c r="U60" i="22"/>
  <c r="V60" i="22"/>
  <c r="W60" i="22"/>
  <c r="X60" i="22"/>
  <c r="Y60" i="22"/>
  <c r="Z60" i="22"/>
  <c r="AA60" i="22"/>
  <c r="AB60" i="22"/>
  <c r="AC60" i="22"/>
  <c r="AD60" i="22"/>
  <c r="AE60" i="22"/>
  <c r="AF60" i="22"/>
  <c r="Q61" i="22"/>
  <c r="R61" i="22"/>
  <c r="S61" i="22"/>
  <c r="T61" i="22"/>
  <c r="U61" i="22"/>
  <c r="V61" i="22"/>
  <c r="W61" i="22"/>
  <c r="X61" i="22"/>
  <c r="Y61" i="22"/>
  <c r="Z61" i="22"/>
  <c r="AA61" i="22"/>
  <c r="AB61" i="22"/>
  <c r="AC61" i="22"/>
  <c r="AD61" i="22"/>
  <c r="AE61" i="22"/>
  <c r="AF61" i="22"/>
  <c r="Q62" i="22"/>
  <c r="R62" i="22"/>
  <c r="S62" i="22"/>
  <c r="T62" i="22"/>
  <c r="U62" i="22"/>
  <c r="V62" i="22"/>
  <c r="W62" i="22"/>
  <c r="X62" i="22"/>
  <c r="Y62" i="22"/>
  <c r="Z62" i="22"/>
  <c r="AA62" i="22"/>
  <c r="AB62" i="22"/>
  <c r="AC62" i="22"/>
  <c r="AD62" i="22"/>
  <c r="AE62" i="22"/>
  <c r="AF62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Z63" i="22"/>
  <c r="AA63" i="22"/>
  <c r="AB63" i="22"/>
  <c r="AC63" i="22"/>
  <c r="AD63" i="22"/>
  <c r="AE63" i="22"/>
  <c r="AF63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Z65" i="22"/>
  <c r="AA65" i="22"/>
  <c r="AB65" i="22"/>
  <c r="AC65" i="22"/>
  <c r="AD65" i="22"/>
  <c r="AE65" i="22"/>
  <c r="AF65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Z67" i="22"/>
  <c r="AA67" i="22"/>
  <c r="AB67" i="22"/>
  <c r="AC67" i="22"/>
  <c r="AD67" i="22"/>
  <c r="AE67" i="22"/>
  <c r="AF67" i="22"/>
  <c r="D68" i="22"/>
  <c r="E68" i="22"/>
  <c r="F68" i="22"/>
  <c r="G68" i="22"/>
  <c r="H68" i="22"/>
  <c r="I68" i="22"/>
  <c r="J68" i="22"/>
  <c r="K68" i="22"/>
  <c r="L68" i="22"/>
  <c r="M68" i="22"/>
  <c r="N68" i="22"/>
  <c r="O68" i="22"/>
  <c r="P68" i="22"/>
  <c r="Q68" i="22"/>
  <c r="R68" i="22"/>
  <c r="S68" i="22"/>
  <c r="T68" i="22"/>
  <c r="U68" i="22"/>
  <c r="V68" i="22"/>
  <c r="W68" i="22"/>
  <c r="X68" i="22"/>
  <c r="Y68" i="22"/>
  <c r="Z68" i="22"/>
  <c r="AA68" i="22"/>
  <c r="AB68" i="22"/>
  <c r="AC68" i="22"/>
  <c r="AD68" i="22"/>
  <c r="AE68" i="22"/>
  <c r="AF68" i="22"/>
  <c r="D69" i="22"/>
  <c r="E69" i="22"/>
  <c r="F69" i="22"/>
  <c r="G69" i="22"/>
  <c r="H69" i="22"/>
  <c r="I69" i="22"/>
  <c r="J69" i="22"/>
  <c r="K69" i="22"/>
  <c r="L69" i="22"/>
  <c r="M69" i="22"/>
  <c r="N69" i="22"/>
  <c r="O69" i="22"/>
  <c r="P69" i="22"/>
  <c r="Q69" i="22"/>
  <c r="R69" i="22"/>
  <c r="S69" i="22"/>
  <c r="T69" i="22"/>
  <c r="U69" i="22"/>
  <c r="V69" i="22"/>
  <c r="W69" i="22"/>
  <c r="X69" i="22"/>
  <c r="Y69" i="22"/>
  <c r="Z69" i="22"/>
  <c r="AA69" i="22"/>
  <c r="AB69" i="22"/>
  <c r="AC69" i="22"/>
  <c r="AD69" i="22"/>
  <c r="AE69" i="22"/>
  <c r="AF69" i="22"/>
  <c r="Q70" i="22"/>
  <c r="R70" i="22"/>
  <c r="S70" i="22"/>
  <c r="T70" i="22"/>
  <c r="U70" i="22"/>
  <c r="V70" i="22"/>
  <c r="W70" i="22"/>
  <c r="X70" i="22"/>
  <c r="Y70" i="22"/>
  <c r="Z70" i="22"/>
  <c r="AA70" i="22"/>
  <c r="AB70" i="22"/>
  <c r="AC70" i="22"/>
  <c r="AD70" i="22"/>
  <c r="AE70" i="22"/>
  <c r="AF70" i="22"/>
  <c r="D72" i="22"/>
  <c r="E72" i="22"/>
  <c r="F72" i="22"/>
  <c r="G72" i="22"/>
  <c r="H72" i="22"/>
  <c r="I72" i="22"/>
  <c r="J72" i="22"/>
  <c r="K72" i="22"/>
  <c r="L72" i="22"/>
  <c r="M72" i="22"/>
  <c r="N72" i="22"/>
  <c r="O72" i="22"/>
  <c r="P72" i="22"/>
  <c r="Q72" i="22"/>
  <c r="R72" i="22"/>
  <c r="S72" i="22"/>
  <c r="T72" i="22"/>
  <c r="U72" i="22"/>
  <c r="V72" i="22"/>
  <c r="W72" i="22"/>
  <c r="X72" i="22"/>
  <c r="Y72" i="22"/>
  <c r="Z72" i="22"/>
  <c r="AA72" i="22"/>
  <c r="AB72" i="22"/>
  <c r="AC72" i="22"/>
  <c r="AD72" i="22"/>
  <c r="AE72" i="22"/>
  <c r="AF72" i="22"/>
  <c r="C58" i="22"/>
  <c r="C59" i="22"/>
  <c r="C63" i="22"/>
  <c r="C65" i="22"/>
  <c r="C66" i="22"/>
  <c r="C67" i="22"/>
  <c r="C68" i="22"/>
  <c r="C69" i="22"/>
  <c r="C72" i="22"/>
  <c r="C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1" i="22"/>
  <c r="B72" i="22"/>
  <c r="C39" i="22"/>
  <c r="D39" i="22"/>
  <c r="C40" i="22"/>
  <c r="D40" i="22"/>
  <c r="C41" i="22"/>
  <c r="D41" i="22"/>
  <c r="C45" i="22"/>
  <c r="D45" i="22"/>
  <c r="E45" i="22"/>
  <c r="F45" i="22"/>
  <c r="G45" i="22"/>
  <c r="H45" i="22"/>
  <c r="I45" i="22"/>
  <c r="J45" i="22"/>
  <c r="K45" i="22"/>
  <c r="L45" i="22"/>
  <c r="M45" i="22"/>
  <c r="N45" i="22"/>
  <c r="O45" i="22"/>
  <c r="P45" i="22"/>
  <c r="C47" i="22"/>
  <c r="D47" i="22"/>
  <c r="E47" i="22"/>
  <c r="F47" i="22"/>
  <c r="G47" i="22"/>
  <c r="H47" i="22"/>
  <c r="I47" i="22"/>
  <c r="J47" i="22"/>
  <c r="K47" i="22"/>
  <c r="L47" i="22"/>
  <c r="M47" i="22"/>
  <c r="N47" i="22"/>
  <c r="O47" i="22"/>
  <c r="P47" i="22"/>
  <c r="C48" i="22"/>
  <c r="D48" i="22"/>
  <c r="E48" i="22"/>
  <c r="F48" i="22"/>
  <c r="G48" i="22"/>
  <c r="H48" i="22"/>
  <c r="I48" i="22"/>
  <c r="J48" i="22"/>
  <c r="K48" i="22"/>
  <c r="L48" i="22"/>
  <c r="M48" i="22"/>
  <c r="N48" i="22"/>
  <c r="O48" i="22"/>
  <c r="P48" i="22"/>
  <c r="C49" i="22"/>
  <c r="D49" i="22"/>
  <c r="E49" i="22"/>
  <c r="F49" i="22"/>
  <c r="G49" i="22"/>
  <c r="H49" i="22"/>
  <c r="I49" i="22"/>
  <c r="J49" i="22"/>
  <c r="K49" i="22"/>
  <c r="L49" i="22"/>
  <c r="M49" i="22"/>
  <c r="N49" i="22"/>
  <c r="O49" i="22"/>
  <c r="P49" i="22"/>
  <c r="C50" i="22"/>
  <c r="D50" i="22"/>
  <c r="E50" i="22"/>
  <c r="F50" i="22"/>
  <c r="G50" i="22"/>
  <c r="H50" i="22"/>
  <c r="I50" i="22"/>
  <c r="J50" i="22"/>
  <c r="K50" i="22"/>
  <c r="L50" i="22"/>
  <c r="M50" i="22"/>
  <c r="N50" i="22"/>
  <c r="O50" i="22"/>
  <c r="P50" i="22"/>
  <c r="C51" i="22"/>
  <c r="D51" i="22"/>
  <c r="E51" i="22"/>
  <c r="F51" i="22"/>
  <c r="G51" i="22"/>
  <c r="H51" i="22"/>
  <c r="I51" i="22"/>
  <c r="J51" i="22"/>
  <c r="K51" i="22"/>
  <c r="L51" i="22"/>
  <c r="M51" i="22"/>
  <c r="N51" i="22"/>
  <c r="O51" i="22"/>
  <c r="P51" i="22"/>
  <c r="C54" i="22"/>
  <c r="D54" i="22"/>
  <c r="E54" i="22"/>
  <c r="F54" i="22"/>
  <c r="G54" i="22"/>
  <c r="H54" i="22"/>
  <c r="I54" i="22"/>
  <c r="J54" i="22"/>
  <c r="K54" i="22"/>
  <c r="L54" i="22"/>
  <c r="M54" i="22"/>
  <c r="N54" i="22"/>
  <c r="O54" i="22"/>
  <c r="P54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3" i="22"/>
  <c r="B54" i="22"/>
  <c r="B39" i="22"/>
  <c r="L118" i="32" l="1"/>
  <c r="N63" i="32"/>
  <c r="L171" i="32"/>
  <c r="N77" i="32"/>
  <c r="L151" i="32"/>
  <c r="N133" i="32"/>
  <c r="O148" i="32"/>
  <c r="O89" i="32"/>
  <c r="R89" i="32" s="1"/>
  <c r="S89" i="32" s="1"/>
  <c r="L120" i="32"/>
  <c r="D101" i="32"/>
  <c r="G101" i="32" s="1"/>
  <c r="H101" i="32" s="1"/>
  <c r="N108" i="32"/>
  <c r="L61" i="32"/>
  <c r="O160" i="32"/>
  <c r="O63" i="32"/>
  <c r="N171" i="32"/>
  <c r="N99" i="32"/>
  <c r="L133" i="32"/>
  <c r="N128" i="32"/>
  <c r="O137" i="32"/>
  <c r="R137" i="32" s="1"/>
  <c r="S137" i="32" s="1"/>
  <c r="O60" i="32"/>
  <c r="R60" i="32" s="1"/>
  <c r="S60" i="32" s="1"/>
  <c r="N208" i="32"/>
  <c r="L150" i="32"/>
  <c r="N89" i="32"/>
  <c r="N60" i="32"/>
  <c r="N101" i="32"/>
  <c r="L99" i="32"/>
  <c r="O208" i="32"/>
  <c r="R208" i="32" s="1"/>
  <c r="S208" i="32" s="1"/>
  <c r="N92" i="32"/>
  <c r="N157" i="32"/>
  <c r="N56" i="32"/>
  <c r="L144" i="32"/>
  <c r="L126" i="32"/>
  <c r="L77" i="32"/>
  <c r="L92" i="32"/>
  <c r="L128" i="32"/>
  <c r="N65" i="32"/>
  <c r="L100" i="32"/>
  <c r="D111" i="32"/>
  <c r="G111" i="32" s="1"/>
  <c r="H111" i="32" s="1"/>
  <c r="D103" i="32"/>
  <c r="G103" i="32" s="1"/>
  <c r="H103" i="32" s="1"/>
  <c r="D97" i="32"/>
  <c r="G97" i="32" s="1"/>
  <c r="H97" i="32" s="1"/>
  <c r="N61" i="32"/>
  <c r="D95" i="32"/>
  <c r="G95" i="32" s="1"/>
  <c r="H95" i="32" s="1"/>
  <c r="L158" i="32"/>
  <c r="N205" i="32"/>
  <c r="O167" i="32"/>
  <c r="O64" i="32"/>
  <c r="R64" i="32" s="1"/>
  <c r="S64" i="32" s="1"/>
  <c r="N135" i="32"/>
  <c r="C106" i="32"/>
  <c r="O80" i="32"/>
  <c r="R80" i="32" s="1"/>
  <c r="S80" i="32" s="1"/>
  <c r="N140" i="32"/>
  <c r="O90" i="32"/>
  <c r="R90" i="32" s="1"/>
  <c r="S90" i="32" s="1"/>
  <c r="N79" i="32"/>
  <c r="N75" i="32"/>
  <c r="D102" i="32"/>
  <c r="G102" i="32" s="1"/>
  <c r="H102" i="32" s="1"/>
  <c r="N124" i="32"/>
  <c r="L79" i="32"/>
  <c r="O104" i="32"/>
  <c r="C102" i="32"/>
  <c r="D107" i="32"/>
  <c r="G107" i="32" s="1"/>
  <c r="H107" i="32" s="1"/>
  <c r="N122" i="32"/>
  <c r="N149" i="32"/>
  <c r="N204" i="32"/>
  <c r="L136" i="32"/>
  <c r="O140" i="32"/>
  <c r="O136" i="32"/>
  <c r="L76" i="32"/>
  <c r="L145" i="32"/>
  <c r="O102" i="32"/>
  <c r="R102" i="32" s="1"/>
  <c r="S102" i="32" s="1"/>
  <c r="O107" i="32"/>
  <c r="O149" i="32"/>
  <c r="R149" i="32" s="1"/>
  <c r="S149" i="32" s="1"/>
  <c r="O117" i="32"/>
  <c r="R117" i="32" s="1"/>
  <c r="S117" i="32" s="1"/>
  <c r="L159" i="32"/>
  <c r="O115" i="32"/>
  <c r="R115" i="32" s="1"/>
  <c r="S115" i="32" s="1"/>
  <c r="O142" i="32"/>
  <c r="R142" i="32" s="1"/>
  <c r="S142" i="32" s="1"/>
  <c r="N81" i="32"/>
  <c r="L93" i="32"/>
  <c r="N110" i="32"/>
  <c r="D106" i="32"/>
  <c r="G106" i="32" s="1"/>
  <c r="H106" i="32" s="1"/>
  <c r="N104" i="32"/>
  <c r="O173" i="32"/>
  <c r="R173" i="32" s="1"/>
  <c r="S173" i="32" s="1"/>
  <c r="L135" i="32"/>
  <c r="O58" i="32"/>
  <c r="L122" i="32"/>
  <c r="N70" i="32"/>
  <c r="O106" i="32"/>
  <c r="R106" i="32" s="1"/>
  <c r="S106" i="32" s="1"/>
  <c r="A96" i="32"/>
  <c r="O75" i="32"/>
  <c r="O163" i="32"/>
  <c r="R163" i="32" s="1"/>
  <c r="S163" i="32" s="1"/>
  <c r="O66" i="32"/>
  <c r="R66" i="32" s="1"/>
  <c r="S66" i="32" s="1"/>
  <c r="L62" i="32"/>
  <c r="L141" i="32"/>
  <c r="L107" i="32"/>
  <c r="O96" i="32"/>
  <c r="N68" i="32"/>
  <c r="N169" i="32"/>
  <c r="N173" i="32"/>
  <c r="N93" i="32"/>
  <c r="N174" i="32"/>
  <c r="D112" i="32"/>
  <c r="G112" i="32" s="1"/>
  <c r="H112" i="32" s="1"/>
  <c r="L56" i="32"/>
  <c r="O169" i="32"/>
  <c r="R169" i="32" s="1"/>
  <c r="S169" i="32" s="1"/>
  <c r="L94" i="32"/>
  <c r="N106" i="32"/>
  <c r="N152" i="32"/>
  <c r="L110" i="32"/>
  <c r="O109" i="32"/>
  <c r="R109" i="32" s="1"/>
  <c r="S109" i="32" s="1"/>
  <c r="O168" i="32"/>
  <c r="R168" i="32" s="1"/>
  <c r="S168" i="32" s="1"/>
  <c r="O159" i="32"/>
  <c r="R159" i="32" s="1"/>
  <c r="S159" i="32" s="1"/>
  <c r="O174" i="32"/>
  <c r="R174" i="32" s="1"/>
  <c r="S174" i="32" s="1"/>
  <c r="N58" i="32"/>
  <c r="N96" i="32"/>
  <c r="N118" i="32"/>
  <c r="C95" i="32"/>
  <c r="C97" i="32"/>
  <c r="N115" i="32"/>
  <c r="O378" i="32"/>
  <c r="L124" i="32"/>
  <c r="O100" i="32"/>
  <c r="R100" i="32" s="1"/>
  <c r="S100" i="32" s="1"/>
  <c r="N62" i="32"/>
  <c r="L80" i="32"/>
  <c r="D109" i="32"/>
  <c r="G109" i="32" s="1"/>
  <c r="H109" i="32" s="1"/>
  <c r="N102" i="32"/>
  <c r="N74" i="32"/>
  <c r="N64" i="32"/>
  <c r="O55" i="32"/>
  <c r="R55" i="32" s="1"/>
  <c r="S55" i="32" s="1"/>
  <c r="C96" i="32"/>
  <c r="N76" i="32"/>
  <c r="C107" i="32"/>
  <c r="N142" i="32"/>
  <c r="N163" i="32"/>
  <c r="D110" i="32"/>
  <c r="G110" i="32" s="1"/>
  <c r="H110" i="32" s="1"/>
  <c r="N97" i="32"/>
  <c r="N141" i="32"/>
  <c r="C109" i="32"/>
  <c r="L378" i="32"/>
  <c r="N72" i="32"/>
  <c r="N98" i="32"/>
  <c r="O72" i="32"/>
  <c r="R72" i="32" s="1"/>
  <c r="S72" i="32" s="1"/>
  <c r="L97" i="32"/>
  <c r="N120" i="32"/>
  <c r="N105" i="32"/>
  <c r="L117" i="32"/>
  <c r="O59" i="32"/>
  <c r="R59" i="32" s="1"/>
  <c r="S59" i="32" s="1"/>
  <c r="N84" i="32"/>
  <c r="O105" i="32"/>
  <c r="R105" i="32" s="1"/>
  <c r="S105" i="32" s="1"/>
  <c r="N59" i="32"/>
  <c r="L129" i="32"/>
  <c r="O98" i="32"/>
  <c r="R98" i="32" s="1"/>
  <c r="S98" i="32" s="1"/>
  <c r="O84" i="32"/>
  <c r="R84" i="32" s="1"/>
  <c r="S84" i="32" s="1"/>
  <c r="N119" i="32"/>
  <c r="O164" i="32"/>
  <c r="R164" i="32" s="1"/>
  <c r="S164" i="32" s="1"/>
  <c r="L134" i="32"/>
  <c r="N138" i="32"/>
  <c r="L165" i="32"/>
  <c r="O138" i="32"/>
  <c r="R138" i="32" s="1"/>
  <c r="S138" i="32" s="1"/>
  <c r="N130" i="32"/>
  <c r="O126" i="32"/>
  <c r="R126" i="32" s="1"/>
  <c r="S126" i="32" s="1"/>
  <c r="L164" i="32"/>
  <c r="N153" i="32"/>
  <c r="O130" i="32"/>
  <c r="R130" i="32" s="1"/>
  <c r="S130" i="32" s="1"/>
  <c r="O153" i="32"/>
  <c r="L157" i="32"/>
  <c r="N160" i="32"/>
  <c r="N132" i="32"/>
  <c r="N167" i="32"/>
  <c r="N145" i="32"/>
  <c r="N165" i="32"/>
  <c r="N148" i="32"/>
  <c r="N168" i="32"/>
  <c r="O132" i="32"/>
  <c r="R132" i="32" s="1"/>
  <c r="S132" i="32" s="1"/>
  <c r="O125" i="32"/>
  <c r="R125" i="32" s="1"/>
  <c r="S125" i="32" s="1"/>
  <c r="O205" i="32"/>
  <c r="R205" i="32" s="1"/>
  <c r="S205" i="32" s="1"/>
  <c r="L204" i="32"/>
  <c r="L379" i="32"/>
  <c r="O379" i="32"/>
  <c r="O207" i="32"/>
  <c r="R207" i="32" s="1"/>
  <c r="S207" i="32" s="1"/>
  <c r="N214" i="32"/>
  <c r="N207" i="32"/>
  <c r="O214" i="32"/>
  <c r="R214" i="32" s="1"/>
  <c r="S214" i="32" s="1"/>
  <c r="O85" i="32"/>
  <c r="R85" i="32" s="1"/>
  <c r="S85" i="32" s="1"/>
  <c r="N131" i="32"/>
  <c r="N88" i="32"/>
  <c r="C118" i="32"/>
  <c r="L143" i="32"/>
  <c r="A104" i="32"/>
  <c r="L82" i="32"/>
  <c r="O147" i="32"/>
  <c r="R147" i="32" s="1"/>
  <c r="S147" i="32" s="1"/>
  <c r="O112" i="32"/>
  <c r="R112" i="32" s="1"/>
  <c r="S112" i="32" s="1"/>
  <c r="O143" i="32"/>
  <c r="R143" i="32" s="1"/>
  <c r="S143" i="32" s="1"/>
  <c r="L74" i="32"/>
  <c r="O131" i="32"/>
  <c r="R131" i="32" s="1"/>
  <c r="S131" i="32" s="1"/>
  <c r="D118" i="32"/>
  <c r="G118" i="32" s="1"/>
  <c r="H118" i="32" s="1"/>
  <c r="N82" i="32"/>
  <c r="O67" i="32"/>
  <c r="R67" i="32" s="1"/>
  <c r="S67" i="32" s="1"/>
  <c r="N147" i="32"/>
  <c r="C112" i="32"/>
  <c r="A100" i="32"/>
  <c r="N112" i="32"/>
  <c r="L111" i="32"/>
  <c r="L380" i="32"/>
  <c r="O123" i="32"/>
  <c r="R123" i="32" s="1"/>
  <c r="S123" i="32" s="1"/>
  <c r="O88" i="32"/>
  <c r="R88" i="32" s="1"/>
  <c r="S88" i="32" s="1"/>
  <c r="N85" i="32"/>
  <c r="N134" i="32"/>
  <c r="N111" i="32"/>
  <c r="N67" i="32"/>
  <c r="D100" i="32"/>
  <c r="G100" i="32" s="1"/>
  <c r="H100" i="32" s="1"/>
  <c r="N123" i="32"/>
  <c r="O380" i="32"/>
  <c r="L201" i="32"/>
  <c r="N201" i="32"/>
  <c r="O201" i="32"/>
  <c r="R201" i="32" s="1"/>
  <c r="S201" i="32" s="1"/>
  <c r="C206" i="32"/>
  <c r="D206" i="32"/>
  <c r="G206" i="32" s="1"/>
  <c r="H206" i="32" s="1"/>
  <c r="A206" i="32"/>
  <c r="C93" i="32"/>
  <c r="D93" i="32"/>
  <c r="G93" i="32" s="1"/>
  <c r="H93" i="32" s="1"/>
  <c r="A93" i="32"/>
  <c r="A60" i="32"/>
  <c r="C60" i="32"/>
  <c r="D60" i="32"/>
  <c r="G60" i="32" s="1"/>
  <c r="H60" i="32" s="1"/>
  <c r="N32" i="32"/>
  <c r="O32" i="32"/>
  <c r="R32" i="32" s="1"/>
  <c r="S32" i="32" s="1"/>
  <c r="L32" i="32"/>
  <c r="N198" i="32"/>
  <c r="L198" i="32"/>
  <c r="O198" i="32"/>
  <c r="R198" i="32" s="1"/>
  <c r="S198" i="32" s="1"/>
  <c r="D250" i="32"/>
  <c r="G250" i="32" s="1"/>
  <c r="H250" i="32" s="1"/>
  <c r="A250" i="32"/>
  <c r="C250" i="32"/>
  <c r="A113" i="32"/>
  <c r="C113" i="32"/>
  <c r="C108" i="32"/>
  <c r="A108" i="32"/>
  <c r="D220" i="32"/>
  <c r="G220" i="32" s="1"/>
  <c r="H220" i="32" s="1"/>
  <c r="C220" i="32"/>
  <c r="A220" i="32"/>
  <c r="A208" i="32"/>
  <c r="C208" i="32"/>
  <c r="D208" i="32"/>
  <c r="G208" i="32" s="1"/>
  <c r="H208" i="32" s="1"/>
  <c r="C186" i="32"/>
  <c r="A186" i="32"/>
  <c r="D186" i="32"/>
  <c r="G186" i="32" s="1"/>
  <c r="H186" i="32" s="1"/>
  <c r="D90" i="32"/>
  <c r="G90" i="32" s="1"/>
  <c r="H90" i="32" s="1"/>
  <c r="C90" i="32"/>
  <c r="A90" i="32"/>
  <c r="L6" i="32"/>
  <c r="N6" i="32"/>
  <c r="O6" i="32"/>
  <c r="R6" i="32" s="1"/>
  <c r="S6" i="32" s="1"/>
  <c r="N162" i="32"/>
  <c r="N103" i="32"/>
  <c r="N127" i="32"/>
  <c r="D108" i="32"/>
  <c r="G108" i="32" s="1"/>
  <c r="H108" i="32" s="1"/>
  <c r="D59" i="32"/>
  <c r="G59" i="32" s="1"/>
  <c r="H59" i="32" s="1"/>
  <c r="C59" i="32"/>
  <c r="A59" i="32"/>
  <c r="D240" i="32"/>
  <c r="G240" i="32" s="1"/>
  <c r="H240" i="32" s="1"/>
  <c r="A240" i="32"/>
  <c r="C240" i="32"/>
  <c r="N45" i="32"/>
  <c r="L45" i="32"/>
  <c r="O45" i="32"/>
  <c r="D48" i="32"/>
  <c r="G48" i="32" s="1"/>
  <c r="H48" i="32" s="1"/>
  <c r="C48" i="32"/>
  <c r="A48" i="32"/>
  <c r="A146" i="32"/>
  <c r="C146" i="32"/>
  <c r="D146" i="32"/>
  <c r="G146" i="32" s="1"/>
  <c r="H146" i="32" s="1"/>
  <c r="O176" i="32"/>
  <c r="R176" i="32" s="1"/>
  <c r="S176" i="32" s="1"/>
  <c r="L176" i="32"/>
  <c r="L103" i="32"/>
  <c r="O162" i="32"/>
  <c r="R162" i="32" s="1"/>
  <c r="S162" i="32" s="1"/>
  <c r="A159" i="32"/>
  <c r="D159" i="32"/>
  <c r="G159" i="32" s="1"/>
  <c r="H159" i="32" s="1"/>
  <c r="C159" i="32"/>
  <c r="A181" i="32"/>
  <c r="C181" i="32"/>
  <c r="D181" i="32"/>
  <c r="G181" i="32" s="1"/>
  <c r="H181" i="32" s="1"/>
  <c r="A227" i="32"/>
  <c r="C227" i="32"/>
  <c r="D227" i="32"/>
  <c r="G227" i="32" s="1"/>
  <c r="H227" i="32" s="1"/>
  <c r="C105" i="32"/>
  <c r="O119" i="32"/>
  <c r="R119" i="32" s="1"/>
  <c r="S119" i="32" s="1"/>
  <c r="N170" i="32"/>
  <c r="L91" i="32"/>
  <c r="L127" i="32"/>
  <c r="L155" i="32"/>
  <c r="O83" i="32"/>
  <c r="R83" i="32" s="1"/>
  <c r="S83" i="32" s="1"/>
  <c r="L83" i="32"/>
  <c r="A129" i="32"/>
  <c r="D129" i="32"/>
  <c r="G129" i="32" s="1"/>
  <c r="H129" i="32" s="1"/>
  <c r="C129" i="32"/>
  <c r="O170" i="32"/>
  <c r="R170" i="32" s="1"/>
  <c r="S170" i="32" s="1"/>
  <c r="A105" i="32"/>
  <c r="L172" i="32"/>
  <c r="O172" i="32"/>
  <c r="R172" i="32" s="1"/>
  <c r="S172" i="32" s="1"/>
  <c r="N155" i="32"/>
  <c r="O70" i="32"/>
  <c r="R70" i="32" s="1"/>
  <c r="S70" i="32" s="1"/>
  <c r="A75" i="32"/>
  <c r="C75" i="32"/>
  <c r="D75" i="32"/>
  <c r="G75" i="32" s="1"/>
  <c r="H75" i="32" s="1"/>
  <c r="A183" i="32"/>
  <c r="D183" i="32"/>
  <c r="G183" i="32" s="1"/>
  <c r="H183" i="32" s="1"/>
  <c r="C183" i="32"/>
  <c r="A241" i="32"/>
  <c r="C241" i="32"/>
  <c r="D241" i="32"/>
  <c r="G241" i="32" s="1"/>
  <c r="H241" i="32" s="1"/>
  <c r="N154" i="32"/>
  <c r="N121" i="32"/>
  <c r="L14" i="32"/>
  <c r="O14" i="32"/>
  <c r="R14" i="32" s="1"/>
  <c r="S14" i="32" s="1"/>
  <c r="N14" i="32"/>
  <c r="A147" i="32"/>
  <c r="C147" i="32"/>
  <c r="D147" i="32"/>
  <c r="G147" i="32" s="1"/>
  <c r="H147" i="32" s="1"/>
  <c r="L11" i="32"/>
  <c r="O11" i="32"/>
  <c r="R11" i="32" s="1"/>
  <c r="S11" i="32" s="1"/>
  <c r="N11" i="32"/>
  <c r="A194" i="32"/>
  <c r="C194" i="32"/>
  <c r="D194" i="32"/>
  <c r="G194" i="32" s="1"/>
  <c r="H194" i="32" s="1"/>
  <c r="A110" i="32"/>
  <c r="N91" i="32"/>
  <c r="N71" i="32"/>
  <c r="N114" i="32"/>
  <c r="D99" i="32"/>
  <c r="G99" i="32" s="1"/>
  <c r="H99" i="32" s="1"/>
  <c r="N28" i="32"/>
  <c r="L28" i="32"/>
  <c r="O28" i="32"/>
  <c r="R28" i="32" s="1"/>
  <c r="S28" i="32" s="1"/>
  <c r="C195" i="32"/>
  <c r="D195" i="32"/>
  <c r="G195" i="32" s="1"/>
  <c r="H195" i="32" s="1"/>
  <c r="A195" i="32"/>
  <c r="A87" i="32"/>
  <c r="D87" i="32"/>
  <c r="G87" i="32" s="1"/>
  <c r="H87" i="32" s="1"/>
  <c r="C87" i="32"/>
  <c r="A234" i="32"/>
  <c r="C234" i="32"/>
  <c r="D234" i="32"/>
  <c r="G234" i="32" s="1"/>
  <c r="H234" i="32" s="1"/>
  <c r="A46" i="32"/>
  <c r="C46" i="32"/>
  <c r="D46" i="32"/>
  <c r="G46" i="32" s="1"/>
  <c r="H46" i="32" s="1"/>
  <c r="D72" i="32"/>
  <c r="G72" i="32" s="1"/>
  <c r="H72" i="32" s="1"/>
  <c r="A72" i="32"/>
  <c r="C72" i="32"/>
  <c r="A200" i="32"/>
  <c r="D200" i="32"/>
  <c r="G200" i="32" s="1"/>
  <c r="H200" i="32" s="1"/>
  <c r="C200" i="32"/>
  <c r="A116" i="32"/>
  <c r="C116" i="32"/>
  <c r="D116" i="32"/>
  <c r="G116" i="32" s="1"/>
  <c r="H116" i="32" s="1"/>
  <c r="A99" i="32"/>
  <c r="N83" i="32"/>
  <c r="L114" i="32"/>
  <c r="D104" i="32"/>
  <c r="G104" i="32" s="1"/>
  <c r="H104" i="32" s="1"/>
  <c r="C228" i="32"/>
  <c r="D228" i="32"/>
  <c r="G228" i="32" s="1"/>
  <c r="H228" i="32" s="1"/>
  <c r="A228" i="32"/>
  <c r="A175" i="32"/>
  <c r="C175" i="32"/>
  <c r="D175" i="32"/>
  <c r="G175" i="32" s="1"/>
  <c r="H175" i="32" s="1"/>
  <c r="C191" i="32"/>
  <c r="D191" i="32"/>
  <c r="G191" i="32" s="1"/>
  <c r="H191" i="32" s="1"/>
  <c r="A191" i="32"/>
  <c r="A52" i="32"/>
  <c r="C52" i="32"/>
  <c r="D52" i="32"/>
  <c r="G52" i="32" s="1"/>
  <c r="H52" i="32" s="1"/>
  <c r="C245" i="32"/>
  <c r="A245" i="32"/>
  <c r="D245" i="32"/>
  <c r="G245" i="32" s="1"/>
  <c r="H245" i="32" s="1"/>
  <c r="C230" i="32"/>
  <c r="D230" i="32"/>
  <c r="G230" i="32" s="1"/>
  <c r="H230" i="32" s="1"/>
  <c r="A230" i="32"/>
  <c r="A172" i="32"/>
  <c r="C172" i="32"/>
  <c r="D172" i="32"/>
  <c r="G172" i="32" s="1"/>
  <c r="H172" i="32" s="1"/>
  <c r="O34" i="32"/>
  <c r="R34" i="32" s="1"/>
  <c r="S34" i="32" s="1"/>
  <c r="N34" i="32"/>
  <c r="L34" i="32"/>
  <c r="D36" i="32"/>
  <c r="G36" i="32" s="1"/>
  <c r="H36" i="32" s="1"/>
  <c r="C36" i="32"/>
  <c r="A36" i="32"/>
  <c r="L36" i="32"/>
  <c r="N36" i="32"/>
  <c r="O36" i="32"/>
  <c r="R36" i="32" s="1"/>
  <c r="S36" i="32" s="1"/>
  <c r="A162" i="32"/>
  <c r="D162" i="32"/>
  <c r="G162" i="32" s="1"/>
  <c r="H162" i="32" s="1"/>
  <c r="C162" i="32"/>
  <c r="D173" i="32"/>
  <c r="G173" i="32" s="1"/>
  <c r="H173" i="32" s="1"/>
  <c r="A173" i="32"/>
  <c r="C173" i="32"/>
  <c r="D83" i="32"/>
  <c r="G83" i="32" s="1"/>
  <c r="H83" i="32" s="1"/>
  <c r="C83" i="32"/>
  <c r="A83" i="32"/>
  <c r="L24" i="32"/>
  <c r="N24" i="32"/>
  <c r="O24" i="32"/>
  <c r="R24" i="32" s="1"/>
  <c r="S24" i="32" s="1"/>
  <c r="A140" i="32"/>
  <c r="C140" i="32"/>
  <c r="D140" i="32"/>
  <c r="G140" i="32" s="1"/>
  <c r="H140" i="32" s="1"/>
  <c r="C155" i="32"/>
  <c r="D155" i="32"/>
  <c r="G155" i="32" s="1"/>
  <c r="H155" i="32" s="1"/>
  <c r="A155" i="32"/>
  <c r="A42" i="32"/>
  <c r="C42" i="32"/>
  <c r="D42" i="32"/>
  <c r="G42" i="32" s="1"/>
  <c r="H42" i="32" s="1"/>
  <c r="A249" i="32"/>
  <c r="C249" i="32"/>
  <c r="D249" i="32"/>
  <c r="G249" i="32" s="1"/>
  <c r="H249" i="32" s="1"/>
  <c r="D67" i="32"/>
  <c r="G67" i="32" s="1"/>
  <c r="H67" i="32" s="1"/>
  <c r="C67" i="32"/>
  <c r="A67" i="32"/>
  <c r="C251" i="32"/>
  <c r="A251" i="32"/>
  <c r="D251" i="32"/>
  <c r="G251" i="32" s="1"/>
  <c r="H251" i="32" s="1"/>
  <c r="N39" i="32"/>
  <c r="O39" i="32"/>
  <c r="R39" i="32" s="1"/>
  <c r="S39" i="32" s="1"/>
  <c r="L39" i="32"/>
  <c r="L10" i="32"/>
  <c r="O10" i="32"/>
  <c r="R10" i="32" s="1"/>
  <c r="S10" i="32" s="1"/>
  <c r="N10" i="32"/>
  <c r="L200" i="32"/>
  <c r="N200" i="32"/>
  <c r="O200" i="32"/>
  <c r="R200" i="32" s="1"/>
  <c r="S200" i="32" s="1"/>
  <c r="C179" i="32"/>
  <c r="D179" i="32"/>
  <c r="G179" i="32" s="1"/>
  <c r="H179" i="32" s="1"/>
  <c r="A179" i="32"/>
  <c r="C242" i="32"/>
  <c r="D242" i="32"/>
  <c r="G242" i="32" s="1"/>
  <c r="H242" i="32" s="1"/>
  <c r="A242" i="32"/>
  <c r="C213" i="32"/>
  <c r="D213" i="32"/>
  <c r="G213" i="32" s="1"/>
  <c r="H213" i="32" s="1"/>
  <c r="A213" i="32"/>
  <c r="O154" i="32"/>
  <c r="R154" i="32" s="1"/>
  <c r="S154" i="32" s="1"/>
  <c r="N129" i="32"/>
  <c r="O9" i="32"/>
  <c r="R9" i="32" s="1"/>
  <c r="S9" i="32" s="1"/>
  <c r="N9" i="32"/>
  <c r="L9" i="32"/>
  <c r="D45" i="32"/>
  <c r="G45" i="32" s="1"/>
  <c r="H45" i="32" s="1"/>
  <c r="C45" i="32"/>
  <c r="A45" i="32"/>
  <c r="D85" i="32"/>
  <c r="G85" i="32" s="1"/>
  <c r="H85" i="32" s="1"/>
  <c r="A85" i="32"/>
  <c r="C85" i="32"/>
  <c r="C229" i="32"/>
  <c r="D229" i="32"/>
  <c r="G229" i="32" s="1"/>
  <c r="H229" i="32" s="1"/>
  <c r="A229" i="32"/>
  <c r="N21" i="32"/>
  <c r="L21" i="32"/>
  <c r="O21" i="32"/>
  <c r="R21" i="32" s="1"/>
  <c r="S21" i="32" s="1"/>
  <c r="C84" i="32"/>
  <c r="D84" i="32"/>
  <c r="G84" i="32" s="1"/>
  <c r="H84" i="32" s="1"/>
  <c r="A84" i="32"/>
  <c r="C39" i="32"/>
  <c r="A39" i="32"/>
  <c r="D39" i="32"/>
  <c r="G39" i="32" s="1"/>
  <c r="H39" i="32" s="1"/>
  <c r="A190" i="32"/>
  <c r="D190" i="32"/>
  <c r="G190" i="32" s="1"/>
  <c r="H190" i="32" s="1"/>
  <c r="C190" i="32"/>
  <c r="A174" i="32"/>
  <c r="D174" i="32"/>
  <c r="G174" i="32" s="1"/>
  <c r="H174" i="32" s="1"/>
  <c r="C174" i="32"/>
  <c r="A58" i="32"/>
  <c r="C58" i="32"/>
  <c r="D58" i="32"/>
  <c r="G58" i="32" s="1"/>
  <c r="H58" i="32" s="1"/>
  <c r="A219" i="32"/>
  <c r="C219" i="32"/>
  <c r="D219" i="32"/>
  <c r="G219" i="32" s="1"/>
  <c r="H219" i="32" s="1"/>
  <c r="A207" i="32"/>
  <c r="D207" i="32"/>
  <c r="G207" i="32" s="1"/>
  <c r="H207" i="32" s="1"/>
  <c r="C207" i="32"/>
  <c r="A53" i="32"/>
  <c r="D53" i="32"/>
  <c r="G53" i="32" s="1"/>
  <c r="H53" i="32" s="1"/>
  <c r="C53" i="32"/>
  <c r="A62" i="32"/>
  <c r="C62" i="32"/>
  <c r="D62" i="32"/>
  <c r="G62" i="32" s="1"/>
  <c r="H62" i="32" s="1"/>
  <c r="D246" i="32"/>
  <c r="G246" i="32" s="1"/>
  <c r="H246" i="32" s="1"/>
  <c r="C246" i="32"/>
  <c r="A246" i="32"/>
  <c r="A188" i="32"/>
  <c r="D188" i="32"/>
  <c r="G188" i="32" s="1"/>
  <c r="H188" i="32" s="1"/>
  <c r="C188" i="32"/>
  <c r="C167" i="32"/>
  <c r="D167" i="32"/>
  <c r="G167" i="32" s="1"/>
  <c r="H167" i="32" s="1"/>
  <c r="A167" i="32"/>
  <c r="A49" i="32"/>
  <c r="C49" i="32"/>
  <c r="D49" i="32"/>
  <c r="G49" i="32" s="1"/>
  <c r="H49" i="32" s="1"/>
  <c r="N5" i="32"/>
  <c r="O5" i="32"/>
  <c r="R5" i="32" s="1"/>
  <c r="S5" i="32" s="1"/>
  <c r="L5" i="32"/>
  <c r="A139" i="32"/>
  <c r="D139" i="32"/>
  <c r="G139" i="32" s="1"/>
  <c r="H139" i="32" s="1"/>
  <c r="C139" i="32"/>
  <c r="C160" i="32"/>
  <c r="D160" i="32"/>
  <c r="G160" i="32" s="1"/>
  <c r="H160" i="32" s="1"/>
  <c r="A160" i="32"/>
  <c r="N37" i="32"/>
  <c r="O37" i="32"/>
  <c r="R37" i="32" s="1"/>
  <c r="S37" i="32" s="1"/>
  <c r="L37" i="32"/>
  <c r="A216" i="32"/>
  <c r="D216" i="32"/>
  <c r="G216" i="32" s="1"/>
  <c r="H216" i="32" s="1"/>
  <c r="C216" i="32"/>
  <c r="C209" i="32"/>
  <c r="A209" i="32"/>
  <c r="D209" i="32"/>
  <c r="G209" i="32" s="1"/>
  <c r="H209" i="32" s="1"/>
  <c r="O195" i="32"/>
  <c r="R195" i="32" s="1"/>
  <c r="S195" i="32" s="1"/>
  <c r="N195" i="32"/>
  <c r="L195" i="32"/>
  <c r="D79" i="32"/>
  <c r="G79" i="32" s="1"/>
  <c r="H79" i="32" s="1"/>
  <c r="A79" i="32"/>
  <c r="C79" i="32"/>
  <c r="N8" i="32"/>
  <c r="O8" i="32"/>
  <c r="R8" i="32" s="1"/>
  <c r="S8" i="32" s="1"/>
  <c r="L8" i="32"/>
  <c r="O199" i="32"/>
  <c r="R199" i="32" s="1"/>
  <c r="S199" i="32" s="1"/>
  <c r="N199" i="32"/>
  <c r="L199" i="32"/>
  <c r="N18" i="32"/>
  <c r="O18" i="32"/>
  <c r="R18" i="32" s="1"/>
  <c r="S18" i="32" s="1"/>
  <c r="L18" i="32"/>
  <c r="N206" i="32"/>
  <c r="C176" i="32"/>
  <c r="D176" i="32"/>
  <c r="G176" i="32" s="1"/>
  <c r="H176" i="32" s="1"/>
  <c r="A176" i="32"/>
  <c r="A150" i="32"/>
  <c r="C150" i="32"/>
  <c r="D150" i="32"/>
  <c r="G150" i="32" s="1"/>
  <c r="H150" i="32" s="1"/>
  <c r="D161" i="32"/>
  <c r="G161" i="32" s="1"/>
  <c r="H161" i="32" s="1"/>
  <c r="C161" i="32"/>
  <c r="A161" i="32"/>
  <c r="A237" i="32"/>
  <c r="C237" i="32"/>
  <c r="D237" i="32"/>
  <c r="G237" i="32" s="1"/>
  <c r="H237" i="32" s="1"/>
  <c r="D225" i="32"/>
  <c r="G225" i="32" s="1"/>
  <c r="H225" i="32" s="1"/>
  <c r="A225" i="32"/>
  <c r="C225" i="32"/>
  <c r="L203" i="32"/>
  <c r="O203" i="32"/>
  <c r="R203" i="32" s="1"/>
  <c r="S203" i="32" s="1"/>
  <c r="N203" i="32"/>
  <c r="A145" i="32"/>
  <c r="C145" i="32"/>
  <c r="D145" i="32"/>
  <c r="G145" i="32" s="1"/>
  <c r="H145" i="32" s="1"/>
  <c r="N13" i="32"/>
  <c r="L13" i="32"/>
  <c r="O13" i="32"/>
  <c r="R13" i="32" s="1"/>
  <c r="S13" i="32" s="1"/>
  <c r="A244" i="32"/>
  <c r="C244" i="32"/>
  <c r="D244" i="32"/>
  <c r="G244" i="32" s="1"/>
  <c r="H244" i="32" s="1"/>
  <c r="A210" i="32"/>
  <c r="D210" i="32"/>
  <c r="G210" i="32" s="1"/>
  <c r="H210" i="32" s="1"/>
  <c r="C210" i="32"/>
  <c r="A238" i="32"/>
  <c r="C238" i="32"/>
  <c r="D238" i="32"/>
  <c r="G238" i="32" s="1"/>
  <c r="H238" i="32" s="1"/>
  <c r="A56" i="32"/>
  <c r="C56" i="32"/>
  <c r="D56" i="32"/>
  <c r="G56" i="32" s="1"/>
  <c r="H56" i="32" s="1"/>
  <c r="C247" i="32"/>
  <c r="D247" i="32"/>
  <c r="G247" i="32" s="1"/>
  <c r="H247" i="32" s="1"/>
  <c r="A247" i="32"/>
  <c r="A156" i="32"/>
  <c r="D156" i="32"/>
  <c r="G156" i="32" s="1"/>
  <c r="H156" i="32" s="1"/>
  <c r="C156" i="32"/>
  <c r="D198" i="32"/>
  <c r="G198" i="32" s="1"/>
  <c r="H198" i="32" s="1"/>
  <c r="C198" i="32"/>
  <c r="A198" i="32"/>
  <c r="A154" i="32"/>
  <c r="C154" i="32"/>
  <c r="D154" i="32"/>
  <c r="G154" i="32" s="1"/>
  <c r="H154" i="32" s="1"/>
  <c r="C94" i="32"/>
  <c r="A94" i="32"/>
  <c r="D94" i="32"/>
  <c r="G94" i="32" s="1"/>
  <c r="H94" i="32" s="1"/>
  <c r="D61" i="32"/>
  <c r="G61" i="32" s="1"/>
  <c r="H61" i="32" s="1"/>
  <c r="A61" i="32"/>
  <c r="C61" i="32"/>
  <c r="C199" i="32"/>
  <c r="D199" i="32"/>
  <c r="G199" i="32" s="1"/>
  <c r="H199" i="32" s="1"/>
  <c r="A199" i="32"/>
  <c r="A144" i="32"/>
  <c r="D144" i="32"/>
  <c r="G144" i="32" s="1"/>
  <c r="H144" i="32" s="1"/>
  <c r="C144" i="32"/>
  <c r="A38" i="32"/>
  <c r="D38" i="32"/>
  <c r="G38" i="32" s="1"/>
  <c r="H38" i="32" s="1"/>
  <c r="C38" i="32"/>
  <c r="D74" i="32"/>
  <c r="G74" i="32" s="1"/>
  <c r="H74" i="32" s="1"/>
  <c r="C74" i="32"/>
  <c r="A74" i="32"/>
  <c r="D73" i="32"/>
  <c r="G73" i="32" s="1"/>
  <c r="H73" i="32" s="1"/>
  <c r="A73" i="32"/>
  <c r="C73" i="32"/>
  <c r="C201" i="32"/>
  <c r="A201" i="32"/>
  <c r="D201" i="32"/>
  <c r="G201" i="32" s="1"/>
  <c r="H201" i="32" s="1"/>
  <c r="A217" i="32"/>
  <c r="C217" i="32"/>
  <c r="D217" i="32"/>
  <c r="G217" i="32" s="1"/>
  <c r="H217" i="32" s="1"/>
  <c r="N44" i="32"/>
  <c r="L44" i="32"/>
  <c r="L43" i="32"/>
  <c r="N43" i="32"/>
  <c r="O43" i="32"/>
  <c r="R43" i="32" s="1"/>
  <c r="S43" i="32" s="1"/>
  <c r="C252" i="32"/>
  <c r="A252" i="32"/>
  <c r="D252" i="32"/>
  <c r="G252" i="32" s="1"/>
  <c r="H252" i="32" s="1"/>
  <c r="O40" i="32"/>
  <c r="R40" i="32" s="1"/>
  <c r="S40" i="32" s="1"/>
  <c r="L40" i="32"/>
  <c r="N40" i="32"/>
  <c r="C171" i="32"/>
  <c r="A171" i="32"/>
  <c r="D171" i="32"/>
  <c r="G171" i="32" s="1"/>
  <c r="H171" i="32" s="1"/>
  <c r="C187" i="32"/>
  <c r="D187" i="32"/>
  <c r="G187" i="32" s="1"/>
  <c r="H187" i="32" s="1"/>
  <c r="A187" i="32"/>
  <c r="A164" i="32"/>
  <c r="D164" i="32"/>
  <c r="G164" i="32" s="1"/>
  <c r="H164" i="32" s="1"/>
  <c r="C164" i="32"/>
  <c r="A69" i="32"/>
  <c r="C69" i="32"/>
  <c r="D69" i="32"/>
  <c r="G69" i="32" s="1"/>
  <c r="H69" i="32" s="1"/>
  <c r="A248" i="32"/>
  <c r="C248" i="32"/>
  <c r="D248" i="32"/>
  <c r="G248" i="32" s="1"/>
  <c r="H248" i="32" s="1"/>
  <c r="C115" i="32"/>
  <c r="D115" i="32"/>
  <c r="G115" i="32" s="1"/>
  <c r="H115" i="32" s="1"/>
  <c r="A115" i="32"/>
  <c r="C215" i="32"/>
  <c r="D215" i="32"/>
  <c r="G215" i="32" s="1"/>
  <c r="H215" i="32" s="1"/>
  <c r="A215" i="32"/>
  <c r="D193" i="32"/>
  <c r="G193" i="32" s="1"/>
  <c r="H193" i="32" s="1"/>
  <c r="A193" i="32"/>
  <c r="C193" i="32"/>
  <c r="C218" i="32"/>
  <c r="D218" i="32"/>
  <c r="G218" i="32" s="1"/>
  <c r="H218" i="32" s="1"/>
  <c r="A218" i="32"/>
  <c r="D221" i="32"/>
  <c r="G221" i="32" s="1"/>
  <c r="H221" i="32" s="1"/>
  <c r="A221" i="32"/>
  <c r="C221" i="32"/>
  <c r="D211" i="32"/>
  <c r="G211" i="32" s="1"/>
  <c r="H211" i="32" s="1"/>
  <c r="A211" i="32"/>
  <c r="C211" i="32"/>
  <c r="A64" i="32"/>
  <c r="C64" i="32"/>
  <c r="D64" i="32"/>
  <c r="G64" i="32" s="1"/>
  <c r="H64" i="32" s="1"/>
  <c r="A138" i="32"/>
  <c r="C138" i="32"/>
  <c r="D138" i="32"/>
  <c r="G138" i="32" s="1"/>
  <c r="H138" i="32" s="1"/>
  <c r="C202" i="32"/>
  <c r="A202" i="32"/>
  <c r="D202" i="32"/>
  <c r="G202" i="32" s="1"/>
  <c r="H202" i="32" s="1"/>
  <c r="A196" i="32"/>
  <c r="C196" i="32"/>
  <c r="D196" i="32"/>
  <c r="G196" i="32" s="1"/>
  <c r="H196" i="32" s="1"/>
  <c r="L30" i="32"/>
  <c r="N30" i="32"/>
  <c r="O30" i="32"/>
  <c r="R30" i="32" s="1"/>
  <c r="S30" i="32" s="1"/>
  <c r="L29" i="32"/>
  <c r="O29" i="32"/>
  <c r="R29" i="32" s="1"/>
  <c r="S29" i="32" s="1"/>
  <c r="N29" i="32"/>
  <c r="O41" i="32"/>
  <c r="R41" i="32" s="1"/>
  <c r="S41" i="32" s="1"/>
  <c r="L41" i="32"/>
  <c r="N41" i="32"/>
  <c r="L19" i="32"/>
  <c r="N19" i="32"/>
  <c r="O19" i="32"/>
  <c r="R19" i="32" s="1"/>
  <c r="S19" i="32" s="1"/>
  <c r="A54" i="32"/>
  <c r="C54" i="32"/>
  <c r="D54" i="32"/>
  <c r="G54" i="32" s="1"/>
  <c r="H54" i="32" s="1"/>
  <c r="L206" i="32"/>
  <c r="A152" i="32"/>
  <c r="D152" i="32"/>
  <c r="G152" i="32" s="1"/>
  <c r="H152" i="32" s="1"/>
  <c r="C152" i="32"/>
  <c r="A212" i="32"/>
  <c r="D212" i="32"/>
  <c r="G212" i="32" s="1"/>
  <c r="H212" i="32" s="1"/>
  <c r="C212" i="32"/>
  <c r="N22" i="32"/>
  <c r="O22" i="32"/>
  <c r="R22" i="32" s="1"/>
  <c r="S22" i="32" s="1"/>
  <c r="L22" i="32"/>
  <c r="C163" i="32"/>
  <c r="A163" i="32"/>
  <c r="D163" i="32"/>
  <c r="G163" i="32" s="1"/>
  <c r="H163" i="32" s="1"/>
  <c r="C236" i="32"/>
  <c r="A236" i="32"/>
  <c r="D236" i="32"/>
  <c r="G236" i="32" s="1"/>
  <c r="H236" i="32" s="1"/>
  <c r="A177" i="32"/>
  <c r="C177" i="32"/>
  <c r="D177" i="32"/>
  <c r="G177" i="32" s="1"/>
  <c r="H177" i="32" s="1"/>
  <c r="C41" i="32"/>
  <c r="A41" i="32"/>
  <c r="D41" i="32"/>
  <c r="G41" i="32" s="1"/>
  <c r="H41" i="32" s="1"/>
  <c r="A50" i="32"/>
  <c r="C50" i="32"/>
  <c r="D50" i="32"/>
  <c r="G50" i="32" s="1"/>
  <c r="H50" i="32" s="1"/>
  <c r="A165" i="32"/>
  <c r="C165" i="32"/>
  <c r="D165" i="32"/>
  <c r="G165" i="32" s="1"/>
  <c r="H165" i="32" s="1"/>
  <c r="D182" i="32"/>
  <c r="G182" i="32" s="1"/>
  <c r="H182" i="32" s="1"/>
  <c r="C182" i="32"/>
  <c r="A182" i="32"/>
  <c r="A178" i="32"/>
  <c r="D178" i="32"/>
  <c r="G178" i="32" s="1"/>
  <c r="H178" i="32" s="1"/>
  <c r="C178" i="32"/>
  <c r="O12" i="32"/>
  <c r="R12" i="32" s="1"/>
  <c r="S12" i="32" s="1"/>
  <c r="L12" i="32"/>
  <c r="N12" i="32"/>
  <c r="C166" i="32"/>
  <c r="A166" i="32"/>
  <c r="D166" i="32"/>
  <c r="G166" i="32" s="1"/>
  <c r="H166" i="32" s="1"/>
  <c r="D63" i="32"/>
  <c r="G63" i="32" s="1"/>
  <c r="H63" i="32" s="1"/>
  <c r="A63" i="32"/>
  <c r="C63" i="32"/>
  <c r="C233" i="32"/>
  <c r="D233" i="32"/>
  <c r="G233" i="32" s="1"/>
  <c r="H233" i="32" s="1"/>
  <c r="A233" i="32"/>
  <c r="A243" i="32"/>
  <c r="C243" i="32"/>
  <c r="D243" i="32"/>
  <c r="G243" i="32" s="1"/>
  <c r="H243" i="32" s="1"/>
  <c r="D65" i="32"/>
  <c r="G65" i="32" s="1"/>
  <c r="H65" i="32" s="1"/>
  <c r="C65" i="32"/>
  <c r="A65" i="32"/>
  <c r="C76" i="32"/>
  <c r="D76" i="32"/>
  <c r="G76" i="32" s="1"/>
  <c r="H76" i="32" s="1"/>
  <c r="A76" i="32"/>
  <c r="C114" i="32"/>
  <c r="D114" i="32"/>
  <c r="G114" i="32" s="1"/>
  <c r="H114" i="32" s="1"/>
  <c r="A114" i="32"/>
  <c r="C203" i="32"/>
  <c r="A203" i="32"/>
  <c r="D203" i="32"/>
  <c r="G203" i="32" s="1"/>
  <c r="H203" i="32" s="1"/>
  <c r="A128" i="32"/>
  <c r="D128" i="32"/>
  <c r="G128" i="32" s="1"/>
  <c r="H128" i="32" s="1"/>
  <c r="C128" i="32"/>
  <c r="C68" i="32"/>
  <c r="D68" i="32"/>
  <c r="G68" i="32" s="1"/>
  <c r="H68" i="32" s="1"/>
  <c r="A68" i="32"/>
  <c r="A88" i="32"/>
  <c r="C88" i="32"/>
  <c r="D88" i="32"/>
  <c r="G88" i="32" s="1"/>
  <c r="H88" i="32" s="1"/>
  <c r="C47" i="32"/>
  <c r="D47" i="32"/>
  <c r="G47" i="32" s="1"/>
  <c r="H47" i="32" s="1"/>
  <c r="A47" i="32"/>
  <c r="C224" i="32"/>
  <c r="D224" i="32"/>
  <c r="G224" i="32" s="1"/>
  <c r="H224" i="32" s="1"/>
  <c r="A224" i="32"/>
  <c r="O16" i="32"/>
  <c r="R16" i="32" s="1"/>
  <c r="S16" i="32" s="1"/>
  <c r="L16" i="32"/>
  <c r="N16" i="32"/>
  <c r="L7" i="32"/>
  <c r="N7" i="32"/>
  <c r="O7" i="32"/>
  <c r="R7" i="32" s="1"/>
  <c r="S7" i="32" s="1"/>
  <c r="O20" i="32"/>
  <c r="R20" i="32" s="1"/>
  <c r="S20" i="32" s="1"/>
  <c r="N20" i="32"/>
  <c r="L20" i="32"/>
  <c r="N196" i="32"/>
  <c r="O196" i="32"/>
  <c r="R196" i="32" s="1"/>
  <c r="S196" i="32" s="1"/>
  <c r="L196" i="32"/>
  <c r="A232" i="32"/>
  <c r="D232" i="32"/>
  <c r="G232" i="32" s="1"/>
  <c r="H232" i="32" s="1"/>
  <c r="C232" i="32"/>
  <c r="A157" i="32"/>
  <c r="C157" i="32"/>
  <c r="D157" i="32"/>
  <c r="G157" i="32" s="1"/>
  <c r="H157" i="32" s="1"/>
  <c r="A153" i="32"/>
  <c r="C153" i="32"/>
  <c r="D153" i="32"/>
  <c r="G153" i="32" s="1"/>
  <c r="H153" i="32" s="1"/>
  <c r="A127" i="32"/>
  <c r="D127" i="32"/>
  <c r="G127" i="32" s="1"/>
  <c r="H127" i="32" s="1"/>
  <c r="C127" i="32"/>
  <c r="D158" i="32"/>
  <c r="G158" i="32" s="1"/>
  <c r="H158" i="32" s="1"/>
  <c r="C158" i="32"/>
  <c r="A158" i="32"/>
  <c r="A168" i="32"/>
  <c r="D168" i="32"/>
  <c r="G168" i="32" s="1"/>
  <c r="H168" i="32" s="1"/>
  <c r="C168" i="32"/>
  <c r="A151" i="32"/>
  <c r="D151" i="32"/>
  <c r="G151" i="32" s="1"/>
  <c r="H151" i="32" s="1"/>
  <c r="C151" i="32"/>
  <c r="A44" i="32"/>
  <c r="C44" i="32"/>
  <c r="D44" i="32"/>
  <c r="G44" i="32" s="1"/>
  <c r="H44" i="32" s="1"/>
  <c r="L38" i="32"/>
  <c r="N38" i="32"/>
  <c r="O38" i="32"/>
  <c r="R38" i="32" s="1"/>
  <c r="S38" i="32" s="1"/>
  <c r="C184" i="32"/>
  <c r="D184" i="32"/>
  <c r="G184" i="32" s="1"/>
  <c r="H184" i="32" s="1"/>
  <c r="A184" i="32"/>
  <c r="A149" i="32"/>
  <c r="D149" i="32"/>
  <c r="G149" i="32" s="1"/>
  <c r="H149" i="32" s="1"/>
  <c r="C149" i="32"/>
  <c r="A142" i="32"/>
  <c r="D142" i="32"/>
  <c r="G142" i="32" s="1"/>
  <c r="H142" i="32" s="1"/>
  <c r="C142" i="32"/>
  <c r="A197" i="32"/>
  <c r="D197" i="32"/>
  <c r="G197" i="32" s="1"/>
  <c r="H197" i="32" s="1"/>
  <c r="C197" i="32"/>
  <c r="C143" i="32"/>
  <c r="A143" i="32"/>
  <c r="D143" i="32"/>
  <c r="G143" i="32" s="1"/>
  <c r="H143" i="32" s="1"/>
  <c r="A51" i="32"/>
  <c r="C51" i="32"/>
  <c r="D51" i="32"/>
  <c r="G51" i="32" s="1"/>
  <c r="H51" i="32" s="1"/>
  <c r="C222" i="32"/>
  <c r="A222" i="32"/>
  <c r="D222" i="32"/>
  <c r="G222" i="32" s="1"/>
  <c r="H222" i="32" s="1"/>
  <c r="D231" i="32"/>
  <c r="G231" i="32" s="1"/>
  <c r="H231" i="32" s="1"/>
  <c r="C231" i="32"/>
  <c r="A231" i="32"/>
  <c r="A77" i="32"/>
  <c r="C77" i="32"/>
  <c r="D77" i="32"/>
  <c r="G77" i="32" s="1"/>
  <c r="H77" i="32" s="1"/>
  <c r="O23" i="32"/>
  <c r="R23" i="32" s="1"/>
  <c r="S23" i="32" s="1"/>
  <c r="L23" i="32"/>
  <c r="N23" i="32"/>
  <c r="A86" i="32"/>
  <c r="D86" i="32"/>
  <c r="G86" i="32" s="1"/>
  <c r="H86" i="32" s="1"/>
  <c r="C86" i="32"/>
  <c r="A204" i="32"/>
  <c r="C204" i="32"/>
  <c r="D204" i="32"/>
  <c r="G204" i="32" s="1"/>
  <c r="H204" i="32" s="1"/>
  <c r="C189" i="32"/>
  <c r="A189" i="32"/>
  <c r="D189" i="32"/>
  <c r="G189" i="32" s="1"/>
  <c r="H189" i="32" s="1"/>
  <c r="A89" i="32"/>
  <c r="D89" i="32"/>
  <c r="G89" i="32" s="1"/>
  <c r="H89" i="32" s="1"/>
  <c r="C89" i="32"/>
  <c r="N35" i="32"/>
  <c r="L35" i="32"/>
  <c r="O35" i="32"/>
  <c r="R35" i="32" s="1"/>
  <c r="S35" i="32" s="1"/>
  <c r="C235" i="32"/>
  <c r="D235" i="32"/>
  <c r="G235" i="32" s="1"/>
  <c r="H235" i="32" s="1"/>
  <c r="A235" i="32"/>
  <c r="L31" i="32"/>
  <c r="N31" i="32"/>
  <c r="O31" i="32"/>
  <c r="R31" i="32" s="1"/>
  <c r="S31" i="32" s="1"/>
  <c r="D78" i="32"/>
  <c r="G78" i="32" s="1"/>
  <c r="H78" i="32" s="1"/>
  <c r="A78" i="32"/>
  <c r="C78" i="32"/>
  <c r="L42" i="32"/>
  <c r="O42" i="32"/>
  <c r="R42" i="32" s="1"/>
  <c r="S42" i="32" s="1"/>
  <c r="N42" i="32"/>
  <c r="C35" i="32"/>
  <c r="A35" i="32"/>
  <c r="D35" i="32"/>
  <c r="G35" i="32" s="1"/>
  <c r="H35" i="32" s="1"/>
  <c r="A55" i="32"/>
  <c r="C55" i="32"/>
  <c r="D55" i="32"/>
  <c r="G55" i="32" s="1"/>
  <c r="H55" i="32" s="1"/>
  <c r="O33" i="32"/>
  <c r="R33" i="32" s="1"/>
  <c r="S33" i="32" s="1"/>
  <c r="N33" i="32"/>
  <c r="L33" i="32"/>
  <c r="C205" i="32"/>
  <c r="D205" i="32"/>
  <c r="G205" i="32" s="1"/>
  <c r="H205" i="32" s="1"/>
  <c r="A205" i="32"/>
  <c r="A71" i="32"/>
  <c r="D71" i="32"/>
  <c r="G71" i="32" s="1"/>
  <c r="H71" i="32" s="1"/>
  <c r="C71" i="32"/>
  <c r="A141" i="32"/>
  <c r="D141" i="32"/>
  <c r="G141" i="32" s="1"/>
  <c r="H141" i="32" s="1"/>
  <c r="C141" i="32"/>
  <c r="A148" i="32"/>
  <c r="C148" i="32"/>
  <c r="D148" i="32"/>
  <c r="G148" i="32" s="1"/>
  <c r="H148" i="32" s="1"/>
  <c r="D185" i="32"/>
  <c r="G185" i="32" s="1"/>
  <c r="H185" i="32" s="1"/>
  <c r="C185" i="32"/>
  <c r="A185" i="32"/>
  <c r="D57" i="32"/>
  <c r="G57" i="32" s="1"/>
  <c r="H57" i="32" s="1"/>
  <c r="A57" i="32"/>
  <c r="C57" i="32"/>
  <c r="L202" i="32"/>
  <c r="O202" i="32"/>
  <c r="R202" i="32" s="1"/>
  <c r="S202" i="32" s="1"/>
  <c r="N202" i="32"/>
  <c r="A126" i="32"/>
  <c r="C126" i="32"/>
  <c r="D126" i="32"/>
  <c r="G126" i="32" s="1"/>
  <c r="H126" i="32" s="1"/>
  <c r="D137" i="32"/>
  <c r="G137" i="32" s="1"/>
  <c r="H137" i="32" s="1"/>
  <c r="A137" i="32"/>
  <c r="C137" i="32"/>
  <c r="D226" i="32"/>
  <c r="G226" i="32" s="1"/>
  <c r="H226" i="32" s="1"/>
  <c r="C226" i="32"/>
  <c r="A226" i="32"/>
  <c r="C70" i="32"/>
  <c r="D70" i="32"/>
  <c r="G70" i="32" s="1"/>
  <c r="H70" i="32" s="1"/>
  <c r="A70" i="32"/>
  <c r="C37" i="32"/>
  <c r="A37" i="32"/>
  <c r="D37" i="32"/>
  <c r="G37" i="32" s="1"/>
  <c r="H37" i="32" s="1"/>
  <c r="D214" i="32"/>
  <c r="G214" i="32" s="1"/>
  <c r="H214" i="32" s="1"/>
  <c r="A214" i="32"/>
  <c r="C214" i="32"/>
  <c r="A192" i="32"/>
  <c r="D192" i="32"/>
  <c r="G192" i="32" s="1"/>
  <c r="H192" i="32" s="1"/>
  <c r="C192" i="32"/>
  <c r="C81" i="32"/>
  <c r="A81" i="32"/>
  <c r="D81" i="32"/>
  <c r="G81" i="32" s="1"/>
  <c r="H81" i="32" s="1"/>
  <c r="A223" i="32"/>
  <c r="D223" i="32"/>
  <c r="G223" i="32" s="1"/>
  <c r="H223" i="32" s="1"/>
  <c r="C223" i="32"/>
  <c r="A169" i="32"/>
  <c r="C169" i="32"/>
  <c r="D169" i="32"/>
  <c r="G169" i="32" s="1"/>
  <c r="H169" i="32" s="1"/>
  <c r="C82" i="32"/>
  <c r="A82" i="32"/>
  <c r="D82" i="32"/>
  <c r="G82" i="32" s="1"/>
  <c r="H82" i="32" s="1"/>
  <c r="A80" i="32"/>
  <c r="C80" i="32"/>
  <c r="D80" i="32"/>
  <c r="G80" i="32" s="1"/>
  <c r="H80" i="32" s="1"/>
  <c r="D239" i="32"/>
  <c r="G239" i="32" s="1"/>
  <c r="H239" i="32" s="1"/>
  <c r="A239" i="32"/>
  <c r="C239" i="32"/>
  <c r="D40" i="32"/>
  <c r="G40" i="32" s="1"/>
  <c r="H40" i="32" s="1"/>
  <c r="A40" i="32"/>
  <c r="C40" i="32"/>
  <c r="A92" i="32"/>
  <c r="C92" i="32"/>
  <c r="D92" i="32"/>
  <c r="G92" i="32" s="1"/>
  <c r="H92" i="32" s="1"/>
  <c r="D170" i="32"/>
  <c r="G170" i="32" s="1"/>
  <c r="H170" i="32" s="1"/>
  <c r="C170" i="32"/>
  <c r="A170" i="32"/>
  <c r="A180" i="32"/>
  <c r="C180" i="32"/>
  <c r="D180" i="32"/>
  <c r="G180" i="32" s="1"/>
  <c r="H180" i="32" s="1"/>
  <c r="D91" i="32"/>
  <c r="G91" i="32" s="1"/>
  <c r="H91" i="32" s="1"/>
  <c r="A91" i="32"/>
  <c r="C91" i="32"/>
  <c r="L17" i="32"/>
  <c r="O17" i="32"/>
  <c r="R17" i="32" s="1"/>
  <c r="S17" i="32" s="1"/>
  <c r="N17" i="32"/>
  <c r="D43" i="32"/>
  <c r="G43" i="32" s="1"/>
  <c r="H43" i="32" s="1"/>
  <c r="A43" i="32"/>
  <c r="C43" i="32"/>
  <c r="N15" i="32"/>
  <c r="L15" i="32"/>
  <c r="O15" i="32"/>
  <c r="R15" i="32" s="1"/>
  <c r="S15" i="32" s="1"/>
  <c r="N27" i="32"/>
  <c r="O27" i="32"/>
  <c r="R27" i="32" s="1"/>
  <c r="S27" i="32" s="1"/>
  <c r="L27" i="32"/>
  <c r="D66" i="32"/>
  <c r="G66" i="32" s="1"/>
  <c r="H66" i="32" s="1"/>
  <c r="A66" i="32"/>
  <c r="C66" i="32"/>
  <c r="O197" i="32"/>
  <c r="R197" i="32" s="1"/>
  <c r="S197" i="32" s="1"/>
  <c r="N197" i="32"/>
  <c r="L197" i="32"/>
  <c r="U16" i="22"/>
  <c r="Q16" i="22"/>
  <c r="R104" i="32"/>
  <c r="S104" i="32" s="1"/>
  <c r="R93" i="32"/>
  <c r="S93" i="32" s="1"/>
  <c r="R153" i="32"/>
  <c r="S153" i="32" s="1"/>
  <c r="R77" i="32"/>
  <c r="S77" i="32" s="1"/>
  <c r="R95" i="32"/>
  <c r="S95" i="32" s="1"/>
  <c r="R167" i="32"/>
  <c r="S167" i="32" s="1"/>
  <c r="R141" i="32"/>
  <c r="S141" i="32" s="1"/>
  <c r="R139" i="32"/>
  <c r="S139" i="32" s="1"/>
  <c r="R107" i="32"/>
  <c r="S107" i="32" s="1"/>
  <c r="R116" i="32"/>
  <c r="S116" i="32" s="1"/>
  <c r="R68" i="32"/>
  <c r="S68" i="32" s="1"/>
  <c r="D27" i="32"/>
  <c r="G27" i="32" s="1"/>
  <c r="H27" i="32" s="1"/>
  <c r="A27" i="32"/>
  <c r="C27" i="32"/>
  <c r="D5" i="32"/>
  <c r="G5" i="32" s="1"/>
  <c r="H5" i="32" s="1"/>
  <c r="C5" i="32"/>
  <c r="A5" i="32"/>
  <c r="A28" i="32"/>
  <c r="C28" i="32"/>
  <c r="D28" i="32"/>
  <c r="G28" i="32" s="1"/>
  <c r="H28" i="32" s="1"/>
  <c r="A17" i="32"/>
  <c r="C17" i="32"/>
  <c r="D17" i="32"/>
  <c r="G17" i="32" s="1"/>
  <c r="H17" i="32" s="1"/>
  <c r="C26" i="32"/>
  <c r="A26" i="32"/>
  <c r="D26" i="32"/>
  <c r="G26" i="32" s="1"/>
  <c r="H26" i="32" s="1"/>
  <c r="D10" i="32"/>
  <c r="G10" i="32" s="1"/>
  <c r="H10" i="32" s="1"/>
  <c r="A10" i="32"/>
  <c r="C10" i="32"/>
  <c r="R157" i="32"/>
  <c r="S157" i="32" s="1"/>
  <c r="D22" i="32"/>
  <c r="G22" i="32" s="1"/>
  <c r="H22" i="32" s="1"/>
  <c r="A22" i="32"/>
  <c r="C22" i="32"/>
  <c r="D11" i="32"/>
  <c r="G11" i="32" s="1"/>
  <c r="H11" i="32" s="1"/>
  <c r="A11" i="32"/>
  <c r="C11" i="32"/>
  <c r="A14" i="32"/>
  <c r="D14" i="32"/>
  <c r="G14" i="32" s="1"/>
  <c r="H14" i="32" s="1"/>
  <c r="C14" i="32"/>
  <c r="D9" i="32"/>
  <c r="G9" i="32" s="1"/>
  <c r="H9" i="32" s="1"/>
  <c r="A9" i="32"/>
  <c r="C9" i="32"/>
  <c r="D21" i="32"/>
  <c r="G21" i="32" s="1"/>
  <c r="H21" i="32" s="1"/>
  <c r="A21" i="32"/>
  <c r="C21" i="32"/>
  <c r="D8" i="32"/>
  <c r="G8" i="32" s="1"/>
  <c r="H8" i="32" s="1"/>
  <c r="C8" i="32"/>
  <c r="A8" i="32"/>
  <c r="C13" i="32"/>
  <c r="A13" i="32"/>
  <c r="D13" i="32"/>
  <c r="G13" i="32" s="1"/>
  <c r="H13" i="32" s="1"/>
  <c r="A7" i="32"/>
  <c r="D7" i="32"/>
  <c r="G7" i="32" s="1"/>
  <c r="H7" i="32" s="1"/>
  <c r="C7" i="32"/>
  <c r="R108" i="32"/>
  <c r="S108" i="32" s="1"/>
  <c r="A23" i="32"/>
  <c r="D23" i="32"/>
  <c r="G23" i="32" s="1"/>
  <c r="H23" i="32" s="1"/>
  <c r="C23" i="32"/>
  <c r="A25" i="32"/>
  <c r="C25" i="32"/>
  <c r="D25" i="32"/>
  <c r="G25" i="32" s="1"/>
  <c r="H25" i="32" s="1"/>
  <c r="D20" i="32"/>
  <c r="G20" i="32" s="1"/>
  <c r="H20" i="32" s="1"/>
  <c r="C20" i="32"/>
  <c r="A20" i="32"/>
  <c r="A15" i="32"/>
  <c r="C15" i="32"/>
  <c r="D15" i="32"/>
  <c r="G15" i="32" s="1"/>
  <c r="H15" i="32" s="1"/>
  <c r="A12" i="32"/>
  <c r="D12" i="32"/>
  <c r="G12" i="32" s="1"/>
  <c r="H12" i="32" s="1"/>
  <c r="C12" i="32"/>
  <c r="C6" i="32"/>
  <c r="A6" i="32"/>
  <c r="D6" i="32"/>
  <c r="G6" i="32" s="1"/>
  <c r="H6" i="32" s="1"/>
  <c r="D19" i="32"/>
  <c r="G19" i="32" s="1"/>
  <c r="H19" i="32" s="1"/>
  <c r="A19" i="32"/>
  <c r="C19" i="32"/>
  <c r="A16" i="32"/>
  <c r="D16" i="32"/>
  <c r="G16" i="32" s="1"/>
  <c r="H16" i="32" s="1"/>
  <c r="C16" i="32"/>
  <c r="D18" i="32"/>
  <c r="G18" i="32" s="1"/>
  <c r="H18" i="32" s="1"/>
  <c r="A18" i="32"/>
  <c r="C18" i="32"/>
  <c r="C24" i="32"/>
  <c r="A24" i="32"/>
  <c r="D24" i="32"/>
  <c r="G24" i="32" s="1"/>
  <c r="H24" i="32" s="1"/>
  <c r="R155" i="32"/>
  <c r="S155" i="32" s="1"/>
  <c r="R152" i="32"/>
  <c r="S152" i="32" s="1"/>
  <c r="R94" i="32"/>
  <c r="S94" i="32" s="1"/>
  <c r="R158" i="32"/>
  <c r="S158" i="32" s="1"/>
  <c r="R96" i="32"/>
  <c r="S96" i="32" s="1"/>
  <c r="R133" i="32"/>
  <c r="S133" i="32" s="1"/>
  <c r="R156" i="32"/>
  <c r="S156" i="32" s="1"/>
  <c r="R122" i="32"/>
  <c r="S122" i="32" s="1"/>
  <c r="R134" i="32"/>
  <c r="S134" i="32" s="1"/>
  <c r="R140" i="32"/>
  <c r="S140" i="32" s="1"/>
  <c r="R166" i="32"/>
  <c r="S166" i="32" s="1"/>
  <c r="R151" i="32"/>
  <c r="S151" i="32" s="1"/>
  <c r="R61" i="32"/>
  <c r="S61" i="32" s="1"/>
  <c r="R110" i="32"/>
  <c r="S110" i="32" s="1"/>
  <c r="R87" i="32"/>
  <c r="S87" i="32" s="1"/>
  <c r="R120" i="32"/>
  <c r="S120" i="32" s="1"/>
  <c r="R145" i="32"/>
  <c r="S145" i="32" s="1"/>
  <c r="R74" i="32"/>
  <c r="S74" i="32" s="1"/>
  <c r="R99" i="32"/>
  <c r="S99" i="32" s="1"/>
  <c r="R124" i="32"/>
  <c r="S124" i="32" s="1"/>
  <c r="R58" i="32"/>
  <c r="S58" i="32" s="1"/>
  <c r="R97" i="32"/>
  <c r="S97" i="32" s="1"/>
  <c r="R118" i="32"/>
  <c r="S118" i="32" s="1"/>
  <c r="R86" i="32"/>
  <c r="S86" i="32" s="1"/>
  <c r="R81" i="32"/>
  <c r="S81" i="32" s="1"/>
  <c r="R92" i="32"/>
  <c r="S92" i="32" s="1"/>
  <c r="R57" i="32"/>
  <c r="S57" i="32" s="1"/>
  <c r="R136" i="32"/>
  <c r="S136" i="32" s="1"/>
  <c r="R25" i="32"/>
  <c r="S25" i="32" s="1"/>
  <c r="R171" i="32"/>
  <c r="S171" i="32" s="1"/>
  <c r="R76" i="32"/>
  <c r="S76" i="32" s="1"/>
  <c r="R121" i="32"/>
  <c r="S121" i="32" s="1"/>
  <c r="R144" i="32"/>
  <c r="S144" i="32" s="1"/>
  <c r="R111" i="32"/>
  <c r="S111" i="32" s="1"/>
  <c r="R26" i="32"/>
  <c r="S26" i="32" s="1"/>
  <c r="R75" i="32"/>
  <c r="S75" i="32" s="1"/>
  <c r="R65" i="32"/>
  <c r="S65" i="32" s="1"/>
  <c r="R103" i="32"/>
  <c r="S103" i="32" s="1"/>
  <c r="R63" i="32"/>
  <c r="S63" i="32" s="1"/>
  <c r="R160" i="32"/>
  <c r="S160" i="32" s="1"/>
  <c r="R135" i="32"/>
  <c r="S135" i="32" s="1"/>
  <c r="R56" i="32"/>
  <c r="S56" i="32" s="1"/>
  <c r="R148" i="32"/>
  <c r="S148" i="32" s="1"/>
  <c r="R47" i="32"/>
  <c r="S47" i="32" s="1"/>
  <c r="R53" i="32"/>
  <c r="S53" i="32" s="1"/>
  <c r="R49" i="32"/>
  <c r="S49" i="32" s="1"/>
  <c r="R51" i="32"/>
  <c r="S51" i="32" s="1"/>
  <c r="R44" i="32"/>
  <c r="S44" i="32" s="1"/>
  <c r="R54" i="32"/>
  <c r="S54" i="32" s="1"/>
  <c r="R48" i="32"/>
  <c r="S48" i="32" s="1"/>
  <c r="R46" i="32"/>
  <c r="S46" i="32" s="1"/>
  <c r="R50" i="32"/>
  <c r="S50" i="32" s="1"/>
  <c r="R52" i="32"/>
  <c r="S52" i="32" s="1"/>
  <c r="R45" i="32"/>
  <c r="S45" i="32" s="1"/>
  <c r="R101" i="32"/>
  <c r="S101" i="32" s="1"/>
  <c r="D2" i="22"/>
  <c r="D3" i="22"/>
  <c r="D4" i="22"/>
  <c r="D8" i="22"/>
  <c r="E8" i="22"/>
  <c r="F8" i="22"/>
  <c r="G8" i="22"/>
  <c r="H8" i="22"/>
  <c r="I8" i="22"/>
  <c r="J8" i="22"/>
  <c r="K8" i="22"/>
  <c r="L8" i="22"/>
  <c r="M8" i="22"/>
  <c r="N8" i="22"/>
  <c r="O8" i="22"/>
  <c r="P8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D11" i="22"/>
  <c r="E11" i="22"/>
  <c r="F11" i="22"/>
  <c r="G11" i="22"/>
  <c r="H11" i="22"/>
  <c r="I11" i="22"/>
  <c r="J11" i="22"/>
  <c r="K11" i="22"/>
  <c r="L11" i="22"/>
  <c r="M11" i="22"/>
  <c r="N11" i="22"/>
  <c r="O11" i="22"/>
  <c r="P11" i="22"/>
  <c r="D12" i="22"/>
  <c r="E12" i="22"/>
  <c r="F12" i="22"/>
  <c r="G12" i="22"/>
  <c r="H12" i="22"/>
  <c r="I12" i="22"/>
  <c r="J12" i="22"/>
  <c r="K12" i="22"/>
  <c r="L12" i="22"/>
  <c r="M12" i="22"/>
  <c r="N12" i="22"/>
  <c r="O12" i="22"/>
  <c r="P12" i="22"/>
  <c r="D13" i="22"/>
  <c r="E13" i="22"/>
  <c r="F13" i="22"/>
  <c r="G13" i="22"/>
  <c r="H13" i="22"/>
  <c r="I13" i="22"/>
  <c r="J13" i="22"/>
  <c r="K13" i="22"/>
  <c r="L13" i="22"/>
  <c r="M13" i="22"/>
  <c r="N13" i="22"/>
  <c r="O13" i="22"/>
  <c r="P13" i="22"/>
  <c r="D14" i="22"/>
  <c r="E14" i="22"/>
  <c r="F14" i="22"/>
  <c r="G14" i="22"/>
  <c r="H14" i="22"/>
  <c r="I14" i="22"/>
  <c r="J14" i="22"/>
  <c r="K14" i="22"/>
  <c r="L14" i="22"/>
  <c r="M14" i="22"/>
  <c r="N14" i="22"/>
  <c r="O14" i="22"/>
  <c r="P14" i="22"/>
  <c r="D17" i="22"/>
  <c r="E17" i="22"/>
  <c r="F17" i="22"/>
  <c r="G17" i="22"/>
  <c r="H17" i="22"/>
  <c r="I17" i="22"/>
  <c r="J17" i="22"/>
  <c r="K17" i="22"/>
  <c r="L17" i="22"/>
  <c r="M17" i="22"/>
  <c r="N17" i="22"/>
  <c r="O17" i="22"/>
  <c r="P17" i="22"/>
  <c r="C3" i="22"/>
  <c r="C4" i="22"/>
  <c r="C8" i="22"/>
  <c r="C10" i="22"/>
  <c r="C11" i="22"/>
  <c r="C12" i="22"/>
  <c r="C13" i="22"/>
  <c r="C14" i="22"/>
  <c r="C17" i="22"/>
  <c r="C2" i="22"/>
  <c r="D72" i="29"/>
  <c r="E72" i="29"/>
  <c r="D73" i="29"/>
  <c r="E73" i="29"/>
  <c r="D77" i="29"/>
  <c r="E77" i="29"/>
  <c r="F77" i="29"/>
  <c r="G77" i="29"/>
  <c r="H77" i="29"/>
  <c r="I77" i="29"/>
  <c r="J77" i="29"/>
  <c r="K77" i="29"/>
  <c r="L77" i="29"/>
  <c r="M77" i="29"/>
  <c r="N77" i="29"/>
  <c r="O77" i="29"/>
  <c r="P77" i="29"/>
  <c r="Q77" i="29"/>
  <c r="D79" i="29"/>
  <c r="E79" i="29"/>
  <c r="F79" i="29"/>
  <c r="G79" i="29"/>
  <c r="H79" i="29"/>
  <c r="I79" i="29"/>
  <c r="J79" i="29"/>
  <c r="K79" i="29"/>
  <c r="L79" i="29"/>
  <c r="M79" i="29"/>
  <c r="N79" i="29"/>
  <c r="O79" i="29"/>
  <c r="P79" i="29"/>
  <c r="Q79" i="29"/>
  <c r="D80" i="29"/>
  <c r="E80" i="29"/>
  <c r="F80" i="29"/>
  <c r="G80" i="29"/>
  <c r="H80" i="29"/>
  <c r="I80" i="29"/>
  <c r="J80" i="29"/>
  <c r="K80" i="29"/>
  <c r="L80" i="29"/>
  <c r="M80" i="29"/>
  <c r="N80" i="29"/>
  <c r="O80" i="29"/>
  <c r="P80" i="29"/>
  <c r="Q80" i="29"/>
  <c r="D81" i="29"/>
  <c r="E81" i="29"/>
  <c r="F81" i="29"/>
  <c r="G81" i="29"/>
  <c r="H81" i="29"/>
  <c r="I81" i="29"/>
  <c r="J81" i="29"/>
  <c r="K81" i="29"/>
  <c r="L81" i="29"/>
  <c r="M81" i="29"/>
  <c r="N81" i="29"/>
  <c r="O81" i="29"/>
  <c r="P81" i="29"/>
  <c r="Q81" i="29"/>
  <c r="D82" i="29"/>
  <c r="E82" i="29"/>
  <c r="F82" i="29"/>
  <c r="G82" i="29"/>
  <c r="H82" i="29"/>
  <c r="I82" i="29"/>
  <c r="J82" i="29"/>
  <c r="K82" i="29"/>
  <c r="L82" i="29"/>
  <c r="M82" i="29"/>
  <c r="N82" i="29"/>
  <c r="O82" i="29"/>
  <c r="P82" i="29"/>
  <c r="Q82" i="29"/>
  <c r="D83" i="29"/>
  <c r="E83" i="29"/>
  <c r="F83" i="29"/>
  <c r="G83" i="29"/>
  <c r="H83" i="29"/>
  <c r="I83" i="29"/>
  <c r="J83" i="29"/>
  <c r="K83" i="29"/>
  <c r="L83" i="29"/>
  <c r="M83" i="29"/>
  <c r="N83" i="29"/>
  <c r="O83" i="29"/>
  <c r="P83" i="29"/>
  <c r="Q83" i="29"/>
  <c r="D86" i="29"/>
  <c r="E86" i="29"/>
  <c r="F86" i="29"/>
  <c r="G86" i="29"/>
  <c r="H86" i="29"/>
  <c r="I86" i="29"/>
  <c r="J86" i="29"/>
  <c r="K86" i="29"/>
  <c r="L86" i="29"/>
  <c r="M86" i="29"/>
  <c r="N86" i="29"/>
  <c r="O86" i="29"/>
  <c r="P86" i="29"/>
  <c r="Q86" i="29"/>
  <c r="E71" i="29"/>
  <c r="D71" i="29"/>
  <c r="E51" i="29"/>
  <c r="E52" i="29"/>
  <c r="E53" i="29"/>
  <c r="E54" i="29"/>
  <c r="E74" i="29" s="1"/>
  <c r="D5" i="22" s="1"/>
  <c r="I55" i="29"/>
  <c r="I75" i="29" s="1"/>
  <c r="H6" i="22" s="1"/>
  <c r="E57" i="29"/>
  <c r="F57" i="29"/>
  <c r="G57" i="29"/>
  <c r="H57" i="29"/>
  <c r="I57" i="29"/>
  <c r="J57" i="29"/>
  <c r="K57" i="29"/>
  <c r="L57" i="29"/>
  <c r="M57" i="29"/>
  <c r="N57" i="29"/>
  <c r="O57" i="29"/>
  <c r="P57" i="29"/>
  <c r="Q57" i="29"/>
  <c r="E59" i="29"/>
  <c r="F59" i="29"/>
  <c r="G59" i="29"/>
  <c r="H59" i="29"/>
  <c r="I59" i="29"/>
  <c r="J59" i="29"/>
  <c r="K59" i="29"/>
  <c r="L59" i="29"/>
  <c r="M59" i="29"/>
  <c r="N59" i="29"/>
  <c r="O59" i="29"/>
  <c r="P59" i="29"/>
  <c r="Q59" i="29"/>
  <c r="E60" i="29"/>
  <c r="F60" i="29"/>
  <c r="G60" i="29"/>
  <c r="H60" i="29"/>
  <c r="I60" i="29"/>
  <c r="J60" i="29"/>
  <c r="K60" i="29"/>
  <c r="L60" i="29"/>
  <c r="M60" i="29"/>
  <c r="N60" i="29"/>
  <c r="O60" i="29"/>
  <c r="P60" i="29"/>
  <c r="Q60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D52" i="29"/>
  <c r="D53" i="29"/>
  <c r="D55" i="29"/>
  <c r="D75" i="29" s="1"/>
  <c r="C6" i="22" s="1"/>
  <c r="D57" i="29"/>
  <c r="D59" i="29"/>
  <c r="D60" i="29"/>
  <c r="D61" i="29"/>
  <c r="D62" i="29"/>
  <c r="D63" i="29"/>
  <c r="D66" i="29"/>
  <c r="D51" i="29"/>
  <c r="B3" i="22"/>
  <c r="B4" i="22"/>
  <c r="B5" i="22"/>
  <c r="B6" i="22"/>
  <c r="B7" i="22"/>
  <c r="B8" i="22"/>
  <c r="B9" i="22"/>
  <c r="B10" i="22"/>
  <c r="B11" i="22"/>
  <c r="B12" i="22"/>
  <c r="B13" i="22"/>
  <c r="B14" i="22"/>
  <c r="B16" i="22"/>
  <c r="B17" i="22"/>
  <c r="B2" i="22"/>
  <c r="D41" i="29"/>
  <c r="E41" i="29"/>
  <c r="F41" i="29"/>
  <c r="G41" i="29"/>
  <c r="H41" i="29"/>
  <c r="I41" i="29"/>
  <c r="J41" i="29"/>
  <c r="K41" i="29"/>
  <c r="L41" i="29"/>
  <c r="M41" i="29"/>
  <c r="N41" i="29"/>
  <c r="O41" i="29"/>
  <c r="P41" i="29"/>
  <c r="Q41" i="29"/>
  <c r="C46" i="29"/>
  <c r="C41" i="29"/>
  <c r="W30" i="28"/>
  <c r="W16" i="29"/>
  <c r="X16" i="29"/>
  <c r="Y16" i="29"/>
  <c r="Z16" i="29"/>
  <c r="AA16" i="29" s="1"/>
  <c r="AB16" i="29" s="1"/>
  <c r="AC16" i="29" s="1"/>
  <c r="AD16" i="29" s="1"/>
  <c r="AE16" i="29" s="1"/>
  <c r="AF16" i="29" s="1"/>
  <c r="AG16" i="29" s="1"/>
  <c r="AH16" i="29" s="1"/>
  <c r="AI16" i="29" s="1"/>
  <c r="V17" i="29"/>
  <c r="D45" i="29" s="1"/>
  <c r="D64" i="29" s="1"/>
  <c r="D84" i="29" s="1"/>
  <c r="C15" i="22" s="1"/>
  <c r="C70" i="22" s="1"/>
  <c r="V16" i="29"/>
  <c r="U18" i="29"/>
  <c r="U17" i="29"/>
  <c r="C45" i="29" s="1"/>
  <c r="U16" i="29"/>
  <c r="S22" i="28"/>
  <c r="S27" i="28"/>
  <c r="R27" i="28"/>
  <c r="U27" i="28" s="1"/>
  <c r="W27" i="28" s="1"/>
  <c r="R22" i="28"/>
  <c r="O13" i="28"/>
  <c r="O17" i="28" s="1"/>
  <c r="N13" i="28"/>
  <c r="N17" i="28" s="1"/>
  <c r="O14" i="28"/>
  <c r="O18" i="28" s="1"/>
  <c r="N14" i="28"/>
  <c r="N18" i="28" s="1"/>
  <c r="L12" i="29"/>
  <c r="D38" i="29"/>
  <c r="E38" i="29"/>
  <c r="F38" i="29"/>
  <c r="G38" i="29"/>
  <c r="H38" i="29"/>
  <c r="I38" i="29"/>
  <c r="J38" i="29"/>
  <c r="K38" i="29"/>
  <c r="L38" i="29"/>
  <c r="M38" i="29"/>
  <c r="N38" i="29"/>
  <c r="O38" i="29"/>
  <c r="P38" i="29"/>
  <c r="Q38" i="29"/>
  <c r="D39" i="29"/>
  <c r="D58" i="29" s="1"/>
  <c r="D78" i="29" s="1"/>
  <c r="C9" i="22" s="1"/>
  <c r="C64" i="22" s="1"/>
  <c r="E39" i="29"/>
  <c r="E58" i="29" s="1"/>
  <c r="E78" i="29" s="1"/>
  <c r="D9" i="22" s="1"/>
  <c r="D64" i="22" s="1"/>
  <c r="F39" i="29"/>
  <c r="F58" i="29" s="1"/>
  <c r="F78" i="29" s="1"/>
  <c r="E9" i="22" s="1"/>
  <c r="E64" i="22" s="1"/>
  <c r="G39" i="29"/>
  <c r="H39" i="29"/>
  <c r="I39" i="29"/>
  <c r="J39" i="29"/>
  <c r="J58" i="29" s="1"/>
  <c r="J78" i="29" s="1"/>
  <c r="I9" i="22" s="1"/>
  <c r="I64" i="22" s="1"/>
  <c r="K39" i="29"/>
  <c r="K58" i="29" s="1"/>
  <c r="K78" i="29" s="1"/>
  <c r="J9" i="22" s="1"/>
  <c r="J64" i="22" s="1"/>
  <c r="L39" i="29"/>
  <c r="M39" i="29"/>
  <c r="N39" i="29"/>
  <c r="O39" i="29"/>
  <c r="O58" i="29" s="1"/>
  <c r="O78" i="29" s="1"/>
  <c r="N9" i="22" s="1"/>
  <c r="N64" i="22" s="1"/>
  <c r="P39" i="29"/>
  <c r="Q39" i="29"/>
  <c r="D34" i="29"/>
  <c r="E34" i="29"/>
  <c r="F34" i="29"/>
  <c r="F53" i="29" s="1"/>
  <c r="F73" i="29" s="1"/>
  <c r="E4" i="22" s="1"/>
  <c r="E59" i="22" s="1"/>
  <c r="G34" i="29"/>
  <c r="H34" i="29"/>
  <c r="H53" i="29" s="1"/>
  <c r="H73" i="29" s="1"/>
  <c r="G4" i="22" s="1"/>
  <c r="I34" i="29"/>
  <c r="J34" i="29"/>
  <c r="K34" i="29"/>
  <c r="K53" i="29" s="1"/>
  <c r="K73" i="29" s="1"/>
  <c r="J4" i="22" s="1"/>
  <c r="L34" i="29"/>
  <c r="M34" i="29"/>
  <c r="N34" i="29"/>
  <c r="O34" i="29"/>
  <c r="P34" i="29"/>
  <c r="P53" i="29" s="1"/>
  <c r="P73" i="29" s="1"/>
  <c r="O4" i="22" s="1"/>
  <c r="O59" i="22" s="1"/>
  <c r="Q34" i="29"/>
  <c r="D35" i="29"/>
  <c r="E35" i="29"/>
  <c r="F54" i="29" s="1"/>
  <c r="F74" i="29" s="1"/>
  <c r="E5" i="22" s="1"/>
  <c r="G35" i="29"/>
  <c r="G54" i="29" s="1"/>
  <c r="G74" i="29" s="1"/>
  <c r="F5" i="22" s="1"/>
  <c r="H35" i="29"/>
  <c r="I35" i="29"/>
  <c r="I54" i="29" s="1"/>
  <c r="I74" i="29" s="1"/>
  <c r="H5" i="22" s="1"/>
  <c r="H60" i="22" s="1"/>
  <c r="J35" i="29"/>
  <c r="K35" i="29"/>
  <c r="K54" i="29" s="1"/>
  <c r="K74" i="29" s="1"/>
  <c r="J5" i="22" s="1"/>
  <c r="J60" i="22" s="1"/>
  <c r="L35" i="29"/>
  <c r="M35" i="29"/>
  <c r="N35" i="29"/>
  <c r="N54" i="29" s="1"/>
  <c r="N74" i="29" s="1"/>
  <c r="M5" i="22" s="1"/>
  <c r="M60" i="22" s="1"/>
  <c r="O35" i="29"/>
  <c r="O54" i="29" s="1"/>
  <c r="O74" i="29" s="1"/>
  <c r="N5" i="22" s="1"/>
  <c r="N60" i="22" s="1"/>
  <c r="P35" i="29"/>
  <c r="Q35" i="29"/>
  <c r="Q54" i="29" s="1"/>
  <c r="Q74" i="29" s="1"/>
  <c r="P5" i="22" s="1"/>
  <c r="P60" i="22" s="1"/>
  <c r="D36" i="29"/>
  <c r="E36" i="29"/>
  <c r="F36" i="29"/>
  <c r="G36" i="29"/>
  <c r="H36" i="29"/>
  <c r="I36" i="29"/>
  <c r="J36" i="29"/>
  <c r="K36" i="29"/>
  <c r="K55" i="29" s="1"/>
  <c r="K75" i="29" s="1"/>
  <c r="J6" i="22" s="1"/>
  <c r="L36" i="29"/>
  <c r="M36" i="29"/>
  <c r="M55" i="29" s="1"/>
  <c r="M75" i="29" s="1"/>
  <c r="L6" i="22" s="1"/>
  <c r="N36" i="29"/>
  <c r="N55" i="29" s="1"/>
  <c r="N75" i="29" s="1"/>
  <c r="M6" i="22" s="1"/>
  <c r="O36" i="29"/>
  <c r="P36" i="29"/>
  <c r="Q36" i="29"/>
  <c r="Q55" i="29" s="1"/>
  <c r="Q75" i="29" s="1"/>
  <c r="P6" i="22" s="1"/>
  <c r="D37" i="29"/>
  <c r="E37" i="29"/>
  <c r="E56" i="29" s="1"/>
  <c r="E76" i="29" s="1"/>
  <c r="D7" i="22" s="1"/>
  <c r="D62" i="22" s="1"/>
  <c r="F37" i="29"/>
  <c r="F56" i="29" s="1"/>
  <c r="F76" i="29" s="1"/>
  <c r="E7" i="22" s="1"/>
  <c r="E62" i="22" s="1"/>
  <c r="G37" i="29"/>
  <c r="H37" i="29"/>
  <c r="I37" i="29"/>
  <c r="J37" i="29"/>
  <c r="K37" i="29"/>
  <c r="K56" i="29" s="1"/>
  <c r="K76" i="29" s="1"/>
  <c r="J7" i="22" s="1"/>
  <c r="J62" i="22" s="1"/>
  <c r="L37" i="29"/>
  <c r="M37" i="29"/>
  <c r="M56" i="29" s="1"/>
  <c r="M76" i="29" s="1"/>
  <c r="L7" i="22" s="1"/>
  <c r="L62" i="22" s="1"/>
  <c r="N37" i="29"/>
  <c r="O37" i="29"/>
  <c r="O56" i="29" s="1"/>
  <c r="O76" i="29" s="1"/>
  <c r="N7" i="22" s="1"/>
  <c r="N62" i="22" s="1"/>
  <c r="P37" i="29"/>
  <c r="Q37" i="29"/>
  <c r="D33" i="29"/>
  <c r="E33" i="29"/>
  <c r="F33" i="29"/>
  <c r="F52" i="29" s="1"/>
  <c r="F72" i="29" s="1"/>
  <c r="E3" i="22" s="1"/>
  <c r="E58" i="22" s="1"/>
  <c r="G33" i="29"/>
  <c r="H33" i="29"/>
  <c r="H52" i="29" s="1"/>
  <c r="H72" i="29" s="1"/>
  <c r="G3" i="22" s="1"/>
  <c r="G58" i="22" s="1"/>
  <c r="I33" i="29"/>
  <c r="I52" i="29" s="1"/>
  <c r="I72" i="29" s="1"/>
  <c r="H3" i="22" s="1"/>
  <c r="H58" i="22" s="1"/>
  <c r="J33" i="29"/>
  <c r="K33" i="29"/>
  <c r="K52" i="29" s="1"/>
  <c r="K72" i="29" s="1"/>
  <c r="J3" i="22" s="1"/>
  <c r="J58" i="22" s="1"/>
  <c r="L33" i="29"/>
  <c r="M33" i="29"/>
  <c r="M52" i="29" s="1"/>
  <c r="M72" i="29" s="1"/>
  <c r="L3" i="22" s="1"/>
  <c r="L58" i="22" s="1"/>
  <c r="N33" i="29"/>
  <c r="N52" i="29" s="1"/>
  <c r="N72" i="29" s="1"/>
  <c r="M3" i="22" s="1"/>
  <c r="M58" i="22" s="1"/>
  <c r="O33" i="29"/>
  <c r="O52" i="29" s="1"/>
  <c r="O72" i="29" s="1"/>
  <c r="N3" i="22" s="1"/>
  <c r="N58" i="22" s="1"/>
  <c r="P33" i="29"/>
  <c r="P52" i="29" s="1"/>
  <c r="P72" i="29" s="1"/>
  <c r="O3" i="22" s="1"/>
  <c r="O58" i="22" s="1"/>
  <c r="Q33" i="29"/>
  <c r="Q52" i="29" s="1"/>
  <c r="Q72" i="29" s="1"/>
  <c r="P3" i="22" s="1"/>
  <c r="P58" i="22" s="1"/>
  <c r="D40" i="29"/>
  <c r="E40" i="29"/>
  <c r="F40" i="29"/>
  <c r="G40" i="29"/>
  <c r="H40" i="29"/>
  <c r="I40" i="29"/>
  <c r="J40" i="29"/>
  <c r="K40" i="29"/>
  <c r="L40" i="29"/>
  <c r="M40" i="29"/>
  <c r="N40" i="29"/>
  <c r="O40" i="29"/>
  <c r="P40" i="29"/>
  <c r="Q40" i="29"/>
  <c r="D42" i="29"/>
  <c r="E42" i="29"/>
  <c r="F42" i="29"/>
  <c r="G42" i="29"/>
  <c r="H42" i="29"/>
  <c r="I42" i="29"/>
  <c r="J42" i="29"/>
  <c r="K42" i="29"/>
  <c r="L42" i="29"/>
  <c r="M42" i="29"/>
  <c r="N42" i="29"/>
  <c r="O42" i="29"/>
  <c r="P42" i="29"/>
  <c r="Q42" i="29"/>
  <c r="D43" i="29"/>
  <c r="E43" i="29"/>
  <c r="F43" i="29"/>
  <c r="G43" i="29"/>
  <c r="H43" i="29"/>
  <c r="I43" i="29"/>
  <c r="J43" i="29"/>
  <c r="K43" i="29"/>
  <c r="L43" i="29"/>
  <c r="M43" i="29"/>
  <c r="N43" i="29"/>
  <c r="O43" i="29"/>
  <c r="P43" i="29"/>
  <c r="Q43" i="29"/>
  <c r="D44" i="29"/>
  <c r="E44" i="29"/>
  <c r="F44" i="29"/>
  <c r="G44" i="29"/>
  <c r="H44" i="29"/>
  <c r="I44" i="29"/>
  <c r="J44" i="29"/>
  <c r="K44" i="29"/>
  <c r="L44" i="29"/>
  <c r="M44" i="29"/>
  <c r="N44" i="29"/>
  <c r="O44" i="29"/>
  <c r="P44" i="29"/>
  <c r="Q44" i="29"/>
  <c r="D47" i="29"/>
  <c r="E47" i="29"/>
  <c r="F47" i="29"/>
  <c r="G47" i="29"/>
  <c r="H47" i="29"/>
  <c r="I47" i="29"/>
  <c r="J47" i="29"/>
  <c r="K47" i="29"/>
  <c r="L47" i="29"/>
  <c r="M47" i="29"/>
  <c r="N47" i="29"/>
  <c r="O47" i="29"/>
  <c r="P47" i="29"/>
  <c r="Q47" i="29"/>
  <c r="C47" i="29"/>
  <c r="C44" i="29"/>
  <c r="C43" i="29"/>
  <c r="C42" i="29"/>
  <c r="C40" i="29"/>
  <c r="C39" i="29"/>
  <c r="C38" i="29"/>
  <c r="C37" i="29"/>
  <c r="C36" i="29"/>
  <c r="C35" i="29"/>
  <c r="C33" i="29"/>
  <c r="C34" i="29"/>
  <c r="D32" i="29"/>
  <c r="E32" i="29"/>
  <c r="F32" i="29"/>
  <c r="F51" i="29" s="1"/>
  <c r="F71" i="29" s="1"/>
  <c r="E2" i="22" s="1"/>
  <c r="E57" i="22" s="1"/>
  <c r="G32" i="29"/>
  <c r="G51" i="29" s="1"/>
  <c r="G71" i="29" s="1"/>
  <c r="F2" i="22" s="1"/>
  <c r="F57" i="22" s="1"/>
  <c r="H32" i="29"/>
  <c r="H51" i="29" s="1"/>
  <c r="H71" i="29" s="1"/>
  <c r="G2" i="22" s="1"/>
  <c r="I32" i="29"/>
  <c r="J32" i="29"/>
  <c r="K32" i="29"/>
  <c r="K51" i="29" s="1"/>
  <c r="K71" i="29" s="1"/>
  <c r="J2" i="22" s="1"/>
  <c r="L32" i="29"/>
  <c r="M32" i="29"/>
  <c r="N32" i="29"/>
  <c r="N51" i="29" s="1"/>
  <c r="N71" i="29" s="1"/>
  <c r="M2" i="22" s="1"/>
  <c r="O32" i="29"/>
  <c r="O51" i="29" s="1"/>
  <c r="O71" i="29" s="1"/>
  <c r="N2" i="22" s="1"/>
  <c r="P32" i="29"/>
  <c r="P51" i="29" s="1"/>
  <c r="P71" i="29" s="1"/>
  <c r="O2" i="22" s="1"/>
  <c r="O57" i="22" s="1"/>
  <c r="Q32" i="29"/>
  <c r="C32" i="29"/>
  <c r="S18" i="28"/>
  <c r="R18" i="28"/>
  <c r="U21" i="28"/>
  <c r="W21" i="28" s="1"/>
  <c r="S23" i="28"/>
  <c r="S24" i="28"/>
  <c r="S25" i="28"/>
  <c r="S28" i="28"/>
  <c r="U28" i="28" s="1"/>
  <c r="W28" i="28" s="1"/>
  <c r="S20" i="28"/>
  <c r="U20" i="28" s="1"/>
  <c r="W20" i="28" s="1"/>
  <c r="S17" i="28"/>
  <c r="S16" i="28"/>
  <c r="U16" i="28" s="1"/>
  <c r="W16" i="28" s="1"/>
  <c r="S15" i="28"/>
  <c r="S14" i="28"/>
  <c r="S13" i="28"/>
  <c r="R20" i="28"/>
  <c r="R28" i="28"/>
  <c r="R24" i="28"/>
  <c r="R25" i="28"/>
  <c r="R23" i="28"/>
  <c r="R17" i="28"/>
  <c r="R16" i="28"/>
  <c r="R15" i="28"/>
  <c r="R14" i="28"/>
  <c r="R13" i="28"/>
  <c r="P11" i="37" l="1"/>
  <c r="AD9" i="22" s="1"/>
  <c r="AD64" i="22" s="1"/>
  <c r="AC10" i="2" s="1"/>
  <c r="M13" i="37"/>
  <c r="AA11" i="22" s="1"/>
  <c r="O18" i="37"/>
  <c r="AC16" i="22" s="1"/>
  <c r="AC71" i="22" s="1"/>
  <c r="AB17" i="2" s="1"/>
  <c r="D18" i="37"/>
  <c r="R16" i="22" s="1"/>
  <c r="R71" i="22" s="1"/>
  <c r="Q17" i="2" s="1"/>
  <c r="M58" i="29"/>
  <c r="M78" i="29" s="1"/>
  <c r="L9" i="22" s="1"/>
  <c r="L64" i="22" s="1"/>
  <c r="D56" i="29"/>
  <c r="D76" i="29" s="1"/>
  <c r="C7" i="22" s="1"/>
  <c r="C62" i="22" s="1"/>
  <c r="D54" i="29"/>
  <c r="D74" i="29" s="1"/>
  <c r="C5" i="22" s="1"/>
  <c r="C60" i="22" s="1"/>
  <c r="E55" i="29"/>
  <c r="E75" i="29" s="1"/>
  <c r="D6" i="22" s="1"/>
  <c r="F55" i="29"/>
  <c r="F75" i="29" s="1"/>
  <c r="E6" i="22" s="1"/>
  <c r="G56" i="29"/>
  <c r="G76" i="29" s="1"/>
  <c r="F7" i="22" s="1"/>
  <c r="F62" i="22" s="1"/>
  <c r="G58" i="29"/>
  <c r="G78" i="29" s="1"/>
  <c r="F9" i="22" s="1"/>
  <c r="N18" i="37"/>
  <c r="AB16" i="22" s="1"/>
  <c r="AB71" i="22" s="1"/>
  <c r="AA17" i="2" s="1"/>
  <c r="H18" i="37"/>
  <c r="V16" i="22" s="1"/>
  <c r="V71" i="22" s="1"/>
  <c r="U17" i="2" s="1"/>
  <c r="E11" i="37"/>
  <c r="S9" i="22" s="1"/>
  <c r="K13" i="37"/>
  <c r="Y11" i="22" s="1"/>
  <c r="I11" i="37"/>
  <c r="W9" i="22" s="1"/>
  <c r="W64" i="22" s="1"/>
  <c r="V10" i="2" s="1"/>
  <c r="N13" i="37"/>
  <c r="AB11" i="22" s="1"/>
  <c r="I18" i="37"/>
  <c r="W16" i="22" s="1"/>
  <c r="W71" i="22" s="1"/>
  <c r="V17" i="2" s="1"/>
  <c r="R13" i="37"/>
  <c r="AF11" i="22" s="1"/>
  <c r="AF66" i="22" s="1"/>
  <c r="F13" i="37"/>
  <c r="T11" i="22" s="1"/>
  <c r="N11" i="37"/>
  <c r="AB9" i="22" s="1"/>
  <c r="AB64" i="22" s="1"/>
  <c r="AA10" i="2" s="1"/>
  <c r="G11" i="37"/>
  <c r="U9" i="22" s="1"/>
  <c r="U64" i="22" s="1"/>
  <c r="T10" i="2" s="1"/>
  <c r="J13" i="37"/>
  <c r="X11" i="22" s="1"/>
  <c r="E13" i="37"/>
  <c r="S11" i="22" s="1"/>
  <c r="R18" i="37"/>
  <c r="AF16" i="22" s="1"/>
  <c r="AF71" i="22" s="1"/>
  <c r="M18" i="37"/>
  <c r="AA16" i="22" s="1"/>
  <c r="AA71" i="22" s="1"/>
  <c r="Z17" i="2" s="1"/>
  <c r="Q13" i="37"/>
  <c r="AE11" i="22" s="1"/>
  <c r="AE66" i="22" s="1"/>
  <c r="M11" i="37"/>
  <c r="AA9" i="22" s="1"/>
  <c r="AA64" i="22" s="1"/>
  <c r="Z10" i="2" s="1"/>
  <c r="R11" i="37"/>
  <c r="AF9" i="22" s="1"/>
  <c r="AF64" i="22" s="1"/>
  <c r="I13" i="37"/>
  <c r="W11" i="22" s="1"/>
  <c r="P13" i="37"/>
  <c r="AD11" i="22" s="1"/>
  <c r="AD66" i="22" s="1"/>
  <c r="AC12" i="2" s="1"/>
  <c r="F18" i="37"/>
  <c r="T16" i="22" s="1"/>
  <c r="T71" i="22" s="1"/>
  <c r="S17" i="2" s="1"/>
  <c r="L18" i="37"/>
  <c r="Z16" i="22" s="1"/>
  <c r="Z71" i="22" s="1"/>
  <c r="Y17" i="2" s="1"/>
  <c r="H11" i="37"/>
  <c r="V9" i="22" s="1"/>
  <c r="V64" i="22" s="1"/>
  <c r="U10" i="2" s="1"/>
  <c r="D11" i="37"/>
  <c r="R9" i="22" s="1"/>
  <c r="C11" i="37"/>
  <c r="Q9" i="22" s="1"/>
  <c r="Q64" i="22" s="1"/>
  <c r="P10" i="2" s="1"/>
  <c r="L11" i="37"/>
  <c r="Z9" i="22" s="1"/>
  <c r="Z64" i="22" s="1"/>
  <c r="Y10" i="2" s="1"/>
  <c r="F11" i="37"/>
  <c r="T9" i="22" s="1"/>
  <c r="T64" i="22" s="1"/>
  <c r="S10" i="2" s="1"/>
  <c r="H13" i="37"/>
  <c r="V11" i="22" s="1"/>
  <c r="D13" i="37"/>
  <c r="R11" i="22" s="1"/>
  <c r="Q18" i="37"/>
  <c r="AE16" i="22" s="1"/>
  <c r="AE71" i="22" s="1"/>
  <c r="K18" i="37"/>
  <c r="Y16" i="22" s="1"/>
  <c r="Y71" i="22" s="1"/>
  <c r="X17" i="2" s="1"/>
  <c r="L13" i="37"/>
  <c r="Z11" i="22" s="1"/>
  <c r="Z66" i="22" s="1"/>
  <c r="Y12" i="2" s="1"/>
  <c r="K11" i="37"/>
  <c r="Y9" i="22" s="1"/>
  <c r="Y64" i="22" s="1"/>
  <c r="X10" i="2" s="1"/>
  <c r="Q11" i="37"/>
  <c r="AE9" i="22" s="1"/>
  <c r="AE64" i="22" s="1"/>
  <c r="C13" i="37"/>
  <c r="Q11" i="22" s="1"/>
  <c r="O13" i="37"/>
  <c r="AC11" i="22" s="1"/>
  <c r="AC66" i="22" s="1"/>
  <c r="AB12" i="2" s="1"/>
  <c r="E18" i="37"/>
  <c r="S16" i="22" s="1"/>
  <c r="S71" i="22" s="1"/>
  <c r="R17" i="2" s="1"/>
  <c r="J18" i="37"/>
  <c r="X16" i="22" s="1"/>
  <c r="X71" i="22" s="1"/>
  <c r="W17" i="2" s="1"/>
  <c r="O11" i="37"/>
  <c r="AC9" i="22" s="1"/>
  <c r="AC64" i="22" s="1"/>
  <c r="AB10" i="2" s="1"/>
  <c r="J11" i="37"/>
  <c r="X9" i="22" s="1"/>
  <c r="X64" i="22" s="1"/>
  <c r="W10" i="2" s="1"/>
  <c r="G13" i="37"/>
  <c r="U11" i="22" s="1"/>
  <c r="P18" i="37"/>
  <c r="AD16" i="22" s="1"/>
  <c r="AD71" i="22" s="1"/>
  <c r="AC17" i="2" s="1"/>
  <c r="Q56" i="29"/>
  <c r="Q76" i="29" s="1"/>
  <c r="P7" i="22" s="1"/>
  <c r="P62" i="22" s="1"/>
  <c r="I56" i="29"/>
  <c r="I76" i="29" s="1"/>
  <c r="H7" i="22" s="1"/>
  <c r="H62" i="22" s="1"/>
  <c r="O55" i="29"/>
  <c r="O75" i="29" s="1"/>
  <c r="N6" i="22" s="1"/>
  <c r="G55" i="29"/>
  <c r="M54" i="29"/>
  <c r="M74" i="29" s="1"/>
  <c r="L5" i="22" s="1"/>
  <c r="L60" i="22" s="1"/>
  <c r="Q58" i="29"/>
  <c r="Q78" i="29" s="1"/>
  <c r="P9" i="22" s="1"/>
  <c r="P64" i="22" s="1"/>
  <c r="I58" i="29"/>
  <c r="I78" i="29" s="1"/>
  <c r="H9" i="22" s="1"/>
  <c r="G52" i="29"/>
  <c r="G72" i="29" s="1"/>
  <c r="F3" i="22" s="1"/>
  <c r="F58" i="22" s="1"/>
  <c r="L51" i="29"/>
  <c r="L71" i="29" s="1"/>
  <c r="K2" i="22" s="1"/>
  <c r="L52" i="29"/>
  <c r="L72" i="29" s="1"/>
  <c r="K3" i="22" s="1"/>
  <c r="K58" i="22" s="1"/>
  <c r="L53" i="29"/>
  <c r="L73" i="29" s="1"/>
  <c r="K4" i="22" s="1"/>
  <c r="J51" i="29"/>
  <c r="J71" i="29" s="1"/>
  <c r="I2" i="22" s="1"/>
  <c r="J52" i="29"/>
  <c r="J72" i="29" s="1"/>
  <c r="I3" i="22" s="1"/>
  <c r="I58" i="22" s="1"/>
  <c r="J53" i="29"/>
  <c r="J73" i="29" s="1"/>
  <c r="I4" i="22" s="1"/>
  <c r="O53" i="29"/>
  <c r="O73" i="29" s="1"/>
  <c r="N4" i="22" s="1"/>
  <c r="N59" i="22" s="1"/>
  <c r="Q51" i="29"/>
  <c r="Q71" i="29" s="1"/>
  <c r="P2" i="22" s="1"/>
  <c r="M51" i="29"/>
  <c r="M71" i="29" s="1"/>
  <c r="L2" i="22" s="1"/>
  <c r="M53" i="29"/>
  <c r="M73" i="29" s="1"/>
  <c r="L4" i="22" s="1"/>
  <c r="L59" i="22" s="1"/>
  <c r="I51" i="29"/>
  <c r="I71" i="29" s="1"/>
  <c r="H2" i="22" s="1"/>
  <c r="Q53" i="29"/>
  <c r="Q73" i="29" s="1"/>
  <c r="P4" i="22" s="1"/>
  <c r="I53" i="29"/>
  <c r="I73" i="29" s="1"/>
  <c r="H4" i="22" s="1"/>
  <c r="G53" i="29"/>
  <c r="G73" i="29" s="1"/>
  <c r="F4" i="22" s="1"/>
  <c r="F59" i="22" s="1"/>
  <c r="N53" i="29"/>
  <c r="N73" i="29" s="1"/>
  <c r="M4" i="22" s="1"/>
  <c r="M59" i="22" s="1"/>
  <c r="N56" i="29"/>
  <c r="N76" i="29" s="1"/>
  <c r="M7" i="22" s="1"/>
  <c r="M62" i="22" s="1"/>
  <c r="L55" i="29"/>
  <c r="L75" i="29" s="1"/>
  <c r="K6" i="22" s="1"/>
  <c r="L56" i="29"/>
  <c r="L76" i="29" s="1"/>
  <c r="K7" i="22" s="1"/>
  <c r="K62" i="22" s="1"/>
  <c r="J55" i="29"/>
  <c r="J75" i="29" s="1"/>
  <c r="I6" i="22" s="1"/>
  <c r="P54" i="29"/>
  <c r="P74" i="29" s="1"/>
  <c r="O5" i="22" s="1"/>
  <c r="O60" i="22" s="1"/>
  <c r="H54" i="29"/>
  <c r="H74" i="29" s="1"/>
  <c r="G5" i="22" s="1"/>
  <c r="G60" i="22" s="1"/>
  <c r="L58" i="29"/>
  <c r="L78" i="29" s="1"/>
  <c r="K9" i="22" s="1"/>
  <c r="K64" i="22" s="1"/>
  <c r="J56" i="29"/>
  <c r="J76" i="29" s="1"/>
  <c r="I7" i="22" s="1"/>
  <c r="I62" i="22" s="1"/>
  <c r="P55" i="29"/>
  <c r="P75" i="29" s="1"/>
  <c r="O6" i="22" s="1"/>
  <c r="O61" i="22" s="1"/>
  <c r="H55" i="29"/>
  <c r="H75" i="29" s="1"/>
  <c r="G6" i="22" s="1"/>
  <c r="P56" i="29"/>
  <c r="P76" i="29" s="1"/>
  <c r="O7" i="22" s="1"/>
  <c r="O62" i="22" s="1"/>
  <c r="H56" i="29"/>
  <c r="H76" i="29" s="1"/>
  <c r="G7" i="22" s="1"/>
  <c r="G62" i="22" s="1"/>
  <c r="L54" i="29"/>
  <c r="L74" i="29" s="1"/>
  <c r="K5" i="22" s="1"/>
  <c r="K60" i="22" s="1"/>
  <c r="P58" i="29"/>
  <c r="P78" i="29" s="1"/>
  <c r="O9" i="22" s="1"/>
  <c r="O64" i="22" s="1"/>
  <c r="H58" i="29"/>
  <c r="H78" i="29" s="1"/>
  <c r="G9" i="22" s="1"/>
  <c r="N58" i="29"/>
  <c r="N78" i="29" s="1"/>
  <c r="M9" i="22" s="1"/>
  <c r="M64" i="22" s="1"/>
  <c r="J54" i="29"/>
  <c r="J74" i="29" s="1"/>
  <c r="I5" i="22" s="1"/>
  <c r="I60" i="22" s="1"/>
  <c r="W17" i="29"/>
  <c r="K4" i="37"/>
  <c r="Y2" i="22" s="1"/>
  <c r="G4" i="37"/>
  <c r="U2" i="22" s="1"/>
  <c r="R4" i="37"/>
  <c r="AF2" i="22" s="1"/>
  <c r="AF57" i="22" s="1"/>
  <c r="F4" i="37"/>
  <c r="T2" i="22" s="1"/>
  <c r="Q4" i="37"/>
  <c r="AE2" i="22" s="1"/>
  <c r="AE57" i="22" s="1"/>
  <c r="E4" i="37"/>
  <c r="S2" i="22" s="1"/>
  <c r="P4" i="37"/>
  <c r="AD2" i="22" s="1"/>
  <c r="D4" i="37"/>
  <c r="R2" i="22" s="1"/>
  <c r="O4" i="37"/>
  <c r="AC2" i="22" s="1"/>
  <c r="J4" i="37"/>
  <c r="X2" i="22" s="1"/>
  <c r="N4" i="37"/>
  <c r="AB2" i="22" s="1"/>
  <c r="I4" i="37"/>
  <c r="W2" i="22" s="1"/>
  <c r="W57" i="22" s="1"/>
  <c r="V2" i="2" s="1"/>
  <c r="M4" i="37"/>
  <c r="AA2" i="22" s="1"/>
  <c r="O6" i="37"/>
  <c r="AC4" i="22" s="1"/>
  <c r="AC59" i="22" s="1"/>
  <c r="AB5" i="2" s="1"/>
  <c r="D6" i="37"/>
  <c r="R4" i="22" s="1"/>
  <c r="R59" i="22" s="1"/>
  <c r="Q5" i="2" s="1"/>
  <c r="P6" i="37"/>
  <c r="AD4" i="22" s="1"/>
  <c r="AD59" i="22" s="1"/>
  <c r="AC5" i="2" s="1"/>
  <c r="E6" i="37"/>
  <c r="S4" i="22" s="1"/>
  <c r="S59" i="22" s="1"/>
  <c r="R5" i="2" s="1"/>
  <c r="Q6" i="37"/>
  <c r="AE4" i="22" s="1"/>
  <c r="F6" i="37"/>
  <c r="T4" i="22" s="1"/>
  <c r="T59" i="22" s="1"/>
  <c r="S5" i="2" s="1"/>
  <c r="R6" i="37"/>
  <c r="AF4" i="22" s="1"/>
  <c r="AF59" i="22" s="1"/>
  <c r="G6" i="37"/>
  <c r="U4" i="22" s="1"/>
  <c r="U59" i="22" s="1"/>
  <c r="T5" i="2" s="1"/>
  <c r="C6" i="37"/>
  <c r="Q4" i="22" s="1"/>
  <c r="H6" i="37"/>
  <c r="V4" i="22" s="1"/>
  <c r="V59" i="22" s="1"/>
  <c r="U5" i="2" s="1"/>
  <c r="I6" i="37"/>
  <c r="W4" i="22" s="1"/>
  <c r="J6" i="37"/>
  <c r="X4" i="22" s="1"/>
  <c r="K6" i="37"/>
  <c r="Y4" i="22" s="1"/>
  <c r="Y59" i="22" s="1"/>
  <c r="X5" i="2" s="1"/>
  <c r="L6" i="37"/>
  <c r="Z4" i="22" s="1"/>
  <c r="Z59" i="22" s="1"/>
  <c r="Y5" i="2" s="1"/>
  <c r="M6" i="37"/>
  <c r="AA4" i="22" s="1"/>
  <c r="N6" i="37"/>
  <c r="AB4" i="22" s="1"/>
  <c r="H4" i="37"/>
  <c r="V2" i="22" s="1"/>
  <c r="V57" i="22" s="1"/>
  <c r="U2" i="2" s="1"/>
  <c r="L4" i="37"/>
  <c r="Z2" i="22" s="1"/>
  <c r="C4" i="37"/>
  <c r="Q2" i="22" s="1"/>
  <c r="F5" i="37"/>
  <c r="T3" i="22" s="1"/>
  <c r="R5" i="37"/>
  <c r="AF3" i="22" s="1"/>
  <c r="O5" i="37"/>
  <c r="AC3" i="22" s="1"/>
  <c r="E5" i="37"/>
  <c r="S3" i="22" s="1"/>
  <c r="G5" i="37"/>
  <c r="U3" i="22" s="1"/>
  <c r="C5" i="37"/>
  <c r="Q3" i="22" s="1"/>
  <c r="P5" i="37"/>
  <c r="AD3" i="22" s="1"/>
  <c r="H5" i="37"/>
  <c r="V3" i="22" s="1"/>
  <c r="N5" i="37"/>
  <c r="AB3" i="22" s="1"/>
  <c r="Q5" i="37"/>
  <c r="AE3" i="22" s="1"/>
  <c r="I5" i="37"/>
  <c r="W3" i="22" s="1"/>
  <c r="J5" i="37"/>
  <c r="X3" i="22" s="1"/>
  <c r="K5" i="37"/>
  <c r="Y3" i="22" s="1"/>
  <c r="L5" i="37"/>
  <c r="Z3" i="22" s="1"/>
  <c r="M5" i="37"/>
  <c r="AA3" i="22" s="1"/>
  <c r="D5" i="37"/>
  <c r="R3" i="22" s="1"/>
  <c r="U23" i="28"/>
  <c r="W23" i="28" s="1"/>
  <c r="U26" i="28"/>
  <c r="W26" i="28" s="1"/>
  <c r="B15" i="22" s="1"/>
  <c r="U25" i="28"/>
  <c r="W25" i="28" s="1"/>
  <c r="U24" i="28"/>
  <c r="W24" i="28" s="1"/>
  <c r="U13" i="28"/>
  <c r="W13" i="28" s="1"/>
  <c r="U14" i="28"/>
  <c r="W14" i="28" s="1"/>
  <c r="U15" i="28"/>
  <c r="W15" i="28" s="1"/>
  <c r="U17" i="28"/>
  <c r="W17" i="28" s="1"/>
  <c r="N20" i="28"/>
  <c r="O20" i="28"/>
  <c r="U10" i="29"/>
  <c r="U11" i="29" s="1"/>
  <c r="V11" i="29" s="1"/>
  <c r="W11" i="29" s="1"/>
  <c r="X11" i="29" s="1"/>
  <c r="Y11" i="29" s="1"/>
  <c r="Z11" i="29" s="1"/>
  <c r="AA11" i="29" s="1"/>
  <c r="AB11" i="29" s="1"/>
  <c r="AC11" i="29" s="1"/>
  <c r="AD11" i="29" s="1"/>
  <c r="AE11" i="29" s="1"/>
  <c r="AF11" i="29" s="1"/>
  <c r="AG11" i="29" s="1"/>
  <c r="AH11" i="29" s="1"/>
  <c r="AI11" i="29" s="1"/>
  <c r="U22" i="28"/>
  <c r="W22" i="28" s="1"/>
  <c r="U18" i="28"/>
  <c r="W18" i="28" s="1"/>
  <c r="G75" i="29" l="1"/>
  <c r="F6" i="22" s="1"/>
  <c r="E45" i="29"/>
  <c r="E64" i="29" s="1"/>
  <c r="E84" i="29" s="1"/>
  <c r="D15" i="22" s="1"/>
  <c r="D70" i="22" s="1"/>
  <c r="X17" i="29"/>
  <c r="V10" i="29"/>
  <c r="V18" i="29" s="1"/>
  <c r="D46" i="29" s="1"/>
  <c r="D65" i="29" s="1"/>
  <c r="D85" i="29" s="1"/>
  <c r="C16" i="22" s="1"/>
  <c r="C71" i="22" s="1"/>
  <c r="U12" i="29"/>
  <c r="AH17" i="22"/>
  <c r="AH14" i="22"/>
  <c r="AH13" i="22"/>
  <c r="AH10" i="22"/>
  <c r="AH9" i="22"/>
  <c r="AH8" i="22"/>
  <c r="AH7" i="22"/>
  <c r="AD6" i="2"/>
  <c r="AE6" i="2"/>
  <c r="AD7" i="2"/>
  <c r="AE7" i="2"/>
  <c r="AD8" i="2"/>
  <c r="AE8" i="2"/>
  <c r="AD9" i="2"/>
  <c r="AE9" i="2"/>
  <c r="AD10" i="2"/>
  <c r="AE10" i="2"/>
  <c r="AD13" i="2"/>
  <c r="AE13" i="2"/>
  <c r="AD14" i="2"/>
  <c r="AE14" i="2"/>
  <c r="AD15" i="2"/>
  <c r="AE15" i="2"/>
  <c r="AD16" i="2"/>
  <c r="AE16" i="2"/>
  <c r="AD17" i="2"/>
  <c r="AE17" i="2"/>
  <c r="B25" i="22"/>
  <c r="C25" i="22"/>
  <c r="C43" i="22" s="1"/>
  <c r="C61" i="22" s="1"/>
  <c r="D25" i="22"/>
  <c r="D43" i="22" s="1"/>
  <c r="D61" i="22" s="1"/>
  <c r="E25" i="22"/>
  <c r="E43" i="22" s="1"/>
  <c r="E61" i="22" s="1"/>
  <c r="B26" i="22"/>
  <c r="C26" i="22"/>
  <c r="C44" i="22" s="1"/>
  <c r="D26" i="22"/>
  <c r="D44" i="22" s="1"/>
  <c r="E26" i="22"/>
  <c r="E44" i="22" s="1"/>
  <c r="F26" i="22"/>
  <c r="F44" i="22" s="1"/>
  <c r="G26" i="22"/>
  <c r="G44" i="22" s="1"/>
  <c r="H26" i="22"/>
  <c r="H44" i="22" s="1"/>
  <c r="I26" i="22"/>
  <c r="I44" i="22" s="1"/>
  <c r="J26" i="22"/>
  <c r="J44" i="22" s="1"/>
  <c r="K26" i="22"/>
  <c r="K44" i="22" s="1"/>
  <c r="L26" i="22"/>
  <c r="L44" i="22" s="1"/>
  <c r="M26" i="22"/>
  <c r="M44" i="22" s="1"/>
  <c r="N26" i="22"/>
  <c r="N44" i="22" s="1"/>
  <c r="O26" i="22"/>
  <c r="O44" i="22" s="1"/>
  <c r="P26" i="22"/>
  <c r="P44" i="22" s="1"/>
  <c r="Q26" i="22"/>
  <c r="Q44" i="22" s="1"/>
  <c r="R26" i="22"/>
  <c r="R44" i="22" s="1"/>
  <c r="S26" i="22"/>
  <c r="S44" i="22" s="1"/>
  <c r="T26" i="22"/>
  <c r="T44" i="22" s="1"/>
  <c r="U26" i="22"/>
  <c r="U44" i="22" s="1"/>
  <c r="V26" i="22"/>
  <c r="V44" i="22" s="1"/>
  <c r="W26" i="22"/>
  <c r="W44" i="22" s="1"/>
  <c r="X26" i="22"/>
  <c r="X44" i="22" s="1"/>
  <c r="Y26" i="22"/>
  <c r="Y44" i="22" s="1"/>
  <c r="Z26" i="22"/>
  <c r="Z44" i="22" s="1"/>
  <c r="AA26" i="22"/>
  <c r="AA44" i="22" s="1"/>
  <c r="AB26" i="22"/>
  <c r="AB44" i="22" s="1"/>
  <c r="AC26" i="22"/>
  <c r="AC44" i="22" s="1"/>
  <c r="AD26" i="22"/>
  <c r="AD44" i="22" s="1"/>
  <c r="AE26" i="22"/>
  <c r="AE44" i="22" s="1"/>
  <c r="AF26" i="22"/>
  <c r="AF44" i="22" s="1"/>
  <c r="B27" i="22"/>
  <c r="C27" i="22"/>
  <c r="D27" i="22"/>
  <c r="E27" i="22"/>
  <c r="F27" i="22"/>
  <c r="G27" i="22"/>
  <c r="H27" i="22"/>
  <c r="I27" i="22"/>
  <c r="J27" i="22"/>
  <c r="K27" i="22"/>
  <c r="L27" i="22"/>
  <c r="M27" i="22"/>
  <c r="N27" i="22"/>
  <c r="O27" i="22"/>
  <c r="P27" i="22"/>
  <c r="Q27" i="22"/>
  <c r="Q45" i="22" s="1"/>
  <c r="R27" i="22"/>
  <c r="R45" i="22" s="1"/>
  <c r="S27" i="22"/>
  <c r="S45" i="22" s="1"/>
  <c r="T27" i="22"/>
  <c r="T45" i="22" s="1"/>
  <c r="U27" i="22"/>
  <c r="U45" i="22" s="1"/>
  <c r="V27" i="22"/>
  <c r="V45" i="22" s="1"/>
  <c r="W27" i="22"/>
  <c r="W45" i="22" s="1"/>
  <c r="X27" i="22"/>
  <c r="X45" i="22" s="1"/>
  <c r="Y27" i="22"/>
  <c r="Y45" i="22" s="1"/>
  <c r="Z27" i="22"/>
  <c r="Z45" i="22" s="1"/>
  <c r="AA27" i="22"/>
  <c r="AA45" i="22" s="1"/>
  <c r="AB27" i="22"/>
  <c r="AB45" i="22" s="1"/>
  <c r="AC27" i="22"/>
  <c r="AC45" i="22" s="1"/>
  <c r="AD27" i="22"/>
  <c r="AD45" i="22" s="1"/>
  <c r="AE27" i="22"/>
  <c r="AE45" i="22" s="1"/>
  <c r="AF27" i="22"/>
  <c r="AF45" i="22" s="1"/>
  <c r="B28" i="22"/>
  <c r="C28" i="22"/>
  <c r="C46" i="22" s="1"/>
  <c r="D28" i="22"/>
  <c r="D46" i="22" s="1"/>
  <c r="E28" i="22"/>
  <c r="E46" i="22" s="1"/>
  <c r="F28" i="22"/>
  <c r="F46" i="22" s="1"/>
  <c r="G28" i="22"/>
  <c r="G46" i="22" s="1"/>
  <c r="G64" i="22" s="1"/>
  <c r="H28" i="22"/>
  <c r="H46" i="22" s="1"/>
  <c r="H64" i="22" s="1"/>
  <c r="I28" i="22"/>
  <c r="I46" i="22" s="1"/>
  <c r="J28" i="22"/>
  <c r="J46" i="22" s="1"/>
  <c r="K28" i="22"/>
  <c r="K46" i="22" s="1"/>
  <c r="L28" i="22"/>
  <c r="L46" i="22" s="1"/>
  <c r="M28" i="22"/>
  <c r="M46" i="22" s="1"/>
  <c r="N28" i="22"/>
  <c r="N46" i="22" s="1"/>
  <c r="O28" i="22"/>
  <c r="O46" i="22" s="1"/>
  <c r="P28" i="22"/>
  <c r="P46" i="22" s="1"/>
  <c r="Q28" i="22"/>
  <c r="Q46" i="22" s="1"/>
  <c r="R28" i="22"/>
  <c r="R46" i="22" s="1"/>
  <c r="S28" i="22"/>
  <c r="S46" i="22" s="1"/>
  <c r="T28" i="22"/>
  <c r="T46" i="22" s="1"/>
  <c r="U28" i="22"/>
  <c r="U46" i="22" s="1"/>
  <c r="V28" i="22"/>
  <c r="V46" i="22" s="1"/>
  <c r="W28" i="22"/>
  <c r="W46" i="22" s="1"/>
  <c r="X28" i="22"/>
  <c r="X46" i="22" s="1"/>
  <c r="Y28" i="22"/>
  <c r="Y46" i="22" s="1"/>
  <c r="Z28" i="22"/>
  <c r="Z46" i="22" s="1"/>
  <c r="AA28" i="22"/>
  <c r="AA46" i="22" s="1"/>
  <c r="AB28" i="22"/>
  <c r="AB46" i="22" s="1"/>
  <c r="AC28" i="22"/>
  <c r="AC46" i="22" s="1"/>
  <c r="AD28" i="22"/>
  <c r="AD46" i="22" s="1"/>
  <c r="AE28" i="22"/>
  <c r="AE46" i="22" s="1"/>
  <c r="AF28" i="22"/>
  <c r="AF46" i="22" s="1"/>
  <c r="B29" i="22"/>
  <c r="C29" i="22"/>
  <c r="D29" i="22"/>
  <c r="E29" i="22"/>
  <c r="F29" i="22"/>
  <c r="G29" i="22"/>
  <c r="H29" i="22"/>
  <c r="I29" i="22"/>
  <c r="J29" i="22"/>
  <c r="K29" i="22"/>
  <c r="L29" i="22"/>
  <c r="M29" i="22"/>
  <c r="N29" i="22"/>
  <c r="O29" i="22"/>
  <c r="P29" i="22"/>
  <c r="Q29" i="22"/>
  <c r="Q47" i="22" s="1"/>
  <c r="R29" i="22"/>
  <c r="R47" i="22" s="1"/>
  <c r="S29" i="22"/>
  <c r="S47" i="22" s="1"/>
  <c r="T29" i="22"/>
  <c r="T47" i="22" s="1"/>
  <c r="U29" i="22"/>
  <c r="U47" i="22" s="1"/>
  <c r="V29" i="22"/>
  <c r="V47" i="22" s="1"/>
  <c r="W29" i="22"/>
  <c r="W47" i="22" s="1"/>
  <c r="X29" i="22"/>
  <c r="X47" i="22" s="1"/>
  <c r="Y29" i="22"/>
  <c r="Y47" i="22" s="1"/>
  <c r="Z29" i="22"/>
  <c r="Z47" i="22" s="1"/>
  <c r="AA29" i="22"/>
  <c r="AA47" i="22" s="1"/>
  <c r="AB29" i="22"/>
  <c r="AB47" i="22" s="1"/>
  <c r="AC29" i="22"/>
  <c r="AC47" i="22" s="1"/>
  <c r="AD29" i="22"/>
  <c r="AD47" i="22" s="1"/>
  <c r="AE29" i="22"/>
  <c r="AE47" i="22" s="1"/>
  <c r="AF29" i="22"/>
  <c r="AF47" i="22" s="1"/>
  <c r="B32" i="22"/>
  <c r="C32" i="22"/>
  <c r="D32" i="22"/>
  <c r="E32" i="22"/>
  <c r="F32" i="22"/>
  <c r="G32" i="22"/>
  <c r="H32" i="22"/>
  <c r="I32" i="22"/>
  <c r="J32" i="22"/>
  <c r="K32" i="22"/>
  <c r="L32" i="22"/>
  <c r="M32" i="22"/>
  <c r="N32" i="22"/>
  <c r="O32" i="22"/>
  <c r="P32" i="22"/>
  <c r="Q32" i="22"/>
  <c r="Q50" i="22" s="1"/>
  <c r="R32" i="22"/>
  <c r="R50" i="22" s="1"/>
  <c r="S32" i="22"/>
  <c r="S50" i="22" s="1"/>
  <c r="T32" i="22"/>
  <c r="T50" i="22" s="1"/>
  <c r="U32" i="22"/>
  <c r="U50" i="22" s="1"/>
  <c r="V32" i="22"/>
  <c r="V50" i="22" s="1"/>
  <c r="W32" i="22"/>
  <c r="W50" i="22" s="1"/>
  <c r="X32" i="22"/>
  <c r="X50" i="22" s="1"/>
  <c r="Y32" i="22"/>
  <c r="Y50" i="22" s="1"/>
  <c r="Z32" i="22"/>
  <c r="Z50" i="22" s="1"/>
  <c r="AA32" i="22"/>
  <c r="AA50" i="22" s="1"/>
  <c r="AB32" i="22"/>
  <c r="AB50" i="22" s="1"/>
  <c r="AC32" i="22"/>
  <c r="AC50" i="22" s="1"/>
  <c r="AD32" i="22"/>
  <c r="AD50" i="22" s="1"/>
  <c r="AE32" i="22"/>
  <c r="AE50" i="22" s="1"/>
  <c r="AF32" i="22"/>
  <c r="AF50" i="22" s="1"/>
  <c r="B33" i="22"/>
  <c r="C33" i="22"/>
  <c r="D33" i="22"/>
  <c r="E33" i="22"/>
  <c r="F33" i="22"/>
  <c r="G33" i="22"/>
  <c r="H33" i="22"/>
  <c r="I33" i="22"/>
  <c r="J33" i="22"/>
  <c r="K33" i="22"/>
  <c r="L33" i="22"/>
  <c r="M33" i="22"/>
  <c r="N33" i="22"/>
  <c r="O33" i="22"/>
  <c r="P33" i="22"/>
  <c r="Q33" i="22"/>
  <c r="Q51" i="22" s="1"/>
  <c r="R33" i="22"/>
  <c r="R51" i="22" s="1"/>
  <c r="S33" i="22"/>
  <c r="S51" i="22" s="1"/>
  <c r="T33" i="22"/>
  <c r="T51" i="22" s="1"/>
  <c r="U33" i="22"/>
  <c r="U51" i="22" s="1"/>
  <c r="V33" i="22"/>
  <c r="V51" i="22" s="1"/>
  <c r="W33" i="22"/>
  <c r="W51" i="22" s="1"/>
  <c r="X33" i="22"/>
  <c r="X51" i="22" s="1"/>
  <c r="Y33" i="22"/>
  <c r="Y51" i="22" s="1"/>
  <c r="Z33" i="22"/>
  <c r="Z51" i="22" s="1"/>
  <c r="AA33" i="22"/>
  <c r="AA51" i="22" s="1"/>
  <c r="AB33" i="22"/>
  <c r="AB51" i="22" s="1"/>
  <c r="AC33" i="22"/>
  <c r="AC51" i="22" s="1"/>
  <c r="AD33" i="22"/>
  <c r="AD51" i="22" s="1"/>
  <c r="AE33" i="22"/>
  <c r="AE51" i="22" s="1"/>
  <c r="AF33" i="22"/>
  <c r="AF51" i="22" s="1"/>
  <c r="B34" i="22"/>
  <c r="B52" i="22" s="1"/>
  <c r="B70" i="22" s="1"/>
  <c r="C34" i="22"/>
  <c r="C52" i="22" s="1"/>
  <c r="D34" i="22"/>
  <c r="D52" i="22" s="1"/>
  <c r="B35" i="22"/>
  <c r="C35" i="22"/>
  <c r="C53" i="22" s="1"/>
  <c r="B36" i="22"/>
  <c r="C36" i="22"/>
  <c r="D36" i="22"/>
  <c r="E36" i="22"/>
  <c r="F36" i="22"/>
  <c r="G36" i="22"/>
  <c r="H36" i="22"/>
  <c r="I36" i="22"/>
  <c r="J36" i="22"/>
  <c r="K36" i="22"/>
  <c r="L36" i="22"/>
  <c r="M36" i="22"/>
  <c r="N36" i="22"/>
  <c r="O36" i="22"/>
  <c r="P36" i="22"/>
  <c r="Q36" i="22"/>
  <c r="Q54" i="22" s="1"/>
  <c r="R36" i="22"/>
  <c r="R54" i="22" s="1"/>
  <c r="S36" i="22"/>
  <c r="S54" i="22" s="1"/>
  <c r="T36" i="22"/>
  <c r="T54" i="22" s="1"/>
  <c r="U36" i="22"/>
  <c r="U54" i="22" s="1"/>
  <c r="V36" i="22"/>
  <c r="V54" i="22" s="1"/>
  <c r="W36" i="22"/>
  <c r="W54" i="22" s="1"/>
  <c r="X36" i="22"/>
  <c r="X54" i="22" s="1"/>
  <c r="Y36" i="22"/>
  <c r="Y54" i="22" s="1"/>
  <c r="Z36" i="22"/>
  <c r="Z54" i="22" s="1"/>
  <c r="AA36" i="22"/>
  <c r="AA54" i="22" s="1"/>
  <c r="AB36" i="22"/>
  <c r="AB54" i="22" s="1"/>
  <c r="AC36" i="22"/>
  <c r="AC54" i="22" s="1"/>
  <c r="AD36" i="22"/>
  <c r="AD54" i="22" s="1"/>
  <c r="AE36" i="22"/>
  <c r="AE54" i="22" s="1"/>
  <c r="AF36" i="22"/>
  <c r="AF54" i="22" s="1"/>
  <c r="G25" i="22" l="1"/>
  <c r="G43" i="22" s="1"/>
  <c r="O25" i="22"/>
  <c r="O43" i="22" s="1"/>
  <c r="W25" i="22"/>
  <c r="W43" i="22" s="1"/>
  <c r="AE25" i="22"/>
  <c r="AE43" i="22" s="1"/>
  <c r="T25" i="22"/>
  <c r="T43" i="22" s="1"/>
  <c r="F25" i="22"/>
  <c r="F43" i="22" s="1"/>
  <c r="F61" i="22" s="1"/>
  <c r="V25" i="22"/>
  <c r="V43" i="22" s="1"/>
  <c r="AD25" i="22"/>
  <c r="AD43" i="22" s="1"/>
  <c r="H25" i="22"/>
  <c r="H43" i="22" s="1"/>
  <c r="H61" i="22" s="1"/>
  <c r="P25" i="22"/>
  <c r="P43" i="22" s="1"/>
  <c r="X25" i="22"/>
  <c r="X43" i="22" s="1"/>
  <c r="AF25" i="22"/>
  <c r="AF43" i="22" s="1"/>
  <c r="AC25" i="22"/>
  <c r="AC43" i="22" s="1"/>
  <c r="I25" i="22"/>
  <c r="I43" i="22" s="1"/>
  <c r="I61" i="22" s="1"/>
  <c r="Q25" i="22"/>
  <c r="Q43" i="22" s="1"/>
  <c r="Y25" i="22"/>
  <c r="Y43" i="22" s="1"/>
  <c r="AH6" i="22"/>
  <c r="U25" i="22"/>
  <c r="U43" i="22" s="1"/>
  <c r="N25" i="22"/>
  <c r="N43" i="22" s="1"/>
  <c r="N61" i="22" s="1"/>
  <c r="J25" i="22"/>
  <c r="J43" i="22" s="1"/>
  <c r="J61" i="22" s="1"/>
  <c r="R25" i="22"/>
  <c r="R43" i="22" s="1"/>
  <c r="Z25" i="22"/>
  <c r="Z43" i="22" s="1"/>
  <c r="AB25" i="22"/>
  <c r="AB43" i="22" s="1"/>
  <c r="M25" i="22"/>
  <c r="M43" i="22" s="1"/>
  <c r="M61" i="22" s="1"/>
  <c r="K25" i="22"/>
  <c r="K43" i="22" s="1"/>
  <c r="S25" i="22"/>
  <c r="S43" i="22" s="1"/>
  <c r="AA25" i="22"/>
  <c r="AA43" i="22" s="1"/>
  <c r="L25" i="22"/>
  <c r="L43" i="22" s="1"/>
  <c r="F64" i="22"/>
  <c r="L61" i="22"/>
  <c r="K61" i="22"/>
  <c r="P61" i="22"/>
  <c r="G61" i="22"/>
  <c r="F45" i="29"/>
  <c r="F64" i="29" s="1"/>
  <c r="F84" i="29" s="1"/>
  <c r="E15" i="22" s="1"/>
  <c r="Y17" i="29"/>
  <c r="U71" i="22"/>
  <c r="T17" i="2" s="1"/>
  <c r="R64" i="22"/>
  <c r="Q10" i="2" s="1"/>
  <c r="S64" i="22"/>
  <c r="R10" i="2" s="1"/>
  <c r="W10" i="29"/>
  <c r="W18" i="29" s="1"/>
  <c r="E46" i="29" s="1"/>
  <c r="E65" i="29" s="1"/>
  <c r="E85" i="29" s="1"/>
  <c r="D16" i="22" s="1"/>
  <c r="V12" i="29"/>
  <c r="X10" i="29"/>
  <c r="X18" i="29" s="1"/>
  <c r="F46" i="29" s="1"/>
  <c r="F65" i="29" s="1"/>
  <c r="F85" i="29" s="1"/>
  <c r="E16" i="22" s="1"/>
  <c r="E71" i="22" s="1"/>
  <c r="W12" i="29"/>
  <c r="AH65" i="22"/>
  <c r="AI65" i="22" s="1"/>
  <c r="AH68" i="22"/>
  <c r="AI68" i="22" s="1"/>
  <c r="AH69" i="22"/>
  <c r="AI69" i="22" s="1"/>
  <c r="AH72" i="22"/>
  <c r="AI72" i="22" s="1"/>
  <c r="AH63" i="22"/>
  <c r="AI63" i="22" s="1"/>
  <c r="AH62" i="22"/>
  <c r="AI62" i="22" s="1"/>
  <c r="AE5" i="2"/>
  <c r="AE4" i="2"/>
  <c r="AH61" i="22" l="1"/>
  <c r="AI61" i="22" s="1"/>
  <c r="E70" i="22"/>
  <c r="E34" i="22"/>
  <c r="E52" i="22" s="1"/>
  <c r="D35" i="22"/>
  <c r="D53" i="22" s="1"/>
  <c r="D71" i="22" s="1"/>
  <c r="E35" i="22"/>
  <c r="E53" i="22" s="1"/>
  <c r="F35" i="22"/>
  <c r="F53" i="22" s="1"/>
  <c r="Z17" i="29"/>
  <c r="G45" i="29"/>
  <c r="G64" i="29" s="1"/>
  <c r="G84" i="29" s="1"/>
  <c r="F15" i="22" s="1"/>
  <c r="F70" i="22" s="1"/>
  <c r="AH64" i="22"/>
  <c r="AI64" i="22" s="1"/>
  <c r="X12" i="29"/>
  <c r="Y10" i="29"/>
  <c r="Y18" i="29" s="1"/>
  <c r="G46" i="29" s="1"/>
  <c r="G65" i="29" s="1"/>
  <c r="G85" i="29" s="1"/>
  <c r="F16" i="22" s="1"/>
  <c r="F71" i="22" s="1"/>
  <c r="AH2" i="22"/>
  <c r="D21" i="22"/>
  <c r="L21" i="22"/>
  <c r="L39" i="22" s="1"/>
  <c r="T21" i="22"/>
  <c r="T39" i="22" s="1"/>
  <c r="AB21" i="22"/>
  <c r="AB39" i="22" s="1"/>
  <c r="E21" i="22"/>
  <c r="E39" i="22" s="1"/>
  <c r="M21" i="22"/>
  <c r="M39" i="22" s="1"/>
  <c r="U21" i="22"/>
  <c r="AC21" i="22"/>
  <c r="F21" i="22"/>
  <c r="F39" i="22" s="1"/>
  <c r="N21" i="22"/>
  <c r="N39" i="22" s="1"/>
  <c r="N57" i="22" s="1"/>
  <c r="V21" i="22"/>
  <c r="AD21" i="22"/>
  <c r="AD39" i="22" s="1"/>
  <c r="G21" i="22"/>
  <c r="G39" i="22" s="1"/>
  <c r="O21" i="22"/>
  <c r="O39" i="22" s="1"/>
  <c r="W21" i="22"/>
  <c r="W39" i="22" s="1"/>
  <c r="AE21" i="22"/>
  <c r="H21" i="22"/>
  <c r="H39" i="22" s="1"/>
  <c r="P21" i="22"/>
  <c r="P39" i="22" s="1"/>
  <c r="P57" i="22" s="1"/>
  <c r="X21" i="22"/>
  <c r="AF21" i="22"/>
  <c r="B21" i="22"/>
  <c r="I21" i="22"/>
  <c r="I39" i="22" s="1"/>
  <c r="AA21" i="22"/>
  <c r="AA39" i="22" s="1"/>
  <c r="J21" i="22"/>
  <c r="S21" i="22"/>
  <c r="S39" i="22" s="1"/>
  <c r="K21" i="22"/>
  <c r="K39" i="22" s="1"/>
  <c r="Z21" i="22"/>
  <c r="Z39" i="22" s="1"/>
  <c r="C21" i="22"/>
  <c r="Q21" i="22"/>
  <c r="Q39" i="22" s="1"/>
  <c r="R21" i="22"/>
  <c r="Y21" i="22"/>
  <c r="Y39" i="22" s="1"/>
  <c r="C22" i="22"/>
  <c r="K22" i="22"/>
  <c r="K40" i="22" s="1"/>
  <c r="S22" i="22"/>
  <c r="S40" i="22" s="1"/>
  <c r="AA22" i="22"/>
  <c r="AA40" i="22" s="1"/>
  <c r="D22" i="22"/>
  <c r="L22" i="22"/>
  <c r="T22" i="22"/>
  <c r="T40" i="22" s="1"/>
  <c r="AB22" i="22"/>
  <c r="E22" i="22"/>
  <c r="E40" i="22" s="1"/>
  <c r="M22" i="22"/>
  <c r="M40" i="22" s="1"/>
  <c r="U22" i="22"/>
  <c r="AC22" i="22"/>
  <c r="AC40" i="22" s="1"/>
  <c r="F22" i="22"/>
  <c r="N22" i="22"/>
  <c r="V22" i="22"/>
  <c r="V40" i="22" s="1"/>
  <c r="AD22" i="22"/>
  <c r="G22" i="22"/>
  <c r="G40" i="22" s="1"/>
  <c r="O22" i="22"/>
  <c r="O40" i="22" s="1"/>
  <c r="W22" i="22"/>
  <c r="AE22" i="22"/>
  <c r="AE40" i="22" s="1"/>
  <c r="I22" i="22"/>
  <c r="Q22" i="22"/>
  <c r="Q40" i="22" s="1"/>
  <c r="Y22" i="22"/>
  <c r="Y40" i="22" s="1"/>
  <c r="R22" i="22"/>
  <c r="R40" i="22" s="1"/>
  <c r="X22" i="22"/>
  <c r="X40" i="22" s="1"/>
  <c r="AH3" i="22"/>
  <c r="Z22" i="22"/>
  <c r="Z40" i="22" s="1"/>
  <c r="AF22" i="22"/>
  <c r="AF40" i="22" s="1"/>
  <c r="H22" i="22"/>
  <c r="H40" i="22" s="1"/>
  <c r="B22" i="22"/>
  <c r="J22" i="22"/>
  <c r="P22" i="22"/>
  <c r="P40" i="22" s="1"/>
  <c r="AF58" i="22" l="1"/>
  <c r="AE3" i="2" s="1"/>
  <c r="I57" i="22"/>
  <c r="H57" i="22"/>
  <c r="F40" i="22"/>
  <c r="L57" i="22"/>
  <c r="I40" i="22"/>
  <c r="J39" i="22"/>
  <c r="J57" i="22" s="1"/>
  <c r="M57" i="22"/>
  <c r="J40" i="22"/>
  <c r="Q58" i="22"/>
  <c r="P4" i="2" s="1"/>
  <c r="N40" i="22"/>
  <c r="L40" i="22"/>
  <c r="Q57" i="22"/>
  <c r="P2" i="2" s="1"/>
  <c r="F34" i="22"/>
  <c r="F52" i="22" s="1"/>
  <c r="AA17" i="29"/>
  <c r="H45" i="29"/>
  <c r="H64" i="29" s="1"/>
  <c r="H84" i="29" s="1"/>
  <c r="G15" i="22" s="1"/>
  <c r="G34" i="22" s="1"/>
  <c r="G52" i="22" s="1"/>
  <c r="T57" i="22"/>
  <c r="S2" i="2" s="1"/>
  <c r="R58" i="22"/>
  <c r="Q4" i="2" s="1"/>
  <c r="T58" i="22"/>
  <c r="S4" i="2" s="1"/>
  <c r="AB57" i="22"/>
  <c r="AA2" i="2" s="1"/>
  <c r="Y58" i="22"/>
  <c r="X4" i="2" s="1"/>
  <c r="Z57" i="22"/>
  <c r="Y2" i="2" s="1"/>
  <c r="AA58" i="22"/>
  <c r="Z4" i="2" s="1"/>
  <c r="AA57" i="22"/>
  <c r="Z2" i="2" s="1"/>
  <c r="Z58" i="22"/>
  <c r="Y4" i="2" s="1"/>
  <c r="S58" i="22"/>
  <c r="R4" i="2" s="1"/>
  <c r="AB40" i="22"/>
  <c r="AB58" i="22" s="1"/>
  <c r="AA4" i="2" s="1"/>
  <c r="W40" i="22"/>
  <c r="W58" i="22" s="1"/>
  <c r="V4" i="2" s="1"/>
  <c r="U40" i="22"/>
  <c r="U58" i="22" s="1"/>
  <c r="T4" i="2" s="1"/>
  <c r="AD40" i="22"/>
  <c r="AD58" i="22" s="1"/>
  <c r="AC4" i="2" s="1"/>
  <c r="AC39" i="22"/>
  <c r="AC57" i="22" s="1"/>
  <c r="AB2" i="2" s="1"/>
  <c r="R39" i="22"/>
  <c r="R57" i="22" s="1"/>
  <c r="Q2" i="2" s="1"/>
  <c r="AE2" i="2"/>
  <c r="AF39" i="22"/>
  <c r="X39" i="22"/>
  <c r="X57" i="22" s="1"/>
  <c r="W2" i="2" s="1"/>
  <c r="U39" i="22"/>
  <c r="U57" i="22" s="1"/>
  <c r="T2" i="2" s="1"/>
  <c r="AD2" i="2"/>
  <c r="AE39" i="22"/>
  <c r="V39" i="22"/>
  <c r="Z10" i="29"/>
  <c r="Z18" i="29" s="1"/>
  <c r="H46" i="29" s="1"/>
  <c r="H65" i="29" s="1"/>
  <c r="H85" i="29" s="1"/>
  <c r="G16" i="22" s="1"/>
  <c r="Y12" i="29"/>
  <c r="AH5" i="22"/>
  <c r="E24" i="22"/>
  <c r="E42" i="22" s="1"/>
  <c r="M24" i="22"/>
  <c r="M42" i="22" s="1"/>
  <c r="U24" i="22"/>
  <c r="U42" i="22" s="1"/>
  <c r="AC24" i="22"/>
  <c r="F24" i="22"/>
  <c r="F42" i="22" s="1"/>
  <c r="F60" i="22" s="1"/>
  <c r="N24" i="22"/>
  <c r="N42" i="22" s="1"/>
  <c r="V24" i="22"/>
  <c r="V42" i="22" s="1"/>
  <c r="AD24" i="22"/>
  <c r="AD42" i="22" s="1"/>
  <c r="G24" i="22"/>
  <c r="O24" i="22"/>
  <c r="O42" i="22" s="1"/>
  <c r="W24" i="22"/>
  <c r="W42" i="22" s="1"/>
  <c r="AE24" i="22"/>
  <c r="AE42" i="22" s="1"/>
  <c r="H24" i="22"/>
  <c r="H42" i="22" s="1"/>
  <c r="P24" i="22"/>
  <c r="P42" i="22" s="1"/>
  <c r="X24" i="22"/>
  <c r="X42" i="22" s="1"/>
  <c r="AF24" i="22"/>
  <c r="AF42" i="22" s="1"/>
  <c r="I24" i="22"/>
  <c r="Q24" i="22"/>
  <c r="Q42" i="22" s="1"/>
  <c r="Y24" i="22"/>
  <c r="Y42" i="22" s="1"/>
  <c r="C24" i="22"/>
  <c r="C42" i="22" s="1"/>
  <c r="K24" i="22"/>
  <c r="S24" i="22"/>
  <c r="S42" i="22" s="1"/>
  <c r="AA24" i="22"/>
  <c r="AA42" i="22" s="1"/>
  <c r="T24" i="22"/>
  <c r="T42" i="22" s="1"/>
  <c r="Z24" i="22"/>
  <c r="AB24" i="22"/>
  <c r="AB42" i="22" s="1"/>
  <c r="J24" i="22"/>
  <c r="J42" i="22" s="1"/>
  <c r="B24" i="22"/>
  <c r="D24" i="22"/>
  <c r="D42" i="22" s="1"/>
  <c r="D60" i="22" s="1"/>
  <c r="L24" i="22"/>
  <c r="L42" i="22" s="1"/>
  <c r="R24" i="22"/>
  <c r="R42" i="22" s="1"/>
  <c r="B30" i="22"/>
  <c r="B31" i="22"/>
  <c r="C31" i="22"/>
  <c r="AH4" i="22"/>
  <c r="D23" i="22"/>
  <c r="L23" i="22"/>
  <c r="L41" i="22" s="1"/>
  <c r="T23" i="22"/>
  <c r="T41" i="22" s="1"/>
  <c r="AB23" i="22"/>
  <c r="AB41" i="22" s="1"/>
  <c r="E23" i="22"/>
  <c r="E41" i="22" s="1"/>
  <c r="M23" i="22"/>
  <c r="M41" i="22" s="1"/>
  <c r="U23" i="22"/>
  <c r="U41" i="22" s="1"/>
  <c r="AC23" i="22"/>
  <c r="AC41" i="22" s="1"/>
  <c r="F23" i="22"/>
  <c r="F41" i="22" s="1"/>
  <c r="N23" i="22"/>
  <c r="V23" i="22"/>
  <c r="V41" i="22" s="1"/>
  <c r="AD23" i="22"/>
  <c r="AD41" i="22" s="1"/>
  <c r="G23" i="22"/>
  <c r="G41" i="22" s="1"/>
  <c r="O23" i="22"/>
  <c r="O41" i="22" s="1"/>
  <c r="W23" i="22"/>
  <c r="W41" i="22" s="1"/>
  <c r="AE23" i="22"/>
  <c r="AE41" i="22" s="1"/>
  <c r="H23" i="22"/>
  <c r="P23" i="22"/>
  <c r="X23" i="22"/>
  <c r="X41" i="22" s="1"/>
  <c r="AF23" i="22"/>
  <c r="AF41" i="22" s="1"/>
  <c r="B23" i="22"/>
  <c r="J23" i="22"/>
  <c r="R23" i="22"/>
  <c r="R41" i="22" s="1"/>
  <c r="Z23" i="22"/>
  <c r="Z41" i="22" s="1"/>
  <c r="S23" i="22"/>
  <c r="S41" i="22" s="1"/>
  <c r="Y23" i="22"/>
  <c r="I23" i="22"/>
  <c r="I41" i="22" s="1"/>
  <c r="AA23" i="22"/>
  <c r="AA41" i="22" s="1"/>
  <c r="C23" i="22"/>
  <c r="K23" i="22"/>
  <c r="Q23" i="22"/>
  <c r="Q41" i="22" s="1"/>
  <c r="E60" i="22" l="1"/>
  <c r="G59" i="22"/>
  <c r="P41" i="22"/>
  <c r="H41" i="22"/>
  <c r="H59" i="22" s="1"/>
  <c r="N41" i="22"/>
  <c r="K57" i="22"/>
  <c r="K41" i="22"/>
  <c r="J41" i="22"/>
  <c r="J59" i="22" s="1"/>
  <c r="G42" i="22"/>
  <c r="I42" i="22"/>
  <c r="K42" i="22"/>
  <c r="AB17" i="29"/>
  <c r="I45" i="29"/>
  <c r="I64" i="29" s="1"/>
  <c r="I84" i="29" s="1"/>
  <c r="H15" i="22" s="1"/>
  <c r="H70" i="22" s="1"/>
  <c r="H34" i="22"/>
  <c r="H52" i="22" s="1"/>
  <c r="G35" i="22"/>
  <c r="G53" i="22" s="1"/>
  <c r="G70" i="22"/>
  <c r="G71" i="22"/>
  <c r="AA59" i="22"/>
  <c r="Z5" i="2" s="1"/>
  <c r="AE59" i="22"/>
  <c r="AD4" i="2" s="1"/>
  <c r="V58" i="22"/>
  <c r="U4" i="2" s="1"/>
  <c r="W59" i="22"/>
  <c r="V5" i="2" s="1"/>
  <c r="X58" i="22"/>
  <c r="W4" i="2" s="1"/>
  <c r="AD57" i="22"/>
  <c r="AC2" i="2" s="1"/>
  <c r="AE58" i="22"/>
  <c r="AD3" i="2" s="1"/>
  <c r="S57" i="22"/>
  <c r="R2" i="2" s="1"/>
  <c r="AC58" i="22"/>
  <c r="AB4" i="2" s="1"/>
  <c r="Y57" i="22"/>
  <c r="X2" i="2" s="1"/>
  <c r="AB59" i="22"/>
  <c r="AA5" i="2" s="1"/>
  <c r="X59" i="22"/>
  <c r="W5" i="2" s="1"/>
  <c r="AC42" i="22"/>
  <c r="Z42" i="22"/>
  <c r="Y41" i="22"/>
  <c r="Z12" i="29"/>
  <c r="AA10" i="29"/>
  <c r="AA18" i="29" s="1"/>
  <c r="I46" i="29" s="1"/>
  <c r="I65" i="29" s="1"/>
  <c r="I85" i="29" s="1"/>
  <c r="H16" i="22" s="1"/>
  <c r="H71" i="22" s="1"/>
  <c r="AD5" i="2"/>
  <c r="Q59" i="22" l="1"/>
  <c r="P5" i="2" s="1"/>
  <c r="P59" i="22"/>
  <c r="K59" i="22"/>
  <c r="I59" i="22"/>
  <c r="H35" i="22"/>
  <c r="H53" i="22" s="1"/>
  <c r="AC17" i="29"/>
  <c r="J45" i="29"/>
  <c r="J64" i="29" s="1"/>
  <c r="J84" i="29" s="1"/>
  <c r="I15" i="22" s="1"/>
  <c r="AH57" i="22"/>
  <c r="AI57" i="22" s="1"/>
  <c r="AH58" i="22"/>
  <c r="AI58" i="22" s="1"/>
  <c r="AB10" i="29"/>
  <c r="AB18" i="29" s="1"/>
  <c r="J46" i="29" s="1"/>
  <c r="J65" i="29" s="1"/>
  <c r="J85" i="29" s="1"/>
  <c r="I16" i="22" s="1"/>
  <c r="AA12" i="29"/>
  <c r="AH60" i="22"/>
  <c r="AI60" i="22" s="1"/>
  <c r="AH59" i="22" l="1"/>
  <c r="AI59" i="22" s="1"/>
  <c r="I34" i="22"/>
  <c r="I52" i="22" s="1"/>
  <c r="AD17" i="29"/>
  <c r="K45" i="29"/>
  <c r="K64" i="29" s="1"/>
  <c r="K84" i="29" s="1"/>
  <c r="J15" i="22" s="1"/>
  <c r="I70" i="22"/>
  <c r="I71" i="22"/>
  <c r="I35" i="22"/>
  <c r="I53" i="22" s="1"/>
  <c r="AC10" i="29"/>
  <c r="AC18" i="29" s="1"/>
  <c r="K46" i="29" s="1"/>
  <c r="K65" i="29" s="1"/>
  <c r="K85" i="29" s="1"/>
  <c r="J16" i="22" s="1"/>
  <c r="J71" i="22" s="1"/>
  <c r="AB12" i="29"/>
  <c r="AE11" i="2"/>
  <c r="AE12" i="2"/>
  <c r="J70" i="22" l="1"/>
  <c r="J34" i="22"/>
  <c r="J52" i="22" s="1"/>
  <c r="AE17" i="29"/>
  <c r="L45" i="29"/>
  <c r="L64" i="29" s="1"/>
  <c r="L84" i="29" s="1"/>
  <c r="K15" i="22" s="1"/>
  <c r="J35" i="22"/>
  <c r="J53" i="22" s="1"/>
  <c r="AD10" i="29"/>
  <c r="AD18" i="29" s="1"/>
  <c r="L46" i="29" s="1"/>
  <c r="L65" i="29" s="1"/>
  <c r="L85" i="29" s="1"/>
  <c r="K16" i="22" s="1"/>
  <c r="AC12" i="29"/>
  <c r="T31" i="22"/>
  <c r="V31" i="22"/>
  <c r="V49" i="22" s="1"/>
  <c r="X31" i="22"/>
  <c r="X49" i="22" s="1"/>
  <c r="Q31" i="22"/>
  <c r="Q49" i="22" s="1"/>
  <c r="P31" i="22"/>
  <c r="AB31" i="22"/>
  <c r="AB49" i="22" s="1"/>
  <c r="AD31" i="22"/>
  <c r="AD49" i="22" s="1"/>
  <c r="AF31" i="22"/>
  <c r="AF49" i="22" s="1"/>
  <c r="S31" i="22"/>
  <c r="S49" i="22" s="1"/>
  <c r="E31" i="22"/>
  <c r="G31" i="22"/>
  <c r="Y31" i="22"/>
  <c r="Y49" i="22" s="1"/>
  <c r="M31" i="22"/>
  <c r="O31" i="22"/>
  <c r="J31" i="22"/>
  <c r="AA31" i="22"/>
  <c r="AA49" i="22" s="1"/>
  <c r="R31" i="22"/>
  <c r="R49" i="22" s="1"/>
  <c r="L31" i="22"/>
  <c r="N31" i="22"/>
  <c r="I31" i="22"/>
  <c r="U31" i="22"/>
  <c r="W31" i="22"/>
  <c r="AH12" i="22"/>
  <c r="AC31" i="22"/>
  <c r="AE31" i="22"/>
  <c r="Z31" i="22"/>
  <c r="D31" i="22"/>
  <c r="F31" i="22"/>
  <c r="H31" i="22"/>
  <c r="K31" i="22"/>
  <c r="T30" i="22"/>
  <c r="V30" i="22"/>
  <c r="V48" i="22" s="1"/>
  <c r="Y30" i="22"/>
  <c r="Y48" i="22" s="1"/>
  <c r="H30" i="22"/>
  <c r="C30" i="22"/>
  <c r="AB30" i="22"/>
  <c r="AB48" i="22" s="1"/>
  <c r="AD30" i="22"/>
  <c r="AD48" i="22" s="1"/>
  <c r="J30" i="22"/>
  <c r="K30" i="22"/>
  <c r="E30" i="22"/>
  <c r="G30" i="22"/>
  <c r="P30" i="22"/>
  <c r="S30" i="22"/>
  <c r="S48" i="22" s="1"/>
  <c r="M30" i="22"/>
  <c r="O30" i="22"/>
  <c r="R30" i="22"/>
  <c r="R48" i="22" s="1"/>
  <c r="L30" i="22"/>
  <c r="N30" i="22"/>
  <c r="Q30" i="22"/>
  <c r="AA30" i="22"/>
  <c r="U30" i="22"/>
  <c r="U48" i="22" s="1"/>
  <c r="W30" i="22"/>
  <c r="W48" i="22" s="1"/>
  <c r="AF30" i="22"/>
  <c r="AF48" i="22" s="1"/>
  <c r="AH11" i="22"/>
  <c r="AC30" i="22"/>
  <c r="AC48" i="22" s="1"/>
  <c r="AE30" i="22"/>
  <c r="X30" i="22"/>
  <c r="D30" i="22"/>
  <c r="F30" i="22"/>
  <c r="I30" i="22"/>
  <c r="Z30" i="22"/>
  <c r="Z48" i="22" s="1"/>
  <c r="AF17" i="29" l="1"/>
  <c r="M45" i="29"/>
  <c r="M64" i="29" s="1"/>
  <c r="M84" i="29" s="1"/>
  <c r="L15" i="22" s="1"/>
  <c r="L70" i="22" s="1"/>
  <c r="K71" i="22"/>
  <c r="K70" i="22"/>
  <c r="K35" i="22"/>
  <c r="K53" i="22" s="1"/>
  <c r="K34" i="22"/>
  <c r="K52" i="22" s="1"/>
  <c r="V66" i="22"/>
  <c r="U12" i="2" s="1"/>
  <c r="S66" i="22"/>
  <c r="R12" i="2" s="1"/>
  <c r="W66" i="22"/>
  <c r="V12" i="2" s="1"/>
  <c r="W49" i="22"/>
  <c r="Q48" i="22"/>
  <c r="Q66" i="22" s="1"/>
  <c r="P12" i="2" s="1"/>
  <c r="T49" i="22"/>
  <c r="Z49" i="22"/>
  <c r="AD12" i="2"/>
  <c r="AE49" i="22"/>
  <c r="AC49" i="22"/>
  <c r="U49" i="22"/>
  <c r="T48" i="22"/>
  <c r="T66" i="22" s="1"/>
  <c r="S12" i="2" s="1"/>
  <c r="X48" i="22"/>
  <c r="X66" i="22" s="1"/>
  <c r="W12" i="2" s="1"/>
  <c r="AD11" i="2"/>
  <c r="AE48" i="22"/>
  <c r="AA48" i="22"/>
  <c r="AA66" i="22" s="1"/>
  <c r="Z12" i="2" s="1"/>
  <c r="AE10" i="29"/>
  <c r="AE18" i="29" s="1"/>
  <c r="M46" i="29" s="1"/>
  <c r="M65" i="29" s="1"/>
  <c r="M85" i="29" s="1"/>
  <c r="L16" i="22" s="1"/>
  <c r="AD12" i="29"/>
  <c r="AG17" i="29" l="1"/>
  <c r="N45" i="29"/>
  <c r="N64" i="29" s="1"/>
  <c r="N84" i="29" s="1"/>
  <c r="M15" i="22" s="1"/>
  <c r="L71" i="22"/>
  <c r="L35" i="22"/>
  <c r="L53" i="22" s="1"/>
  <c r="L34" i="22"/>
  <c r="L52" i="22" s="1"/>
  <c r="AB66" i="22"/>
  <c r="AA12" i="2" s="1"/>
  <c r="R66" i="22"/>
  <c r="Q12" i="2" s="1"/>
  <c r="Y66" i="22"/>
  <c r="X12" i="2" s="1"/>
  <c r="U66" i="22"/>
  <c r="T12" i="2" s="1"/>
  <c r="AF10" i="29"/>
  <c r="AF18" i="29" s="1"/>
  <c r="N46" i="29" s="1"/>
  <c r="N65" i="29" s="1"/>
  <c r="N85" i="29" s="1"/>
  <c r="M16" i="22" s="1"/>
  <c r="AE12" i="29"/>
  <c r="AH67" i="22"/>
  <c r="AI67" i="22" s="1"/>
  <c r="M70" i="22" l="1"/>
  <c r="M34" i="22"/>
  <c r="M52" i="22" s="1"/>
  <c r="AH17" i="29"/>
  <c r="O45" i="29"/>
  <c r="O64" i="29" s="1"/>
  <c r="O84" i="29" s="1"/>
  <c r="N15" i="22" s="1"/>
  <c r="M71" i="22"/>
  <c r="M35" i="22"/>
  <c r="M53" i="22" s="1"/>
  <c r="AH66" i="22"/>
  <c r="AI66" i="22" s="1"/>
  <c r="AG10" i="29"/>
  <c r="AG18" i="29" s="1"/>
  <c r="O46" i="29" s="1"/>
  <c r="O65" i="29" s="1"/>
  <c r="O85" i="29" s="1"/>
  <c r="N16" i="22" s="1"/>
  <c r="AF12" i="29"/>
  <c r="AI17" i="29" l="1"/>
  <c r="Q45" i="29" s="1"/>
  <c r="P45" i="29"/>
  <c r="P64" i="29" s="1"/>
  <c r="P84" i="29" s="1"/>
  <c r="O15" i="22" s="1"/>
  <c r="N70" i="22"/>
  <c r="N34" i="22"/>
  <c r="N52" i="22" s="1"/>
  <c r="N71" i="22"/>
  <c r="N35" i="22"/>
  <c r="N53" i="22" s="1"/>
  <c r="AH10" i="29"/>
  <c r="AH18" i="29" s="1"/>
  <c r="P46" i="29" s="1"/>
  <c r="P65" i="29" s="1"/>
  <c r="P85" i="29" s="1"/>
  <c r="O16" i="22" s="1"/>
  <c r="AG12" i="29"/>
  <c r="O70" i="22" l="1"/>
  <c r="O34" i="22"/>
  <c r="O52" i="22" s="1"/>
  <c r="O71" i="22"/>
  <c r="O35" i="22"/>
  <c r="O53" i="22" s="1"/>
  <c r="Q64" i="29"/>
  <c r="Q84" i="29" s="1"/>
  <c r="P15" i="22" s="1"/>
  <c r="AI10" i="29"/>
  <c r="AI18" i="29" s="1"/>
  <c r="Q46" i="29" s="1"/>
  <c r="Q65" i="29" s="1"/>
  <c r="Q85" i="29" s="1"/>
  <c r="P16" i="22" s="1"/>
  <c r="AH12" i="29"/>
  <c r="P71" i="22" l="1"/>
  <c r="P35" i="22"/>
  <c r="P53" i="22" s="1"/>
  <c r="U35" i="22"/>
  <c r="U53" i="22" s="1"/>
  <c r="R35" i="22"/>
  <c r="R53" i="22" s="1"/>
  <c r="AD35" i="22"/>
  <c r="AD53" i="22" s="1"/>
  <c r="AH16" i="22"/>
  <c r="AB35" i="22"/>
  <c r="AB53" i="22" s="1"/>
  <c r="AC35" i="22"/>
  <c r="AC53" i="22" s="1"/>
  <c r="T35" i="22"/>
  <c r="T53" i="22" s="1"/>
  <c r="Q35" i="22"/>
  <c r="Q53" i="22" s="1"/>
  <c r="Q71" i="22" s="1"/>
  <c r="Z35" i="22"/>
  <c r="Z53" i="22" s="1"/>
  <c r="Y35" i="22"/>
  <c r="Y53" i="22" s="1"/>
  <c r="AA35" i="22"/>
  <c r="AA53" i="22" s="1"/>
  <c r="W35" i="22"/>
  <c r="W53" i="22" s="1"/>
  <c r="S35" i="22"/>
  <c r="S53" i="22" s="1"/>
  <c r="AF35" i="22"/>
  <c r="AF53" i="22" s="1"/>
  <c r="X35" i="22"/>
  <c r="X53" i="22" s="1"/>
  <c r="AE35" i="22"/>
  <c r="AE53" i="22" s="1"/>
  <c r="V35" i="22"/>
  <c r="V53" i="22" s="1"/>
  <c r="P70" i="22"/>
  <c r="AA34" i="22"/>
  <c r="AA52" i="22" s="1"/>
  <c r="AE34" i="22"/>
  <c r="AE52" i="22" s="1"/>
  <c r="R34" i="22"/>
  <c r="R52" i="22" s="1"/>
  <c r="S34" i="22"/>
  <c r="S52" i="22" s="1"/>
  <c r="X34" i="22"/>
  <c r="X52" i="22" s="1"/>
  <c r="AD34" i="22"/>
  <c r="AD52" i="22" s="1"/>
  <c r="U34" i="22"/>
  <c r="U52" i="22" s="1"/>
  <c r="Q34" i="22"/>
  <c r="Q52" i="22" s="1"/>
  <c r="AB34" i="22"/>
  <c r="AB52" i="22" s="1"/>
  <c r="AF34" i="22"/>
  <c r="AF52" i="22" s="1"/>
  <c r="W34" i="22"/>
  <c r="W52" i="22" s="1"/>
  <c r="AC34" i="22"/>
  <c r="AC52" i="22" s="1"/>
  <c r="T34" i="22"/>
  <c r="T52" i="22" s="1"/>
  <c r="V34" i="22"/>
  <c r="V52" i="22" s="1"/>
  <c r="AH15" i="22"/>
  <c r="P34" i="22"/>
  <c r="P52" i="22" s="1"/>
  <c r="Y34" i="22"/>
  <c r="Y52" i="22" s="1"/>
  <c r="Z34" i="22"/>
  <c r="Z52" i="22" s="1"/>
  <c r="AI12" i="29"/>
  <c r="AH70" i="22" l="1"/>
  <c r="AI70" i="22" s="1"/>
  <c r="AH71" i="22"/>
  <c r="AI71" i="2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<sst xmlns="http://schemas.openxmlformats.org/spreadsheetml/2006/main" count="10730" uniqueCount="1558">
  <si>
    <t>nuclear</t>
  </si>
  <si>
    <t>hydro</t>
  </si>
  <si>
    <t>solar pv</t>
  </si>
  <si>
    <t>solar thermal</t>
  </si>
  <si>
    <t>biomass</t>
  </si>
  <si>
    <t>geothermal</t>
  </si>
  <si>
    <t>Delta</t>
  </si>
  <si>
    <t>Notes</t>
  </si>
  <si>
    <t>Sources:</t>
  </si>
  <si>
    <t>natural gas nonpeaker</t>
  </si>
  <si>
    <t>petroleum</t>
  </si>
  <si>
    <t>natural gas peaker</t>
  </si>
  <si>
    <t>lignite</t>
  </si>
  <si>
    <t>offshore wind</t>
  </si>
  <si>
    <t>hard coal</t>
  </si>
  <si>
    <t>onshore wind</t>
  </si>
  <si>
    <t>Quantization</t>
  </si>
  <si>
    <t>The EPS retires (and builds) power plants in increments of the minimum power plant size,</t>
  </si>
  <si>
    <t>specified in elec/MPPC.  If the BAU retirements you get when running the model do not</t>
  </si>
  <si>
    <t>match those specified in this variable, this may be because your values here are not</t>
  </si>
  <si>
    <t>even multiples of the values in elec/MPPC.  If you wish to ensure your retirement schedule</t>
  </si>
  <si>
    <t>is followed precisely, make sure that retirements specified here are even multiples of the</t>
  </si>
  <si>
    <t>values in elec/MPPC.  You can reduce the values in elec/MPPC if helpful.</t>
  </si>
  <si>
    <t>crude oil</t>
  </si>
  <si>
    <t>heavy or residual fuel oil</t>
  </si>
  <si>
    <t>municipal solid waste</t>
  </si>
  <si>
    <t>BAU Capacity Retirements (MW)</t>
  </si>
  <si>
    <t>This variable represents BAU planned capacity retirements.</t>
  </si>
  <si>
    <t>2021-2050 Retirements</t>
  </si>
  <si>
    <t>Total</t>
  </si>
  <si>
    <t>Number of mppcs</t>
  </si>
  <si>
    <t>Quantized</t>
  </si>
  <si>
    <t>2019 and 2020 Retirements</t>
    <phoneticPr fontId="14" type="noConversion"/>
  </si>
  <si>
    <t>KPX</t>
    <phoneticPr fontId="14" type="noConversion"/>
  </si>
  <si>
    <t>합계</t>
  </si>
  <si>
    <t>소계</t>
  </si>
  <si>
    <t>원자력</t>
  </si>
  <si>
    <t>유류</t>
  </si>
  <si>
    <t>LNG</t>
  </si>
  <si>
    <t>양수</t>
  </si>
  <si>
    <t>신재생</t>
  </si>
  <si>
    <t>기타</t>
  </si>
  <si>
    <t># KPX - Electricity Capacity by Source</t>
    <phoneticPr fontId="14" type="noConversion"/>
  </si>
  <si>
    <t>기력</t>
  </si>
  <si>
    <t>중유</t>
  </si>
  <si>
    <t>수력</t>
  </si>
  <si>
    <t>풍력</t>
  </si>
  <si>
    <t>2019</t>
  </si>
  <si>
    <t>2020</t>
  </si>
  <si>
    <t>유연탄</t>
  </si>
  <si>
    <t>무연탄</t>
  </si>
  <si>
    <t>http://epsis.kpx.or.kr/epsisnew/selectEkpoBftChart.do?menuId=020100</t>
    <phoneticPr fontId="14" type="noConversion"/>
  </si>
  <si>
    <t>기간</t>
  </si>
  <si>
    <t>회원구분</t>
  </si>
  <si>
    <t>급전방식</t>
  </si>
  <si>
    <t>사업구분</t>
  </si>
  <si>
    <t>지역</t>
  </si>
  <si>
    <t>연료전지</t>
  </si>
  <si>
    <t>석탄가스화</t>
  </si>
  <si>
    <t>태양</t>
  </si>
  <si>
    <t>해양</t>
  </si>
  <si>
    <t>바이오</t>
  </si>
  <si>
    <t>폐기물</t>
  </si>
  <si>
    <t>MW</t>
    <phoneticPr fontId="14" type="noConversion"/>
  </si>
  <si>
    <t>KOSIS</t>
    <phoneticPr fontId="14" type="noConversion"/>
  </si>
  <si>
    <t>2019~2020</t>
    <phoneticPr fontId="14" type="noConversion"/>
  </si>
  <si>
    <t>https://kosis.kr/statHtml/statHtml.do?orgId=388&amp;tblId=TX_38803_A009&amp;conn_path=I2</t>
  </si>
  <si>
    <t/>
  </si>
  <si>
    <t>(MW)</t>
    <phoneticPr fontId="14" type="noConversion"/>
  </si>
  <si>
    <t>heavy oil</t>
    <phoneticPr fontId="14" type="noConversion"/>
  </si>
  <si>
    <t>Subtract</t>
    <phoneticPr fontId="14" type="noConversion"/>
  </si>
  <si>
    <t>* 유연탄 and 무연탄 is categorized as hard coal</t>
    <phoneticPr fontId="14" type="noConversion"/>
  </si>
  <si>
    <t>* petroleum : 경유, heavy oil : 중유, crude oil : 해당없음</t>
    <phoneticPr fontId="14" type="noConversion"/>
  </si>
  <si>
    <t>** Assumed all Wind turbines are onshore wind</t>
    <phoneticPr fontId="14" type="noConversion"/>
  </si>
  <si>
    <t>MOTIE</t>
    <phoneticPr fontId="14" type="noConversion"/>
  </si>
  <si>
    <t>2021~3024</t>
    <phoneticPr fontId="14" type="noConversion"/>
  </si>
  <si>
    <t>nuclear</t>
    <phoneticPr fontId="14" type="noConversion"/>
  </si>
  <si>
    <t>coal</t>
    <phoneticPr fontId="14" type="noConversion"/>
  </si>
  <si>
    <t>LNG</t>
    <phoneticPr fontId="14" type="noConversion"/>
  </si>
  <si>
    <t>new and renewables</t>
    <phoneticPr fontId="14" type="noConversion"/>
  </si>
  <si>
    <t>pump storage</t>
    <phoneticPr fontId="14" type="noConversion"/>
  </si>
  <si>
    <t>Etc</t>
    <phoneticPr fontId="14" type="noConversion"/>
  </si>
  <si>
    <t>* Etc : 유류, 비재생폐기물, 부생가스 설비 등</t>
    <phoneticPr fontId="14" type="noConversion"/>
  </si>
  <si>
    <t>Solar PV</t>
    <phoneticPr fontId="14" type="noConversion"/>
  </si>
  <si>
    <t>Wind</t>
    <phoneticPr fontId="14" type="noConversion"/>
  </si>
  <si>
    <t>Hydro</t>
    <phoneticPr fontId="14" type="noConversion"/>
  </si>
  <si>
    <t>Marine</t>
    <phoneticPr fontId="14" type="noConversion"/>
  </si>
  <si>
    <t>Biomass</t>
    <phoneticPr fontId="14" type="noConversion"/>
  </si>
  <si>
    <t>fuel cell</t>
    <phoneticPr fontId="14" type="noConversion"/>
  </si>
  <si>
    <t>IGCC</t>
    <phoneticPr fontId="14" type="noConversion"/>
  </si>
  <si>
    <t>2020~2034 Electricity Capacity by resource</t>
    <phoneticPr fontId="14" type="noConversion"/>
  </si>
  <si>
    <t>2020~2034 New and Renewable Capacity by resource</t>
    <phoneticPr fontId="14" type="noConversion"/>
  </si>
  <si>
    <t>2020 oils</t>
    <phoneticPr fontId="14" type="noConversion"/>
  </si>
  <si>
    <t>oil</t>
    <phoneticPr fontId="14" type="noConversion"/>
  </si>
  <si>
    <t>waste</t>
    <phoneticPr fontId="14" type="noConversion"/>
  </si>
  <si>
    <t>total</t>
    <phoneticPr fontId="14" type="noConversion"/>
  </si>
  <si>
    <t>petroleum</t>
    <phoneticPr fontId="14" type="noConversion"/>
  </si>
  <si>
    <t>https://kosis.kr/statHtml/statHtml.do?orgId=388&amp;tblId=TX_38803_A004</t>
  </si>
  <si>
    <t>발전기별(1)</t>
  </si>
  <si>
    <t>발전기별(2)</t>
  </si>
  <si>
    <t>발전기별(3)</t>
  </si>
  <si>
    <t>발전기별(4)</t>
  </si>
  <si>
    <t>발전기별(5)</t>
  </si>
  <si>
    <t>단위용량 (kW)</t>
  </si>
  <si>
    <t>대수 (대)</t>
  </si>
  <si>
    <t>용량합계 (kW)</t>
  </si>
  <si>
    <t>총계</t>
  </si>
  <si>
    <t>-</t>
  </si>
  <si>
    <t>본계통</t>
  </si>
  <si>
    <t>도서</t>
  </si>
  <si>
    <t>울산발전소(2)</t>
  </si>
  <si>
    <t>평택발전소</t>
  </si>
  <si>
    <t>영동발전소(2)</t>
  </si>
  <si>
    <t>동해발전소</t>
  </si>
  <si>
    <t>호남발전소</t>
  </si>
  <si>
    <t>삼천포발전소(1)</t>
  </si>
  <si>
    <t>삼천포발전소(2)</t>
  </si>
  <si>
    <t>보령발전소(1)</t>
  </si>
  <si>
    <t>보령발전소(2)</t>
  </si>
  <si>
    <t>태안발전소(1)</t>
  </si>
  <si>
    <t>태안발전소(2)</t>
  </si>
  <si>
    <t>태안발전소(3)</t>
  </si>
  <si>
    <t>하동발전소</t>
  </si>
  <si>
    <t>당진발전소(1)</t>
  </si>
  <si>
    <t>당진발전소(2)</t>
  </si>
  <si>
    <t>영흥발전소(1)</t>
  </si>
  <si>
    <t>영흥발전소(2)</t>
  </si>
  <si>
    <t>영흥발전소(3)</t>
  </si>
  <si>
    <t>여수발전소(1)</t>
  </si>
  <si>
    <t>여수발전소(2)</t>
  </si>
  <si>
    <t>삼척그린발전소(1)</t>
  </si>
  <si>
    <t>삼척그린발전소(2)</t>
  </si>
  <si>
    <t>북평</t>
  </si>
  <si>
    <t>신보령(1)</t>
  </si>
  <si>
    <t>신보령(2)</t>
  </si>
  <si>
    <t>복합화력</t>
  </si>
  <si>
    <t>경유</t>
  </si>
  <si>
    <t>발전자회사</t>
  </si>
  <si>
    <t>서인천발전소GT</t>
  </si>
  <si>
    <t>서인천발전소ST</t>
  </si>
  <si>
    <t>신인천발전소GT</t>
  </si>
  <si>
    <t>신인천발전소ST</t>
  </si>
  <si>
    <t>분당발전소GT</t>
  </si>
  <si>
    <t>분당발전소ST1</t>
  </si>
  <si>
    <t>분당발전소ST2</t>
  </si>
  <si>
    <t>일산발전소GT</t>
  </si>
  <si>
    <t>일산발전소ST1</t>
  </si>
  <si>
    <t>일산발전소ST2</t>
  </si>
  <si>
    <t>평택발전소GT(2)</t>
  </si>
  <si>
    <t>평택발전소ST(2)</t>
  </si>
  <si>
    <t>보령발전소GT</t>
  </si>
  <si>
    <t>보령발전소ST</t>
  </si>
  <si>
    <t>울산발전소GT(1)</t>
  </si>
  <si>
    <t>울산발전소GT(2)</t>
  </si>
  <si>
    <t>울산발전소ST(1)</t>
  </si>
  <si>
    <t>울산발전소ST(2)</t>
  </si>
  <si>
    <t>울산발전소GT</t>
  </si>
  <si>
    <t>울산발전소ST</t>
  </si>
  <si>
    <t>부산발전소GT</t>
  </si>
  <si>
    <t>부산발전소ST</t>
  </si>
  <si>
    <t>인천발전소GT</t>
  </si>
  <si>
    <t>인천발전소ST</t>
  </si>
  <si>
    <t>인천발전소GT(2)</t>
  </si>
  <si>
    <t>인천발전소ST(2)</t>
  </si>
  <si>
    <t>인천발전소GT(3)</t>
  </si>
  <si>
    <t>인천발전소ST(3)</t>
  </si>
  <si>
    <t>군산발전소GT</t>
  </si>
  <si>
    <t>군산발전소ST</t>
  </si>
  <si>
    <t>영월발전소GT</t>
  </si>
  <si>
    <t>영월발전소ST</t>
  </si>
  <si>
    <t>안동발전소GT</t>
  </si>
  <si>
    <t>안동발전소ST</t>
  </si>
  <si>
    <t>서울복합GT</t>
  </si>
  <si>
    <t>서울복합ST</t>
  </si>
  <si>
    <t>타사</t>
  </si>
  <si>
    <t>포스코파워발전소GT(1)</t>
  </si>
  <si>
    <t>포스코파워발전소ST(1)</t>
  </si>
  <si>
    <t>포스코파워발전소GT(2)</t>
  </si>
  <si>
    <t>포스코파워발전소ST(2)</t>
  </si>
  <si>
    <t>포스코파워발전소GT(3)</t>
  </si>
  <si>
    <t>포스코파워발전소ST(3)</t>
  </si>
  <si>
    <t>당진발전소GT(1)</t>
  </si>
  <si>
    <t>당진발전소ST(1)</t>
  </si>
  <si>
    <t>당진발전소GT(2)</t>
  </si>
  <si>
    <t>당진발전소ST(2)</t>
  </si>
  <si>
    <t>당진발전소GT(3)</t>
  </si>
  <si>
    <t>당진발전소ST(3)</t>
  </si>
  <si>
    <t>당진발전소GT(4)</t>
  </si>
  <si>
    <t>당진발전소ST(4)</t>
  </si>
  <si>
    <t>율촌발전소GT(1)</t>
  </si>
  <si>
    <t>율촌발전소ST(1)</t>
  </si>
  <si>
    <t>율촌발전소GT(2)</t>
  </si>
  <si>
    <t>율촌발전소ST(2)</t>
  </si>
  <si>
    <t>광양발전소GT</t>
  </si>
  <si>
    <t>광양발전소ST</t>
  </si>
  <si>
    <t>포천파워 포천GT</t>
  </si>
  <si>
    <t>포천파워 포천ST</t>
  </si>
  <si>
    <t>에스파워 안산GT</t>
  </si>
  <si>
    <t>에스파워 안산ST</t>
  </si>
  <si>
    <t>오성발전소GT</t>
  </si>
  <si>
    <t>오성발전소ST</t>
  </si>
  <si>
    <t>동두천드림GT</t>
  </si>
  <si>
    <t>동두천드림ST</t>
  </si>
  <si>
    <t>파주문산발전소GT(1)</t>
  </si>
  <si>
    <t>파주문산발전소ST(1)</t>
  </si>
  <si>
    <t>파주문산발전소GT(2)</t>
  </si>
  <si>
    <t>파주문산발전소ST(2)</t>
  </si>
  <si>
    <t>포천천연발전소GT</t>
  </si>
  <si>
    <t>포천천연발전소ST</t>
  </si>
  <si>
    <t>부산정관에너지GT</t>
  </si>
  <si>
    <t>부산정관에너지ST</t>
  </si>
  <si>
    <t>영남파워발전소GT</t>
  </si>
  <si>
    <t>영남파워발전소ST</t>
  </si>
  <si>
    <t>신평택발전소GT</t>
  </si>
  <si>
    <t>신평택발전소ST</t>
  </si>
  <si>
    <t>대산발전소GT</t>
  </si>
  <si>
    <t>대산발전소ST</t>
  </si>
  <si>
    <t>남제주복합GT</t>
  </si>
  <si>
    <t>남제주복합ST</t>
  </si>
  <si>
    <t>한림발전소GT</t>
  </si>
  <si>
    <t>한림발전소ST</t>
  </si>
  <si>
    <t>제주복합GT(1)</t>
  </si>
  <si>
    <t>제주복합ST(1)</t>
  </si>
  <si>
    <t>제주복합GT(2)</t>
  </si>
  <si>
    <t>제주복합ST(2)</t>
  </si>
  <si>
    <t>내연력</t>
  </si>
  <si>
    <t>제주발전소DG</t>
  </si>
  <si>
    <t>제주발전소GT-'89이설</t>
  </si>
  <si>
    <t>제주발전소GT-'91이설</t>
  </si>
  <si>
    <t>제주발전소GT-'94이설</t>
  </si>
  <si>
    <t>울릉도발전소DG(3)</t>
  </si>
  <si>
    <t>울릉도발전소DG(4)</t>
  </si>
  <si>
    <t>울릉도발전소DG(5)</t>
  </si>
  <si>
    <t>울릉도발전소DG(6)</t>
  </si>
  <si>
    <t>울릉도발전소DG(7)</t>
  </si>
  <si>
    <t>조도발전소DG(1)</t>
  </si>
  <si>
    <t>조도발전소DG(2)</t>
  </si>
  <si>
    <t>조도발전소DG(3)</t>
  </si>
  <si>
    <t>흑산도발전소DG(2)</t>
  </si>
  <si>
    <t>흑산도발전소DG(3)</t>
  </si>
  <si>
    <t>흑산도발전소DG(4)</t>
  </si>
  <si>
    <t>추자도발전소DG(1)</t>
  </si>
  <si>
    <t>추자도발전소DG(2)</t>
  </si>
  <si>
    <t>추자도발전소DG(3)</t>
  </si>
  <si>
    <t>거문도발전소DG(1)</t>
  </si>
  <si>
    <t>거문도발전소DG(2)</t>
  </si>
  <si>
    <t>거문도발전소DG(3)</t>
  </si>
  <si>
    <t>거문도발전소DG(4)</t>
  </si>
  <si>
    <t>덕적도발전소DG(1)</t>
  </si>
  <si>
    <t>덕적도발전소DG(2)</t>
  </si>
  <si>
    <t>덕적도발전소DG(3)</t>
  </si>
  <si>
    <t>덕적도발전소DG(4)</t>
  </si>
  <si>
    <t>위도발전소DG(1)</t>
  </si>
  <si>
    <t>위도발전소DG(2)</t>
  </si>
  <si>
    <t>위도발전소DG(3)</t>
  </si>
  <si>
    <t>백령도발전소DG(1)</t>
  </si>
  <si>
    <t>백령도발전소DG(2)</t>
  </si>
  <si>
    <t>백령도발전소DG(3)</t>
  </si>
  <si>
    <t>백령도발전소DG(4)</t>
  </si>
  <si>
    <t>대청도발전소DG(1)</t>
  </si>
  <si>
    <t>대청도발전소DG(2)</t>
  </si>
  <si>
    <t>대청도발전소DG(3)</t>
  </si>
  <si>
    <t>소청도발전소DG(1)</t>
  </si>
  <si>
    <t>연평도발전소DG(1)</t>
  </si>
  <si>
    <t>연평도발전소DG(2)</t>
  </si>
  <si>
    <t>자월도발전소DG(1)</t>
  </si>
  <si>
    <t>자월도발전소DG(2)</t>
  </si>
  <si>
    <t>홍도발전소DG(1)</t>
  </si>
  <si>
    <t>홍도발전소DG(2)</t>
  </si>
  <si>
    <t>홍도발전소DG(3)</t>
  </si>
  <si>
    <t>비양도발전소DG</t>
  </si>
  <si>
    <t>덕우도발전소DG(1)</t>
  </si>
  <si>
    <t>덕우도발전소DG(2)</t>
  </si>
  <si>
    <t>여서도발전소DG</t>
  </si>
  <si>
    <t>가파도발전소DG</t>
  </si>
  <si>
    <t>비안도발전소DG(1)</t>
  </si>
  <si>
    <t>비안도발전소DG(2)</t>
  </si>
  <si>
    <t>연도발전소DG</t>
  </si>
  <si>
    <t>연도발전소DG(2)</t>
  </si>
  <si>
    <t>어청도발전소DG(1)</t>
  </si>
  <si>
    <t>어청도발전소DG(2)</t>
  </si>
  <si>
    <t>어청도발전소DG(3)</t>
  </si>
  <si>
    <t>개야도발전소DG(1)</t>
  </si>
  <si>
    <t>개야도발전소DG(2)</t>
  </si>
  <si>
    <t>외연도발전소DG(1)</t>
  </si>
  <si>
    <t>외연도발전소DG(2)</t>
  </si>
  <si>
    <t>삽시도발전소DG(1)</t>
  </si>
  <si>
    <t>삽시도발전소DG(2)</t>
  </si>
  <si>
    <t>승봉도발전소DG(1)</t>
  </si>
  <si>
    <t>승봉도발전소DG(2)</t>
  </si>
  <si>
    <t>풍도발전소DG</t>
  </si>
  <si>
    <t>가의도발전소DG</t>
  </si>
  <si>
    <t>가거도발전소DG(1)</t>
  </si>
  <si>
    <t>가거도발전소DG(2)</t>
  </si>
  <si>
    <t>여자도발전소DG</t>
  </si>
  <si>
    <t>추도발전소DG</t>
  </si>
  <si>
    <t>매몰도발전소DG</t>
  </si>
  <si>
    <t>어의도발전소DG</t>
  </si>
  <si>
    <t>어의도발전소DG(2)</t>
  </si>
  <si>
    <t>수우도발전소DG</t>
  </si>
  <si>
    <t>수우도발전소DG(2)</t>
  </si>
  <si>
    <t>장고도발전소DG</t>
  </si>
  <si>
    <t>고대도발전소DG(1)</t>
  </si>
  <si>
    <t>고대도발전소DG(2)</t>
  </si>
  <si>
    <t>문갑도발전소DG</t>
  </si>
  <si>
    <t>성남도발전소DG</t>
  </si>
  <si>
    <t>성남도발전소DG(2)</t>
  </si>
  <si>
    <t>독거도발전소DG</t>
  </si>
  <si>
    <t>독거도발전소DG(2)</t>
  </si>
  <si>
    <t>호도발전소DG</t>
  </si>
  <si>
    <t>녹도발전소DG</t>
  </si>
  <si>
    <t>녹도발전소DG(2)</t>
  </si>
  <si>
    <t>낙월도발전소DG</t>
  </si>
  <si>
    <t>송이도발전소DG</t>
  </si>
  <si>
    <t>송이도발전소DG(2)</t>
  </si>
  <si>
    <t>구자도발전소DG</t>
  </si>
  <si>
    <t>슬도발전소DG</t>
  </si>
  <si>
    <t>시산도발전소DG</t>
  </si>
  <si>
    <t>득량도발전소DG</t>
  </si>
  <si>
    <t>어룡도발전소DG</t>
  </si>
  <si>
    <t>상화도발전소DG</t>
  </si>
  <si>
    <t>손죽도발전소DG</t>
  </si>
  <si>
    <t>울도발전소DG</t>
  </si>
  <si>
    <t>초도발전소DG</t>
  </si>
  <si>
    <t>평도발전소DG</t>
  </si>
  <si>
    <t>화도발전소DG</t>
  </si>
  <si>
    <t>왕등도발전소DG</t>
  </si>
  <si>
    <t>소연평도발전소DG(1)</t>
  </si>
  <si>
    <t>소연평도발전소DG(2)</t>
  </si>
  <si>
    <t>외도발전소DG(1)</t>
  </si>
  <si>
    <t>외도발전소DG(2)</t>
  </si>
  <si>
    <t>영산도발전소DG</t>
  </si>
  <si>
    <t>마라도발전소DG(1)</t>
  </si>
  <si>
    <t>마라도발전소DG(2)</t>
  </si>
  <si>
    <t>고리발전소(2)</t>
  </si>
  <si>
    <t>고리발전소(3)</t>
  </si>
  <si>
    <t>고리발전소(4)</t>
  </si>
  <si>
    <t>신고리발전소(1)</t>
  </si>
  <si>
    <t>신고리발전소(2)</t>
  </si>
  <si>
    <t>신고리발전소(3)</t>
  </si>
  <si>
    <t>신고리발전소(4)</t>
  </si>
  <si>
    <t>월성발전소(2)</t>
  </si>
  <si>
    <t>월성발전소(3)</t>
  </si>
  <si>
    <t>월성발전소(4)</t>
  </si>
  <si>
    <t>신월성발전소(1)</t>
  </si>
  <si>
    <t>신월성발전소(2)</t>
  </si>
  <si>
    <t>영광발전소(1)</t>
  </si>
  <si>
    <t>영광발전소(2)</t>
  </si>
  <si>
    <t>영광발전소(3)</t>
  </si>
  <si>
    <t>영광발전소(4)</t>
  </si>
  <si>
    <t>영광발전소(5)</t>
  </si>
  <si>
    <t>영광발전소(6)</t>
  </si>
  <si>
    <t>울진발전소(1)</t>
  </si>
  <si>
    <t>울진발전소(2)</t>
  </si>
  <si>
    <t>울진발전소(3)</t>
  </si>
  <si>
    <t>울진발전소(4)</t>
  </si>
  <si>
    <t>울진발전소(5)</t>
  </si>
  <si>
    <t>울진발전소(6)</t>
  </si>
  <si>
    <t>청평양수발전소</t>
  </si>
  <si>
    <t>삼랑진양수발전소</t>
  </si>
  <si>
    <t>무주양수발전소</t>
  </si>
  <si>
    <t>산청양수발전소</t>
  </si>
  <si>
    <t>양양양수발전소</t>
  </si>
  <si>
    <t>청송양수발전소</t>
  </si>
  <si>
    <t>예천양수발전소</t>
  </si>
  <si>
    <t>kW</t>
    <phoneticPr fontId="14" type="noConversion"/>
  </si>
  <si>
    <t>남제주발전소</t>
  </si>
  <si>
    <t>제주발전소(2)</t>
  </si>
  <si>
    <t>crude oil</t>
    <phoneticPr fontId="14" type="noConversion"/>
  </si>
  <si>
    <t xml:space="preserve"> * Assumed petroleum and crude oil is constant after 2020</t>
    <phoneticPr fontId="14" type="noConversion"/>
  </si>
  <si>
    <t xml:space="preserve">  Assume drcrement of 2024 is because of non-renewable waste    :</t>
    <phoneticPr fontId="14" type="noConversion"/>
  </si>
  <si>
    <t>Retirements of 2020</t>
    <phoneticPr fontId="14" type="noConversion"/>
  </si>
  <si>
    <t xml:space="preserve">  Ulsan oil plant 4~6 (1.2GW) retirement in 2022 - heavy oil plant</t>
    <phoneticPr fontId="14" type="noConversion"/>
  </si>
  <si>
    <t># Retirements (MW)</t>
    <phoneticPr fontId="14" type="noConversion"/>
  </si>
  <si>
    <t>Subtract (MW)</t>
    <phoneticPr fontId="14" type="noConversion"/>
  </si>
  <si>
    <t>https://www.etrans.or.kr/lib/gen_download.php?file_name=%EC%A0%9C9%EC%B0%A8%EC%A0%84%EB%A0%A5%EC%88%98%EA%B8%89%EA%B8%B0%EB%B3%B8%EA%B3%84%ED%9A%8D.pdf</t>
    <phoneticPr fontId="14" type="noConversion"/>
  </si>
  <si>
    <t>Minimum Capacity (MW)</t>
  </si>
  <si>
    <t>solar PV</t>
  </si>
  <si>
    <t>* Assumed retire cycle of nuclear plant :</t>
    <phoneticPr fontId="14" type="noConversion"/>
  </si>
  <si>
    <t>years</t>
    <phoneticPr fontId="14" type="noConversion"/>
  </si>
  <si>
    <t>starting year</t>
    <phoneticPr fontId="14" type="noConversion"/>
  </si>
  <si>
    <t>** plants built before</t>
    <phoneticPr fontId="14" type="noConversion"/>
  </si>
  <si>
    <t>are not considerd (Assume MOTIE Data already considered them)</t>
    <phoneticPr fontId="14" type="noConversion"/>
  </si>
  <si>
    <t>The last year of MOTIE Data :</t>
    <phoneticPr fontId="14" type="noConversion"/>
  </si>
  <si>
    <t>After 2004 ?</t>
    <phoneticPr fontId="14" type="noConversion"/>
  </si>
  <si>
    <t>Retirement year</t>
    <phoneticPr fontId="14" type="noConversion"/>
  </si>
  <si>
    <t>hard coal</t>
    <phoneticPr fontId="14" type="noConversion"/>
  </si>
  <si>
    <t>natural gas nonpeaker</t>
    <phoneticPr fontId="14" type="noConversion"/>
  </si>
  <si>
    <t>발전원</t>
  </si>
  <si>
    <t>발전소명</t>
  </si>
  <si>
    <t>단위용량</t>
  </si>
  <si>
    <t>대수</t>
  </si>
  <si>
    <t>용량</t>
  </si>
  <si>
    <t>준공</t>
  </si>
  <si>
    <t>형식</t>
  </si>
  <si>
    <t>연료</t>
  </si>
  <si>
    <t>보일러(NSSS)
제작사</t>
  </si>
  <si>
    <t>터빈(수차)
제작사</t>
  </si>
  <si>
    <t>발전기 제작사</t>
  </si>
  <si>
    <t>발전회사</t>
  </si>
  <si>
    <t>정격전압</t>
  </si>
  <si>
    <t>용도별</t>
  </si>
  <si>
    <t>회원</t>
  </si>
  <si>
    <t>시장</t>
  </si>
  <si>
    <t>급전</t>
  </si>
  <si>
    <t>소재지 및
주요생산품목(상용자가)</t>
  </si>
  <si>
    <t>남제주#1</t>
  </si>
  <si>
    <t>바이오중유</t>
  </si>
  <si>
    <t>두산중공업</t>
  </si>
  <si>
    <t>Mitsubish</t>
  </si>
  <si>
    <t>남부발전㈜</t>
  </si>
  <si>
    <t>13.8kV</t>
  </si>
  <si>
    <t>사업용</t>
  </si>
  <si>
    <t>정회원</t>
  </si>
  <si>
    <t>중앙</t>
  </si>
  <si>
    <t>제주 서귀포시 안덕면</t>
  </si>
  <si>
    <t>남제주#2</t>
  </si>
  <si>
    <t>당진#1</t>
  </si>
  <si>
    <t>한중/CE</t>
  </si>
  <si>
    <t>동서발전㈜</t>
  </si>
  <si>
    <t>22kV</t>
  </si>
  <si>
    <t>충남 당진시 석문면</t>
  </si>
  <si>
    <t>당진#10</t>
  </si>
  <si>
    <t>MHPS</t>
  </si>
  <si>
    <t>27kV</t>
  </si>
  <si>
    <t>당진#2</t>
  </si>
  <si>
    <t>당진#3</t>
  </si>
  <si>
    <t>당진#4</t>
  </si>
  <si>
    <t>당진#5</t>
  </si>
  <si>
    <t>당진#6</t>
  </si>
  <si>
    <t>당진#7</t>
  </si>
  <si>
    <t>당진#8</t>
  </si>
  <si>
    <t>당진#9</t>
  </si>
  <si>
    <t>동해#1</t>
  </si>
  <si>
    <t>ABB-CE</t>
  </si>
  <si>
    <t>한중/GE</t>
  </si>
  <si>
    <t>20kV</t>
  </si>
  <si>
    <t>강원 동해시 구호동</t>
  </si>
  <si>
    <t>동해#2</t>
  </si>
  <si>
    <t>보령#1</t>
  </si>
  <si>
    <t>B&amp;W</t>
  </si>
  <si>
    <t>Toshiba</t>
  </si>
  <si>
    <t>중부발전㈜</t>
  </si>
  <si>
    <t>충남 보령군 오천면 오포</t>
  </si>
  <si>
    <t>보령#2</t>
  </si>
  <si>
    <t>보령#3</t>
  </si>
  <si>
    <t>한중/ABBCE</t>
  </si>
  <si>
    <t>보령#4</t>
  </si>
  <si>
    <t>보령#5</t>
  </si>
  <si>
    <t>보령#6</t>
  </si>
  <si>
    <t>보령#7</t>
  </si>
  <si>
    <t>보령#8</t>
  </si>
  <si>
    <t>북평#1</t>
  </si>
  <si>
    <t>BHI</t>
  </si>
  <si>
    <t>㈜GS 동해전력</t>
  </si>
  <si>
    <t>강원 동해시 공단4로</t>
  </si>
  <si>
    <t>북평#2</t>
  </si>
  <si>
    <t>삼척그린파워 #1</t>
  </si>
  <si>
    <t>FosterWheeler+ 한솔신텍</t>
  </si>
  <si>
    <t>도시바</t>
  </si>
  <si>
    <t>강원 삼척시 원덕읍</t>
  </si>
  <si>
    <t>삼척그린파워 #2</t>
  </si>
  <si>
    <t>삼천포#1</t>
  </si>
  <si>
    <t>남동발전㈜</t>
  </si>
  <si>
    <t>경남 고성군 하이면 덕호리</t>
  </si>
  <si>
    <t>삼천포#2</t>
  </si>
  <si>
    <t>삼천포#3</t>
  </si>
  <si>
    <t>한중/ABBGE</t>
  </si>
  <si>
    <t>한중</t>
  </si>
  <si>
    <t>삼천포#4</t>
  </si>
  <si>
    <t>삼천포#5</t>
  </si>
  <si>
    <t>삼천포#6</t>
  </si>
  <si>
    <t>신보령#1</t>
  </si>
  <si>
    <t>30kV</t>
  </si>
  <si>
    <t>충남 보령시 오천면</t>
  </si>
  <si>
    <t>신보령#2</t>
  </si>
  <si>
    <t>여수#1</t>
  </si>
  <si>
    <t>전남 여수시 증흥동</t>
  </si>
  <si>
    <t>여수#2</t>
  </si>
  <si>
    <t>B&amp;W(영)</t>
  </si>
  <si>
    <t>Mitsubishi</t>
  </si>
  <si>
    <t>Melco(일)</t>
  </si>
  <si>
    <t>영동#2</t>
  </si>
  <si>
    <t>Hitachi</t>
  </si>
  <si>
    <t>21kV</t>
  </si>
  <si>
    <t>강원 강릉시 강동면</t>
  </si>
  <si>
    <t>영흥#1</t>
  </si>
  <si>
    <t>두산중공업/ABB</t>
  </si>
  <si>
    <t>두산중공업/GE</t>
  </si>
  <si>
    <t>25kV</t>
  </si>
  <si>
    <t>인천 옹진군 영흥면</t>
  </si>
  <si>
    <t>영흥#2</t>
  </si>
  <si>
    <t>영흥#3</t>
  </si>
  <si>
    <t>영흥#4</t>
  </si>
  <si>
    <t>영흥#5</t>
  </si>
  <si>
    <t>영흥#6</t>
  </si>
  <si>
    <t>울산#4</t>
  </si>
  <si>
    <t>Steinmuller(독)</t>
  </si>
  <si>
    <t>BBC(스)</t>
  </si>
  <si>
    <t>19kV</t>
  </si>
  <si>
    <t>울산 남구 남화동</t>
  </si>
  <si>
    <t>울산#5</t>
  </si>
  <si>
    <t>울산#6</t>
  </si>
  <si>
    <t>제주#2</t>
  </si>
  <si>
    <t>Fuji</t>
  </si>
  <si>
    <t>제주 제주시 삼양동</t>
  </si>
  <si>
    <t>제주#3</t>
  </si>
  <si>
    <t>태안#1</t>
  </si>
  <si>
    <t>서부발전㈜</t>
  </si>
  <si>
    <t>충남 태안군 원북면 방갈리</t>
  </si>
  <si>
    <t>태안#10</t>
  </si>
  <si>
    <t>태안#2</t>
  </si>
  <si>
    <t>태안#3</t>
  </si>
  <si>
    <t>태안#4</t>
  </si>
  <si>
    <t>태안#5</t>
  </si>
  <si>
    <t>두중/IHI</t>
  </si>
  <si>
    <t>현중/WH</t>
  </si>
  <si>
    <t>태안#6</t>
  </si>
  <si>
    <t>태안#7</t>
  </si>
  <si>
    <t>태안#8</t>
  </si>
  <si>
    <t>태안#9</t>
  </si>
  <si>
    <t>평택#1</t>
  </si>
  <si>
    <t>Babcock Hitachi</t>
  </si>
  <si>
    <t>경기 평택시 포승면</t>
  </si>
  <si>
    <t>평택#2</t>
  </si>
  <si>
    <t>평택#3</t>
  </si>
  <si>
    <t>평택#4</t>
  </si>
  <si>
    <t>하동#1</t>
  </si>
  <si>
    <t>경남 하동군 금성면</t>
  </si>
  <si>
    <t>하동#2</t>
  </si>
  <si>
    <t>하동#3</t>
  </si>
  <si>
    <t>하동#4</t>
  </si>
  <si>
    <t>하동#5</t>
  </si>
  <si>
    <t>하동#6</t>
  </si>
  <si>
    <t>하동#7</t>
  </si>
  <si>
    <t>하동#8</t>
  </si>
  <si>
    <t>호남#1</t>
  </si>
  <si>
    <t>Babcock/</t>
  </si>
  <si>
    <t>Alsthom</t>
  </si>
  <si>
    <t>24kV</t>
  </si>
  <si>
    <t>전남 여수시 월내동</t>
  </si>
  <si>
    <t>Hitachi(개조)</t>
  </si>
  <si>
    <t>호남#2</t>
  </si>
  <si>
    <t>가거도</t>
  </si>
  <si>
    <t>내연</t>
  </si>
  <si>
    <t>STX</t>
  </si>
  <si>
    <t>보국전기</t>
  </si>
  <si>
    <t>한국전력</t>
  </si>
  <si>
    <t>비회원</t>
  </si>
  <si>
    <t>시장외</t>
  </si>
  <si>
    <t>비중앙</t>
  </si>
  <si>
    <t>전남 신안군 흑산면 가거도리</t>
  </si>
  <si>
    <t>쌍용</t>
  </si>
  <si>
    <t>현대중전기</t>
  </si>
  <si>
    <t>가의도</t>
  </si>
  <si>
    <t>쌍용 CUMMINS</t>
  </si>
  <si>
    <t>현대전기</t>
  </si>
  <si>
    <t>충남 태안군 근흥면 가의도리</t>
  </si>
  <si>
    <t>가파도</t>
  </si>
  <si>
    <t>쌍용중공업</t>
  </si>
  <si>
    <t>제주 서귀포시 대정읍 가파리</t>
  </si>
  <si>
    <t>개야도</t>
  </si>
  <si>
    <t>쌍용 NIIGATA</t>
  </si>
  <si>
    <t>전북 군산시 옥도면 개야도리</t>
  </si>
  <si>
    <t>거문도</t>
  </si>
  <si>
    <t>Man B&amp;W</t>
  </si>
  <si>
    <t>전남 여수시 삼산면 덕촌리</t>
  </si>
  <si>
    <t>쌍용중공업(Man B&amp;W)</t>
  </si>
  <si>
    <t>STX(Man B&amp;W)</t>
  </si>
  <si>
    <t>효성중공업</t>
  </si>
  <si>
    <t>고대도</t>
  </si>
  <si>
    <t>쌍용(CUMMINS)</t>
  </si>
  <si>
    <t>구자도</t>
  </si>
  <si>
    <t>STX(CUMMINS)</t>
  </si>
  <si>
    <t>전남 진도군 의신면</t>
  </si>
  <si>
    <t>낙월도</t>
  </si>
  <si>
    <t>전남 영광군 낙월면</t>
  </si>
  <si>
    <t>녹도</t>
  </si>
  <si>
    <t>두산 LISTERPETTER</t>
  </si>
  <si>
    <t>CUMMINS</t>
  </si>
  <si>
    <t>대청도</t>
  </si>
  <si>
    <t>인천 옹진군 대청면 대청리</t>
  </si>
  <si>
    <t>현대중공업</t>
  </si>
  <si>
    <t>덕우도</t>
  </si>
  <si>
    <t>RISTERPETTER 대우</t>
  </si>
  <si>
    <t>전남 완도군 생일면 봉선리</t>
  </si>
  <si>
    <t>쌍용중공업(CUMMINS)</t>
  </si>
  <si>
    <t>덕적도</t>
  </si>
  <si>
    <t>Niigata</t>
  </si>
  <si>
    <t>인천 옹진군 덕적면</t>
  </si>
  <si>
    <t>현대중공업(Man B&amp;W)</t>
  </si>
  <si>
    <t>독거도</t>
  </si>
  <si>
    <t>전남 진도군 조도면</t>
  </si>
  <si>
    <t>득량도</t>
  </si>
  <si>
    <t>전남 고흥군 도양읍</t>
  </si>
  <si>
    <t>마라도</t>
  </si>
  <si>
    <t>유엔테크</t>
  </si>
  <si>
    <t>제주 서귀포시 대정읍</t>
  </si>
  <si>
    <t>비케이에이치</t>
  </si>
  <si>
    <t>EAST POWER</t>
  </si>
  <si>
    <t>매물도</t>
  </si>
  <si>
    <t>광양 YANMAR</t>
  </si>
  <si>
    <t>경남 통영시 한산면</t>
  </si>
  <si>
    <t>문갑도</t>
  </si>
  <si>
    <t>백령도</t>
  </si>
  <si>
    <t>인천시 옹진군 백령면</t>
  </si>
  <si>
    <t>현대중공업(HIMSEN)</t>
  </si>
  <si>
    <t>비안도</t>
  </si>
  <si>
    <t>광양중공업</t>
  </si>
  <si>
    <t>전북 군산시 옥도면 비안도리</t>
  </si>
  <si>
    <t>비양도</t>
  </si>
  <si>
    <t>RISTERPETTER</t>
  </si>
  <si>
    <t>제주 제주시 한림읍 협재리</t>
  </si>
  <si>
    <t>삽시도</t>
  </si>
  <si>
    <t>충남 보령시 오천면 삽시도리</t>
  </si>
  <si>
    <t>상화도</t>
  </si>
  <si>
    <t>전남 여수시 화정면</t>
  </si>
  <si>
    <t>성남도</t>
  </si>
  <si>
    <t>소연평도</t>
  </si>
  <si>
    <t>인천 웅진군 연평면</t>
  </si>
  <si>
    <t>소청도</t>
  </si>
  <si>
    <t>인천 옹진군 대청면 소청리</t>
  </si>
  <si>
    <t>손죽도</t>
  </si>
  <si>
    <t>쌍용(Niigata)</t>
  </si>
  <si>
    <t>현대</t>
  </si>
  <si>
    <t>전남 여수시 삼산면</t>
  </si>
  <si>
    <t>송이도</t>
  </si>
  <si>
    <t>LISTERPETTER 대우중공업 두산인프라코어</t>
  </si>
  <si>
    <t>수우도</t>
  </si>
  <si>
    <t>경남 통영시 사량면</t>
  </si>
  <si>
    <t>슬도</t>
  </si>
  <si>
    <t>승봉도</t>
  </si>
  <si>
    <t>인천 옹진군 자월면</t>
  </si>
  <si>
    <t>시산도</t>
  </si>
  <si>
    <t>어룡도</t>
  </si>
  <si>
    <t>(CUMMINS)</t>
  </si>
  <si>
    <t>전남 완도군 노화읍</t>
  </si>
  <si>
    <t>어의도</t>
  </si>
  <si>
    <t>LISTER PETTER</t>
  </si>
  <si>
    <t>경남 통영시 용남면</t>
  </si>
  <si>
    <t>어청도</t>
  </si>
  <si>
    <t>전북 군산시 옥도면 어청도리</t>
  </si>
  <si>
    <t>STX(NIIGATA)</t>
  </si>
  <si>
    <t>여서도</t>
  </si>
  <si>
    <t>전남 완도군 청산면 여서리</t>
  </si>
  <si>
    <t>여자도</t>
  </si>
  <si>
    <t>연도</t>
  </si>
  <si>
    <t>전북 군산시 옥도면 연도리</t>
  </si>
  <si>
    <t>연평도</t>
  </si>
  <si>
    <t>인천 옹진군 연평면 연평리</t>
  </si>
  <si>
    <t>영산도</t>
  </si>
  <si>
    <t>전남 신안군 흑산면</t>
  </si>
  <si>
    <t>왕등도</t>
  </si>
  <si>
    <t>전남 부안군 위도면</t>
  </si>
  <si>
    <t>외도</t>
  </si>
  <si>
    <t>충남 태안군 안면읍</t>
  </si>
  <si>
    <t>외연도</t>
  </si>
  <si>
    <t>충남 보령시 오천면 외연도리</t>
  </si>
  <si>
    <t>울도</t>
  </si>
  <si>
    <t>울릉도</t>
  </si>
  <si>
    <t>경북 울릉군 울릉읍 서면</t>
  </si>
  <si>
    <t>위도</t>
  </si>
  <si>
    <t>Sulzzer</t>
  </si>
  <si>
    <t>전북 부안군 위도면 진리</t>
  </si>
  <si>
    <t>효성</t>
  </si>
  <si>
    <t>자월도</t>
  </si>
  <si>
    <t>인천 옹진군 자월면 자월리</t>
  </si>
  <si>
    <t>장고도</t>
  </si>
  <si>
    <t>제주GT#1,2</t>
  </si>
  <si>
    <t>UTI</t>
  </si>
  <si>
    <t>BRUSH</t>
  </si>
  <si>
    <t>제주GT#3</t>
  </si>
  <si>
    <t>제주내연#1</t>
  </si>
  <si>
    <t>두산엔진</t>
  </si>
  <si>
    <t>Alstom</t>
  </si>
  <si>
    <t>제주내연#2</t>
  </si>
  <si>
    <t>조도</t>
  </si>
  <si>
    <t>초도</t>
  </si>
  <si>
    <t>추도</t>
  </si>
  <si>
    <t>경남 통영시 산양읍</t>
  </si>
  <si>
    <t>추자도</t>
  </si>
  <si>
    <t>제주 제주시 추자면</t>
  </si>
  <si>
    <t>평도</t>
  </si>
  <si>
    <t>풍도</t>
  </si>
  <si>
    <t>경기 안산시 단원구 풍도동</t>
  </si>
  <si>
    <t>호도</t>
  </si>
  <si>
    <t>홍도</t>
  </si>
  <si>
    <t>전남 신안군 흑산면 홍도리</t>
  </si>
  <si>
    <t>화도</t>
  </si>
  <si>
    <t>흑산도</t>
  </si>
  <si>
    <t>현대중공업(Man B&amp;W)(HIMSEN)</t>
  </si>
  <si>
    <t>광양#1 GT</t>
  </si>
  <si>
    <t>복합</t>
  </si>
  <si>
    <t>GE</t>
  </si>
  <si>
    <t>SK E&amp;S㈜</t>
  </si>
  <si>
    <t>18kV</t>
  </si>
  <si>
    <t>전남 광양시 금호동</t>
  </si>
  <si>
    <t>광양#1 ST</t>
  </si>
  <si>
    <t>광양#2 GT</t>
  </si>
  <si>
    <t>광양#2 ST</t>
  </si>
  <si>
    <t>군산 GT</t>
  </si>
  <si>
    <t>MHI</t>
  </si>
  <si>
    <t>전북 군산시 경암동</t>
  </si>
  <si>
    <t>군산 ST</t>
  </si>
  <si>
    <t>S&amp;TC</t>
  </si>
  <si>
    <t>당진#1 GT</t>
  </si>
  <si>
    <t>Siemens</t>
  </si>
  <si>
    <t>GS EPS㈜</t>
  </si>
  <si>
    <t>16kV</t>
  </si>
  <si>
    <t>준회원</t>
  </si>
  <si>
    <t>충남 당진시 송악읍</t>
  </si>
  <si>
    <t>당진#1 ST</t>
  </si>
  <si>
    <t>당진#2 GT</t>
  </si>
  <si>
    <t>15kV</t>
  </si>
  <si>
    <t>당진#2 ST</t>
  </si>
  <si>
    <t>당진#3 GT</t>
  </si>
  <si>
    <t>23kV</t>
  </si>
  <si>
    <t>당진#3 ST</t>
  </si>
  <si>
    <t>당진#4 GT</t>
  </si>
  <si>
    <t>GS엔텍</t>
  </si>
  <si>
    <t>당진#4 ST</t>
  </si>
  <si>
    <t>대산 GT</t>
  </si>
  <si>
    <t>WH(GT)</t>
  </si>
  <si>
    <t>WH/</t>
  </si>
  <si>
    <t>씨지앤대산전력㈜</t>
  </si>
  <si>
    <t>13kV</t>
  </si>
  <si>
    <t>충남 서산시 대산읍</t>
  </si>
  <si>
    <t>대산 ST</t>
  </si>
  <si>
    <t>현대중공업(ST)</t>
  </si>
  <si>
    <t>동두천#1 GT</t>
  </si>
  <si>
    <t>동두천드림파워㈜</t>
  </si>
  <si>
    <t>경기 동두천시 지형동</t>
  </si>
  <si>
    <t>동두천#1 ST</t>
  </si>
  <si>
    <t>DHI</t>
  </si>
  <si>
    <t>동두천#2 GT</t>
  </si>
  <si>
    <t>동두천#2 ST</t>
  </si>
  <si>
    <t>Alstom (구)ABB</t>
  </si>
  <si>
    <t>부산#1 GT</t>
  </si>
  <si>
    <t>부산 사하구 감천동</t>
  </si>
  <si>
    <t>부산#1 ST</t>
  </si>
  <si>
    <t>부산#2 GT</t>
  </si>
  <si>
    <t>부산#2 ST</t>
  </si>
  <si>
    <t>부산#3 GT</t>
  </si>
  <si>
    <t>부산#3 ST</t>
  </si>
  <si>
    <t>부산#4 GT</t>
  </si>
  <si>
    <t>부산#4 ST</t>
  </si>
  <si>
    <t>부산정관에너지 GT</t>
  </si>
  <si>
    <t>부산정관에너지</t>
  </si>
  <si>
    <t>부산 기장군 정관읍</t>
  </si>
  <si>
    <t>부산정관에너지 ST</t>
  </si>
  <si>
    <t>분당#1 GT</t>
  </si>
  <si>
    <t>ABB</t>
  </si>
  <si>
    <t>경기 성남시 분당동</t>
  </si>
  <si>
    <t>분당#1 ST</t>
  </si>
  <si>
    <t>17kV</t>
  </si>
  <si>
    <t>분당#2 GT</t>
  </si>
  <si>
    <t>분당#2 ST</t>
  </si>
  <si>
    <t>ABB-한중</t>
  </si>
  <si>
    <t>서울복합#1 GT</t>
  </si>
  <si>
    <t>서울 마포구 토정로</t>
  </si>
  <si>
    <t>서울복합#1 ST</t>
  </si>
  <si>
    <t>16.5kV</t>
  </si>
  <si>
    <t>서울복합#2 GT</t>
  </si>
  <si>
    <t>서울복합#2 ST</t>
  </si>
  <si>
    <t>인천 서구 경서동</t>
  </si>
  <si>
    <t>신인천#1,2 ST</t>
  </si>
  <si>
    <t>신인천#3,4 GT</t>
  </si>
  <si>
    <t>신인천#3,4 ST</t>
  </si>
  <si>
    <t>신평택 GT</t>
  </si>
  <si>
    <t>MELCO</t>
  </si>
  <si>
    <t>신평택발전㈜</t>
  </si>
  <si>
    <t>경기 평택시 포승읍</t>
  </si>
  <si>
    <t>신평택 ST</t>
  </si>
  <si>
    <t>안동 GT</t>
  </si>
  <si>
    <t>경북 안동시 풍산읍</t>
  </si>
  <si>
    <t>안동 ST</t>
  </si>
  <si>
    <t>안산 GT</t>
  </si>
  <si>
    <t>㈜에스파워</t>
  </si>
  <si>
    <t>경기 안산시 단원구</t>
  </si>
  <si>
    <t>안산 ST</t>
  </si>
  <si>
    <t>영남파워 GT</t>
  </si>
  <si>
    <t>코스포영남파워㈜</t>
  </si>
  <si>
    <t>울산 남구 장생포로</t>
  </si>
  <si>
    <t>영남파워 ST</t>
  </si>
  <si>
    <t>영월 GT</t>
  </si>
  <si>
    <t>강원 영월군 영월읍</t>
  </si>
  <si>
    <t>영월 ST</t>
  </si>
  <si>
    <t>오성 GT</t>
  </si>
  <si>
    <t>평택에너지서비스㈜</t>
  </si>
  <si>
    <t>경기 평택시 오성면</t>
  </si>
  <si>
    <t>오성 ST</t>
  </si>
  <si>
    <t>울산#1 GT</t>
  </si>
  <si>
    <t>WH</t>
  </si>
  <si>
    <t>울산#1 ST</t>
  </si>
  <si>
    <t>삼성중공업</t>
  </si>
  <si>
    <t>울산#2 GT</t>
  </si>
  <si>
    <t>울산#2 ST</t>
  </si>
  <si>
    <t>울산#3 GT</t>
  </si>
  <si>
    <t>울산#3 ST</t>
  </si>
  <si>
    <t>울산#4 GT</t>
  </si>
  <si>
    <t>울산#4 ST</t>
  </si>
  <si>
    <t>세대이노텍</t>
  </si>
  <si>
    <t>율촌#1 GT</t>
  </si>
  <si>
    <t>씨지앤율촌전력㈜</t>
  </si>
  <si>
    <t>전남 순천시 해룡면</t>
  </si>
  <si>
    <t>율촌#1 ST</t>
  </si>
  <si>
    <t>율촌#2 GT</t>
  </si>
  <si>
    <t>율촌#2 ST</t>
  </si>
  <si>
    <t>인천#1 GT</t>
  </si>
  <si>
    <t>인천 서구 원창동</t>
  </si>
  <si>
    <t>인천#1 ST</t>
  </si>
  <si>
    <t>인천#2 GT</t>
  </si>
  <si>
    <t>인천#2 ST</t>
  </si>
  <si>
    <t>세대에너텍</t>
  </si>
  <si>
    <t>인천#3 GT</t>
  </si>
  <si>
    <t>Alstom(ABB)</t>
  </si>
  <si>
    <t>인천#3 ST</t>
  </si>
  <si>
    <t>일산#1 GT</t>
  </si>
  <si>
    <t>경기 고양시 백석동</t>
  </si>
  <si>
    <t>일산#1 ST</t>
  </si>
  <si>
    <t>일산#2 GT</t>
  </si>
  <si>
    <t>일산#2 ST</t>
  </si>
  <si>
    <t>제주복합#1 GT</t>
  </si>
  <si>
    <t>제주 제주시 원당로</t>
  </si>
  <si>
    <t>제주복합#1 ST</t>
  </si>
  <si>
    <t>제주복합#2 GT</t>
  </si>
  <si>
    <t>제주복합#2 ST</t>
  </si>
  <si>
    <t>파주문산#1 GT</t>
  </si>
  <si>
    <t>파주에너지서비스㈜</t>
  </si>
  <si>
    <t>경기 파주시 파주읍</t>
  </si>
  <si>
    <t>파주문산#1 ST</t>
  </si>
  <si>
    <t>파주문산#2 GT</t>
  </si>
  <si>
    <t>파주문산#2 ST</t>
  </si>
  <si>
    <t>평택#2 GT</t>
  </si>
  <si>
    <t>평택#2 ST</t>
  </si>
  <si>
    <t>포스코#3 GT</t>
  </si>
  <si>
    <t>포스코에너지㈜</t>
  </si>
  <si>
    <t>포스코#3 ST</t>
  </si>
  <si>
    <t>포스코#4 GT</t>
  </si>
  <si>
    <t>포스코#4 ST</t>
  </si>
  <si>
    <t>포스코#5 GT</t>
  </si>
  <si>
    <t>포스코#5 ST</t>
  </si>
  <si>
    <t>BHI(범우중공업)</t>
  </si>
  <si>
    <t>포스코#6 GT</t>
  </si>
  <si>
    <t>포스코#6 ST</t>
  </si>
  <si>
    <t>포스코#7 GT</t>
  </si>
  <si>
    <t>포스코#7 ST</t>
  </si>
  <si>
    <t>포스코#8 GT</t>
  </si>
  <si>
    <t>포스코#8 ST</t>
  </si>
  <si>
    <t>포스코#9 GT</t>
  </si>
  <si>
    <t>포스코#9 ST</t>
  </si>
  <si>
    <t>포천#1 GT</t>
  </si>
  <si>
    <t>Melco</t>
  </si>
  <si>
    <t>포천파워㈜</t>
  </si>
  <si>
    <t>경기 포천시 창수면</t>
  </si>
  <si>
    <t>포천#1 ST</t>
  </si>
  <si>
    <t>포천#2 GT</t>
  </si>
  <si>
    <t>포천#2 ST</t>
  </si>
  <si>
    <t>포천천연 GT</t>
  </si>
  <si>
    <t>포천민자발전㈜</t>
  </si>
  <si>
    <t>경기 포천시 신북면</t>
  </si>
  <si>
    <t>포천천연 ST</t>
  </si>
  <si>
    <t>한림 GT</t>
  </si>
  <si>
    <t>제주 제주시 한림읍</t>
  </si>
  <si>
    <t>한림 ST</t>
  </si>
  <si>
    <t>KC하이드로</t>
  </si>
  <si>
    <t>소수력</t>
  </si>
  <si>
    <t>Ellaf</t>
  </si>
  <si>
    <t>KC하이드로㈜</t>
  </si>
  <si>
    <t>제주 제주시 한경면</t>
  </si>
  <si>
    <t>가북</t>
  </si>
  <si>
    <t>대양수력</t>
  </si>
  <si>
    <t>일진전기</t>
  </si>
  <si>
    <t>농어촌공사</t>
  </si>
  <si>
    <t>경남 거창군 가북면</t>
  </si>
  <si>
    <t>강릉</t>
  </si>
  <si>
    <t>한수원</t>
  </si>
  <si>
    <t>강원 강릉시 성산면(남한강지류 송천 도암호)</t>
  </si>
  <si>
    <t>강정고령보</t>
  </si>
  <si>
    <t>Mavel</t>
  </si>
  <si>
    <t>수자원공사</t>
  </si>
  <si>
    <t>대구 달성군 다사읍</t>
  </si>
  <si>
    <t>강천보</t>
  </si>
  <si>
    <t>Gugler</t>
  </si>
  <si>
    <t>경기 여주군 여주읍</t>
  </si>
  <si>
    <t>개취보</t>
  </si>
  <si>
    <t>산청군</t>
  </si>
  <si>
    <t>경남 산청군 금서면</t>
  </si>
  <si>
    <t>경천#1</t>
  </si>
  <si>
    <t>대양전기</t>
  </si>
  <si>
    <t>경북 문경시 동로면</t>
  </si>
  <si>
    <t>경천#2</t>
  </si>
  <si>
    <t>경천</t>
  </si>
  <si>
    <t>경천지구</t>
  </si>
  <si>
    <t>전북 완주군 경천면</t>
  </si>
  <si>
    <t>고문</t>
  </si>
  <si>
    <t>신에너지㈜</t>
  </si>
  <si>
    <t>경기 연천군 연천읍</t>
  </si>
  <si>
    <t>고산</t>
  </si>
  <si>
    <t>대구 수성구 노변동</t>
  </si>
  <si>
    <t>고수</t>
  </si>
  <si>
    <t>금성E&amp;C</t>
  </si>
  <si>
    <t>한성중공업</t>
  </si>
  <si>
    <t>전북 고창군 고창읍</t>
  </si>
  <si>
    <t>공주보</t>
  </si>
  <si>
    <t>충남 공주시 우성면</t>
  </si>
  <si>
    <t>광주호</t>
  </si>
  <si>
    <t>전남 담양군 고서면</t>
  </si>
  <si>
    <t>광천</t>
  </si>
  <si>
    <t>Dependable(캐)</t>
  </si>
  <si>
    <t>전남 순천시 주암면</t>
  </si>
  <si>
    <t>괴산</t>
  </si>
  <si>
    <t>James Leffel</t>
  </si>
  <si>
    <t>충북 괴산군 칠성면(남한강수계 남한강 칠성호)</t>
  </si>
  <si>
    <t>구만</t>
  </si>
  <si>
    <t>전남 구례군 광의면</t>
  </si>
  <si>
    <t>구미보</t>
  </si>
  <si>
    <t>경북 구미시 해평면</t>
  </si>
  <si>
    <t>군위댐</t>
  </si>
  <si>
    <t>경북 군위군 고로면</t>
  </si>
  <si>
    <t>궁평</t>
  </si>
  <si>
    <t>충남 아산시 송악면</t>
  </si>
  <si>
    <t>극동</t>
  </si>
  <si>
    <t>Ossberger</t>
  </si>
  <si>
    <t>극동소수력</t>
  </si>
  <si>
    <t>전북 정읍시 산외면</t>
  </si>
  <si>
    <t>극동제2</t>
  </si>
  <si>
    <t>중경화소수력</t>
  </si>
  <si>
    <t>중경샤이리멍</t>
  </si>
  <si>
    <t>(유)극동제2소수력발전소</t>
  </si>
  <si>
    <t>금강</t>
  </si>
  <si>
    <t>ACEC</t>
  </si>
  <si>
    <t>㈜크린에너지</t>
  </si>
  <si>
    <t>충북 옥천군 동이면</t>
  </si>
  <si>
    <t>금계</t>
  </si>
  <si>
    <t>경북 영주시 풍기읍</t>
  </si>
  <si>
    <t>낙단보</t>
  </si>
  <si>
    <t>경북 의성군 단밀면</t>
  </si>
  <si>
    <t>낙덕</t>
  </si>
  <si>
    <t>전북 순창군 복흥면</t>
  </si>
  <si>
    <t>남강</t>
  </si>
  <si>
    <t>경남 진주시 판문동(낙동강수계 남강 진양호)</t>
  </si>
  <si>
    <t>남강#2</t>
  </si>
  <si>
    <t>Andritz</t>
  </si>
  <si>
    <t>경남 진주시 내동면</t>
  </si>
  <si>
    <t>노량진</t>
  </si>
  <si>
    <t>ANDRITZ</t>
  </si>
  <si>
    <t>SIEMENS</t>
  </si>
  <si>
    <t>서울시상하수도</t>
  </si>
  <si>
    <t>서울 동작구 노량진동</t>
  </si>
  <si>
    <t>충남 보령시 죽정동</t>
  </si>
  <si>
    <t>단양수중보</t>
  </si>
  <si>
    <t>충북 단양군 단성면</t>
  </si>
  <si>
    <t>달방</t>
  </si>
  <si>
    <t>강원 동해시 이로동</t>
  </si>
  <si>
    <t>달성보</t>
  </si>
  <si>
    <t>경북 고령군 개진면</t>
  </si>
  <si>
    <t>담양</t>
  </si>
  <si>
    <t>전남 담양군 금성면</t>
  </si>
  <si>
    <t>당진화력#1</t>
  </si>
  <si>
    <t>동서발전</t>
  </si>
  <si>
    <t>당진화력2소수력</t>
  </si>
  <si>
    <t>harbin electricity machinery</t>
  </si>
  <si>
    <t>대곡</t>
  </si>
  <si>
    <t>울산 울주군 두동면</t>
  </si>
  <si>
    <t>대아</t>
  </si>
  <si>
    <t>전북 순천시 주안면</t>
  </si>
  <si>
    <t>대청</t>
  </si>
  <si>
    <t>13.2kV</t>
  </si>
  <si>
    <t>충북 청원군 문의면(금강본류 대청호)</t>
  </si>
  <si>
    <t>대청댐#1</t>
  </si>
  <si>
    <t>충북 청원군 현도면</t>
  </si>
  <si>
    <t>대청댐2</t>
  </si>
  <si>
    <t>충북 청주시 상당구</t>
  </si>
  <si>
    <t>대한수력발전(주)</t>
  </si>
  <si>
    <t>전남 보성군 득량면</t>
  </si>
  <si>
    <t>덕남정수장</t>
  </si>
  <si>
    <t>GS 파워㈜</t>
  </si>
  <si>
    <t>광주 남구 덕남1길</t>
  </si>
  <si>
    <t>동상</t>
  </si>
  <si>
    <t>전북 완주군 동상면</t>
  </si>
  <si>
    <t>동화댐</t>
  </si>
  <si>
    <t>전북 장수군 번안면</t>
  </si>
  <si>
    <t>동화정수장</t>
  </si>
  <si>
    <t>전북 장수군 번암면</t>
  </si>
  <si>
    <t>맹동</t>
  </si>
  <si>
    <t>금성 ENC</t>
  </si>
  <si>
    <t>한국농어촌공사</t>
  </si>
  <si>
    <t>충북 음성군 맹동면</t>
  </si>
  <si>
    <t>무주소수력</t>
  </si>
  <si>
    <t>전북 무주군 적상면</t>
  </si>
  <si>
    <t>무주양수</t>
  </si>
  <si>
    <t>한중/Neypric(프)</t>
  </si>
  <si>
    <t>한중/Alsthom</t>
  </si>
  <si>
    <t>물야</t>
  </si>
  <si>
    <t>경북 봉화군 물야면</t>
  </si>
  <si>
    <t>밀양</t>
  </si>
  <si>
    <t>경남 밀양시 산외면</t>
  </si>
  <si>
    <t>반변</t>
  </si>
  <si>
    <t>FLYGT</t>
  </si>
  <si>
    <t>경북 안동시 임하면</t>
  </si>
  <si>
    <t>방우리</t>
  </si>
  <si>
    <t>㈜청풍에너지</t>
  </si>
  <si>
    <t>충남 금산군 부리면</t>
  </si>
  <si>
    <t>백곡</t>
  </si>
  <si>
    <t>충북 진천군 진천읍</t>
  </si>
  <si>
    <t>백운제#1</t>
  </si>
  <si>
    <t>전남 광양시 지실길</t>
  </si>
  <si>
    <t>백제보</t>
  </si>
  <si>
    <t>충남 부여군 부여읍</t>
  </si>
  <si>
    <t>보령</t>
  </si>
  <si>
    <t>Marathon(미)</t>
  </si>
  <si>
    <t>충남 보령시 미산면</t>
  </si>
  <si>
    <t>보령화력#1</t>
  </si>
  <si>
    <t>중부발전</t>
  </si>
  <si>
    <t>보령화력#2</t>
  </si>
  <si>
    <t>보성강</t>
  </si>
  <si>
    <t>전남 보성군 득량면(섬진강수계 보성강 보성저수지)</t>
  </si>
  <si>
    <t>보청</t>
  </si>
  <si>
    <t>TINK</t>
  </si>
  <si>
    <t>MARELLI</t>
  </si>
  <si>
    <t>희도전력㈜</t>
  </si>
  <si>
    <t>충북 보은군 수한면</t>
  </si>
  <si>
    <t>보현산댐</t>
  </si>
  <si>
    <t>경북 영천시 화북면</t>
  </si>
  <si>
    <t>봉화</t>
  </si>
  <si>
    <t>Obermeyer</t>
  </si>
  <si>
    <t>충북 봉화군 명호면</t>
  </si>
  <si>
    <t>부안</t>
  </si>
  <si>
    <t>전북 부안군 변산면</t>
  </si>
  <si>
    <t>부항댐</t>
  </si>
  <si>
    <t>경북 김천시 지례면</t>
  </si>
  <si>
    <t>북평해양수력</t>
  </si>
  <si>
    <t>진런(중국)</t>
  </si>
  <si>
    <t>㈜GS동해전력</t>
  </si>
  <si>
    <t>산내</t>
  </si>
  <si>
    <t>British Columbia</t>
  </si>
  <si>
    <t>이천전기</t>
  </si>
  <si>
    <t>산내소수력발전소</t>
  </si>
  <si>
    <t>전북 남원시 산내면</t>
  </si>
  <si>
    <t>산청소수력*</t>
  </si>
  <si>
    <t>경남 산청군 시천면</t>
  </si>
  <si>
    <t>ALSTOM</t>
  </si>
  <si>
    <t>산청양수</t>
  </si>
  <si>
    <t>삼랑진양수</t>
  </si>
  <si>
    <t>Hitachi/한중</t>
  </si>
  <si>
    <t>Fuji/한중</t>
  </si>
  <si>
    <t>경남 밀양시 삼랑진읍</t>
  </si>
  <si>
    <t>삼척그린파워 해양소수력</t>
  </si>
  <si>
    <t>CG Electric Systems Hungary Zrt</t>
  </si>
  <si>
    <t>남부발전</t>
  </si>
  <si>
    <t>삼천포 해양</t>
  </si>
  <si>
    <t>독일 Ossberger</t>
  </si>
  <si>
    <t>독일 Flender-Loher</t>
  </si>
  <si>
    <t>남동발전</t>
  </si>
  <si>
    <t>경남 고성군 하이면</t>
  </si>
  <si>
    <t>삼한에너지</t>
  </si>
  <si>
    <t>애플에너지</t>
  </si>
  <si>
    <t>강원 정선군 정선읍</t>
  </si>
  <si>
    <t>삿갓보</t>
  </si>
  <si>
    <t>전북 정읍시 응동면</t>
  </si>
  <si>
    <t>상주보</t>
  </si>
  <si>
    <t>경북 상주시 중동면</t>
  </si>
  <si>
    <t>서리보</t>
  </si>
  <si>
    <t>인제군청</t>
  </si>
  <si>
    <t>강원 인제군 기린면</t>
  </si>
  <si>
    <t>서포</t>
  </si>
  <si>
    <t>전북 군산시 개정면</t>
  </si>
  <si>
    <t>섬진강댐</t>
  </si>
  <si>
    <t>GEA</t>
  </si>
  <si>
    <t>전북 임실군 강진면</t>
  </si>
  <si>
    <t>성남</t>
  </si>
  <si>
    <t>경기 성남시 수정구</t>
  </si>
  <si>
    <t>성남 제2소수력</t>
  </si>
  <si>
    <t>신한정공</t>
  </si>
  <si>
    <t>성덕댐</t>
  </si>
  <si>
    <t>ADDA</t>
  </si>
  <si>
    <t>경북 청송군 안덕면</t>
  </si>
  <si>
    <t>성주</t>
  </si>
  <si>
    <t>㈜성주발전</t>
  </si>
  <si>
    <t>경북 성주군 가천면</t>
  </si>
  <si>
    <t>세종보</t>
  </si>
  <si>
    <t>세종 연기면</t>
  </si>
  <si>
    <t>소양강</t>
  </si>
  <si>
    <t>15.4kV</t>
  </si>
  <si>
    <t>강원 춘천시 신북읍(한강수계 소양강 소양호)</t>
  </si>
  <si>
    <t>소천</t>
  </si>
  <si>
    <t>㈜한여울</t>
  </si>
  <si>
    <t>경북 봉화군 소천면</t>
  </si>
  <si>
    <t>소향</t>
  </si>
  <si>
    <t>전주 완주군 고산면</t>
  </si>
  <si>
    <t>솔향강릉</t>
  </si>
  <si>
    <t>강원 강릉시 홍제동</t>
  </si>
  <si>
    <t>승촌보</t>
  </si>
  <si>
    <t>광주 남구 승천동</t>
  </si>
  <si>
    <t>신보령</t>
  </si>
  <si>
    <t>충남 보령시 주교면</t>
  </si>
  <si>
    <t>안계</t>
  </si>
  <si>
    <t>ossberger</t>
  </si>
  <si>
    <t>경북 경주시 강동면</t>
  </si>
  <si>
    <t>안동</t>
  </si>
  <si>
    <t>Deriaz</t>
  </si>
  <si>
    <t>11kV</t>
  </si>
  <si>
    <t>경북 안동시 성곡동(낙동강본류 안동호)</t>
  </si>
  <si>
    <t>안동소수력</t>
  </si>
  <si>
    <t>경북 안동시 성곡동</t>
  </si>
  <si>
    <t>강원 평창군 도암면(남한강지류 주천강)</t>
  </si>
  <si>
    <t>ALSTOM(두산중공업)</t>
  </si>
  <si>
    <t>경북 예천군 용문면</t>
  </si>
  <si>
    <t>양양소수력</t>
  </si>
  <si>
    <t>강원 양양군 서면</t>
  </si>
  <si>
    <t>양양양수</t>
  </si>
  <si>
    <t>여주보</t>
  </si>
  <si>
    <t>경기 여주시 능서면</t>
  </si>
  <si>
    <t>영주댐</t>
  </si>
  <si>
    <t>경북 영주시 평은면</t>
  </si>
  <si>
    <t>영천</t>
  </si>
  <si>
    <t>경북 영천시 임고면</t>
  </si>
  <si>
    <t>영흥해양#1</t>
  </si>
  <si>
    <t>캐슬러</t>
  </si>
  <si>
    <t>TES(체코)</t>
  </si>
  <si>
    <t>영흥해양#2</t>
  </si>
  <si>
    <t>하이드로에너지</t>
  </si>
  <si>
    <t>인천 웅진군 영흥면</t>
  </si>
  <si>
    <t>영흥해양#3</t>
  </si>
  <si>
    <t>Hydro-energy</t>
  </si>
  <si>
    <t>예당</t>
  </si>
  <si>
    <t>충남 예산군 응봉면</t>
  </si>
  <si>
    <t>예천소수력</t>
  </si>
  <si>
    <t>경북 예천군</t>
  </si>
  <si>
    <t>오봉지구</t>
  </si>
  <si>
    <t>강원 강릉시 성산면</t>
  </si>
  <si>
    <t>용담</t>
  </si>
  <si>
    <t>전북 진안군 용담면</t>
  </si>
  <si>
    <t>용담1수력</t>
  </si>
  <si>
    <t>용담고산#1</t>
  </si>
  <si>
    <t>WKV</t>
  </si>
  <si>
    <t>전북 완주군 고산면</t>
  </si>
  <si>
    <t>용림</t>
  </si>
  <si>
    <t>전북 장수군 장수읍</t>
  </si>
  <si>
    <t>용연 정수장</t>
  </si>
  <si>
    <t>광주 동구 용연동</t>
  </si>
  <si>
    <t>운문</t>
  </si>
  <si>
    <t>경북 청도군 운문면</t>
  </si>
  <si>
    <t>운서보</t>
  </si>
  <si>
    <t>Tink</t>
  </si>
  <si>
    <t>Marelli</t>
  </si>
  <si>
    <t>함양군청</t>
  </si>
  <si>
    <t>경남 함양군 휴천면</t>
  </si>
  <si>
    <t>원정수</t>
  </si>
  <si>
    <t>㈜포스코</t>
  </si>
  <si>
    <t>원통보</t>
  </si>
  <si>
    <t>강원 인제군 북면</t>
  </si>
  <si>
    <t>율현</t>
  </si>
  <si>
    <t>경남 산청군 신동면</t>
  </si>
  <si>
    <t>의암</t>
  </si>
  <si>
    <t>강원 춘천시 신동면(한강수계 북한강 의암호)</t>
  </si>
  <si>
    <t>이포보</t>
  </si>
  <si>
    <t>경기 여주군 금사면</t>
  </si>
  <si>
    <t>일산정수장</t>
  </si>
  <si>
    <t>구글러</t>
  </si>
  <si>
    <t>경기 고양시 덕양구</t>
  </si>
  <si>
    <t>임기</t>
  </si>
  <si>
    <t>대동기업㈜</t>
  </si>
  <si>
    <t>임하</t>
  </si>
  <si>
    <t>Voest Alpine</t>
  </si>
  <si>
    <t>Elin Union</t>
  </si>
  <si>
    <t>경북 안동시 임하면(낙동가지류 반변천 임하호)</t>
  </si>
  <si>
    <t>자인정</t>
  </si>
  <si>
    <t>경북 경산시 자인면</t>
  </si>
  <si>
    <t>장성</t>
  </si>
  <si>
    <t>금전기업</t>
  </si>
  <si>
    <t>전남 장성군 장성읍</t>
  </si>
  <si>
    <t>장흥</t>
  </si>
  <si>
    <t>전남 장흥군 부산면</t>
  </si>
  <si>
    <t>정선(봉정)</t>
  </si>
  <si>
    <t>㈜정선소수력</t>
  </si>
  <si>
    <t>강원 정선군 북면</t>
  </si>
  <si>
    <t>정우#2</t>
  </si>
  <si>
    <t>전북 정읍시 정우면</t>
  </si>
  <si>
    <t>주암</t>
  </si>
  <si>
    <t>대우중공업</t>
  </si>
  <si>
    <t>6.6kV</t>
  </si>
  <si>
    <t>전남 순천시 주암면(섬진강수계 보성강 주암호)</t>
  </si>
  <si>
    <t>주암 역조정지댐</t>
  </si>
  <si>
    <t>전남 순천시 상사면</t>
  </si>
  <si>
    <t>죽산보</t>
  </si>
  <si>
    <t>전북 나주시 다시면</t>
  </si>
  <si>
    <t>죽전</t>
  </si>
  <si>
    <t>경남 합천군 가야면</t>
  </si>
  <si>
    <t>청송양수</t>
  </si>
  <si>
    <t>경북 청송군 파천면</t>
  </si>
  <si>
    <t>청평</t>
  </si>
  <si>
    <t>경기 가평군 외서면(한강수계 북한강 청평호)</t>
  </si>
  <si>
    <t>청평양수</t>
  </si>
  <si>
    <t>추산</t>
  </si>
  <si>
    <t>KAWASAKI</t>
  </si>
  <si>
    <t>경북 울릉군 북면(나리분지수원지 용출소)</t>
  </si>
  <si>
    <t>춘천</t>
  </si>
  <si>
    <t>강원 춘천시 신북읍(한강수계 북한강 춘천호)</t>
  </si>
  <si>
    <t>충주</t>
  </si>
  <si>
    <t>충북 충주시 동량면(한강수계 남한강 충주호)</t>
  </si>
  <si>
    <t>칠곡보</t>
  </si>
  <si>
    <t>경북 칠곡군 석적읍</t>
  </si>
  <si>
    <t>칠보</t>
  </si>
  <si>
    <t>전북 정읍시 칠보면(섬진강수계 섬진강옥정호)</t>
  </si>
  <si>
    <t>탑정</t>
  </si>
  <si>
    <t>충남 논산시 부적면</t>
  </si>
  <si>
    <t>태안소수력</t>
  </si>
  <si>
    <t>수차:대양전기</t>
  </si>
  <si>
    <t>수문:두산중공업</t>
  </si>
  <si>
    <t>서부발전</t>
  </si>
  <si>
    <t>충남 태안군 원북면</t>
  </si>
  <si>
    <t>토평</t>
  </si>
  <si>
    <t>경기 구리시 수택동</t>
  </si>
  <si>
    <t>판교가압장</t>
  </si>
  <si>
    <t>경기 성남시 분당구</t>
  </si>
  <si>
    <t>팔당</t>
  </si>
  <si>
    <t>CREUSOT LOIRE</t>
  </si>
  <si>
    <t>JEUMONT SCHNEIDER</t>
  </si>
  <si>
    <t>6kV</t>
  </si>
  <si>
    <t>경기 남양주시 조안면(한강수계 북한강 팔당호)</t>
  </si>
  <si>
    <t>하동호</t>
  </si>
  <si>
    <t>전남 하동군 청암면</t>
  </si>
  <si>
    <t>한국해양울돌목조류</t>
  </si>
  <si>
    <t>해양에너지</t>
  </si>
  <si>
    <t>한국해양과학기술원</t>
  </si>
  <si>
    <t>전남 진도군 군내면</t>
  </si>
  <si>
    <t>한석</t>
  </si>
  <si>
    <t>Omy사</t>
  </si>
  <si>
    <t>㈜한석에너지</t>
  </si>
  <si>
    <t>충북 단양군 영춘면</t>
  </si>
  <si>
    <t>함안보</t>
  </si>
  <si>
    <t>경남 함안군 칠북면</t>
  </si>
  <si>
    <t>합천</t>
  </si>
  <si>
    <t>경남 합천군 용주면(낙동강수계 황강 합천호)</t>
  </si>
  <si>
    <t>합천·창녕보</t>
  </si>
  <si>
    <t>경남 합천군 청덕면</t>
  </si>
  <si>
    <t>합천2수력</t>
  </si>
  <si>
    <t>경남 합천군 용주면</t>
  </si>
  <si>
    <t>행원</t>
  </si>
  <si>
    <t>제주 제주시 구좌읍</t>
  </si>
  <si>
    <t>홍익동진</t>
  </si>
  <si>
    <t>㈜홍익이앤알</t>
  </si>
  <si>
    <t>전북 정읍시 칠보면</t>
  </si>
  <si>
    <t>화천</t>
  </si>
  <si>
    <t>강원 화천군 간동면(한강수계 북한강 파로호)</t>
  </si>
  <si>
    <t>회동댐</t>
  </si>
  <si>
    <t>부산 금정구 회동동</t>
  </si>
  <si>
    <t>횡성</t>
  </si>
  <si>
    <t>강원 횡성군 갑천면</t>
  </si>
  <si>
    <t>횡성댐2</t>
  </si>
  <si>
    <t>고 리 #2</t>
  </si>
  <si>
    <t>PWR</t>
  </si>
  <si>
    <t>농축U</t>
  </si>
  <si>
    <t>GEC(영)</t>
  </si>
  <si>
    <t>한수원㈜</t>
  </si>
  <si>
    <t>부산 기장군 장안읍 고리</t>
  </si>
  <si>
    <t>고 리 #3</t>
  </si>
  <si>
    <t>고 리 #4</t>
  </si>
  <si>
    <t>신고리#1</t>
  </si>
  <si>
    <t>두중/GE</t>
  </si>
  <si>
    <t>울산 울주군 서생면 신암리</t>
  </si>
  <si>
    <t>신고리#2</t>
  </si>
  <si>
    <t>신고리#3</t>
  </si>
  <si>
    <t>신고리#4</t>
  </si>
  <si>
    <t>신월성#1</t>
  </si>
  <si>
    <t>경북 경주시 양남면 나아리</t>
  </si>
  <si>
    <t>신월성#2</t>
  </si>
  <si>
    <t>월 성 #2</t>
  </si>
  <si>
    <t>PHWR</t>
  </si>
  <si>
    <t>천연U</t>
  </si>
  <si>
    <t>AECL/한중/한원연</t>
  </si>
  <si>
    <t>월 성 #3</t>
  </si>
  <si>
    <t>AECL/한중</t>
  </si>
  <si>
    <t>월 성 #4</t>
  </si>
  <si>
    <t>한 빛 #1</t>
  </si>
  <si>
    <t>전남 영광군 홍농읍 계마리</t>
  </si>
  <si>
    <t>한 빛 #2</t>
  </si>
  <si>
    <t>한 빛 #3</t>
  </si>
  <si>
    <t>한중/한원연/CE</t>
  </si>
  <si>
    <t>한 빛 #4</t>
  </si>
  <si>
    <t>한 빛 #5</t>
  </si>
  <si>
    <t>한 빛 #6</t>
  </si>
  <si>
    <t>한 울 #1</t>
  </si>
  <si>
    <t>Framatome</t>
  </si>
  <si>
    <t>경북 울진군 북면 부구리</t>
  </si>
  <si>
    <t>한 울 #2</t>
  </si>
  <si>
    <t>한 울 #3</t>
  </si>
  <si>
    <t>한중/한기/CE</t>
  </si>
  <si>
    <t>한 울 #4</t>
  </si>
  <si>
    <t>한 울 #5</t>
  </si>
  <si>
    <t>두중/한기/CE</t>
  </si>
  <si>
    <t>한 울 #6</t>
  </si>
  <si>
    <t>집단에너지</t>
  </si>
  <si>
    <t>광교열병합</t>
  </si>
  <si>
    <t>열병합</t>
  </si>
  <si>
    <t>지역난방공사</t>
  </si>
  <si>
    <t>집단</t>
  </si>
  <si>
    <t>경기 수원시 이의동</t>
  </si>
  <si>
    <t>한국 비엔텍</t>
  </si>
  <si>
    <t>구미열병합</t>
  </si>
  <si>
    <t>㈜GS E&amp;R</t>
  </si>
  <si>
    <t>경북 구미시 공단 2동</t>
  </si>
  <si>
    <t>역청탄</t>
  </si>
  <si>
    <t>전북 군산시 소룡동</t>
  </si>
  <si>
    <t>Foster Wheeler</t>
  </si>
  <si>
    <t>17.5kV</t>
  </si>
  <si>
    <t>금호여수열병합</t>
  </si>
  <si>
    <t>스미토모(SHI)</t>
  </si>
  <si>
    <t>Fingspon</t>
  </si>
  <si>
    <t>금호석유화학㈜</t>
  </si>
  <si>
    <t>전남 여수시 화치동</t>
  </si>
  <si>
    <t>스미토모</t>
  </si>
  <si>
    <t>김천열병합</t>
  </si>
  <si>
    <t>김천에너지서비스㈜</t>
  </si>
  <si>
    <t>경북 김천시 응명동</t>
  </si>
  <si>
    <t>노원열병합</t>
  </si>
  <si>
    <t>Mitusui</t>
  </si>
  <si>
    <t>Meidensha</t>
  </si>
  <si>
    <t>서울에너지공사</t>
  </si>
  <si>
    <t>서울 노원구 상계동</t>
  </si>
  <si>
    <t>논현열병합</t>
  </si>
  <si>
    <t>Yoshimine 동부중공업</t>
  </si>
  <si>
    <t>Shinnippon</t>
  </si>
  <si>
    <t>㈜미래엔인천에너지</t>
  </si>
  <si>
    <t>인천 남동구 고잔동</t>
  </si>
  <si>
    <t>대구그린파워</t>
  </si>
  <si>
    <t>대구그린파워㈜</t>
  </si>
  <si>
    <t>대구 동구 율암동</t>
  </si>
  <si>
    <t>대구열병합</t>
  </si>
  <si>
    <t>GEC. Alsthom</t>
  </si>
  <si>
    <t>대구 달서구 대천동</t>
  </si>
  <si>
    <t>대구염색</t>
  </si>
  <si>
    <t>FCB</t>
  </si>
  <si>
    <t>대구염색산업단지관리공단</t>
  </si>
  <si>
    <t>대구 서구 평리동</t>
  </si>
  <si>
    <t>대전서남부</t>
  </si>
  <si>
    <t>신텍</t>
  </si>
  <si>
    <t>토지주택공사</t>
  </si>
  <si>
    <t>대전 유성구 원신흥동</t>
  </si>
  <si>
    <t>대전열병합</t>
  </si>
  <si>
    <t>대전열병합발전㈜</t>
  </si>
  <si>
    <t>대전 대덕구 신일동</t>
  </si>
  <si>
    <t>동탄열병합 #1 GT</t>
  </si>
  <si>
    <t>GE PSK</t>
  </si>
  <si>
    <t>경기 화성시 동탄기흥로</t>
  </si>
  <si>
    <t>동탄열병합 #1 ST</t>
  </si>
  <si>
    <t>동탄열병합 #2 GT</t>
  </si>
  <si>
    <t>동탄열병합 #2 ST</t>
  </si>
  <si>
    <t>명품오산열병합</t>
  </si>
  <si>
    <t>디에스파워㈜</t>
  </si>
  <si>
    <t>경기 오산시 누읍동</t>
  </si>
  <si>
    <t>세대에너택㈜</t>
  </si>
  <si>
    <t>목동열병합</t>
  </si>
  <si>
    <t>서울 양천구 목동</t>
  </si>
  <si>
    <t>무림파워텍열병합</t>
  </si>
  <si>
    <t>KAWASAKI 동양보일러</t>
  </si>
  <si>
    <t>무림파워텍㈜</t>
  </si>
  <si>
    <t>경남 진주시 상대동</t>
  </si>
  <si>
    <t>반원열병합</t>
  </si>
  <si>
    <t>경기 안산시 초지동</t>
  </si>
  <si>
    <t>별내열병합</t>
  </si>
  <si>
    <t>별내에너지</t>
  </si>
  <si>
    <t>경기 남양주시 별내동</t>
  </si>
  <si>
    <t>Seentec</t>
  </si>
  <si>
    <t>mitsui-Alstom</t>
  </si>
  <si>
    <t>TMEIC</t>
  </si>
  <si>
    <t>부산염색</t>
  </si>
  <si>
    <t>AE&amp;E</t>
  </si>
  <si>
    <t>Jeumento-Schneider</t>
  </si>
  <si>
    <t>부산패션칼라산업협동조합</t>
  </si>
  <si>
    <t>부산 사하구 신평동</t>
  </si>
  <si>
    <t>부천 GT</t>
  </si>
  <si>
    <t>GS파워㈜</t>
  </si>
  <si>
    <t>경기 부천시 삼정동</t>
  </si>
  <si>
    <t>부천 ST</t>
  </si>
  <si>
    <t>상공에너지열병합</t>
  </si>
  <si>
    <t>㈜상공에너지</t>
  </si>
  <si>
    <t>전북 익산시 용제동</t>
  </si>
  <si>
    <t>새만금열병합</t>
  </si>
  <si>
    <t>OCI SE</t>
  </si>
  <si>
    <t>전북 군산시 오식도동</t>
  </si>
  <si>
    <t>세종천연가스</t>
  </si>
  <si>
    <t>세종시 가람동</t>
  </si>
  <si>
    <t>송도복합</t>
  </si>
  <si>
    <t>인천종합에너지㈜</t>
  </si>
  <si>
    <t>인천 연수구 송도동</t>
  </si>
  <si>
    <t>수완에너지</t>
  </si>
  <si>
    <t>수완에너지㈜</t>
  </si>
  <si>
    <t>광주 광산구 수완동</t>
  </si>
  <si>
    <t>Mitsui</t>
  </si>
  <si>
    <t>수원열병합</t>
  </si>
  <si>
    <t>삼강수기</t>
  </si>
  <si>
    <t>경기 수원시 팔달구 영통동</t>
  </si>
  <si>
    <t>신정열병합</t>
  </si>
  <si>
    <t>캐터필러</t>
  </si>
  <si>
    <t>서울 양천구 신월동</t>
  </si>
  <si>
    <t>아산배방열병합</t>
  </si>
  <si>
    <t>한국BNTC</t>
  </si>
  <si>
    <t>충남 아산시 배방읍</t>
  </si>
  <si>
    <t>SHINNIPPONMACHINERY</t>
  </si>
  <si>
    <t>MEIDENSHA</t>
  </si>
  <si>
    <t>안산열병합</t>
  </si>
  <si>
    <t>대우</t>
  </si>
  <si>
    <t>안산도시개발</t>
  </si>
  <si>
    <t>안양 GT</t>
  </si>
  <si>
    <t>경기 안양시 관양동</t>
  </si>
  <si>
    <t>안양 ST</t>
  </si>
  <si>
    <t>안양열병합#2-1 GT</t>
  </si>
  <si>
    <t>경기 안양시 평촌동</t>
  </si>
  <si>
    <t>안양열병합#2-1 ST</t>
  </si>
  <si>
    <t>양주열병합</t>
  </si>
  <si>
    <t>대륜발전㈜</t>
  </si>
  <si>
    <t>경기 양주시 옥정동</t>
  </si>
  <si>
    <t>전남 여수시 중흥동</t>
  </si>
  <si>
    <t>위례열병합</t>
  </si>
  <si>
    <t>위례에너지서비스㈜</t>
  </si>
  <si>
    <t>경기 하남시 위례대로4길</t>
  </si>
  <si>
    <t>전북집단에너지㈜</t>
  </si>
  <si>
    <t>전북 익산시 신흥동</t>
  </si>
  <si>
    <t>인천공항</t>
  </si>
  <si>
    <t>인천공항에너지㈜</t>
  </si>
  <si>
    <t>인천 중구 운서동</t>
  </si>
  <si>
    <t>MHI(ST)</t>
  </si>
  <si>
    <t>청주열병합</t>
  </si>
  <si>
    <t>충북 청주시 흥덕구 죽림동</t>
  </si>
  <si>
    <t>춘천열병합</t>
  </si>
  <si>
    <t>춘천에너지㈜</t>
  </si>
  <si>
    <t>강원 춘천시 동산면</t>
  </si>
  <si>
    <t>파주열병합</t>
  </si>
  <si>
    <t>경기 파주시 교하읍</t>
  </si>
  <si>
    <t>범우중공업</t>
  </si>
  <si>
    <t>판교열병합</t>
  </si>
  <si>
    <t>대경기계기술</t>
  </si>
  <si>
    <t>경기 성남시 판교동</t>
  </si>
  <si>
    <t>포천그린에너지</t>
  </si>
  <si>
    <t>지에스포천그린에너지</t>
  </si>
  <si>
    <t>16.8kV</t>
  </si>
  <si>
    <t>하남열병합</t>
  </si>
  <si>
    <t>나래에너지서비스㈜</t>
  </si>
  <si>
    <t>경기 하남시 풍산동</t>
  </si>
  <si>
    <t>화성복합</t>
  </si>
  <si>
    <t>경기 화성시 동탄면</t>
  </si>
  <si>
    <t>Plant_name</t>
    <phoneticPr fontId="14" type="noConversion"/>
  </si>
  <si>
    <t>Starting Year</t>
    <phoneticPr fontId="14" type="noConversion"/>
  </si>
  <si>
    <t>Cap (MW)</t>
    <phoneticPr fontId="14" type="noConversion"/>
  </si>
  <si>
    <t>* Raw data Cap : kW</t>
    <phoneticPr fontId="14" type="noConversion"/>
  </si>
  <si>
    <t>* kW to MW :</t>
    <phoneticPr fontId="14" type="noConversion"/>
  </si>
  <si>
    <t># nuclear</t>
    <phoneticPr fontId="14" type="noConversion"/>
  </si>
  <si>
    <t># hard coal</t>
    <phoneticPr fontId="14" type="noConversion"/>
  </si>
  <si>
    <t>resource</t>
    <phoneticPr fontId="14" type="noConversion"/>
  </si>
  <si>
    <t>type</t>
    <phoneticPr fontId="14" type="noConversion"/>
  </si>
  <si>
    <t>biomass</t>
    <phoneticPr fontId="14" type="noConversion"/>
  </si>
  <si>
    <t>hydro</t>
    <phoneticPr fontId="14" type="noConversion"/>
  </si>
  <si>
    <t>-</t>
    <phoneticPr fontId="14" type="noConversion"/>
  </si>
  <si>
    <t>Cap. (MW)</t>
    <phoneticPr fontId="14" type="noConversion"/>
  </si>
  <si>
    <t>Plant name</t>
    <phoneticPr fontId="14" type="noConversion"/>
  </si>
  <si>
    <t>Type</t>
    <phoneticPr fontId="14" type="noConversion"/>
  </si>
  <si>
    <t># natural gas nonpeaker</t>
    <phoneticPr fontId="14" type="noConversion"/>
  </si>
  <si>
    <t xml:space="preserve">        </t>
    <phoneticPr fontId="14" type="noConversion"/>
  </si>
  <si>
    <t>NUM</t>
    <phoneticPr fontId="14" type="noConversion"/>
  </si>
  <si>
    <t>EPSIS</t>
    <phoneticPr fontId="14" type="noConversion"/>
  </si>
  <si>
    <t>http://epsis.kpx.or.kr/epsisnew/selectEkfaFclDtlChart.do?menuId=020600</t>
  </si>
  <si>
    <t>기타</t>
    <phoneticPr fontId="14" type="noConversion"/>
  </si>
  <si>
    <t># petroleum</t>
    <phoneticPr fontId="14" type="noConversion"/>
  </si>
  <si>
    <t># heavy or residual fuel oil</t>
    <phoneticPr fontId="14" type="noConversion"/>
  </si>
  <si>
    <t>heavy  or residual fuel oil</t>
    <phoneticPr fontId="14" type="noConversion"/>
  </si>
  <si>
    <t>New Name                (To prevent overlapping)</t>
    <phoneticPr fontId="14" type="noConversion"/>
  </si>
  <si>
    <t># biomass</t>
    <phoneticPr fontId="14" type="noConversion"/>
  </si>
  <si>
    <t>유류</t>
    <phoneticPr fontId="14" type="noConversion"/>
  </si>
  <si>
    <t>2035-2050 Retirements</t>
    <phoneticPr fontId="14" type="noConversion"/>
  </si>
  <si>
    <t>* We used EI's original MPPC data</t>
    <phoneticPr fontId="14" type="noConversion"/>
  </si>
  <si>
    <t xml:space="preserve"> * For Quantization, we used EI's original MPPC data (EPS 3.3)</t>
    <phoneticPr fontId="14" type="noConversion"/>
  </si>
  <si>
    <t>Plant capacity &amp; starting year (For estimation of future retirements)</t>
    <phoneticPr fontId="14" type="noConversion"/>
  </si>
  <si>
    <t>*** Assumed '유류' is petroleum</t>
    <phoneticPr fontId="14" type="noConversion"/>
  </si>
  <si>
    <t>Generation capacity by fuel</t>
    <phoneticPr fontId="14" type="noConversion"/>
  </si>
  <si>
    <t>Annual generation capacity changes by fuel</t>
    <phoneticPr fontId="14" type="noConversion"/>
  </si>
  <si>
    <t>Generation capacity by generator</t>
    <phoneticPr fontId="14" type="noConversion"/>
  </si>
  <si>
    <t>9th Basic electricity supply plan</t>
    <phoneticPr fontId="14" type="noConversion"/>
  </si>
  <si>
    <t>Detailed information of power generators</t>
    <phoneticPr fontId="14" type="noConversion"/>
  </si>
  <si>
    <t>p.86) 7. Generation share forecast (capacity)</t>
    <phoneticPr fontId="14" type="noConversion"/>
  </si>
  <si>
    <t>Generation capacities currently under contruction are not included</t>
    <phoneticPr fontId="14" type="noConversion"/>
  </si>
  <si>
    <t>We assumed the life span of power plants as 30 years</t>
    <phoneticPr fontId="14" type="noConversion"/>
  </si>
  <si>
    <t># KOSIS - Electricity Capacity by Plant → Data for Oils</t>
    <phoneticPr fontId="14" type="noConversion"/>
  </si>
  <si>
    <t>2024-2050 Retirements</t>
    <phoneticPr fontId="14" type="noConversion"/>
  </si>
  <si>
    <t>2024~2036</t>
    <phoneticPr fontId="14" type="noConversion"/>
  </si>
  <si>
    <t>10th Basic electricity supply plan</t>
    <phoneticPr fontId="14" type="noConversion"/>
  </si>
  <si>
    <t>p.88) 7. Generation share forecast (capacity)</t>
    <phoneticPr fontId="14" type="noConversion"/>
  </si>
  <si>
    <t>강릉안인#1</t>
  </si>
  <si>
    <t>강릉에코파워(주)</t>
  </si>
  <si>
    <t>30KV</t>
  </si>
  <si>
    <t>강릉안인#2</t>
  </si>
  <si>
    <t>남제주복합 GT</t>
  </si>
  <si>
    <t>남제주복합 ST</t>
  </si>
  <si>
    <t>보령#1-3 GT</t>
    <phoneticPr fontId="14" type="noConversion"/>
  </si>
  <si>
    <t>보령#1-3 ST</t>
    <phoneticPr fontId="14" type="noConversion"/>
  </si>
  <si>
    <t>2019.6</t>
    <phoneticPr fontId="14" type="noConversion"/>
  </si>
  <si>
    <t>서인천 #5-8 GT</t>
    <phoneticPr fontId="14" type="noConversion"/>
  </si>
  <si>
    <t>서인천 #5-8 ST</t>
    <phoneticPr fontId="14" type="noConversion"/>
  </si>
  <si>
    <t>서인천#1-4 GT</t>
    <phoneticPr fontId="14" type="noConversion"/>
  </si>
  <si>
    <t>서인천#1-4 ST</t>
    <phoneticPr fontId="14" type="noConversion"/>
  </si>
  <si>
    <t>신인천#1,2 GT</t>
    <phoneticPr fontId="14" type="noConversion"/>
  </si>
  <si>
    <t>여주복합GT#1</t>
  </si>
  <si>
    <t>Siemens Energy</t>
  </si>
  <si>
    <t>여주에너지서비스㈜</t>
  </si>
  <si>
    <t>경기 여주시 북내면</t>
  </si>
  <si>
    <t>여주복합GT#2</t>
  </si>
  <si>
    <t>19.5kV</t>
  </si>
  <si>
    <t>여주복합ST</t>
  </si>
  <si>
    <t>2018.6</t>
    <phoneticPr fontId="14" type="noConversion"/>
  </si>
  <si>
    <t>2018.8</t>
    <phoneticPr fontId="14" type="noConversion"/>
  </si>
  <si>
    <t>강림</t>
  </si>
  <si>
    <t>보성</t>
  </si>
  <si>
    <t>양양양수신소수력</t>
  </si>
  <si>
    <t>어승생</t>
  </si>
  <si>
    <t>제주도청</t>
  </si>
  <si>
    <t>제주 제주시 해안동</t>
  </si>
  <si>
    <t>예천양수</t>
  </si>
  <si>
    <t>경북 예천군 은풍면</t>
  </si>
  <si>
    <t>예천양수#1</t>
  </si>
  <si>
    <t>예천양수#2</t>
  </si>
  <si>
    <t>전북 진안군 안천면</t>
  </si>
  <si>
    <t>읍애</t>
  </si>
  <si>
    <t>신한울 #1</t>
  </si>
  <si>
    <t>경북 울진군 북면 울진북로</t>
  </si>
  <si>
    <t>SGC에너지#1</t>
  </si>
  <si>
    <t>에쓰지씨에너지㈜</t>
  </si>
  <si>
    <t>SGC에너지#2</t>
  </si>
  <si>
    <t>SGC에너지#3</t>
  </si>
  <si>
    <t>SGC에너지#4</t>
  </si>
  <si>
    <t>SGC에너지#5</t>
  </si>
  <si>
    <t>김포열병합GT</t>
  </si>
  <si>
    <t>두산에너빌리티</t>
  </si>
  <si>
    <t>경기 김포시 양촌읍</t>
  </si>
  <si>
    <t>김포열병합ST</t>
  </si>
  <si>
    <t>내포그린열병합 GT</t>
  </si>
  <si>
    <t>내포그린에너지㈜</t>
  </si>
  <si>
    <t>충남 예산군 삽교읍</t>
  </si>
  <si>
    <t>내포그린열병합 ST</t>
  </si>
  <si>
    <t>26kV</t>
  </si>
  <si>
    <t>데이원열병합</t>
  </si>
  <si>
    <t>데이원에너지㈜</t>
  </si>
  <si>
    <t>양산열병합GT</t>
  </si>
  <si>
    <t>경남 양산시 동면</t>
  </si>
  <si>
    <t>양산열병합ST</t>
  </si>
  <si>
    <t>전북집단에너지</t>
  </si>
  <si>
    <t>=EPSIS_RAW!H2</t>
    <phoneticPr fontId="14" type="noConversion"/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</si>
  <si>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</si>
  <si>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</si>
  <si>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</si>
  <si>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</si>
  <si>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</si>
  <si>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</si>
  <si>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</si>
  <si>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</si>
  <si>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</si>
  <si>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CRbQ Capacity Retirements before Quantization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</si>
</sst>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_-;\-* #,##0_-;_-* &quot;-&quot;_-;_-@_-"/>
    <numFmt numFmtId="165" formatCode="_(* #,##0.0_);_(* \(#,##0.0\);_(* &quot;-&quot;??_);_(@_)"/>
    <numFmt numFmtId="166" formatCode="_(* #,##0_);_(* \(#,##0\);_(* &quot;-&quot;??_);_(@_)"/>
    <numFmt numFmtId="167" formatCode="0.00_);[Red]\(0.00\)"/>
    <numFmt numFmtId="168" formatCode="0_ "/>
    <numFmt numFmtId="169" formatCode="0.00_ 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4"/>
      <name val="Calibri"/>
      <family val="2"/>
      <scheme val="minor"/>
    </font>
    <font>
      <b/>
      <sz val="12"/>
      <color indexed="30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3"/>
      <charset val="129"/>
      <scheme val="minor"/>
    </font>
    <font>
      <sz val="11"/>
      <color indexed="8"/>
      <name val="Calibri"/>
      <family val="2"/>
      <scheme val="minor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1"/>
      <color rgb="FF006100"/>
      <name val="Calibri"/>
      <family val="3"/>
      <charset val="129"/>
      <scheme val="minor"/>
    </font>
    <font>
      <sz val="13"/>
      <color indexed="0"/>
      <name val="맑은 고딕"/>
      <family val="3"/>
      <charset val="1"/>
    </font>
    <font>
      <b/>
      <sz val="16"/>
      <color theme="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theme="1"/>
      <name val="Calibri"/>
      <family val="3"/>
      <charset val="129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3"/>
      <charset val="129"/>
      <scheme val="minor"/>
    </font>
    <font>
      <b/>
      <sz val="18"/>
      <color theme="1"/>
      <name val="Calibri"/>
      <family val="3"/>
      <charset val="129"/>
      <scheme val="minor"/>
    </font>
    <font>
      <sz val="13"/>
      <color indexed="0"/>
      <name val="맑은 고딕"/>
      <family val="3"/>
      <charset val="129"/>
    </font>
    <font>
      <sz val="11"/>
      <name val="Calibri"/>
      <family val="3"/>
      <charset val="129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맑은 고딕"/>
      <family val="3"/>
      <charset val="129"/>
    </font>
    <font>
      <sz val="11"/>
      <color rgb="FFFF0000"/>
      <name val="Calibri"/>
      <family val="3"/>
      <charset val="129"/>
      <scheme val="minor"/>
    </font>
    <font>
      <b/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indexed="27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rgb="FF0096D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86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Protection="0">
      <alignment horizontal="left"/>
    </xf>
    <xf numFmtId="0" fontId="7" fillId="0" borderId="0" applyNumberFormat="0" applyFill="0" applyBorder="0" applyAlignment="0" applyProtection="0"/>
    <xf numFmtId="0" fontId="10" fillId="0" borderId="1" applyNumberFormat="0" applyProtection="0">
      <alignment wrapText="1"/>
    </xf>
    <xf numFmtId="0" fontId="10" fillId="0" borderId="3" applyNumberFormat="0" applyProtection="0">
      <alignment wrapText="1"/>
    </xf>
    <xf numFmtId="0" fontId="7" fillId="0" borderId="5" applyNumberFormat="0" applyFont="0" applyProtection="0">
      <alignment wrapText="1"/>
    </xf>
    <xf numFmtId="0" fontId="7" fillId="0" borderId="7" applyNumberFormat="0" applyProtection="0">
      <alignment vertical="top" wrapText="1"/>
    </xf>
    <xf numFmtId="0" fontId="11" fillId="0" borderId="0" applyNumberFormat="0" applyFill="0" applyBorder="0" applyAlignment="0" applyProtection="0"/>
    <xf numFmtId="0" fontId="8" fillId="0" borderId="0"/>
    <xf numFmtId="0" fontId="8" fillId="0" borderId="8" applyNumberFormat="0" applyProtection="0">
      <alignment wrapText="1"/>
    </xf>
    <xf numFmtId="0" fontId="9" fillId="0" borderId="4" applyNumberFormat="0" applyProtection="0">
      <alignment wrapText="1"/>
    </xf>
    <xf numFmtId="0" fontId="8" fillId="0" borderId="6" applyNumberFormat="0" applyFont="0" applyProtection="0">
      <alignment wrapText="1"/>
    </xf>
    <xf numFmtId="0" fontId="9" fillId="0" borderId="2" applyNumberFormat="0" applyProtection="0">
      <alignment wrapText="1"/>
    </xf>
    <xf numFmtId="0" fontId="8" fillId="0" borderId="0" applyNumberFormat="0" applyFill="0" applyBorder="0" applyAlignment="0" applyProtection="0"/>
    <xf numFmtId="0" fontId="6" fillId="0" borderId="0" applyNumberFormat="0" applyProtection="0">
      <alignment horizontal="left"/>
    </xf>
    <xf numFmtId="43" fontId="12" fillId="0" borderId="0" applyFont="0" applyFill="0" applyBorder="0" applyAlignment="0" applyProtection="0"/>
    <xf numFmtId="0" fontId="13" fillId="0" borderId="0"/>
    <xf numFmtId="0" fontId="12" fillId="0" borderId="0"/>
    <xf numFmtId="0" fontId="13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5" fillId="0" borderId="0">
      <alignment vertical="center"/>
    </xf>
    <xf numFmtId="164" fontId="1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164" fontId="15" fillId="0" borderId="0" applyFont="0" applyFill="0" applyBorder="0" applyAlignment="0" applyProtection="0">
      <alignment vertical="center"/>
    </xf>
    <xf numFmtId="0" fontId="16" fillId="0" borderId="0"/>
    <xf numFmtId="164" fontId="1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6" fillId="0" borderId="0"/>
    <xf numFmtId="164" fontId="1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164" fontId="1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164" fontId="1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164" fontId="1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17" fillId="0" borderId="0" applyFont="0" applyFill="0" applyBorder="0" applyAlignment="0" applyProtection="0"/>
    <xf numFmtId="0" fontId="17" fillId="0" borderId="0"/>
    <xf numFmtId="0" fontId="2" fillId="0" borderId="0">
      <alignment vertical="center"/>
    </xf>
    <xf numFmtId="164" fontId="15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/>
    <xf numFmtId="0" fontId="2" fillId="0" borderId="0">
      <alignment vertical="center"/>
    </xf>
    <xf numFmtId="0" fontId="17" fillId="0" borderId="0"/>
    <xf numFmtId="9" fontId="17" fillId="0" borderId="0" applyFont="0" applyFill="0" applyBorder="0" applyAlignment="0" applyProtection="0"/>
    <xf numFmtId="0" fontId="19" fillId="0" borderId="0">
      <alignment vertical="center"/>
    </xf>
    <xf numFmtId="164" fontId="17" fillId="0" borderId="0" applyFont="0" applyFill="0" applyBorder="0" applyAlignment="0" applyProtection="0"/>
    <xf numFmtId="0" fontId="2" fillId="0" borderId="0">
      <alignment vertical="center"/>
    </xf>
    <xf numFmtId="0" fontId="15" fillId="0" borderId="0">
      <alignment vertical="center"/>
    </xf>
    <xf numFmtId="164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164" fontId="1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4" fontId="1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7" fillId="0" borderId="0" applyFont="0" applyFill="0" applyBorder="0" applyAlignment="0" applyProtection="0"/>
    <xf numFmtId="0" fontId="1" fillId="0" borderId="0">
      <alignment vertical="center"/>
    </xf>
    <xf numFmtId="164" fontId="15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/>
    <xf numFmtId="0" fontId="1" fillId="0" borderId="0">
      <alignment vertical="center"/>
    </xf>
    <xf numFmtId="164" fontId="17" fillId="0" borderId="0" applyFont="0" applyFill="0" applyBorder="0" applyAlignment="0" applyProtection="0"/>
    <xf numFmtId="0" fontId="1" fillId="0" borderId="0">
      <alignment vertical="center"/>
    </xf>
    <xf numFmtId="0" fontId="28" fillId="0" borderId="0">
      <alignment vertical="center"/>
    </xf>
  </cellStyleXfs>
  <cellXfs count="97">
    <xf numFmtId="0" fontId="0" fillId="0" borderId="0" xfId="0"/>
    <xf numFmtId="1" fontId="0" fillId="0" borderId="0" xfId="0" applyNumberFormat="1"/>
    <xf numFmtId="0" fontId="3" fillId="0" borderId="0" xfId="0" applyFont="1"/>
    <xf numFmtId="0" fontId="0" fillId="0" borderId="0" xfId="0" applyAlignment="1">
      <alignment horizontal="left"/>
    </xf>
    <xf numFmtId="0" fontId="11" fillId="0" borderId="0" xfId="8"/>
    <xf numFmtId="0" fontId="3" fillId="2" borderId="0" xfId="0" applyFont="1" applyFill="1"/>
    <xf numFmtId="1" fontId="3" fillId="0" borderId="0" xfId="0" applyNumberFormat="1" applyFont="1"/>
    <xf numFmtId="1" fontId="3" fillId="0" borderId="0" xfId="0" applyNumberFormat="1" applyFont="1" applyAlignment="1">
      <alignment wrapText="1"/>
    </xf>
    <xf numFmtId="0" fontId="3" fillId="3" borderId="0" xfId="0" applyFont="1" applyFill="1"/>
    <xf numFmtId="165" fontId="0" fillId="0" borderId="0" xfId="16" applyNumberFormat="1" applyFont="1"/>
    <xf numFmtId="166" fontId="0" fillId="0" borderId="0" xfId="16" applyNumberFormat="1" applyFont="1"/>
    <xf numFmtId="0" fontId="3" fillId="4" borderId="0" xfId="0" applyFont="1" applyFill="1"/>
    <xf numFmtId="166" fontId="0" fillId="4" borderId="0" xfId="0" applyNumberFormat="1" applyFill="1"/>
    <xf numFmtId="1" fontId="0" fillId="5" borderId="0" xfId="0" applyNumberFormat="1" applyFill="1"/>
    <xf numFmtId="0" fontId="11" fillId="0" borderId="0" xfId="8" applyAlignment="1">
      <alignment horizontal="left"/>
    </xf>
    <xf numFmtId="0" fontId="21" fillId="0" borderId="0" xfId="0" applyFont="1"/>
    <xf numFmtId="0" fontId="0" fillId="0" borderId="0" xfId="0" applyAlignment="1">
      <alignment vertical="center"/>
    </xf>
    <xf numFmtId="1" fontId="21" fillId="0" borderId="0" xfId="0" applyNumberFormat="1" applyFont="1"/>
    <xf numFmtId="164" fontId="0" fillId="0" borderId="0" xfId="0" applyNumberFormat="1"/>
    <xf numFmtId="0" fontId="20" fillId="0" borderId="0" xfId="0" applyFont="1" applyAlignment="1">
      <alignment vertical="center"/>
    </xf>
    <xf numFmtId="3" fontId="0" fillId="0" borderId="0" xfId="0" applyNumberFormat="1" applyAlignment="1">
      <alignment horizontal="right"/>
    </xf>
    <xf numFmtId="0" fontId="23" fillId="0" borderId="10" xfId="0" applyFont="1" applyBorder="1" applyAlignment="1">
      <alignment horizontal="center" vertical="top"/>
    </xf>
    <xf numFmtId="0" fontId="22" fillId="2" borderId="10" xfId="0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/>
    </xf>
    <xf numFmtId="3" fontId="23" fillId="0" borderId="10" xfId="0" applyNumberFormat="1" applyFont="1" applyBorder="1" applyAlignment="1">
      <alignment horizontal="right" vertical="center"/>
    </xf>
    <xf numFmtId="0" fontId="15" fillId="0" borderId="0" xfId="86" applyAlignment="1"/>
    <xf numFmtId="164" fontId="15" fillId="0" borderId="0" xfId="163" applyFont="1" applyFill="1" applyBorder="1">
      <alignment vertical="center"/>
    </xf>
    <xf numFmtId="0" fontId="15" fillId="0" borderId="0" xfId="86">
      <alignment vertical="center"/>
    </xf>
    <xf numFmtId="3" fontId="0" fillId="0" borderId="0" xfId="0" applyNumberFormat="1"/>
    <xf numFmtId="0" fontId="24" fillId="0" borderId="0" xfId="0" applyFont="1"/>
    <xf numFmtId="3" fontId="0" fillId="11" borderId="0" xfId="0" applyNumberFormat="1" applyFill="1" applyAlignment="1">
      <alignment horizontal="right"/>
    </xf>
    <xf numFmtId="0" fontId="25" fillId="11" borderId="0" xfId="0" applyFont="1" applyFill="1"/>
    <xf numFmtId="0" fontId="0" fillId="12" borderId="0" xfId="0" applyFill="1"/>
    <xf numFmtId="0" fontId="25" fillId="12" borderId="0" xfId="0" applyFont="1" applyFill="1"/>
    <xf numFmtId="0" fontId="25" fillId="0" borderId="0" xfId="0" applyFont="1"/>
    <xf numFmtId="3" fontId="15" fillId="0" borderId="0" xfId="86" applyNumberFormat="1" applyAlignment="1"/>
    <xf numFmtId="3" fontId="0" fillId="0" borderId="0" xfId="0" applyNumberFormat="1" applyAlignment="1">
      <alignment vertical="center"/>
    </xf>
    <xf numFmtId="0" fontId="15" fillId="7" borderId="10" xfId="86" applyFill="1" applyBorder="1" applyAlignment="1"/>
    <xf numFmtId="3" fontId="15" fillId="0" borderId="10" xfId="86" applyNumberFormat="1" applyBorder="1" applyAlignment="1">
      <alignment horizontal="right"/>
    </xf>
    <xf numFmtId="0" fontId="15" fillId="8" borderId="9" xfId="86" applyFill="1" applyBorder="1" applyAlignment="1"/>
    <xf numFmtId="0" fontId="15" fillId="8" borderId="10" xfId="86" applyFill="1" applyBorder="1" applyAlignment="1"/>
    <xf numFmtId="0" fontId="15" fillId="8" borderId="11" xfId="86" applyFill="1" applyBorder="1" applyAlignment="1"/>
    <xf numFmtId="0" fontId="15" fillId="8" borderId="12" xfId="86" applyFill="1" applyBorder="1" applyAlignment="1"/>
    <xf numFmtId="0" fontId="15" fillId="6" borderId="10" xfId="86" applyFill="1" applyBorder="1">
      <alignment vertical="center"/>
    </xf>
    <xf numFmtId="0" fontId="15" fillId="6" borderId="9" xfId="86" applyFill="1" applyBorder="1">
      <alignment vertical="center"/>
    </xf>
    <xf numFmtId="0" fontId="15" fillId="6" borderId="12" xfId="86" applyFill="1" applyBorder="1">
      <alignment vertical="center"/>
    </xf>
    <xf numFmtId="0" fontId="24" fillId="0" borderId="0" xfId="0" applyFont="1" applyAlignment="1">
      <alignment vertical="center"/>
    </xf>
    <xf numFmtId="1" fontId="24" fillId="5" borderId="0" xfId="0" applyNumberFormat="1" applyFont="1" applyFill="1"/>
    <xf numFmtId="0" fontId="26" fillId="0" borderId="0" xfId="86" applyFont="1" applyAlignment="1"/>
    <xf numFmtId="3" fontId="21" fillId="0" borderId="0" xfId="0" applyNumberFormat="1" applyFont="1" applyAlignment="1">
      <alignment horizontal="left"/>
    </xf>
    <xf numFmtId="3" fontId="24" fillId="0" borderId="0" xfId="0" applyNumberFormat="1" applyFont="1" applyAlignment="1">
      <alignment horizontal="right"/>
    </xf>
    <xf numFmtId="0" fontId="20" fillId="0" borderId="0" xfId="0" applyFont="1"/>
    <xf numFmtId="0" fontId="0" fillId="11" borderId="0" xfId="0" applyFill="1"/>
    <xf numFmtId="0" fontId="0" fillId="0" borderId="0" xfId="0" applyAlignment="1">
      <alignment horizontal="center" vertical="center"/>
    </xf>
    <xf numFmtId="0" fontId="0" fillId="4" borderId="0" xfId="0" applyFill="1"/>
    <xf numFmtId="0" fontId="0" fillId="0" borderId="0" xfId="0" applyAlignment="1">
      <alignment horizontal="center"/>
    </xf>
    <xf numFmtId="167" fontId="0" fillId="0" borderId="0" xfId="0" applyNumberFormat="1"/>
    <xf numFmtId="0" fontId="2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center"/>
    </xf>
    <xf numFmtId="0" fontId="0" fillId="11" borderId="0" xfId="0" applyFill="1" applyAlignment="1">
      <alignment horizontal="center" vertical="center"/>
    </xf>
    <xf numFmtId="49" fontId="22" fillId="0" borderId="10" xfId="0" applyNumberFormat="1" applyFont="1" applyBorder="1" applyAlignment="1">
      <alignment horizontal="center" vertical="center" wrapText="1"/>
    </xf>
    <xf numFmtId="49" fontId="28" fillId="5" borderId="0" xfId="285" applyNumberFormat="1" applyFill="1">
      <alignment vertical="center"/>
    </xf>
    <xf numFmtId="49" fontId="28" fillId="0" borderId="0" xfId="285" applyNumberFormat="1">
      <alignment vertical="center"/>
    </xf>
    <xf numFmtId="49" fontId="29" fillId="0" borderId="10" xfId="0" applyNumberFormat="1" applyFont="1" applyBorder="1" applyAlignment="1">
      <alignment vertical="center"/>
    </xf>
    <xf numFmtId="168" fontId="0" fillId="0" borderId="0" xfId="0" applyNumberFormat="1"/>
    <xf numFmtId="49" fontId="0" fillId="0" borderId="0" xfId="0" applyNumberFormat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167" fontId="0" fillId="5" borderId="0" xfId="0" applyNumberFormat="1" applyFill="1" applyAlignment="1">
      <alignment horizontal="center" vertical="center"/>
    </xf>
    <xf numFmtId="169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24" fillId="4" borderId="0" xfId="0" applyFont="1" applyFill="1" applyAlignment="1">
      <alignment vertical="center"/>
    </xf>
    <xf numFmtId="0" fontId="24" fillId="12" borderId="0" xfId="0" applyFont="1" applyFill="1" applyAlignment="1">
      <alignment vertical="center"/>
    </xf>
    <xf numFmtId="169" fontId="0" fillId="11" borderId="0" xfId="0" applyNumberFormat="1" applyFill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21" fillId="0" borderId="0" xfId="0" applyFont="1" applyAlignment="1">
      <alignment vertical="center"/>
    </xf>
    <xf numFmtId="49" fontId="0" fillId="11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9" fontId="0" fillId="13" borderId="0" xfId="0" applyNumberFormat="1" applyFill="1" applyAlignment="1">
      <alignment horizontal="center" vertical="center"/>
    </xf>
    <xf numFmtId="0" fontId="0" fillId="13" borderId="0" xfId="0" applyFill="1" applyAlignment="1">
      <alignment vertical="center"/>
    </xf>
    <xf numFmtId="0" fontId="0" fillId="13" borderId="0" xfId="0" applyFill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30" fillId="2" borderId="0" xfId="0" applyFont="1" applyFill="1"/>
    <xf numFmtId="0" fontId="31" fillId="0" borderId="0" xfId="0" applyFont="1"/>
    <xf numFmtId="3" fontId="31" fillId="0" borderId="0" xfId="0" applyNumberFormat="1" applyFont="1"/>
    <xf numFmtId="49" fontId="32" fillId="0" borderId="10" xfId="0" applyNumberFormat="1" applyFont="1" applyBorder="1" applyAlignment="1">
      <alignment horizontal="center" vertical="top"/>
    </xf>
    <xf numFmtId="49" fontId="32" fillId="0" borderId="10" xfId="0" applyNumberFormat="1" applyFont="1" applyBorder="1" applyAlignment="1">
      <alignment horizontal="right" vertical="top"/>
    </xf>
    <xf numFmtId="49" fontId="32" fillId="0" borderId="10" xfId="0" applyNumberFormat="1" applyFont="1" applyBorder="1" applyAlignment="1">
      <alignment horizontal="left" vertical="top"/>
    </xf>
    <xf numFmtId="0" fontId="33" fillId="0" borderId="0" xfId="0" applyFont="1" applyAlignment="1">
      <alignment horizontal="left"/>
    </xf>
    <xf numFmtId="0" fontId="31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15" fillId="7" borderId="10" xfId="86" applyFill="1" applyBorder="1" applyAlignment="1"/>
    <xf numFmtId="0" fontId="22" fillId="10" borderId="10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</cellXfs>
  <cellStyles count="286">
    <cellStyle name="Body: normal cell" xfId="6" xr:uid="{00000000-0005-0000-0000-000000000000}"/>
    <cellStyle name="Body: normal cell 2" xfId="12" xr:uid="{00000000-0005-0000-0000-000001000000}"/>
    <cellStyle name="Comma" xfId="16" builtinId="3"/>
    <cellStyle name="Comma 2" xfId="1" xr:uid="{00000000-0005-0000-0000-000003000000}"/>
    <cellStyle name="Comma 3" xfId="20" xr:uid="{C1ECC6A5-BE0B-46E5-AEDD-51059073A1EE}"/>
    <cellStyle name="Font: Calibri, 9pt regular" xfId="3" xr:uid="{00000000-0005-0000-0000-000004000000}"/>
    <cellStyle name="Font: Calibri, 9pt regular 2" xfId="14" xr:uid="{00000000-0005-0000-0000-000005000000}"/>
    <cellStyle name="Footnotes: top row" xfId="7" xr:uid="{00000000-0005-0000-0000-000006000000}"/>
    <cellStyle name="Footnotes: top row 2" xfId="10" xr:uid="{00000000-0005-0000-0000-000007000000}"/>
    <cellStyle name="Header: bottom row" xfId="4" xr:uid="{00000000-0005-0000-0000-000008000000}"/>
    <cellStyle name="Header: bottom row 2" xfId="13" xr:uid="{00000000-0005-0000-0000-000009000000}"/>
    <cellStyle name="Hyperlink" xfId="8" builtinId="8"/>
    <cellStyle name="Normal" xfId="0" builtinId="0"/>
    <cellStyle name="Normal 2" xfId="9" xr:uid="{00000000-0005-0000-0000-00000C000000}"/>
    <cellStyle name="Normal 2 2" xfId="18" xr:uid="{84E36236-A6CE-4380-AB6D-04D8E4B044BD}"/>
    <cellStyle name="Normal 2 2 2" xfId="19" xr:uid="{EC7C9871-E8E5-4360-9554-A0DCD53B6654}"/>
    <cellStyle name="Normal 3" xfId="17" xr:uid="{D8131D71-0F22-4AD6-8DB3-44F6468E2631}"/>
    <cellStyle name="Parent row" xfId="5" xr:uid="{00000000-0005-0000-0000-00000D000000}"/>
    <cellStyle name="Parent row 2" xfId="11" xr:uid="{00000000-0005-0000-0000-00000E000000}"/>
    <cellStyle name="Percent 2" xfId="21" xr:uid="{135524FD-4C71-43C7-B55A-DC1CF1E52727}"/>
    <cellStyle name="Table title" xfId="2" xr:uid="{00000000-0005-0000-0000-00000F000000}"/>
    <cellStyle name="Table title 2" xfId="15" xr:uid="{00000000-0005-0000-0000-000010000000}"/>
    <cellStyle name="백분율 2" xfId="32" xr:uid="{16887C92-434F-4BA4-B7FC-2A6CD867B8FB}"/>
    <cellStyle name="백분율 2 2" xfId="45" xr:uid="{D139A32E-9172-400C-B0E3-8CA46E558C07}"/>
    <cellStyle name="백분율 2 2 2" xfId="64" xr:uid="{474A943E-B20A-4725-BF7A-07B40051D928}"/>
    <cellStyle name="백분율 2 2 2 2" xfId="114" xr:uid="{785E56E6-5B8E-4843-AF78-B9BA8C3F7DD0}"/>
    <cellStyle name="백분율 2 2 2 2 2" xfId="245" xr:uid="{4AA46F42-5F92-4F90-9C71-1D7B116D9921}"/>
    <cellStyle name="백분율 2 2 2 3" xfId="196" xr:uid="{C666D12F-686F-413B-9C61-C529D30C066F}"/>
    <cellStyle name="백분율 2 2 3" xfId="98" xr:uid="{BF9E27F3-E192-4F55-B8CA-CE967C5492AC}"/>
    <cellStyle name="백분율 2 2 3 2" xfId="141" xr:uid="{47F05015-D059-4A89-81D1-8661BE6983C6}"/>
    <cellStyle name="백분율 2 2 3 2 2" xfId="268" xr:uid="{B8015679-A7A7-4850-997D-2ED6F9C5A23B}"/>
    <cellStyle name="백분율 2 2 3 3" xfId="229" xr:uid="{B932C88F-4CE5-4CB6-BC2F-899EF36DED72}"/>
    <cellStyle name="백분율 2 2 4" xfId="80" xr:uid="{570D5EAC-9020-436C-A85E-E96E5B340C0E}"/>
    <cellStyle name="백분율 2 2 4 2" xfId="212" xr:uid="{43AAFCD5-B40A-4174-9964-79A508381BBB}"/>
    <cellStyle name="백분율 2 2 5" xfId="179" xr:uid="{430DE041-DD38-4CCA-9E00-564C19808412}"/>
    <cellStyle name="백분율 2 3" xfId="56" xr:uid="{9C7EDA9D-9648-4684-A6A2-A8620848AC3D}"/>
    <cellStyle name="백분율 2 3 2" xfId="106" xr:uid="{078EF7DD-4127-40A7-B826-B2B7F61EF0E2}"/>
    <cellStyle name="백분율 2 3 2 2" xfId="237" xr:uid="{1AC1B936-E767-4A05-9317-558DDC43E1BF}"/>
    <cellStyle name="백분율 2 3 3" xfId="188" xr:uid="{EBC22D13-A547-41B2-91AA-9EC8D00EA5E7}"/>
    <cellStyle name="백분율 2 4" xfId="90" xr:uid="{64927E78-BFB6-42DD-A17A-0B8042FAC9D9}"/>
    <cellStyle name="백분율 2 4 2" xfId="133" xr:uid="{E6866788-B7AD-4FC1-8721-A2844B7CA885}"/>
    <cellStyle name="백분율 2 4 2 2" xfId="260" xr:uid="{061B1F19-6C9E-4275-B3AA-198687BDE6F9}"/>
    <cellStyle name="백분율 2 4 3" xfId="221" xr:uid="{F18455E7-41DB-49DF-948C-5922ED308489}"/>
    <cellStyle name="백분율 2 5" xfId="72" xr:uid="{BCAD1BC5-2D78-49CA-AA9E-117DD3F7BAAE}"/>
    <cellStyle name="백분율 2 5 2" xfId="204" xr:uid="{7E099005-BC7D-4559-B265-C87EBED80FFD}"/>
    <cellStyle name="백분율 2 6" xfId="158" xr:uid="{D7F988B2-7432-482B-91AE-DC80496C897A}"/>
    <cellStyle name="백분율 2 7" xfId="170" xr:uid="{C5B3DC03-288F-4B91-92D5-CA444F8D7A8A}"/>
    <cellStyle name="백분율 3" xfId="37" xr:uid="{5F6B92E1-FD1B-47CF-BB4B-D53E25B6A15B}"/>
    <cellStyle name="백분율 3 2" xfId="49" xr:uid="{300ACE06-DB07-4861-A700-EB3EFD9F9E5D}"/>
    <cellStyle name="백분율 3 2 2" xfId="67" xr:uid="{A1D86D1B-ED9E-42F9-9952-4D6AD26890F6}"/>
    <cellStyle name="백분율 3 2 2 2" xfId="117" xr:uid="{DA408BAC-6A24-4293-9E80-839FA64DE937}"/>
    <cellStyle name="백분율 3 2 2 2 2" xfId="248" xr:uid="{C2B3BFC3-CB0B-40EC-9D3D-84D23BD047BD}"/>
    <cellStyle name="백분율 3 2 2 3" xfId="199" xr:uid="{30F47608-2ABC-4D92-8AAE-F20BAACD01F2}"/>
    <cellStyle name="백분율 3 2 3" xfId="101" xr:uid="{C636264F-D967-45FF-A3EB-B51D66BD19F2}"/>
    <cellStyle name="백분율 3 2 3 2" xfId="144" xr:uid="{F5311D21-EBE8-4679-B84E-D9A1EF7756AF}"/>
    <cellStyle name="백분율 3 2 3 2 2" xfId="271" xr:uid="{87EE1170-8AC9-40B8-B308-BB90456139A5}"/>
    <cellStyle name="백분율 3 2 3 3" xfId="232" xr:uid="{4E489F71-1713-40CD-A343-0FB6EEADDA55}"/>
    <cellStyle name="백분율 3 2 4" xfId="83" xr:uid="{B63564DF-E708-45C4-B2D0-FBDB8463AE3F}"/>
    <cellStyle name="백분율 3 2 4 2" xfId="215" xr:uid="{83C6A8DC-13F4-42B6-B5F7-750F59C9D6D8}"/>
    <cellStyle name="백분율 3 2 5" xfId="182" xr:uid="{D1AFCE3D-D2B4-44AA-8129-33FE2BECE90C}"/>
    <cellStyle name="백분율 3 3" xfId="59" xr:uid="{26425B23-AFDE-4FDB-9117-321DB98A10F2}"/>
    <cellStyle name="백분율 3 3 2" xfId="109" xr:uid="{68EDACAD-BC30-4F82-9C5A-330049DD69AA}"/>
    <cellStyle name="백분율 3 3 2 2" xfId="240" xr:uid="{9E7D9217-3BF1-4BB6-8CDA-A465AFBB587A}"/>
    <cellStyle name="백분율 3 3 3" xfId="191" xr:uid="{663C9D4D-52CB-4E7D-AFD1-C94D6000DFC0}"/>
    <cellStyle name="백분율 3 4" xfId="93" xr:uid="{730C43BC-1D79-4DAF-BBF3-DC9D9905856F}"/>
    <cellStyle name="백분율 3 4 2" xfId="136" xr:uid="{0E207AA5-A0DC-4E1B-B076-7B29FED7188B}"/>
    <cellStyle name="백분율 3 4 2 2" xfId="263" xr:uid="{42C122C2-3F23-4E8D-BA2A-5943AA6F53C9}"/>
    <cellStyle name="백분율 3 4 3" xfId="224" xr:uid="{1E54227E-E5B2-4A8E-82F3-3F48BB704538}"/>
    <cellStyle name="백분율 3 5" xfId="75" xr:uid="{C34760A3-C047-4CB9-9A51-FAA34B53D98D}"/>
    <cellStyle name="백분율 3 5 2" xfId="207" xr:uid="{A25B4FB4-F7B2-46D3-9FF8-775126909BD2}"/>
    <cellStyle name="백분율 3 6" xfId="173" xr:uid="{60FFEF4D-B2AE-4A42-849D-033C39F4208E}"/>
    <cellStyle name="백분율 4" xfId="46" xr:uid="{4DA6C6DB-E696-4E6D-B813-0E735FC1CF4D}"/>
    <cellStyle name="백분율 5" xfId="33" xr:uid="{D886DAD4-A3F4-4968-9076-C8B62947AA80}"/>
    <cellStyle name="백분율 6" xfId="122" xr:uid="{4DB0B088-C3EB-4F51-A8A0-9E7A00672F6B}"/>
    <cellStyle name="백분율 6 2" xfId="149" xr:uid="{B5A0482E-8B6E-468D-B8F5-183A9B9ECDD2}"/>
    <cellStyle name="백분율 6 2 2" xfId="276" xr:uid="{EF177EEC-E138-47D1-8361-C6AEF1A68D1D}"/>
    <cellStyle name="백분율 6 3" xfId="253" xr:uid="{E255C278-8703-447B-BEA4-A88160E87941}"/>
    <cellStyle name="백분율 7" xfId="130" xr:uid="{CFEAD904-69E8-4A83-9A16-511D37886E77}"/>
    <cellStyle name="쉼표 [0] 10" xfId="27" xr:uid="{B44FDA2C-A637-4981-A777-8FCA1F4F2720}"/>
    <cellStyle name="쉼표 [0] 10 2" xfId="148" xr:uid="{F33F3784-88E5-4220-BDB5-3C992A33D431}"/>
    <cellStyle name="쉼표 [0] 10 2 2" xfId="275" xr:uid="{699C8C80-8CE6-4EEF-AEE7-012DD57333C0}"/>
    <cellStyle name="쉼표 [0] 10 3" xfId="121" xr:uid="{DC2C409A-755F-4E27-A81B-8DDF1499FF1D}"/>
    <cellStyle name="쉼표 [0] 10 3 2" xfId="252" xr:uid="{831FDCF3-1093-4C1F-B097-F99D21B67294}"/>
    <cellStyle name="쉼표 [0] 10 4" xfId="166" xr:uid="{7A43CC32-8FE3-4730-B403-D009F50B49BF}"/>
    <cellStyle name="쉼표 [0] 11" xfId="128" xr:uid="{FDBEB523-C561-4F93-989C-D51CF10A2104}"/>
    <cellStyle name="쉼표 [0] 11 2" xfId="154" xr:uid="{7E032D28-1082-408C-B0F0-F307356B8A3F}"/>
    <cellStyle name="쉼표 [0] 11 2 2" xfId="280" xr:uid="{866B294B-7A5F-47FC-AC82-FA774FA84D53}"/>
    <cellStyle name="쉼표 [0] 11 3" xfId="256" xr:uid="{8C9611F0-7592-460C-8E38-02552E1BCDE8}"/>
    <cellStyle name="쉼표 [0] 12" xfId="25" xr:uid="{178F61D5-14AE-462A-949E-81C82F0BEE1E}"/>
    <cellStyle name="쉼표 [0] 12 2" xfId="165" xr:uid="{9D8F1F8B-90A3-4DE5-81B0-30C8144D9515}"/>
    <cellStyle name="쉼표 [0] 13" xfId="23" xr:uid="{F3740BF4-8632-4672-94F8-E0FD9B90493C}"/>
    <cellStyle name="쉼표 [0] 14" xfId="163" xr:uid="{B8BBAB5C-1E8B-44C6-966A-5CB03BCA5415}"/>
    <cellStyle name="쉼표 [0] 15" xfId="160" xr:uid="{762414D7-32C0-438F-87C9-F8BFE9C23469}"/>
    <cellStyle name="쉼표 [0] 15 2" xfId="283" xr:uid="{7028B9EC-24E1-4CCD-B339-5214759978F1}"/>
    <cellStyle name="쉼표 [0] 2" xfId="31" xr:uid="{F66FB467-2052-4764-941A-1E8EB19FD84F}"/>
    <cellStyle name="쉼표 [0] 2 2" xfId="44" xr:uid="{720E9CA7-5A59-4B41-BF90-235E1AE0167F}"/>
    <cellStyle name="쉼표 [0] 2 2 2" xfId="63" xr:uid="{377C52AF-8585-4133-94A6-28E87E730257}"/>
    <cellStyle name="쉼표 [0] 2 2 2 2" xfId="113" xr:uid="{0C3A419E-E8EA-4037-90C2-3C72B47BFAFD}"/>
    <cellStyle name="쉼표 [0] 2 2 2 2 2" xfId="155" xr:uid="{A6926B11-99EA-42F3-993F-74C7C6B6E342}"/>
    <cellStyle name="쉼표 [0] 2 2 2 2 2 2" xfId="281" xr:uid="{8086FBED-F635-4857-894C-FE293BBA4F65}"/>
    <cellStyle name="쉼표 [0] 2 2 2 2 3" xfId="244" xr:uid="{20484F29-469A-44B0-8331-564B9029C461}"/>
    <cellStyle name="쉼표 [0] 2 2 2 3" xfId="195" xr:uid="{B1268425-0470-421E-A094-8E52AF94D249}"/>
    <cellStyle name="쉼표 [0] 2 2 3" xfId="97" xr:uid="{C30B3BDB-007D-4444-A10D-C8FD265BE15B}"/>
    <cellStyle name="쉼표 [0] 2 2 3 2" xfId="140" xr:uid="{4CA3CE6C-1DA5-40E8-AA00-C84AE641C407}"/>
    <cellStyle name="쉼표 [0] 2 2 3 2 2" xfId="267" xr:uid="{C5539D4F-BC98-4430-A05F-AA4C08A4001E}"/>
    <cellStyle name="쉼표 [0] 2 2 3 3" xfId="228" xr:uid="{08E46442-CF9E-4E3D-B07F-E8DDD81A54A1}"/>
    <cellStyle name="쉼표 [0] 2 2 4" xfId="79" xr:uid="{918C47C3-3BD4-4D31-90F3-F1862B58E5AF}"/>
    <cellStyle name="쉼표 [0] 2 2 4 2" xfId="211" xr:uid="{7F2D6E6C-AF01-4B67-9FEE-E3423B2DEFE5}"/>
    <cellStyle name="쉼표 [0] 2 2 5" xfId="178" xr:uid="{271FC02E-7D04-4E8B-91D8-A9CC38A67652}"/>
    <cellStyle name="쉼표 [0] 2 3" xfId="55" xr:uid="{5FAE1728-479E-46CF-A97B-0F38CA7D35AF}"/>
    <cellStyle name="쉼표 [0] 2 3 2" xfId="105" xr:uid="{95EDF5DD-67BF-4171-BAC0-EEC54089AF10}"/>
    <cellStyle name="쉼표 [0] 2 3 2 2" xfId="236" xr:uid="{5E282DEE-DA81-4753-A369-2203833B0F14}"/>
    <cellStyle name="쉼표 [0] 2 3 3" xfId="187" xr:uid="{25335A55-2F11-495E-94F6-C082380FB06F}"/>
    <cellStyle name="쉼표 [0] 2 4" xfId="89" xr:uid="{BE550FC4-16DE-4056-9F0F-628A4BF97D9F}"/>
    <cellStyle name="쉼표 [0] 2 4 2" xfId="132" xr:uid="{8626C0C0-352D-43FF-AFBB-42004CF5464D}"/>
    <cellStyle name="쉼표 [0] 2 4 2 2" xfId="259" xr:uid="{F343BE51-95EF-48CB-B882-093D4514BDFE}"/>
    <cellStyle name="쉼표 [0] 2 4 3" xfId="220" xr:uid="{096A8A2C-5BFD-467D-875B-3DE1A2BAF985}"/>
    <cellStyle name="쉼표 [0] 2 5" xfId="71" xr:uid="{E89E428B-3216-4F28-8319-9609CA0102E2}"/>
    <cellStyle name="쉼표 [0] 2 5 2" xfId="203" xr:uid="{34C8E085-A353-4317-A64D-D13EB512EB86}"/>
    <cellStyle name="쉼표 [0] 2 6" xfId="151" xr:uid="{43A62F22-9AA8-4BAA-9BD4-EBF72EB073CE}"/>
    <cellStyle name="쉼표 [0] 2 6 2" xfId="278" xr:uid="{55FF317D-4079-49F8-9564-1FF22232E9C9}"/>
    <cellStyle name="쉼표 [0] 2 7" xfId="169" xr:uid="{507B654C-EA54-48E2-B785-46D6D7DC62B5}"/>
    <cellStyle name="쉼표 [0] 3" xfId="35" xr:uid="{3E3D5ADC-681A-48A1-99B8-B20BF7547AD1}"/>
    <cellStyle name="쉼표 [0] 3 2" xfId="48" xr:uid="{41FA3234-D6FA-49E7-97E3-9DC537FD9E3A}"/>
    <cellStyle name="쉼표 [0] 3 2 2" xfId="66" xr:uid="{A5286E91-7EC9-4211-A439-E82B1524764D}"/>
    <cellStyle name="쉼표 [0] 3 2 2 2" xfId="116" xr:uid="{7AEBD27C-5238-41D7-98C2-0227437C9FB0}"/>
    <cellStyle name="쉼표 [0] 3 2 2 2 2" xfId="247" xr:uid="{1D80B82E-943F-4A37-87A5-8F454AC6B09E}"/>
    <cellStyle name="쉼표 [0] 3 2 2 3" xfId="198" xr:uid="{2830BDE4-752C-4CF7-AC54-0C70E2743D62}"/>
    <cellStyle name="쉼표 [0] 3 2 3" xfId="100" xr:uid="{BF2ADC9F-06A1-4E4B-B20D-375D6E42F641}"/>
    <cellStyle name="쉼표 [0] 3 2 3 2" xfId="143" xr:uid="{486C0DBA-4281-4BD2-A925-F27168A4C4C3}"/>
    <cellStyle name="쉼표 [0] 3 2 3 2 2" xfId="270" xr:uid="{331653C0-6596-4A36-BAAE-47B44CF10BA9}"/>
    <cellStyle name="쉼표 [0] 3 2 3 3" xfId="231" xr:uid="{B903CDE4-2201-46BA-A884-1C63EFBC13BB}"/>
    <cellStyle name="쉼표 [0] 3 2 4" xfId="82" xr:uid="{47DA916D-C0A0-425F-B8E5-4EDD45E9EE36}"/>
    <cellStyle name="쉼표 [0] 3 2 4 2" xfId="214" xr:uid="{8988387B-447A-4542-8224-2C221B2F1D44}"/>
    <cellStyle name="쉼표 [0] 3 2 5" xfId="181" xr:uid="{98405406-6C8B-4795-94F5-BDB34DA27963}"/>
    <cellStyle name="쉼표 [0] 3 3" xfId="58" xr:uid="{67DA47C1-24AB-4A65-9224-D205DBF722E1}"/>
    <cellStyle name="쉼표 [0] 3 3 2" xfId="108" xr:uid="{3F034D72-088E-4277-B063-3E2721FBCCA7}"/>
    <cellStyle name="쉼표 [0] 3 3 2 2" xfId="239" xr:uid="{EF9807BE-D3A7-4A13-B204-C0990C462A43}"/>
    <cellStyle name="쉼표 [0] 3 3 3" xfId="190" xr:uid="{9C3649E8-64DC-4066-BBD9-719FD96FFC44}"/>
    <cellStyle name="쉼표 [0] 3 4" xfId="92" xr:uid="{CEAA717C-27F3-4111-B15A-20513D194D85}"/>
    <cellStyle name="쉼표 [0] 3 4 2" xfId="135" xr:uid="{2A115B84-EDA3-4120-81A5-E0763362674B}"/>
    <cellStyle name="쉼표 [0] 3 4 2 2" xfId="262" xr:uid="{E4674125-A41E-4E46-A9DE-83184A356B6E}"/>
    <cellStyle name="쉼표 [0] 3 4 3" xfId="223" xr:uid="{E1C29CB0-0938-4D5C-91AD-DCB168547732}"/>
    <cellStyle name="쉼표 [0] 3 5" xfId="74" xr:uid="{E35BC1D7-69DE-4955-B979-E31FF3F8E9F6}"/>
    <cellStyle name="쉼표 [0] 3 5 2" xfId="206" xr:uid="{4295A9F1-9F4E-4BAF-821F-A8F0496CCA72}"/>
    <cellStyle name="쉼표 [0] 3 6" xfId="172" xr:uid="{6B4F56F8-3BC7-42E7-A59C-677EFFD1EE94}"/>
    <cellStyle name="쉼표 [0] 4" xfId="42" xr:uid="{C367BDD9-B9A9-4973-9A65-B3D4E84A09B4}"/>
    <cellStyle name="쉼표 [0] 4 2" xfId="176" xr:uid="{CF0236B5-0165-4B3C-9863-1E9B51EB1B04}"/>
    <cellStyle name="쉼표 [0] 5" xfId="39" xr:uid="{D6F1CC2F-528C-44D9-ACEB-EB613C8D3523}"/>
    <cellStyle name="쉼표 [0] 5 2" xfId="61" xr:uid="{D038BAF6-1922-4ED1-A060-78EC1CDE073E}"/>
    <cellStyle name="쉼표 [0] 5 2 2" xfId="111" xr:uid="{1DD292F0-181C-4109-8641-980ECAD51B4E}"/>
    <cellStyle name="쉼표 [0] 5 2 2 2" xfId="242" xr:uid="{5A4A6086-4CA1-4485-B320-64BDD740620C}"/>
    <cellStyle name="쉼표 [0] 5 2 3" xfId="193" xr:uid="{051C7BC1-80EC-4F7D-A340-01E0F9496F7D}"/>
    <cellStyle name="쉼표 [0] 5 3" xfId="95" xr:uid="{CFD3AC24-DBAC-4EB8-9FB1-EF4396A6EC46}"/>
    <cellStyle name="쉼표 [0] 5 3 2" xfId="138" xr:uid="{6CB6DFE3-4E33-4D56-B295-7F169BC4A1C3}"/>
    <cellStyle name="쉼표 [0] 5 3 2 2" xfId="265" xr:uid="{E7769CD0-0348-4413-9CE8-9DB37FDD5E2E}"/>
    <cellStyle name="쉼표 [0] 5 3 3" xfId="226" xr:uid="{AE6ADF18-EF0E-41F1-BBB1-94580920FA8A}"/>
    <cellStyle name="쉼표 [0] 5 4" xfId="77" xr:uid="{1AA29EA3-AA22-4335-B293-D87375E6E84C}"/>
    <cellStyle name="쉼표 [0] 5 4 2" xfId="209" xr:uid="{85D667E9-AACF-438B-BDF8-912BFFC067EE}"/>
    <cellStyle name="쉼표 [0] 5 5" xfId="175" xr:uid="{8C7EB9E3-E71D-482D-93CD-7DB24D03ECF3}"/>
    <cellStyle name="쉼표 [0] 6" xfId="51" xr:uid="{B92C90A8-7AD4-4C7B-BD45-24E58163D338}"/>
    <cellStyle name="쉼표 [0] 6 2" xfId="69" xr:uid="{B05AD24B-C6BE-40CD-A3B1-6617AE977752}"/>
    <cellStyle name="쉼표 [0] 6 2 2" xfId="119" xr:uid="{58ABDBD6-D8A2-4270-B3A2-5B931F171E9A}"/>
    <cellStyle name="쉼표 [0] 6 2 2 2" xfId="250" xr:uid="{E91828A9-D864-45BD-94B4-7E2E0477B7D8}"/>
    <cellStyle name="쉼표 [0] 6 2 3" xfId="201" xr:uid="{BA33BB9E-4E38-455D-981D-5035EAF6CD6C}"/>
    <cellStyle name="쉼표 [0] 6 3" xfId="103" xr:uid="{1BCCDFBC-9178-4A8F-B199-9F01C369A88A}"/>
    <cellStyle name="쉼표 [0] 6 3 2" xfId="146" xr:uid="{5A72CF10-426F-49CF-923E-C94CC172B4C5}"/>
    <cellStyle name="쉼표 [0] 6 3 2 2" xfId="273" xr:uid="{7D17D5F0-9194-45DC-ADAE-550842550016}"/>
    <cellStyle name="쉼표 [0] 6 3 3" xfId="234" xr:uid="{C60B1C47-B204-4368-A8A5-4134D0AC1199}"/>
    <cellStyle name="쉼표 [0] 6 4" xfId="85" xr:uid="{9A9925BB-B976-457B-8A74-1FCC78C6BB77}"/>
    <cellStyle name="쉼표 [0] 6 4 2" xfId="217" xr:uid="{13AD8E70-B5CB-415A-B01B-569895075EAA}"/>
    <cellStyle name="쉼표 [0] 6 5" xfId="184" xr:uid="{88914E2F-99CA-413C-82F9-975F82B35B92}"/>
    <cellStyle name="쉼표 [0] 7" xfId="53" xr:uid="{7725B554-39A6-4991-8BA4-86663BB2E3DB}"/>
    <cellStyle name="쉼표 [0] 7 2" xfId="185" xr:uid="{3A817E21-84B9-4B75-A8CF-E99F6F756EFB}"/>
    <cellStyle name="쉼표 [0] 8" xfId="29" xr:uid="{E1B4B458-94C6-4EAF-A682-2A3975990C28}"/>
    <cellStyle name="쉼표 [0] 8 2" xfId="167" xr:uid="{D28D40B1-4474-4DEB-B3F4-DABC841CA24C}"/>
    <cellStyle name="쉼표 [0] 9" xfId="87" xr:uid="{C5C95F2E-5917-4714-8AE4-2AA7FB1514A5}"/>
    <cellStyle name="쉼표 [0] 9 2" xfId="218" xr:uid="{0F17085B-D794-4D66-B6F2-60D437B2EB65}"/>
    <cellStyle name="좋음 2 3" xfId="124" xr:uid="{C1E7110C-6191-4F91-A306-424766A8E9CC}"/>
    <cellStyle name="표준 10" xfId="86" xr:uid="{0819A618-1F82-45A5-88F7-F593AAF9414B}"/>
    <cellStyle name="표준 11" xfId="26" xr:uid="{F8ED104D-88C6-4134-A51B-A0F9BB786894}"/>
    <cellStyle name="표준 11 2" xfId="147" xr:uid="{F29F88B2-831D-4D2C-AFC9-F815B4CFC94F}"/>
    <cellStyle name="표준 11 2 2" xfId="274" xr:uid="{A2E63175-2445-46C4-8FD8-802C4C9FD601}"/>
    <cellStyle name="표준 11 3" xfId="120" xr:uid="{ECB5C606-57B0-4768-853C-2D76E4E1BB4A}"/>
    <cellStyle name="표준 11 3 2" xfId="251" xr:uid="{56C7EC53-A070-4C84-B3C1-048843DE8AA5}"/>
    <cellStyle name="표준 11 4" xfId="159" xr:uid="{4A5F6476-ECC1-4A15-9505-C983451A9386}"/>
    <cellStyle name="표준 12" xfId="123" xr:uid="{BCA6EB7E-8625-4D55-A2FE-49F4DA702917}"/>
    <cellStyle name="표준 12 2" xfId="150" xr:uid="{8E91FDF3-F05D-4F0A-A78C-87863D824CDD}"/>
    <cellStyle name="표준 12 2 2" xfId="277" xr:uid="{B2E7E9E8-F6D4-4825-A876-51FB66F184FB}"/>
    <cellStyle name="표준 12 3" xfId="254" xr:uid="{F390497F-751D-4DC0-896D-2A1B2483F083}"/>
    <cellStyle name="표준 13" xfId="127" xr:uid="{6AACC53A-7EA2-445F-8930-F2E35C0A7DCC}"/>
    <cellStyle name="표준 13 2" xfId="162" xr:uid="{87A8699C-136B-4DAB-8E85-16904F6B2A0B}"/>
    <cellStyle name="표준 14" xfId="126" xr:uid="{C0414855-49F6-4A87-88D8-FF8A905B2983}"/>
    <cellStyle name="표준 14 2" xfId="255" xr:uid="{2C016AA8-5CC9-42AA-8E2F-27D30C9753B7}"/>
    <cellStyle name="표준 15" xfId="24" xr:uid="{9196518A-1210-4FEA-A97F-B4D23C16CDF2}"/>
    <cellStyle name="표준 15 2" xfId="164" xr:uid="{C766E82B-C436-4C23-8B6F-D604589A92A1}"/>
    <cellStyle name="표준 1539" xfId="156" xr:uid="{216074B8-DE22-4BA7-BF18-2CFB23E979D7}"/>
    <cellStyle name="표준 1539 2" xfId="282" xr:uid="{1F20A949-FCC1-443D-B246-D2424B0CDFE9}"/>
    <cellStyle name="표준 1554" xfId="161" xr:uid="{4DCBF82D-9800-42E9-826E-C658670AFDA6}"/>
    <cellStyle name="표준 1554 2" xfId="284" xr:uid="{49C88FC4-ABB0-4EA5-99BD-60CD290391C9}"/>
    <cellStyle name="표준 1560" xfId="153" xr:uid="{D5FD6810-B877-4590-B94A-01C2C1623591}"/>
    <cellStyle name="표준 1560 2" xfId="279" xr:uid="{37F3F5E0-4E58-4D9E-B854-543DB5DA25F1}"/>
    <cellStyle name="표준 16" xfId="40" xr:uid="{79B38B1B-BEB3-4308-A45B-79C5A758120F}"/>
    <cellStyle name="표준 17" xfId="22" xr:uid="{EBED8DAF-5E20-49AD-9CA7-4055671DCF87}"/>
    <cellStyle name="표준 18" xfId="285" xr:uid="{88152220-A1A2-4E8B-AF35-AD5C5470B659}"/>
    <cellStyle name="표준 2" xfId="30" xr:uid="{84435F4B-9DF3-482A-AD2E-1077112F1428}"/>
    <cellStyle name="표준 2 2" xfId="43" xr:uid="{CCD85345-CF1C-4C6A-984C-BA2120AE3DAA}"/>
    <cellStyle name="표준 2 2 2" xfId="62" xr:uid="{5DC6540C-46AD-46EF-8E1D-F34C38A9A258}"/>
    <cellStyle name="표준 2 2 2 2" xfId="112" xr:uid="{0B8C88CD-7DCF-405C-8B5A-0A4471E94FAF}"/>
    <cellStyle name="표준 2 2 2 2 2" xfId="243" xr:uid="{57469857-9749-4578-89C8-1B94D102DA03}"/>
    <cellStyle name="표준 2 2 2 3" xfId="194" xr:uid="{7C0F4C4D-740B-4917-8786-81DF6E4EBA24}"/>
    <cellStyle name="표준 2 2 3" xfId="96" xr:uid="{4806FEF2-60AA-4A78-AA1A-7F3703D95B9D}"/>
    <cellStyle name="표준 2 2 3 2" xfId="139" xr:uid="{C881D415-99E9-4AD5-826E-F8CD0D682528}"/>
    <cellStyle name="표준 2 2 3 2 2" xfId="266" xr:uid="{8431342C-CCC0-4390-A25A-A94614261A63}"/>
    <cellStyle name="표준 2 2 3 3" xfId="227" xr:uid="{E6EF7D83-8DDB-492E-870D-6B75ACDE75C9}"/>
    <cellStyle name="표준 2 2 4" xfId="78" xr:uid="{AF631A6F-6387-4B5B-9AC5-5B6CD4AEA078}"/>
    <cellStyle name="표준 2 2 4 2" xfId="210" xr:uid="{6FA16643-1BFD-498B-8223-7CB047FC1894}"/>
    <cellStyle name="표준 2 2 5" xfId="177" xr:uid="{FB69B32A-32C0-4589-8EAB-5A6443016D72}"/>
    <cellStyle name="표준 2 3" xfId="54" xr:uid="{60C0389D-9D25-4841-881B-49B57E01994E}"/>
    <cellStyle name="표준 2 3 2" xfId="104" xr:uid="{5759677A-CF34-461D-95C0-FD66F7C780CB}"/>
    <cellStyle name="표준 2 3 2 2" xfId="235" xr:uid="{97AA3629-E1D8-42D1-B7EF-652F58C799B7}"/>
    <cellStyle name="표준 2 3 3" xfId="186" xr:uid="{3124BE20-7956-48A4-A56D-5DE11F22101E}"/>
    <cellStyle name="표준 2 4" xfId="88" xr:uid="{C9B57897-2FF2-48E6-AAE5-E6B65F1BF3E2}"/>
    <cellStyle name="표준 2 4 2" xfId="131" xr:uid="{726C3ECE-7D99-41A9-A3D2-A7B5FCB66A25}"/>
    <cellStyle name="표준 2 4 2 2" xfId="258" xr:uid="{447428C3-4AA9-4446-B6A5-558DD929643B}"/>
    <cellStyle name="표준 2 4 3" xfId="219" xr:uid="{8A7D4F20-0007-479F-9BB8-908C5C34EBA3}"/>
    <cellStyle name="표준 2 5" xfId="70" xr:uid="{8E06C1A7-2A36-447D-B49E-7C1ADFC83086}"/>
    <cellStyle name="표준 2 5 2" xfId="125" xr:uid="{0C277498-193C-410E-A77D-7B215624EAE9}"/>
    <cellStyle name="표준 2 5 3" xfId="202" xr:uid="{D0D64F8B-708C-42CD-BC2E-9F18550BAD1C}"/>
    <cellStyle name="표준 2 6" xfId="129" xr:uid="{F01E5C47-1CB9-4D74-8EDF-6D51E48AF38C}"/>
    <cellStyle name="표준 2 6 2" xfId="157" xr:uid="{727968D0-23C2-428E-BAFE-844735B83235}"/>
    <cellStyle name="표준 2 6 3" xfId="257" xr:uid="{FBAD528F-0ED4-4BC6-A11B-F2492C3E6F02}"/>
    <cellStyle name="표준 2 7" xfId="168" xr:uid="{1D107503-4E79-4E7C-84E1-89336E64AD40}"/>
    <cellStyle name="표준 3" xfId="34" xr:uid="{BE166623-E0C0-415E-99B7-AF0606CA4D38}"/>
    <cellStyle name="표준 3 2" xfId="47" xr:uid="{7ADE7579-1268-4370-A014-1950E6933A2C}"/>
    <cellStyle name="표준 3 2 2" xfId="65" xr:uid="{6BCB9952-0A10-4884-BAA1-094D7B40CE1A}"/>
    <cellStyle name="표준 3 2 2 2" xfId="115" xr:uid="{F1F2657B-C32C-4F07-B842-B365825B40DE}"/>
    <cellStyle name="표준 3 2 2 2 2" xfId="246" xr:uid="{3C6FC822-0BB2-4317-8815-48FE4E1668D3}"/>
    <cellStyle name="표준 3 2 2 3" xfId="197" xr:uid="{C961C600-E9AE-4AEC-8194-4FF9CADEB3C0}"/>
    <cellStyle name="표준 3 2 3" xfId="99" xr:uid="{67ED67C3-65EC-461B-BDDE-97A98823CCC3}"/>
    <cellStyle name="표준 3 2 3 2" xfId="142" xr:uid="{544B4B88-D900-4AB4-8CE3-CF0CFBE71CB7}"/>
    <cellStyle name="표준 3 2 3 2 2" xfId="269" xr:uid="{A83C1C4C-8CBF-47F1-97EA-2C9F71E497C7}"/>
    <cellStyle name="표준 3 2 3 3" xfId="230" xr:uid="{87038F28-2B57-4FD4-8FE2-BF57A5A0DD70}"/>
    <cellStyle name="표준 3 2 4" xfId="81" xr:uid="{CBE54C00-80DF-49D3-B581-D16E3344A972}"/>
    <cellStyle name="표준 3 2 4 2" xfId="213" xr:uid="{506FDEF0-8E41-4A4C-A3EA-9E50C26CA372}"/>
    <cellStyle name="표준 3 2 5" xfId="180" xr:uid="{8356302B-7270-4DA7-BC1A-057CB6432DCC}"/>
    <cellStyle name="표준 3 3" xfId="57" xr:uid="{F5F66BD1-B758-4E19-B370-ABAA02156399}"/>
    <cellStyle name="표준 3 3 2" xfId="107" xr:uid="{C01DBF15-BBA8-4983-890D-F7F69B43FEFC}"/>
    <cellStyle name="표준 3 3 2 2" xfId="238" xr:uid="{1AC7E2C6-FA67-449A-9505-122E01F8866F}"/>
    <cellStyle name="표준 3 3 3" xfId="189" xr:uid="{6F828220-9BD1-47F3-85F5-9E84E89B7247}"/>
    <cellStyle name="표준 3 4" xfId="91" xr:uid="{D2BBBBCA-33D8-40FE-9E5E-C23E8C0828E7}"/>
    <cellStyle name="표준 3 4 2" xfId="134" xr:uid="{3DBDB677-36A2-4159-BCDF-DEE69CE8E518}"/>
    <cellStyle name="표준 3 4 2 2" xfId="261" xr:uid="{F5B63776-5448-45C5-AC2C-CFAC75273168}"/>
    <cellStyle name="표준 3 4 3" xfId="222" xr:uid="{3659B936-800D-4940-B364-61ED6608AA5C}"/>
    <cellStyle name="표준 3 5" xfId="73" xr:uid="{C76E1B34-B521-4A81-9AB1-7E247DDBD987}"/>
    <cellStyle name="표준 3 5 2" xfId="205" xr:uid="{B9CEAED1-2313-49CC-BC46-A3BF83A93588}"/>
    <cellStyle name="표준 3 6" xfId="171" xr:uid="{FB5EA79C-9B2E-4B42-BC09-365D41FA28BB}"/>
    <cellStyle name="표준 4" xfId="36" xr:uid="{D705CA1A-6BD6-45A6-BB27-107188D44FD3}"/>
    <cellStyle name="표준 4 4" xfId="152" xr:uid="{5AD810A7-8F43-4181-9356-11BDF8131A55}"/>
    <cellStyle name="표준 5" xfId="41" xr:uid="{E7234A5D-E876-41A3-A624-A1B05900221F}"/>
    <cellStyle name="표준 6" xfId="38" xr:uid="{7671A461-88B7-4FD3-945E-4ADC5B1BCFE2}"/>
    <cellStyle name="표준 6 2" xfId="60" xr:uid="{75828D24-9638-4536-BCCD-D51754FBD1CA}"/>
    <cellStyle name="표준 6 2 2" xfId="110" xr:uid="{7E91DB8D-9412-4A7A-BB12-035A21FA8331}"/>
    <cellStyle name="표준 6 2 2 2" xfId="241" xr:uid="{628A5121-F5BD-46B4-A580-2EA8BEA10284}"/>
    <cellStyle name="표준 6 2 3" xfId="192" xr:uid="{43A47202-C1D8-48D3-8DF2-AB610E2D7A60}"/>
    <cellStyle name="표준 6 3" xfId="94" xr:uid="{FDD64F74-B942-449D-AB9F-F93D2E66B1F5}"/>
    <cellStyle name="표준 6 3 2" xfId="137" xr:uid="{4F7E559D-DDD3-4B20-906F-DB75C744C0D6}"/>
    <cellStyle name="표준 6 3 2 2" xfId="264" xr:uid="{6193B597-575C-4467-A312-CFD8E3ED2911}"/>
    <cellStyle name="표준 6 3 3" xfId="225" xr:uid="{7E1ADFE1-31BE-4F12-AB57-FE7930E493A8}"/>
    <cellStyle name="표준 6 4" xfId="76" xr:uid="{D3C4AB34-DF80-4F42-97EE-69557C7E892B}"/>
    <cellStyle name="표준 6 4 2" xfId="208" xr:uid="{CAD881AB-D5CC-46AB-8062-57B89CDD450A}"/>
    <cellStyle name="표준 6 5" xfId="174" xr:uid="{205786CE-4C9E-41B4-AEDD-83B632BF4067}"/>
    <cellStyle name="표준 7" xfId="50" xr:uid="{9C78A983-95CE-45A1-B353-3A0FC05A58E2}"/>
    <cellStyle name="표준 7 2" xfId="68" xr:uid="{C7787798-FEE6-498A-AFD3-6DA82853E5E0}"/>
    <cellStyle name="표준 7 2 2" xfId="118" xr:uid="{5FB1D4AD-36FF-43B0-A229-13BD2165B7C2}"/>
    <cellStyle name="표준 7 2 2 2" xfId="249" xr:uid="{7FA6CE02-CB72-4A8C-91FF-3D53524AA881}"/>
    <cellStyle name="표준 7 2 3" xfId="200" xr:uid="{CE5A4F3A-88BA-4EEE-841E-F3DB942862EA}"/>
    <cellStyle name="표준 7 3" xfId="102" xr:uid="{8D86BA4E-7DB6-417D-82A0-421335214033}"/>
    <cellStyle name="표준 7 3 2" xfId="145" xr:uid="{46D03F74-DB70-415F-92A4-576991B02964}"/>
    <cellStyle name="표준 7 3 2 2" xfId="272" xr:uid="{6D75439F-2547-456E-9531-E13EEF462014}"/>
    <cellStyle name="표준 7 3 3" xfId="233" xr:uid="{F8E3E2E2-04E7-411D-BB5E-1BC0722CF1DF}"/>
    <cellStyle name="표준 7 4" xfId="84" xr:uid="{0AD62D7E-DD71-448F-9A59-64995E9CCB94}"/>
    <cellStyle name="표준 7 4 2" xfId="216" xr:uid="{A9521B0B-EF1E-4EA5-A03F-983A500541FF}"/>
    <cellStyle name="표준 7 5" xfId="183" xr:uid="{E11FD675-994D-482F-AA81-3DD893C790C2}"/>
    <cellStyle name="표준 8" xfId="52" xr:uid="{1A7469C4-AB41-4985-898A-421D01FF8A53}"/>
    <cellStyle name="표준 9" xfId="28" xr:uid="{FA6CF9C3-3D10-4BE1-9E67-F88BA898AC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osis.kr/statHtml/statHtml.do?orgId=388&amp;tblId=TX_38803_A009&amp;conn_path=I2" TargetMode="External"/><Relationship Id="rId2" Type="http://schemas.openxmlformats.org/officeDocument/2006/relationships/hyperlink" Target="https://www.etrans.or.kr/lib/gen_download.php?file_name=%EC%A0%9C9%EC%B0%A8%EC%A0%84%EB%A0%A5%EC%88%98%EA%B8%89%EA%B8%B0%EB%B3%B8%EA%B3%84%ED%9A%8D.pdf" TargetMode="External"/><Relationship Id="rId1" Type="http://schemas.openxmlformats.org/officeDocument/2006/relationships/hyperlink" Target="https://kosis.kr/statHtml/statHtml.do?orgId=388&amp;tblId=TX_38803_A004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etrans.or.kr/lib/gen_download.php?file_name=%EC%A0%9C9%EC%B0%A8%EC%A0%84%EB%A0%A5%EC%88%98%EA%B8%89%EA%B8%B0%EB%B3%B8%EA%B3%84%ED%9A%8D.pdf" TargetMode="External"/><Relationship Id="rId4" Type="http://schemas.openxmlformats.org/officeDocument/2006/relationships/hyperlink" Target="http://epsis.kpx.or.kr/epsisnew/selectEkpoBftChart.do?menuId=0201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opLeftCell="A34" workbookViewId="0">
      <selection activeCell="A2" sqref="A2"/>
    </sheetView>
  </sheetViews>
  <sheetFormatPr defaultRowHeight="14.5"/>
  <cols>
    <col min="1" max="1" width="20.08984375" customWidth="1"/>
    <col min="2" max="2" width="55" customWidth="1"/>
    <col min="6" max="6" width="63.08984375" customWidth="1"/>
  </cols>
  <sheetData>
    <row r="1" spans="1:6">
      <c r="A1" s="2" t="s">
        <v>1557</v>
      </c>
    </row>
    <row r="3" spans="1:6">
      <c r="A3" s="2" t="s">
        <v>8</v>
      </c>
      <c r="B3" s="5" t="s">
        <v>32</v>
      </c>
      <c r="F3" s="5" t="s">
        <v>1474</v>
      </c>
    </row>
    <row r="4" spans="1:6">
      <c r="B4" t="s">
        <v>33</v>
      </c>
      <c r="F4" t="s">
        <v>1462</v>
      </c>
    </row>
    <row r="5" spans="1:6">
      <c r="B5" t="s">
        <v>65</v>
      </c>
      <c r="F5" s="3">
        <v>2019</v>
      </c>
    </row>
    <row r="6" spans="1:6">
      <c r="B6" t="s">
        <v>1476</v>
      </c>
      <c r="F6" t="s">
        <v>1480</v>
      </c>
    </row>
    <row r="7" spans="1:6">
      <c r="B7" s="14" t="s">
        <v>51</v>
      </c>
      <c r="F7" s="4" t="s">
        <v>1463</v>
      </c>
    </row>
    <row r="9" spans="1:6">
      <c r="B9" t="s">
        <v>64</v>
      </c>
    </row>
    <row r="10" spans="1:6">
      <c r="B10" t="s">
        <v>65</v>
      </c>
    </row>
    <row r="11" spans="1:6">
      <c r="B11" t="s">
        <v>1477</v>
      </c>
    </row>
    <row r="12" spans="1:6">
      <c r="B12" s="4" t="s">
        <v>66</v>
      </c>
    </row>
    <row r="14" spans="1:6">
      <c r="B14" t="s">
        <v>64</v>
      </c>
    </row>
    <row r="15" spans="1:6">
      <c r="B15" s="3">
        <v>2020</v>
      </c>
    </row>
    <row r="16" spans="1:6">
      <c r="B16" t="s">
        <v>1478</v>
      </c>
    </row>
    <row r="17" spans="1:2">
      <c r="B17" s="4" t="s">
        <v>97</v>
      </c>
    </row>
    <row r="19" spans="1:2">
      <c r="B19" s="5" t="s">
        <v>28</v>
      </c>
    </row>
    <row r="20" spans="1:2">
      <c r="B20" s="3" t="s">
        <v>74</v>
      </c>
    </row>
    <row r="21" spans="1:2">
      <c r="B21" t="s">
        <v>75</v>
      </c>
    </row>
    <row r="22" spans="1:2">
      <c r="B22" t="s">
        <v>1479</v>
      </c>
    </row>
    <row r="23" spans="1:2">
      <c r="B23" s="14" t="s">
        <v>375</v>
      </c>
    </row>
    <row r="24" spans="1:2">
      <c r="B24" t="s">
        <v>1481</v>
      </c>
    </row>
    <row r="26" spans="1:2">
      <c r="B26" s="83" t="s">
        <v>1485</v>
      </c>
    </row>
    <row r="27" spans="1:2">
      <c r="B27" s="89" t="s">
        <v>74</v>
      </c>
    </row>
    <row r="28" spans="1:2">
      <c r="B28" s="84" t="s">
        <v>1486</v>
      </c>
    </row>
    <row r="29" spans="1:2">
      <c r="B29" s="84" t="s">
        <v>1487</v>
      </c>
    </row>
    <row r="30" spans="1:2">
      <c r="B30" s="14" t="s">
        <v>375</v>
      </c>
    </row>
    <row r="31" spans="1:2">
      <c r="B31" s="84" t="s">
        <v>1488</v>
      </c>
    </row>
    <row r="32" spans="1:2">
      <c r="A32" s="2" t="s">
        <v>7</v>
      </c>
    </row>
    <row r="33" spans="1:1">
      <c r="A33" t="s">
        <v>27</v>
      </c>
    </row>
    <row r="34" spans="1:1">
      <c r="A34" t="s">
        <v>1482</v>
      </c>
    </row>
    <row r="35" spans="1:1">
      <c r="A35" t="s">
        <v>1483</v>
      </c>
    </row>
    <row r="38" spans="1:1">
      <c r="A38" s="2" t="s">
        <v>16</v>
      </c>
    </row>
    <row r="39" spans="1:1">
      <c r="A39" t="s">
        <v>17</v>
      </c>
    </row>
    <row r="40" spans="1:1">
      <c r="A40" t="s">
        <v>18</v>
      </c>
    </row>
    <row r="41" spans="1:1">
      <c r="A41" t="s">
        <v>19</v>
      </c>
    </row>
    <row r="42" spans="1:1">
      <c r="A42" t="s">
        <v>20</v>
      </c>
    </row>
    <row r="43" spans="1:1">
      <c r="A43" t="s">
        <v>21</v>
      </c>
    </row>
    <row r="44" spans="1:1">
      <c r="A44" t="s">
        <v>22</v>
      </c>
    </row>
    <row r="46" spans="1:1">
      <c r="A46" t="s">
        <v>1473</v>
      </c>
    </row>
  </sheetData>
  <phoneticPr fontId="14" type="noConversion"/>
  <hyperlinks>
    <hyperlink ref="B17" r:id="rId1" xr:uid="{A29B20BB-8AC5-4B50-A422-53C387B9999F}"/>
    <hyperlink ref="B23" r:id="rId2" xr:uid="{77552F77-5BBE-4C1C-ADCC-EF01BD43569B}"/>
    <hyperlink ref="B12" r:id="rId3" xr:uid="{79D7F39A-ED9A-4CE0-AC2D-BF2DB776301C}"/>
    <hyperlink ref="B7" r:id="rId4" xr:uid="{E2D8BBF4-A45C-4015-9B49-B29DD23EC94C}"/>
    <hyperlink ref="B30" r:id="rId5" xr:uid="{C689F7E1-6B3B-40EB-B014-3C418183F2E3}"/>
  </hyperlinks>
  <pageMargins left="0.7" right="0.7" top="0.75" bottom="0.75" header="0.3" footer="0.3"/>
  <pageSetup orientation="portrait" horizontalDpi="1200" verticalDpi="12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D4FDC-F34F-4EF2-A1AC-4684D7F88FFC}">
  <dimension ref="A1:AZ308"/>
  <sheetViews>
    <sheetView topLeftCell="G6" zoomScale="85" zoomScaleNormal="85" workbookViewId="0">
      <selection activeCell="K29" sqref="K29"/>
    </sheetView>
  </sheetViews>
  <sheetFormatPr defaultColWidth="11.6328125" defaultRowHeight="14.5"/>
  <cols>
    <col min="1" max="1" width="11.6328125" customWidth="1"/>
    <col min="2" max="2" width="11.7265625" bestFit="1" customWidth="1"/>
    <col min="3" max="3" width="12.7265625" customWidth="1"/>
    <col min="7" max="7" width="11.6328125" customWidth="1"/>
    <col min="17" max="17" width="21.6328125" customWidth="1"/>
  </cols>
  <sheetData>
    <row r="1" spans="1:52" ht="25.5" customHeight="1">
      <c r="A1" s="19" t="s">
        <v>42</v>
      </c>
      <c r="E1" t="s">
        <v>68</v>
      </c>
    </row>
    <row r="2" spans="1:52" s="16" customFormat="1" ht="20.149999999999999" customHeight="1"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 r="3" spans="1:52" s="16" customFormat="1" ht="20.149999999999999" customHeight="1">
      <c r="A3" s="93" t="s">
        <v>52</v>
      </c>
      <c r="B3" s="93" t="s">
        <v>53</v>
      </c>
      <c r="C3" s="94" t="s">
        <v>54</v>
      </c>
      <c r="D3" s="94" t="s">
        <v>55</v>
      </c>
      <c r="E3" s="94" t="s">
        <v>56</v>
      </c>
      <c r="F3" s="94" t="s">
        <v>36</v>
      </c>
      <c r="G3" s="94" t="s">
        <v>49</v>
      </c>
      <c r="H3" s="94" t="s">
        <v>50</v>
      </c>
      <c r="I3" s="94" t="s">
        <v>37</v>
      </c>
      <c r="J3" s="94" t="s">
        <v>38</v>
      </c>
      <c r="K3" s="94" t="s">
        <v>39</v>
      </c>
      <c r="L3" s="94" t="s">
        <v>40</v>
      </c>
      <c r="M3" s="94"/>
      <c r="N3" s="94"/>
      <c r="O3" s="94"/>
      <c r="P3" s="94"/>
      <c r="Q3" s="94"/>
      <c r="R3" s="94"/>
      <c r="S3" s="94"/>
      <c r="T3" s="94" t="s">
        <v>41</v>
      </c>
      <c r="U3" s="94" t="s">
        <v>34</v>
      </c>
      <c r="V3"/>
      <c r="W3"/>
      <c r="X3"/>
      <c r="Y3"/>
      <c r="Z3"/>
      <c r="AA3"/>
    </row>
    <row r="4" spans="1:52" s="16" customFormat="1" ht="20.149999999999999" customHeight="1">
      <c r="A4" s="93"/>
      <c r="B4" s="93"/>
      <c r="C4" s="94"/>
      <c r="D4" s="94"/>
      <c r="E4" s="94"/>
      <c r="F4" s="94"/>
      <c r="G4" s="94"/>
      <c r="H4" s="94"/>
      <c r="I4" s="94"/>
      <c r="J4" s="94"/>
      <c r="K4" s="94"/>
      <c r="L4" s="22" t="s">
        <v>57</v>
      </c>
      <c r="M4" s="22" t="s">
        <v>58</v>
      </c>
      <c r="N4" s="22" t="s">
        <v>59</v>
      </c>
      <c r="O4" s="22" t="s">
        <v>46</v>
      </c>
      <c r="P4" s="22" t="s">
        <v>45</v>
      </c>
      <c r="Q4" s="22" t="s">
        <v>60</v>
      </c>
      <c r="R4" s="22" t="s">
        <v>61</v>
      </c>
      <c r="S4" s="22" t="s">
        <v>62</v>
      </c>
      <c r="T4" s="94"/>
      <c r="U4" s="94"/>
      <c r="V4"/>
      <c r="W4"/>
      <c r="X4"/>
      <c r="Y4"/>
      <c r="Z4"/>
      <c r="AA4"/>
    </row>
    <row r="5" spans="1:52" s="16" customFormat="1" ht="20.149999999999999" customHeight="1">
      <c r="A5" s="21" t="s">
        <v>48</v>
      </c>
      <c r="B5" s="21" t="s">
        <v>34</v>
      </c>
      <c r="C5" s="23" t="s">
        <v>34</v>
      </c>
      <c r="D5" s="23" t="s">
        <v>34</v>
      </c>
      <c r="E5" s="23" t="s">
        <v>34</v>
      </c>
      <c r="F5" s="24">
        <v>23250</v>
      </c>
      <c r="G5" s="24">
        <v>36453.381999999998</v>
      </c>
      <c r="H5" s="24">
        <v>400</v>
      </c>
      <c r="I5" s="24">
        <v>2247.0250000000001</v>
      </c>
      <c r="J5" s="24">
        <v>41169.767</v>
      </c>
      <c r="K5" s="24">
        <v>4700</v>
      </c>
      <c r="L5" s="24">
        <v>604.71399999999971</v>
      </c>
      <c r="M5" s="24">
        <v>346.33</v>
      </c>
      <c r="N5" s="24">
        <v>14574.791227002601</v>
      </c>
      <c r="O5" s="24">
        <v>1635.8024</v>
      </c>
      <c r="P5" s="24">
        <v>1805.7684000000002</v>
      </c>
      <c r="Q5" s="24">
        <v>255.5</v>
      </c>
      <c r="R5" s="24">
        <v>1321.9880000000001</v>
      </c>
      <c r="S5" s="24">
        <v>0</v>
      </c>
      <c r="T5" s="24">
        <v>426.20399999999995</v>
      </c>
      <c r="U5" s="24">
        <v>129191.27202700259</v>
      </c>
      <c r="V5" s="20"/>
      <c r="W5" s="20"/>
      <c r="X5" s="20"/>
      <c r="Y5" s="20"/>
      <c r="Z5" s="20"/>
      <c r="AA5" s="20"/>
    </row>
    <row r="6" spans="1:52" s="16" customFormat="1" ht="20.149999999999999" customHeight="1">
      <c r="A6" s="21" t="s">
        <v>47</v>
      </c>
      <c r="B6" s="21" t="s">
        <v>34</v>
      </c>
      <c r="C6" s="23" t="s">
        <v>34</v>
      </c>
      <c r="D6" s="23" t="s">
        <v>34</v>
      </c>
      <c r="E6" s="23" t="s">
        <v>34</v>
      </c>
      <c r="F6" s="24">
        <v>23250</v>
      </c>
      <c r="G6" s="24">
        <v>36391.781999999999</v>
      </c>
      <c r="H6" s="24">
        <v>600</v>
      </c>
      <c r="I6" s="24">
        <v>3771.04</v>
      </c>
      <c r="J6" s="24">
        <v>39655.399999999994</v>
      </c>
      <c r="K6" s="24">
        <v>4700</v>
      </c>
      <c r="L6" s="24">
        <v>464.14600000000013</v>
      </c>
      <c r="M6" s="24">
        <v>346.33</v>
      </c>
      <c r="N6" s="24">
        <v>10505.101538002278</v>
      </c>
      <c r="O6" s="24">
        <v>1512.2213999999999</v>
      </c>
      <c r="P6" s="24">
        <v>1808.1034</v>
      </c>
      <c r="Q6" s="24">
        <v>255.5</v>
      </c>
      <c r="R6" s="24">
        <v>899.65100000000018</v>
      </c>
      <c r="S6" s="24">
        <v>0</v>
      </c>
      <c r="T6" s="24">
        <v>1178.3919999999996</v>
      </c>
      <c r="U6" s="24">
        <v>125337.66733800224</v>
      </c>
      <c r="V6"/>
      <c r="W6"/>
      <c r="X6"/>
      <c r="Y6"/>
      <c r="Z6"/>
      <c r="AA6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s="16" customFormat="1" ht="20.149999999999999" customHeight="1">
      <c r="A7"/>
      <c r="B7"/>
      <c r="C7"/>
      <c r="D7"/>
      <c r="E7"/>
      <c r="F7"/>
      <c r="G7" t="s">
        <v>71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s="16" customFormat="1" ht="20.149999999999999" customHeight="1">
      <c r="A8" s="19"/>
      <c r="B8"/>
      <c r="C8"/>
      <c r="D8"/>
      <c r="E8"/>
      <c r="F8"/>
      <c r="G8" t="s">
        <v>73</v>
      </c>
      <c r="H8"/>
      <c r="I8"/>
      <c r="J8"/>
      <c r="Z8"/>
      <c r="AA8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s="16" customFormat="1" ht="20.149999999999999" customHeight="1">
      <c r="A9" s="27"/>
      <c r="B9" s="27"/>
      <c r="C9" s="25"/>
      <c r="D9" s="25"/>
      <c r="E9" s="25"/>
      <c r="F9" s="25"/>
      <c r="G9" s="25"/>
      <c r="H9" s="25"/>
      <c r="I9" s="25"/>
      <c r="J9" s="25"/>
      <c r="Z9" s="25"/>
      <c r="AA9" s="25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s="16" customFormat="1" ht="20.149999999999999" customHeight="1">
      <c r="A10" s="19" t="s">
        <v>1484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Z10" s="25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s="16" customFormat="1" ht="20.149999999999999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Z11" s="25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s="16" customFormat="1" ht="20.149999999999999" customHeight="1">
      <c r="A12" s="44" t="s">
        <v>98</v>
      </c>
      <c r="B12" s="44" t="s">
        <v>99</v>
      </c>
      <c r="C12" s="44" t="s">
        <v>100</v>
      </c>
      <c r="D12" s="43" t="s">
        <v>101</v>
      </c>
      <c r="E12" s="43" t="s">
        <v>102</v>
      </c>
      <c r="F12" s="92" t="s">
        <v>47</v>
      </c>
      <c r="G12" s="92" t="s">
        <v>47</v>
      </c>
      <c r="H12" s="92" t="s">
        <v>47</v>
      </c>
      <c r="I12" s="92" t="s">
        <v>48</v>
      </c>
      <c r="J12" s="92" t="s">
        <v>48</v>
      </c>
      <c r="K12" s="92" t="s">
        <v>48</v>
      </c>
      <c r="L12" s="25"/>
      <c r="M12" s="48" t="s">
        <v>365</v>
      </c>
      <c r="N12" s="25">
        <v>2019</v>
      </c>
      <c r="O12" s="25">
        <v>2020</v>
      </c>
      <c r="Q12" s="47" t="s">
        <v>63</v>
      </c>
      <c r="R12" s="20">
        <v>2019</v>
      </c>
      <c r="S12" s="20">
        <v>2020</v>
      </c>
      <c r="T12" s="20"/>
      <c r="U12" s="20" t="s">
        <v>70</v>
      </c>
      <c r="V12" s="20"/>
      <c r="W12" s="46" t="s">
        <v>371</v>
      </c>
      <c r="Z12" s="26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s="16" customFormat="1" ht="20.149999999999999" customHeight="1">
      <c r="A13" s="45" t="s">
        <v>98</v>
      </c>
      <c r="B13" s="45" t="s">
        <v>99</v>
      </c>
      <c r="C13" s="45" t="s">
        <v>100</v>
      </c>
      <c r="D13" s="37" t="s">
        <v>101</v>
      </c>
      <c r="E13" s="37" t="s">
        <v>102</v>
      </c>
      <c r="F13" s="37" t="s">
        <v>103</v>
      </c>
      <c r="G13" s="37" t="s">
        <v>104</v>
      </c>
      <c r="H13" s="37" t="s">
        <v>105</v>
      </c>
      <c r="I13" s="37" t="s">
        <v>103</v>
      </c>
      <c r="J13" s="37" t="s">
        <v>104</v>
      </c>
      <c r="K13" s="37" t="s">
        <v>105</v>
      </c>
      <c r="L13" s="25"/>
      <c r="M13" s="25" t="s">
        <v>96</v>
      </c>
      <c r="N13" s="36">
        <f>H59+H162</f>
        <v>820140</v>
      </c>
      <c r="O13" s="36">
        <f>K59+K162</f>
        <v>707725</v>
      </c>
      <c r="Q13" s="17" t="s">
        <v>14</v>
      </c>
      <c r="R13" s="20">
        <f>G6+H6</f>
        <v>36991.781999999999</v>
      </c>
      <c r="S13" s="20">
        <f>G5+H5</f>
        <v>36853.381999999998</v>
      </c>
      <c r="T13" s="20"/>
      <c r="U13" s="20">
        <f>S13-R13</f>
        <v>-138.40000000000146</v>
      </c>
      <c r="V13" s="20"/>
      <c r="W13" s="16">
        <f>IF(U13&lt;0,-U13,0)</f>
        <v>138.40000000000146</v>
      </c>
      <c r="Z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s="16" customFormat="1" ht="20.149999999999999" customHeight="1">
      <c r="A14" s="39" t="s">
        <v>106</v>
      </c>
      <c r="B14" s="39" t="s">
        <v>34</v>
      </c>
      <c r="C14" s="39" t="s">
        <v>35</v>
      </c>
      <c r="D14" s="39" t="s">
        <v>35</v>
      </c>
      <c r="E14" s="39" t="s">
        <v>35</v>
      </c>
      <c r="F14" s="38" t="s">
        <v>107</v>
      </c>
      <c r="G14" s="38">
        <v>519</v>
      </c>
      <c r="H14" s="38">
        <v>99237238</v>
      </c>
      <c r="I14" s="38" t="s">
        <v>107</v>
      </c>
      <c r="J14" s="38">
        <v>518</v>
      </c>
      <c r="K14" s="38">
        <v>99089190</v>
      </c>
      <c r="L14" s="26"/>
      <c r="M14" s="26" t="s">
        <v>69</v>
      </c>
      <c r="N14" s="35">
        <f>H20+H161</f>
        <v>2680000</v>
      </c>
      <c r="O14" s="35">
        <f>K20+K161</f>
        <v>1280000</v>
      </c>
      <c r="Q14" s="17" t="s">
        <v>9</v>
      </c>
      <c r="R14" s="20">
        <f>J6</f>
        <v>39655.399999999994</v>
      </c>
      <c r="S14" s="20">
        <f>J5</f>
        <v>41169.767</v>
      </c>
      <c r="T14" s="20"/>
      <c r="U14" s="20">
        <f t="shared" ref="U14:U28" si="0">S14-R14</f>
        <v>1514.3670000000056</v>
      </c>
      <c r="V14" s="20"/>
      <c r="W14" s="16">
        <f t="shared" ref="W14:W28" si="1">IF(U14&lt;0,-U14,0)</f>
        <v>0</v>
      </c>
      <c r="Z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s="16" customFormat="1" ht="20.149999999999999" customHeight="1">
      <c r="A15" s="41" t="s">
        <v>67</v>
      </c>
      <c r="B15" s="39" t="s">
        <v>108</v>
      </c>
      <c r="C15" s="39" t="s">
        <v>35</v>
      </c>
      <c r="D15" s="39" t="s">
        <v>35</v>
      </c>
      <c r="E15" s="39" t="s">
        <v>35</v>
      </c>
      <c r="F15" s="38" t="s">
        <v>107</v>
      </c>
      <c r="G15" s="38">
        <v>295</v>
      </c>
      <c r="H15" s="38">
        <v>98583531</v>
      </c>
      <c r="I15" s="38" t="s">
        <v>107</v>
      </c>
      <c r="J15" s="38">
        <v>294</v>
      </c>
      <c r="K15" s="38">
        <v>98433531</v>
      </c>
      <c r="L15" s="20"/>
      <c r="M15" s="20"/>
      <c r="N15" s="20"/>
      <c r="O15" s="20"/>
      <c r="Q15" s="17" t="s">
        <v>0</v>
      </c>
      <c r="R15" s="20">
        <f>F6</f>
        <v>23250</v>
      </c>
      <c r="S15" s="20">
        <f>F5</f>
        <v>23250</v>
      </c>
      <c r="T15" s="20"/>
      <c r="U15" s="20">
        <f t="shared" si="0"/>
        <v>0</v>
      </c>
      <c r="V15" s="20"/>
      <c r="W15" s="16">
        <f t="shared" si="1"/>
        <v>0</v>
      </c>
      <c r="Z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s="16" customFormat="1" ht="20.149999999999999" customHeight="1">
      <c r="A16" s="41" t="s">
        <v>67</v>
      </c>
      <c r="B16" s="39" t="s">
        <v>109</v>
      </c>
      <c r="C16" s="39" t="s">
        <v>35</v>
      </c>
      <c r="D16" s="39" t="s">
        <v>35</v>
      </c>
      <c r="E16" s="39" t="s">
        <v>35</v>
      </c>
      <c r="F16" s="38" t="s">
        <v>107</v>
      </c>
      <c r="G16" s="38">
        <v>224</v>
      </c>
      <c r="H16" s="38">
        <v>653707</v>
      </c>
      <c r="I16" s="38" t="s">
        <v>107</v>
      </c>
      <c r="J16" s="38">
        <v>224</v>
      </c>
      <c r="K16" s="38">
        <v>655659</v>
      </c>
      <c r="L16" s="20"/>
      <c r="M16" s="49" t="s">
        <v>63</v>
      </c>
      <c r="N16" s="25">
        <v>2019</v>
      </c>
      <c r="O16" s="25">
        <v>2020</v>
      </c>
      <c r="Q16" s="17" t="s">
        <v>1</v>
      </c>
      <c r="R16" s="20">
        <f>P6</f>
        <v>1808.1034</v>
      </c>
      <c r="S16" s="20">
        <f>P5</f>
        <v>1805.7684000000002</v>
      </c>
      <c r="T16" s="20"/>
      <c r="U16" s="20">
        <f t="shared" si="0"/>
        <v>-2.334999999999809</v>
      </c>
      <c r="V16" s="20"/>
      <c r="W16" s="16">
        <f t="shared" si="1"/>
        <v>2.334999999999809</v>
      </c>
      <c r="Z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s="16" customFormat="1" ht="20.149999999999999" customHeight="1">
      <c r="A17" s="39" t="s">
        <v>43</v>
      </c>
      <c r="B17" s="39" t="s">
        <v>34</v>
      </c>
      <c r="C17" s="39" t="s">
        <v>35</v>
      </c>
      <c r="D17" s="39" t="s">
        <v>35</v>
      </c>
      <c r="E17" s="39" t="s">
        <v>35</v>
      </c>
      <c r="F17" s="38" t="s">
        <v>107</v>
      </c>
      <c r="G17" s="38">
        <v>68</v>
      </c>
      <c r="H17" s="38">
        <v>38100658</v>
      </c>
      <c r="I17" s="38" t="s">
        <v>107</v>
      </c>
      <c r="J17" s="38">
        <v>67</v>
      </c>
      <c r="K17" s="38">
        <v>37950658</v>
      </c>
      <c r="L17" s="20"/>
      <c r="M17" s="25" t="s">
        <v>96</v>
      </c>
      <c r="N17" s="36">
        <f>N13/1000</f>
        <v>820.14</v>
      </c>
      <c r="O17" s="36">
        <f>O13/1000</f>
        <v>707.72500000000002</v>
      </c>
      <c r="Q17" s="17" t="s">
        <v>15</v>
      </c>
      <c r="R17" s="20">
        <f>O6</f>
        <v>1512.2213999999999</v>
      </c>
      <c r="S17" s="20">
        <f>O5</f>
        <v>1635.8024</v>
      </c>
      <c r="T17" s="20"/>
      <c r="U17" s="20">
        <f t="shared" si="0"/>
        <v>123.58100000000013</v>
      </c>
      <c r="V17" s="20"/>
      <c r="W17" s="16">
        <f t="shared" si="1"/>
        <v>0</v>
      </c>
      <c r="Z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s="16" customFormat="1" ht="20.149999999999999" customHeight="1">
      <c r="A18" s="41" t="s">
        <v>67</v>
      </c>
      <c r="B18" s="41" t="s">
        <v>67</v>
      </c>
      <c r="C18" s="39" t="s">
        <v>49</v>
      </c>
      <c r="D18" s="39" t="s">
        <v>35</v>
      </c>
      <c r="E18" s="39" t="s">
        <v>35</v>
      </c>
      <c r="F18" s="38" t="s">
        <v>107</v>
      </c>
      <c r="G18" s="38">
        <v>58</v>
      </c>
      <c r="H18" s="38">
        <v>34900658</v>
      </c>
      <c r="I18" s="38" t="s">
        <v>107</v>
      </c>
      <c r="J18" s="38">
        <v>58</v>
      </c>
      <c r="K18" s="38">
        <v>34950658</v>
      </c>
      <c r="L18" s="20"/>
      <c r="M18" s="26" t="s">
        <v>69</v>
      </c>
      <c r="N18" s="36">
        <f>N14/1000</f>
        <v>2680</v>
      </c>
      <c r="O18" s="36">
        <f>O14/1000</f>
        <v>1280</v>
      </c>
      <c r="Q18" s="17" t="s">
        <v>2</v>
      </c>
      <c r="R18" s="20">
        <f>N6</f>
        <v>10505.101538002278</v>
      </c>
      <c r="S18" s="20">
        <f>N5</f>
        <v>14574.791227002601</v>
      </c>
      <c r="T18" s="20"/>
      <c r="U18" s="20">
        <f t="shared" si="0"/>
        <v>4069.6896890003227</v>
      </c>
      <c r="V18" s="20"/>
      <c r="W18" s="16">
        <f t="shared" si="1"/>
        <v>0</v>
      </c>
      <c r="Z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s="16" customFormat="1" ht="20.149999999999999" customHeight="1">
      <c r="A19" s="41" t="s">
        <v>67</v>
      </c>
      <c r="B19" s="41" t="s">
        <v>67</v>
      </c>
      <c r="C19" s="39" t="s">
        <v>50</v>
      </c>
      <c r="D19" s="39" t="s">
        <v>35</v>
      </c>
      <c r="E19" s="39" t="s">
        <v>35</v>
      </c>
      <c r="F19" s="38" t="s">
        <v>107</v>
      </c>
      <c r="G19" s="38">
        <v>3</v>
      </c>
      <c r="H19" s="38">
        <v>600000</v>
      </c>
      <c r="I19" s="38" t="s">
        <v>107</v>
      </c>
      <c r="J19" s="38">
        <v>2</v>
      </c>
      <c r="K19" s="38">
        <v>400000</v>
      </c>
      <c r="L19" s="20"/>
      <c r="M19" s="20"/>
      <c r="N19" s="20"/>
      <c r="O19" s="20"/>
      <c r="Q19" s="17" t="s">
        <v>3</v>
      </c>
      <c r="R19" s="20">
        <v>0</v>
      </c>
      <c r="S19" s="20">
        <v>0</v>
      </c>
      <c r="T19" s="20"/>
      <c r="U19" s="20">
        <v>0</v>
      </c>
      <c r="V19" s="20"/>
      <c r="W19" s="16">
        <v>0</v>
      </c>
      <c r="Z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s="16" customFormat="1" ht="20.149999999999999" customHeight="1">
      <c r="A20" s="41" t="s">
        <v>67</v>
      </c>
      <c r="B20" s="41" t="s">
        <v>67</v>
      </c>
      <c r="C20" s="39" t="s">
        <v>44</v>
      </c>
      <c r="D20" s="39" t="s">
        <v>35</v>
      </c>
      <c r="E20" s="39" t="s">
        <v>35</v>
      </c>
      <c r="F20" s="38" t="s">
        <v>107</v>
      </c>
      <c r="G20" s="38">
        <v>7</v>
      </c>
      <c r="H20" s="38">
        <v>2600000</v>
      </c>
      <c r="I20" s="38" t="s">
        <v>107</v>
      </c>
      <c r="J20" s="38">
        <v>3</v>
      </c>
      <c r="K20" s="38">
        <v>1200000</v>
      </c>
      <c r="L20" s="20"/>
      <c r="M20" s="20" t="s">
        <v>95</v>
      </c>
      <c r="N20" s="20">
        <f>N17+N18</f>
        <v>3500.14</v>
      </c>
      <c r="O20" s="20">
        <f>O17+O18</f>
        <v>1987.7249999999999</v>
      </c>
      <c r="Q20" s="17" t="s">
        <v>4</v>
      </c>
      <c r="R20" s="20">
        <f>R6</f>
        <v>899.65100000000018</v>
      </c>
      <c r="S20" s="20">
        <f>R5</f>
        <v>1321.9880000000001</v>
      </c>
      <c r="T20" s="20"/>
      <c r="U20" s="20">
        <f t="shared" si="0"/>
        <v>422.33699999999988</v>
      </c>
      <c r="V20" s="20"/>
      <c r="W20" s="16">
        <f t="shared" si="1"/>
        <v>0</v>
      </c>
      <c r="Z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s="16" customFormat="1" ht="20.149999999999999" customHeight="1">
      <c r="A21" s="41" t="s">
        <v>67</v>
      </c>
      <c r="B21" s="41" t="s">
        <v>67</v>
      </c>
      <c r="C21" s="39" t="s">
        <v>38</v>
      </c>
      <c r="D21" s="39" t="s">
        <v>35</v>
      </c>
      <c r="E21" s="39" t="s">
        <v>35</v>
      </c>
      <c r="F21" s="38" t="s">
        <v>107</v>
      </c>
      <c r="G21" s="38">
        <v>0</v>
      </c>
      <c r="H21" s="38">
        <v>0</v>
      </c>
      <c r="I21" s="38" t="s">
        <v>107</v>
      </c>
      <c r="J21" s="38">
        <v>4</v>
      </c>
      <c r="K21" s="38">
        <v>1400000</v>
      </c>
      <c r="L21" s="20"/>
      <c r="M21" s="20"/>
      <c r="N21" s="20"/>
      <c r="O21" s="20"/>
      <c r="Q21" s="17" t="s">
        <v>5</v>
      </c>
      <c r="R21" s="20">
        <v>0</v>
      </c>
      <c r="S21" s="20">
        <v>0</v>
      </c>
      <c r="T21" s="20"/>
      <c r="U21" s="20">
        <f t="shared" si="0"/>
        <v>0</v>
      </c>
      <c r="V21" s="20"/>
      <c r="W21" s="16">
        <f t="shared" si="1"/>
        <v>0</v>
      </c>
      <c r="Z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s="16" customFormat="1" ht="20.149999999999999" customHeight="1">
      <c r="A22" s="41" t="s">
        <v>67</v>
      </c>
      <c r="B22" s="39" t="s">
        <v>108</v>
      </c>
      <c r="C22" s="39" t="s">
        <v>35</v>
      </c>
      <c r="D22" s="39" t="s">
        <v>35</v>
      </c>
      <c r="E22" s="39" t="s">
        <v>35</v>
      </c>
      <c r="F22" s="38" t="s">
        <v>107</v>
      </c>
      <c r="G22" s="38">
        <v>68</v>
      </c>
      <c r="H22" s="38">
        <v>38100658</v>
      </c>
      <c r="I22" s="38" t="s">
        <v>107</v>
      </c>
      <c r="J22" s="38">
        <v>67</v>
      </c>
      <c r="K22" s="38">
        <v>37950658</v>
      </c>
      <c r="L22" s="20"/>
      <c r="M22" s="20"/>
      <c r="N22" s="20"/>
      <c r="O22" s="20"/>
      <c r="Q22" s="17" t="s">
        <v>10</v>
      </c>
      <c r="R22" s="20">
        <f>N17</f>
        <v>820.14</v>
      </c>
      <c r="S22" s="20">
        <f>O17</f>
        <v>707.72500000000002</v>
      </c>
      <c r="T22" s="20"/>
      <c r="U22" s="20">
        <f t="shared" si="0"/>
        <v>-112.41499999999996</v>
      </c>
      <c r="V22" s="20"/>
      <c r="W22" s="16">
        <f t="shared" si="1"/>
        <v>112.41499999999996</v>
      </c>
      <c r="Z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s="16" customFormat="1" ht="20.149999999999999" customHeight="1">
      <c r="A23" s="41" t="s">
        <v>67</v>
      </c>
      <c r="B23" s="41" t="s">
        <v>67</v>
      </c>
      <c r="C23" s="39" t="s">
        <v>44</v>
      </c>
      <c r="D23" s="39" t="s">
        <v>35</v>
      </c>
      <c r="E23" s="39" t="s">
        <v>35</v>
      </c>
      <c r="F23" s="38" t="s">
        <v>107</v>
      </c>
      <c r="G23" s="38">
        <v>7</v>
      </c>
      <c r="H23" s="38">
        <v>2600000</v>
      </c>
      <c r="I23" s="38" t="s">
        <v>107</v>
      </c>
      <c r="J23" s="38">
        <v>3</v>
      </c>
      <c r="K23" s="38">
        <v>1200000</v>
      </c>
      <c r="L23" s="20"/>
      <c r="M23" s="20"/>
      <c r="N23" s="20"/>
      <c r="O23" s="20"/>
      <c r="Q23" s="17" t="s">
        <v>11</v>
      </c>
      <c r="R23">
        <f>0</f>
        <v>0</v>
      </c>
      <c r="S23" s="20">
        <f>0</f>
        <v>0</v>
      </c>
      <c r="T23" s="20"/>
      <c r="U23" s="20">
        <f t="shared" si="0"/>
        <v>0</v>
      </c>
      <c r="V23" s="20"/>
      <c r="W23" s="16">
        <f t="shared" si="1"/>
        <v>0</v>
      </c>
      <c r="Z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s="16" customFormat="1" ht="20.149999999999999" customHeight="1">
      <c r="A24" s="41" t="s">
        <v>67</v>
      </c>
      <c r="B24" s="41" t="s">
        <v>67</v>
      </c>
      <c r="C24" s="41" t="s">
        <v>67</v>
      </c>
      <c r="D24" s="39" t="s">
        <v>110</v>
      </c>
      <c r="E24" s="39" t="s">
        <v>35</v>
      </c>
      <c r="F24" s="38">
        <v>400000</v>
      </c>
      <c r="G24" s="38">
        <v>3</v>
      </c>
      <c r="H24" s="38">
        <v>1200000</v>
      </c>
      <c r="I24" s="38">
        <v>400000</v>
      </c>
      <c r="J24" s="38">
        <v>3</v>
      </c>
      <c r="K24" s="38">
        <v>1200000</v>
      </c>
      <c r="L24" s="20"/>
      <c r="M24" s="20"/>
      <c r="N24" s="20"/>
      <c r="O24" s="20"/>
      <c r="Q24" s="17" t="s">
        <v>12</v>
      </c>
      <c r="R24">
        <f>0</f>
        <v>0</v>
      </c>
      <c r="S24" s="20">
        <f>0</f>
        <v>0</v>
      </c>
      <c r="T24" s="20"/>
      <c r="U24" s="20">
        <f t="shared" si="0"/>
        <v>0</v>
      </c>
      <c r="V24" s="20"/>
      <c r="W24" s="16">
        <f t="shared" si="1"/>
        <v>0</v>
      </c>
      <c r="Z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s="16" customFormat="1" ht="20.149999999999999" customHeight="1">
      <c r="A25" s="41" t="s">
        <v>67</v>
      </c>
      <c r="B25" s="41" t="s">
        <v>67</v>
      </c>
      <c r="C25" s="41" t="s">
        <v>67</v>
      </c>
      <c r="D25" s="39" t="s">
        <v>111</v>
      </c>
      <c r="E25" s="39" t="s">
        <v>35</v>
      </c>
      <c r="F25" s="38">
        <v>350000</v>
      </c>
      <c r="G25" s="38">
        <v>4</v>
      </c>
      <c r="H25" s="38">
        <v>1400000</v>
      </c>
      <c r="I25" s="38" t="s">
        <v>107</v>
      </c>
      <c r="J25" s="38" t="s">
        <v>107</v>
      </c>
      <c r="K25" s="38" t="s">
        <v>107</v>
      </c>
      <c r="L25" s="20"/>
      <c r="M25" s="20"/>
      <c r="N25" s="20"/>
      <c r="O25" s="20"/>
      <c r="Q25" s="17" t="s">
        <v>13</v>
      </c>
      <c r="R25">
        <f>0</f>
        <v>0</v>
      </c>
      <c r="S25" s="20">
        <f>0</f>
        <v>0</v>
      </c>
      <c r="T25" s="20"/>
      <c r="U25" s="20">
        <f t="shared" si="0"/>
        <v>0</v>
      </c>
      <c r="V25" s="20"/>
      <c r="W25" s="16">
        <f t="shared" si="1"/>
        <v>0</v>
      </c>
      <c r="Z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s="16" customFormat="1" ht="20.149999999999999" customHeight="1">
      <c r="A26" s="41" t="s">
        <v>67</v>
      </c>
      <c r="B26" s="41" t="s">
        <v>67</v>
      </c>
      <c r="C26" s="39" t="s">
        <v>38</v>
      </c>
      <c r="D26" s="39" t="s">
        <v>35</v>
      </c>
      <c r="E26" s="39" t="s">
        <v>35</v>
      </c>
      <c r="F26" s="38" t="s">
        <v>107</v>
      </c>
      <c r="G26" s="38">
        <v>0</v>
      </c>
      <c r="H26" s="38">
        <v>0</v>
      </c>
      <c r="I26" s="38" t="s">
        <v>107</v>
      </c>
      <c r="J26" s="38">
        <v>4</v>
      </c>
      <c r="K26" s="38">
        <v>1400000</v>
      </c>
      <c r="L26" s="20"/>
      <c r="Q26" s="15" t="s">
        <v>23</v>
      </c>
      <c r="R26" s="28">
        <v>0</v>
      </c>
      <c r="S26" s="20">
        <v>0</v>
      </c>
      <c r="T26" s="20"/>
      <c r="U26" s="20">
        <f t="shared" si="0"/>
        <v>0</v>
      </c>
      <c r="V26" s="20"/>
      <c r="W26" s="16">
        <f t="shared" si="1"/>
        <v>0</v>
      </c>
      <c r="Z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s="16" customFormat="1" ht="20.149999999999999" customHeight="1">
      <c r="A27" s="41" t="s">
        <v>67</v>
      </c>
      <c r="B27" s="41" t="s">
        <v>67</v>
      </c>
      <c r="C27" s="41" t="s">
        <v>67</v>
      </c>
      <c r="D27" s="39" t="s">
        <v>111</v>
      </c>
      <c r="E27" s="39" t="s">
        <v>35</v>
      </c>
      <c r="F27" s="38" t="s">
        <v>107</v>
      </c>
      <c r="G27" s="38" t="s">
        <v>107</v>
      </c>
      <c r="H27" s="38" t="s">
        <v>107</v>
      </c>
      <c r="I27" s="38">
        <v>350000</v>
      </c>
      <c r="J27" s="38">
        <v>4</v>
      </c>
      <c r="K27" s="38">
        <v>1400000</v>
      </c>
      <c r="L27" s="20"/>
      <c r="Q27" s="15" t="s">
        <v>24</v>
      </c>
      <c r="R27" s="28">
        <f>N18</f>
        <v>2680</v>
      </c>
      <c r="S27" s="28">
        <f>O18</f>
        <v>1280</v>
      </c>
      <c r="T27" s="20"/>
      <c r="U27" s="20">
        <f t="shared" si="0"/>
        <v>-1400</v>
      </c>
      <c r="V27" s="20"/>
      <c r="W27" s="16">
        <f t="shared" si="1"/>
        <v>1400</v>
      </c>
      <c r="Z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s="16" customFormat="1" ht="20.149999999999999" customHeight="1">
      <c r="A28" s="41" t="s">
        <v>67</v>
      </c>
      <c r="B28" s="41" t="s">
        <v>67</v>
      </c>
      <c r="C28" s="39" t="s">
        <v>50</v>
      </c>
      <c r="D28" s="39" t="s">
        <v>35</v>
      </c>
      <c r="E28" s="39" t="s">
        <v>35</v>
      </c>
      <c r="F28" s="38" t="s">
        <v>107</v>
      </c>
      <c r="G28" s="38">
        <v>3</v>
      </c>
      <c r="H28" s="38">
        <v>600000</v>
      </c>
      <c r="I28" s="38" t="s">
        <v>107</v>
      </c>
      <c r="J28" s="38">
        <v>2</v>
      </c>
      <c r="K28" s="38">
        <v>400000</v>
      </c>
      <c r="L28" s="20"/>
      <c r="Q28" s="15" t="s">
        <v>25</v>
      </c>
      <c r="R28" s="28">
        <f>S6</f>
        <v>0</v>
      </c>
      <c r="S28" s="20">
        <f>S5</f>
        <v>0</v>
      </c>
      <c r="T28" s="20"/>
      <c r="U28" s="20">
        <f t="shared" si="0"/>
        <v>0</v>
      </c>
      <c r="V28" s="20"/>
      <c r="W28" s="16">
        <f t="shared" si="1"/>
        <v>0</v>
      </c>
      <c r="Z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s="16" customFormat="1" ht="20.149999999999999" customHeight="1">
      <c r="A29" s="41" t="s">
        <v>67</v>
      </c>
      <c r="B29" s="41" t="s">
        <v>67</v>
      </c>
      <c r="C29" s="41" t="s">
        <v>67</v>
      </c>
      <c r="D29" s="39" t="s">
        <v>112</v>
      </c>
      <c r="E29" s="39" t="s">
        <v>35</v>
      </c>
      <c r="F29" s="38">
        <v>200000</v>
      </c>
      <c r="G29" s="38">
        <v>1</v>
      </c>
      <c r="H29" s="38">
        <v>200000</v>
      </c>
      <c r="I29" s="38" t="s">
        <v>107</v>
      </c>
      <c r="J29" s="38" t="s">
        <v>107</v>
      </c>
      <c r="K29" s="38" t="s">
        <v>107</v>
      </c>
      <c r="L29" s="20"/>
      <c r="Q29"/>
      <c r="R29"/>
      <c r="S29" s="20"/>
      <c r="T29" s="20"/>
      <c r="U29" s="20"/>
      <c r="V29" s="20"/>
      <c r="W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s="16" customFormat="1" ht="20.149999999999999" customHeight="1">
      <c r="A30" s="41" t="s">
        <v>67</v>
      </c>
      <c r="B30" s="41" t="s">
        <v>67</v>
      </c>
      <c r="C30" s="41" t="s">
        <v>67</v>
      </c>
      <c r="D30" s="39" t="s">
        <v>113</v>
      </c>
      <c r="E30" s="39" t="s">
        <v>35</v>
      </c>
      <c r="F30" s="38">
        <v>200000</v>
      </c>
      <c r="G30" s="38">
        <v>2</v>
      </c>
      <c r="H30" s="38">
        <v>400000</v>
      </c>
      <c r="I30" s="38">
        <v>200000</v>
      </c>
      <c r="J30" s="38">
        <v>2</v>
      </c>
      <c r="K30" s="38">
        <v>400000</v>
      </c>
      <c r="L30" s="20"/>
      <c r="Q30" s="17" t="s">
        <v>72</v>
      </c>
      <c r="R30"/>
      <c r="S30" s="18"/>
      <c r="T30"/>
      <c r="V30" s="50" t="s">
        <v>92</v>
      </c>
      <c r="W30" s="30">
        <f>S22+S26+S27</f>
        <v>1987.7249999999999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s="16" customFormat="1" ht="20.149999999999999" customHeight="1">
      <c r="A31" s="41" t="s">
        <v>67</v>
      </c>
      <c r="B31" s="41" t="s">
        <v>67</v>
      </c>
      <c r="C31" s="39" t="s">
        <v>49</v>
      </c>
      <c r="D31" s="39" t="s">
        <v>35</v>
      </c>
      <c r="E31" s="39" t="s">
        <v>35</v>
      </c>
      <c r="F31" s="38" t="s">
        <v>107</v>
      </c>
      <c r="G31" s="38">
        <v>58</v>
      </c>
      <c r="H31" s="38">
        <v>34900658</v>
      </c>
      <c r="I31" s="38" t="s">
        <v>107</v>
      </c>
      <c r="J31" s="38">
        <v>58</v>
      </c>
      <c r="K31" s="38">
        <v>34950658</v>
      </c>
      <c r="L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s="16" customFormat="1" ht="20.149999999999999" customHeight="1">
      <c r="A32" s="41" t="s">
        <v>67</v>
      </c>
      <c r="B32" s="41" t="s">
        <v>67</v>
      </c>
      <c r="C32" s="41" t="s">
        <v>67</v>
      </c>
      <c r="D32" s="39" t="s">
        <v>114</v>
      </c>
      <c r="E32" s="39" t="s">
        <v>35</v>
      </c>
      <c r="F32" s="38">
        <v>250000</v>
      </c>
      <c r="G32" s="38">
        <v>2</v>
      </c>
      <c r="H32" s="38">
        <v>500000</v>
      </c>
      <c r="I32" s="38">
        <v>250000</v>
      </c>
      <c r="J32" s="38">
        <v>2</v>
      </c>
      <c r="K32" s="38">
        <v>500000</v>
      </c>
      <c r="L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s="16" customFormat="1" ht="20.149999999999999" customHeight="1">
      <c r="A33" s="41" t="s">
        <v>67</v>
      </c>
      <c r="B33" s="41" t="s">
        <v>67</v>
      </c>
      <c r="C33" s="41" t="s">
        <v>67</v>
      </c>
      <c r="D33" s="39" t="s">
        <v>115</v>
      </c>
      <c r="E33" s="39" t="s">
        <v>35</v>
      </c>
      <c r="F33" s="38">
        <v>560000</v>
      </c>
      <c r="G33" s="38">
        <v>4</v>
      </c>
      <c r="H33" s="38">
        <v>2240000</v>
      </c>
      <c r="I33" s="38">
        <v>560000</v>
      </c>
      <c r="J33" s="38">
        <v>4</v>
      </c>
      <c r="K33" s="38">
        <v>2240000</v>
      </c>
      <c r="L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s="16" customFormat="1" ht="20.149999999999999" customHeight="1">
      <c r="A34" s="41" t="s">
        <v>67</v>
      </c>
      <c r="B34" s="41" t="s">
        <v>67</v>
      </c>
      <c r="C34" s="41" t="s">
        <v>67</v>
      </c>
      <c r="D34" s="39" t="s">
        <v>116</v>
      </c>
      <c r="E34" s="39" t="s">
        <v>35</v>
      </c>
      <c r="F34" s="38">
        <v>500000</v>
      </c>
      <c r="G34" s="38">
        <v>2</v>
      </c>
      <c r="H34" s="38">
        <v>1000000</v>
      </c>
      <c r="I34" s="38">
        <v>500000</v>
      </c>
      <c r="J34" s="38">
        <v>2</v>
      </c>
      <c r="K34" s="38">
        <v>1000000</v>
      </c>
      <c r="L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s="16" customFormat="1" ht="20.149999999999999" customHeight="1">
      <c r="A35" s="41" t="s">
        <v>67</v>
      </c>
      <c r="B35" s="41" t="s">
        <v>67</v>
      </c>
      <c r="C35" s="41" t="s">
        <v>67</v>
      </c>
      <c r="D35" s="39" t="s">
        <v>117</v>
      </c>
      <c r="E35" s="39" t="s">
        <v>35</v>
      </c>
      <c r="F35" s="38">
        <v>500000</v>
      </c>
      <c r="G35" s="38">
        <v>8</v>
      </c>
      <c r="H35" s="38">
        <v>4000000</v>
      </c>
      <c r="I35" s="38">
        <v>500000</v>
      </c>
      <c r="J35" s="38">
        <v>7</v>
      </c>
      <c r="K35" s="38">
        <v>3500000</v>
      </c>
      <c r="L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s="16" customFormat="1" ht="20.149999999999999" customHeight="1">
      <c r="A36" s="41" t="s">
        <v>67</v>
      </c>
      <c r="B36" s="41" t="s">
        <v>67</v>
      </c>
      <c r="C36" s="41" t="s">
        <v>67</v>
      </c>
      <c r="D36" s="39" t="s">
        <v>118</v>
      </c>
      <c r="E36" s="39" t="s">
        <v>35</v>
      </c>
      <c r="F36" s="38" t="s">
        <v>107</v>
      </c>
      <c r="G36" s="38" t="s">
        <v>107</v>
      </c>
      <c r="H36" s="38" t="s">
        <v>107</v>
      </c>
      <c r="I36" s="38">
        <v>550000</v>
      </c>
      <c r="J36" s="38">
        <v>1</v>
      </c>
      <c r="K36" s="38">
        <v>550000</v>
      </c>
      <c r="L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s="16" customFormat="1" ht="20.149999999999999" customHeight="1">
      <c r="A37" s="41" t="s">
        <v>67</v>
      </c>
      <c r="B37" s="41" t="s">
        <v>67</v>
      </c>
      <c r="C37" s="41" t="s">
        <v>67</v>
      </c>
      <c r="D37" s="39" t="s">
        <v>119</v>
      </c>
      <c r="E37" s="39" t="s">
        <v>35</v>
      </c>
      <c r="F37" s="38">
        <v>500000</v>
      </c>
      <c r="G37" s="38">
        <v>8</v>
      </c>
      <c r="H37" s="38">
        <v>4000000</v>
      </c>
      <c r="I37" s="38">
        <v>500000</v>
      </c>
      <c r="J37" s="38">
        <v>8</v>
      </c>
      <c r="K37" s="38">
        <v>4000000</v>
      </c>
      <c r="L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s="16" customFormat="1" ht="20.149999999999999" customHeight="1">
      <c r="A38" s="41" t="s">
        <v>67</v>
      </c>
      <c r="B38" s="41" t="s">
        <v>67</v>
      </c>
      <c r="C38" s="41" t="s">
        <v>67</v>
      </c>
      <c r="D38" s="39" t="s">
        <v>120</v>
      </c>
      <c r="E38" s="39" t="s">
        <v>35</v>
      </c>
      <c r="F38" s="38">
        <v>1050000</v>
      </c>
      <c r="G38" s="38">
        <v>1</v>
      </c>
      <c r="H38" s="38">
        <v>1050000</v>
      </c>
      <c r="I38" s="38">
        <v>1050000</v>
      </c>
      <c r="J38" s="38">
        <v>1</v>
      </c>
      <c r="K38" s="38">
        <v>1050000</v>
      </c>
      <c r="L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s="16" customFormat="1" ht="20.149999999999999" customHeight="1">
      <c r="A39" s="41" t="s">
        <v>67</v>
      </c>
      <c r="B39" s="41" t="s">
        <v>67</v>
      </c>
      <c r="C39" s="41" t="s">
        <v>67</v>
      </c>
      <c r="D39" s="39" t="s">
        <v>121</v>
      </c>
      <c r="E39" s="39" t="s">
        <v>35</v>
      </c>
      <c r="F39" s="38">
        <v>1050000</v>
      </c>
      <c r="G39" s="38">
        <v>1</v>
      </c>
      <c r="H39" s="38">
        <v>1050000</v>
      </c>
      <c r="I39" s="38">
        <v>1050000</v>
      </c>
      <c r="J39" s="38">
        <v>1</v>
      </c>
      <c r="K39" s="38">
        <v>1050000</v>
      </c>
      <c r="L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s="16" customFormat="1" ht="20.149999999999999" customHeight="1">
      <c r="A40" s="41" t="s">
        <v>67</v>
      </c>
      <c r="B40" s="41" t="s">
        <v>67</v>
      </c>
      <c r="C40" s="41" t="s">
        <v>67</v>
      </c>
      <c r="D40" s="39" t="s">
        <v>122</v>
      </c>
      <c r="E40" s="39" t="s">
        <v>35</v>
      </c>
      <c r="F40" s="38">
        <v>500000</v>
      </c>
      <c r="G40" s="38">
        <v>8</v>
      </c>
      <c r="H40" s="38">
        <v>4000000</v>
      </c>
      <c r="I40" s="38">
        <v>500000</v>
      </c>
      <c r="J40" s="38">
        <v>8</v>
      </c>
      <c r="K40" s="38">
        <v>4000000</v>
      </c>
      <c r="L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>
      <c r="A41" s="41" t="s">
        <v>67</v>
      </c>
      <c r="B41" s="41" t="s">
        <v>67</v>
      </c>
      <c r="C41" s="41" t="s">
        <v>67</v>
      </c>
      <c r="D41" s="39" t="s">
        <v>123</v>
      </c>
      <c r="E41" s="39" t="s">
        <v>35</v>
      </c>
      <c r="F41" s="38">
        <v>500000</v>
      </c>
      <c r="G41" s="38">
        <v>8</v>
      </c>
      <c r="H41" s="38">
        <v>4000000</v>
      </c>
      <c r="I41" s="38">
        <v>500000</v>
      </c>
      <c r="J41" s="38">
        <v>8</v>
      </c>
      <c r="K41" s="38">
        <v>4000000</v>
      </c>
      <c r="L41" s="20"/>
    </row>
    <row r="42" spans="1:52">
      <c r="A42" s="41" t="s">
        <v>67</v>
      </c>
      <c r="B42" s="41" t="s">
        <v>67</v>
      </c>
      <c r="C42" s="41" t="s">
        <v>67</v>
      </c>
      <c r="D42" s="39" t="s">
        <v>124</v>
      </c>
      <c r="E42" s="39" t="s">
        <v>35</v>
      </c>
      <c r="F42" s="38">
        <v>1020000</v>
      </c>
      <c r="G42" s="38">
        <v>2</v>
      </c>
      <c r="H42" s="38">
        <v>2040000</v>
      </c>
      <c r="I42" s="38">
        <v>1020000</v>
      </c>
      <c r="J42" s="38">
        <v>2</v>
      </c>
      <c r="K42" s="38">
        <v>2040000</v>
      </c>
      <c r="L42" s="20"/>
    </row>
    <row r="43" spans="1:52">
      <c r="A43" s="41" t="s">
        <v>67</v>
      </c>
      <c r="B43" s="41" t="s">
        <v>67</v>
      </c>
      <c r="C43" s="41" t="s">
        <v>67</v>
      </c>
      <c r="D43" s="39" t="s">
        <v>125</v>
      </c>
      <c r="E43" s="39" t="s">
        <v>35</v>
      </c>
      <c r="F43" s="38">
        <v>800000</v>
      </c>
      <c r="G43" s="38">
        <v>2</v>
      </c>
      <c r="H43" s="38">
        <v>1600000</v>
      </c>
      <c r="I43" s="38">
        <v>800000</v>
      </c>
      <c r="J43" s="38">
        <v>2</v>
      </c>
      <c r="K43" s="38">
        <v>1600000</v>
      </c>
    </row>
    <row r="44" spans="1:52">
      <c r="A44" s="41" t="s">
        <v>67</v>
      </c>
      <c r="B44" s="41" t="s">
        <v>67</v>
      </c>
      <c r="C44" s="41" t="s">
        <v>67</v>
      </c>
      <c r="D44" s="39" t="s">
        <v>126</v>
      </c>
      <c r="E44" s="39" t="s">
        <v>35</v>
      </c>
      <c r="F44" s="38">
        <v>870000</v>
      </c>
      <c r="G44" s="38">
        <v>2</v>
      </c>
      <c r="H44" s="38">
        <v>1740000</v>
      </c>
      <c r="I44" s="38">
        <v>870000</v>
      </c>
      <c r="J44" s="38">
        <v>2</v>
      </c>
      <c r="K44" s="38">
        <v>1740000</v>
      </c>
    </row>
    <row r="45" spans="1:52">
      <c r="A45" s="41" t="s">
        <v>67</v>
      </c>
      <c r="B45" s="41" t="s">
        <v>67</v>
      </c>
      <c r="C45" s="41" t="s">
        <v>67</v>
      </c>
      <c r="D45" s="39" t="s">
        <v>127</v>
      </c>
      <c r="E45" s="39" t="s">
        <v>35</v>
      </c>
      <c r="F45" s="38">
        <v>870000</v>
      </c>
      <c r="G45" s="38">
        <v>2</v>
      </c>
      <c r="H45" s="38">
        <v>1740000</v>
      </c>
      <c r="I45" s="38">
        <v>870000</v>
      </c>
      <c r="J45" s="38">
        <v>2</v>
      </c>
      <c r="K45" s="38">
        <v>1740000</v>
      </c>
    </row>
    <row r="46" spans="1:52">
      <c r="A46" s="41" t="s">
        <v>67</v>
      </c>
      <c r="B46" s="41" t="s">
        <v>67</v>
      </c>
      <c r="C46" s="41" t="s">
        <v>67</v>
      </c>
      <c r="D46" s="39" t="s">
        <v>128</v>
      </c>
      <c r="E46" s="39" t="s">
        <v>35</v>
      </c>
      <c r="F46" s="38">
        <v>328600</v>
      </c>
      <c r="G46" s="38">
        <v>1</v>
      </c>
      <c r="H46" s="38">
        <v>328600</v>
      </c>
      <c r="I46" s="38">
        <v>328600</v>
      </c>
      <c r="J46" s="38">
        <v>1</v>
      </c>
      <c r="K46" s="38">
        <v>328600</v>
      </c>
    </row>
    <row r="47" spans="1:52">
      <c r="A47" s="41" t="s">
        <v>67</v>
      </c>
      <c r="B47" s="41" t="s">
        <v>67</v>
      </c>
      <c r="C47" s="41" t="s">
        <v>67</v>
      </c>
      <c r="D47" s="39" t="s">
        <v>129</v>
      </c>
      <c r="E47" s="39" t="s">
        <v>35</v>
      </c>
      <c r="F47" s="38">
        <v>340000</v>
      </c>
      <c r="G47" s="38">
        <v>1</v>
      </c>
      <c r="H47" s="38">
        <v>340000</v>
      </c>
      <c r="I47" s="38">
        <v>340000</v>
      </c>
      <c r="J47" s="38">
        <v>1</v>
      </c>
      <c r="K47" s="38">
        <v>340000</v>
      </c>
    </row>
    <row r="48" spans="1:52">
      <c r="A48" s="41" t="s">
        <v>67</v>
      </c>
      <c r="B48" s="41" t="s">
        <v>67</v>
      </c>
      <c r="C48" s="41" t="s">
        <v>67</v>
      </c>
      <c r="D48" s="39" t="s">
        <v>130</v>
      </c>
      <c r="E48" s="39" t="s">
        <v>35</v>
      </c>
      <c r="F48" s="38">
        <v>1022000</v>
      </c>
      <c r="G48" s="38">
        <v>1</v>
      </c>
      <c r="H48" s="38">
        <v>1022000</v>
      </c>
      <c r="I48" s="38">
        <v>1022000</v>
      </c>
      <c r="J48" s="38">
        <v>1</v>
      </c>
      <c r="K48" s="38">
        <v>1022000</v>
      </c>
    </row>
    <row r="49" spans="1:11">
      <c r="A49" s="41" t="s">
        <v>67</v>
      </c>
      <c r="B49" s="41" t="s">
        <v>67</v>
      </c>
      <c r="C49" s="41" t="s">
        <v>67</v>
      </c>
      <c r="D49" s="39" t="s">
        <v>131</v>
      </c>
      <c r="E49" s="39" t="s">
        <v>35</v>
      </c>
      <c r="F49" s="38">
        <v>1022000</v>
      </c>
      <c r="G49" s="38">
        <v>1</v>
      </c>
      <c r="H49" s="38">
        <v>1022000</v>
      </c>
      <c r="I49" s="38">
        <v>1022000</v>
      </c>
      <c r="J49" s="38">
        <v>1</v>
      </c>
      <c r="K49" s="38">
        <v>1022000</v>
      </c>
    </row>
    <row r="50" spans="1:11">
      <c r="A50" s="41" t="s">
        <v>67</v>
      </c>
      <c r="B50" s="41" t="s">
        <v>67</v>
      </c>
      <c r="C50" s="41" t="s">
        <v>67</v>
      </c>
      <c r="D50" s="39" t="s">
        <v>132</v>
      </c>
      <c r="E50" s="39" t="s">
        <v>35</v>
      </c>
      <c r="F50" s="38">
        <v>595000</v>
      </c>
      <c r="G50" s="38">
        <v>2</v>
      </c>
      <c r="H50" s="38">
        <v>1190000</v>
      </c>
      <c r="I50" s="38">
        <v>595000</v>
      </c>
      <c r="J50" s="38">
        <v>2</v>
      </c>
      <c r="K50" s="38">
        <v>1190000</v>
      </c>
    </row>
    <row r="51" spans="1:11">
      <c r="A51" s="41" t="s">
        <v>67</v>
      </c>
      <c r="B51" s="41" t="s">
        <v>67</v>
      </c>
      <c r="C51" s="41" t="s">
        <v>67</v>
      </c>
      <c r="D51" s="39" t="s">
        <v>133</v>
      </c>
      <c r="E51" s="39" t="s">
        <v>35</v>
      </c>
      <c r="F51" s="38">
        <v>1019029</v>
      </c>
      <c r="G51" s="38">
        <v>1</v>
      </c>
      <c r="H51" s="38">
        <v>1019029</v>
      </c>
      <c r="I51" s="38">
        <v>1019029</v>
      </c>
      <c r="J51" s="38">
        <v>1</v>
      </c>
      <c r="K51" s="38">
        <v>1019029</v>
      </c>
    </row>
    <row r="52" spans="1:11">
      <c r="A52" s="41" t="s">
        <v>67</v>
      </c>
      <c r="B52" s="41" t="s">
        <v>67</v>
      </c>
      <c r="C52" s="41" t="s">
        <v>67</v>
      </c>
      <c r="D52" s="39" t="s">
        <v>134</v>
      </c>
      <c r="E52" s="39" t="s">
        <v>35</v>
      </c>
      <c r="F52" s="38">
        <v>1019029</v>
      </c>
      <c r="G52" s="38">
        <v>1</v>
      </c>
      <c r="H52" s="38">
        <v>1019029</v>
      </c>
      <c r="I52" s="38">
        <v>1019029</v>
      </c>
      <c r="J52" s="38">
        <v>1</v>
      </c>
      <c r="K52" s="38">
        <v>1019029</v>
      </c>
    </row>
    <row r="53" spans="1:11">
      <c r="A53" s="41" t="s">
        <v>67</v>
      </c>
      <c r="B53" s="39" t="s">
        <v>109</v>
      </c>
      <c r="C53" s="39" t="s">
        <v>35</v>
      </c>
      <c r="D53" s="39" t="s">
        <v>35</v>
      </c>
      <c r="E53" s="39" t="s">
        <v>35</v>
      </c>
      <c r="F53" s="38" t="s">
        <v>107</v>
      </c>
      <c r="G53" s="38" t="s">
        <v>107</v>
      </c>
      <c r="H53" s="38" t="s">
        <v>107</v>
      </c>
      <c r="I53" s="38" t="s">
        <v>107</v>
      </c>
      <c r="J53" s="38" t="s">
        <v>107</v>
      </c>
      <c r="K53" s="38" t="s">
        <v>107</v>
      </c>
    </row>
    <row r="54" spans="1:11">
      <c r="A54" s="41" t="s">
        <v>67</v>
      </c>
      <c r="B54" s="41" t="s">
        <v>67</v>
      </c>
      <c r="C54" s="39" t="s">
        <v>44</v>
      </c>
      <c r="D54" s="39" t="s">
        <v>35</v>
      </c>
      <c r="E54" s="39" t="s">
        <v>35</v>
      </c>
      <c r="F54" s="38" t="s">
        <v>107</v>
      </c>
      <c r="G54" s="38" t="s">
        <v>107</v>
      </c>
      <c r="H54" s="38" t="s">
        <v>107</v>
      </c>
      <c r="I54" s="38" t="s">
        <v>107</v>
      </c>
      <c r="J54" s="38" t="s">
        <v>107</v>
      </c>
      <c r="K54" s="38" t="s">
        <v>107</v>
      </c>
    </row>
    <row r="55" spans="1:11">
      <c r="A55" s="41" t="s">
        <v>67</v>
      </c>
      <c r="B55" s="41" t="s">
        <v>67</v>
      </c>
      <c r="C55" s="41" t="s">
        <v>67</v>
      </c>
      <c r="D55" s="39" t="s">
        <v>366</v>
      </c>
      <c r="E55" s="39" t="s">
        <v>35</v>
      </c>
      <c r="F55" s="38" t="s">
        <v>107</v>
      </c>
      <c r="G55" s="38" t="s">
        <v>107</v>
      </c>
      <c r="H55" s="38" t="s">
        <v>107</v>
      </c>
      <c r="I55" s="38" t="s">
        <v>107</v>
      </c>
      <c r="J55" s="38" t="s">
        <v>107</v>
      </c>
      <c r="K55" s="38" t="s">
        <v>107</v>
      </c>
    </row>
    <row r="56" spans="1:11">
      <c r="A56" s="41" t="s">
        <v>67</v>
      </c>
      <c r="B56" s="41" t="s">
        <v>67</v>
      </c>
      <c r="C56" s="41" t="s">
        <v>67</v>
      </c>
      <c r="D56" s="39" t="s">
        <v>367</v>
      </c>
      <c r="E56" s="39" t="s">
        <v>35</v>
      </c>
      <c r="F56" s="38" t="s">
        <v>107</v>
      </c>
      <c r="G56" s="38" t="s">
        <v>107</v>
      </c>
      <c r="H56" s="38" t="s">
        <v>107</v>
      </c>
      <c r="I56" s="38" t="s">
        <v>107</v>
      </c>
      <c r="J56" s="38" t="s">
        <v>107</v>
      </c>
      <c r="K56" s="38" t="s">
        <v>107</v>
      </c>
    </row>
    <row r="57" spans="1:11">
      <c r="A57" s="39" t="s">
        <v>135</v>
      </c>
      <c r="B57" s="39" t="s">
        <v>34</v>
      </c>
      <c r="C57" s="39" t="s">
        <v>35</v>
      </c>
      <c r="D57" s="39" t="s">
        <v>35</v>
      </c>
      <c r="E57" s="39" t="s">
        <v>35</v>
      </c>
      <c r="F57" s="38" t="s">
        <v>107</v>
      </c>
      <c r="G57" s="38">
        <v>194</v>
      </c>
      <c r="H57" s="38">
        <v>32845963</v>
      </c>
      <c r="I57" s="38" t="s">
        <v>107</v>
      </c>
      <c r="J57" s="38">
        <v>197</v>
      </c>
      <c r="K57" s="38">
        <v>33012852</v>
      </c>
    </row>
    <row r="58" spans="1:11">
      <c r="A58" s="41" t="s">
        <v>67</v>
      </c>
      <c r="B58" s="41" t="s">
        <v>67</v>
      </c>
      <c r="C58" s="39" t="s">
        <v>38</v>
      </c>
      <c r="D58" s="39" t="s">
        <v>35</v>
      </c>
      <c r="E58" s="39" t="s">
        <v>35</v>
      </c>
      <c r="F58" s="38" t="s">
        <v>107</v>
      </c>
      <c r="G58" s="38">
        <v>187</v>
      </c>
      <c r="H58" s="38">
        <v>32286440</v>
      </c>
      <c r="I58" s="38" t="s">
        <v>107</v>
      </c>
      <c r="J58" s="38">
        <v>189</v>
      </c>
      <c r="K58" s="38">
        <v>32400807</v>
      </c>
    </row>
    <row r="59" spans="1:11">
      <c r="A59" s="41" t="s">
        <v>67</v>
      </c>
      <c r="B59" s="41" t="s">
        <v>67</v>
      </c>
      <c r="C59" s="39" t="s">
        <v>136</v>
      </c>
      <c r="D59" s="39" t="s">
        <v>35</v>
      </c>
      <c r="E59" s="39" t="s">
        <v>35</v>
      </c>
      <c r="F59" s="38" t="s">
        <v>107</v>
      </c>
      <c r="G59" s="38">
        <v>7</v>
      </c>
      <c r="H59" s="38">
        <v>559523</v>
      </c>
      <c r="I59" s="38" t="s">
        <v>107</v>
      </c>
      <c r="J59" s="38">
        <v>8</v>
      </c>
      <c r="K59" s="38">
        <v>612045</v>
      </c>
    </row>
    <row r="60" spans="1:11">
      <c r="A60" s="41" t="s">
        <v>67</v>
      </c>
      <c r="B60" s="39" t="s">
        <v>108</v>
      </c>
      <c r="C60" s="39" t="s">
        <v>35</v>
      </c>
      <c r="D60" s="39" t="s">
        <v>35</v>
      </c>
      <c r="E60" s="39" t="s">
        <v>35</v>
      </c>
      <c r="F60" s="38" t="s">
        <v>107</v>
      </c>
      <c r="G60" s="38">
        <v>187</v>
      </c>
      <c r="H60" s="38">
        <v>32532873</v>
      </c>
      <c r="I60" s="38" t="s">
        <v>107</v>
      </c>
      <c r="J60" s="38">
        <v>187</v>
      </c>
      <c r="K60" s="38">
        <v>32532873</v>
      </c>
    </row>
    <row r="61" spans="1:11">
      <c r="A61" s="41" t="s">
        <v>67</v>
      </c>
      <c r="B61" s="41" t="s">
        <v>67</v>
      </c>
      <c r="C61" s="39" t="s">
        <v>38</v>
      </c>
      <c r="D61" s="39" t="s">
        <v>35</v>
      </c>
      <c r="E61" s="39" t="s">
        <v>35</v>
      </c>
      <c r="F61" s="38" t="s">
        <v>107</v>
      </c>
      <c r="G61" s="38">
        <v>182</v>
      </c>
      <c r="H61" s="38">
        <v>32067073</v>
      </c>
      <c r="I61" s="38" t="s">
        <v>107</v>
      </c>
      <c r="J61" s="38">
        <v>182</v>
      </c>
      <c r="K61" s="38">
        <v>32067073</v>
      </c>
    </row>
    <row r="62" spans="1:11">
      <c r="A62" s="41" t="s">
        <v>67</v>
      </c>
      <c r="B62" s="41" t="s">
        <v>67</v>
      </c>
      <c r="C62" s="41" t="s">
        <v>67</v>
      </c>
      <c r="D62" s="39" t="s">
        <v>137</v>
      </c>
      <c r="E62" s="39" t="s">
        <v>35</v>
      </c>
      <c r="F62" s="38" t="s">
        <v>107</v>
      </c>
      <c r="G62" s="38">
        <v>104</v>
      </c>
      <c r="H62" s="38">
        <v>15641257</v>
      </c>
      <c r="I62" s="38" t="s">
        <v>107</v>
      </c>
      <c r="J62" s="38">
        <v>104</v>
      </c>
      <c r="K62" s="38">
        <v>15641257</v>
      </c>
    </row>
    <row r="63" spans="1:11">
      <c r="A63" s="41" t="s">
        <v>67</v>
      </c>
      <c r="B63" s="41" t="s">
        <v>67</v>
      </c>
      <c r="C63" s="41" t="s">
        <v>67</v>
      </c>
      <c r="D63" s="41" t="s">
        <v>67</v>
      </c>
      <c r="E63" s="39" t="s">
        <v>138</v>
      </c>
      <c r="F63" s="38">
        <v>150000</v>
      </c>
      <c r="G63" s="38">
        <v>8</v>
      </c>
      <c r="H63" s="38">
        <v>1200000</v>
      </c>
      <c r="I63" s="38">
        <v>150000</v>
      </c>
      <c r="J63" s="38">
        <v>8</v>
      </c>
      <c r="K63" s="38">
        <v>1200000</v>
      </c>
    </row>
    <row r="64" spans="1:11">
      <c r="A64" s="41" t="s">
        <v>67</v>
      </c>
      <c r="B64" s="41" t="s">
        <v>67</v>
      </c>
      <c r="C64" s="41" t="s">
        <v>67</v>
      </c>
      <c r="D64" s="41" t="s">
        <v>67</v>
      </c>
      <c r="E64" s="39" t="s">
        <v>139</v>
      </c>
      <c r="F64" s="38">
        <v>75000</v>
      </c>
      <c r="G64" s="38">
        <v>8</v>
      </c>
      <c r="H64" s="38">
        <v>600000</v>
      </c>
      <c r="I64" s="38">
        <v>75000</v>
      </c>
      <c r="J64" s="38">
        <v>8</v>
      </c>
      <c r="K64" s="38">
        <v>600000</v>
      </c>
    </row>
    <row r="65" spans="1:11">
      <c r="A65" s="41" t="s">
        <v>67</v>
      </c>
      <c r="B65" s="41" t="s">
        <v>67</v>
      </c>
      <c r="C65" s="41" t="s">
        <v>67</v>
      </c>
      <c r="D65" s="41" t="s">
        <v>67</v>
      </c>
      <c r="E65" s="39" t="s">
        <v>140</v>
      </c>
      <c r="F65" s="38">
        <v>150000</v>
      </c>
      <c r="G65" s="38">
        <v>8</v>
      </c>
      <c r="H65" s="38">
        <v>1200000</v>
      </c>
      <c r="I65" s="38">
        <v>150000</v>
      </c>
      <c r="J65" s="38">
        <v>8</v>
      </c>
      <c r="K65" s="38">
        <v>1200000</v>
      </c>
    </row>
    <row r="66" spans="1:11">
      <c r="A66" s="41" t="s">
        <v>67</v>
      </c>
      <c r="B66" s="41" t="s">
        <v>67</v>
      </c>
      <c r="C66" s="41" t="s">
        <v>67</v>
      </c>
      <c r="D66" s="41" t="s">
        <v>67</v>
      </c>
      <c r="E66" s="39" t="s">
        <v>141</v>
      </c>
      <c r="F66" s="38">
        <v>150000</v>
      </c>
      <c r="G66" s="38">
        <v>4</v>
      </c>
      <c r="H66" s="38">
        <v>600000</v>
      </c>
      <c r="I66" s="38">
        <v>150000</v>
      </c>
      <c r="J66" s="38">
        <v>4</v>
      </c>
      <c r="K66" s="38">
        <v>600000</v>
      </c>
    </row>
    <row r="67" spans="1:11">
      <c r="A67" s="41" t="s">
        <v>67</v>
      </c>
      <c r="B67" s="41" t="s">
        <v>67</v>
      </c>
      <c r="C67" s="41" t="s">
        <v>67</v>
      </c>
      <c r="D67" s="41" t="s">
        <v>67</v>
      </c>
      <c r="E67" s="39" t="s">
        <v>142</v>
      </c>
      <c r="F67" s="38">
        <v>77758</v>
      </c>
      <c r="G67" s="38">
        <v>8</v>
      </c>
      <c r="H67" s="38">
        <v>622064</v>
      </c>
      <c r="I67" s="38">
        <v>77758</v>
      </c>
      <c r="J67" s="38">
        <v>8</v>
      </c>
      <c r="K67" s="38">
        <v>622064</v>
      </c>
    </row>
    <row r="68" spans="1:11">
      <c r="A68" s="41" t="s">
        <v>67</v>
      </c>
      <c r="B68" s="41" t="s">
        <v>67</v>
      </c>
      <c r="C68" s="41" t="s">
        <v>67</v>
      </c>
      <c r="D68" s="41" t="s">
        <v>67</v>
      </c>
      <c r="E68" s="39" t="s">
        <v>143</v>
      </c>
      <c r="F68" s="38">
        <v>185000</v>
      </c>
      <c r="G68" s="38">
        <v>1</v>
      </c>
      <c r="H68" s="38">
        <v>185000</v>
      </c>
      <c r="I68" s="38">
        <v>185000</v>
      </c>
      <c r="J68" s="38">
        <v>1</v>
      </c>
      <c r="K68" s="38">
        <v>185000</v>
      </c>
    </row>
    <row r="69" spans="1:11">
      <c r="A69" s="41" t="s">
        <v>67</v>
      </c>
      <c r="B69" s="41" t="s">
        <v>67</v>
      </c>
      <c r="C69" s="41" t="s">
        <v>67</v>
      </c>
      <c r="D69" s="41" t="s">
        <v>67</v>
      </c>
      <c r="E69" s="39" t="s">
        <v>144</v>
      </c>
      <c r="F69" s="38">
        <v>115000</v>
      </c>
      <c r="G69" s="38">
        <v>1</v>
      </c>
      <c r="H69" s="38">
        <v>115000</v>
      </c>
      <c r="I69" s="38">
        <v>115000</v>
      </c>
      <c r="J69" s="38">
        <v>1</v>
      </c>
      <c r="K69" s="38">
        <v>115000</v>
      </c>
    </row>
    <row r="70" spans="1:11">
      <c r="A70" s="41" t="s">
        <v>67</v>
      </c>
      <c r="B70" s="41" t="s">
        <v>67</v>
      </c>
      <c r="C70" s="41" t="s">
        <v>67</v>
      </c>
      <c r="D70" s="41" t="s">
        <v>67</v>
      </c>
      <c r="E70" s="39" t="s">
        <v>145</v>
      </c>
      <c r="F70" s="38">
        <v>100000</v>
      </c>
      <c r="G70" s="38">
        <v>6</v>
      </c>
      <c r="H70" s="38">
        <v>600000</v>
      </c>
      <c r="I70" s="38">
        <v>100000</v>
      </c>
      <c r="J70" s="38">
        <v>6</v>
      </c>
      <c r="K70" s="38">
        <v>600000</v>
      </c>
    </row>
    <row r="71" spans="1:11">
      <c r="A71" s="41" t="s">
        <v>67</v>
      </c>
      <c r="B71" s="41" t="s">
        <v>67</v>
      </c>
      <c r="C71" s="41" t="s">
        <v>67</v>
      </c>
      <c r="D71" s="41" t="s">
        <v>67</v>
      </c>
      <c r="E71" s="39" t="s">
        <v>146</v>
      </c>
      <c r="F71" s="38">
        <v>200000</v>
      </c>
      <c r="G71" s="38">
        <v>1</v>
      </c>
      <c r="H71" s="38">
        <v>200000</v>
      </c>
      <c r="I71" s="38">
        <v>200000</v>
      </c>
      <c r="J71" s="38">
        <v>1</v>
      </c>
      <c r="K71" s="38">
        <v>200000</v>
      </c>
    </row>
    <row r="72" spans="1:11">
      <c r="A72" s="41" t="s">
        <v>67</v>
      </c>
      <c r="B72" s="41" t="s">
        <v>67</v>
      </c>
      <c r="C72" s="41" t="s">
        <v>67</v>
      </c>
      <c r="D72" s="41" t="s">
        <v>67</v>
      </c>
      <c r="E72" s="39" t="s">
        <v>147</v>
      </c>
      <c r="F72" s="38">
        <v>100000</v>
      </c>
      <c r="G72" s="38">
        <v>1</v>
      </c>
      <c r="H72" s="38">
        <v>100000</v>
      </c>
      <c r="I72" s="38">
        <v>100000</v>
      </c>
      <c r="J72" s="38">
        <v>1</v>
      </c>
      <c r="K72" s="38">
        <v>100000</v>
      </c>
    </row>
    <row r="73" spans="1:11">
      <c r="A73" s="41" t="s">
        <v>67</v>
      </c>
      <c r="B73" s="41" t="s">
        <v>67</v>
      </c>
      <c r="C73" s="41" t="s">
        <v>67</v>
      </c>
      <c r="D73" s="41" t="s">
        <v>67</v>
      </c>
      <c r="E73" s="39" t="s">
        <v>148</v>
      </c>
      <c r="F73" s="38">
        <v>286300</v>
      </c>
      <c r="G73" s="38">
        <v>2</v>
      </c>
      <c r="H73" s="38">
        <v>572600</v>
      </c>
      <c r="I73" s="38">
        <v>286300</v>
      </c>
      <c r="J73" s="38">
        <v>2</v>
      </c>
      <c r="K73" s="38">
        <v>572600</v>
      </c>
    </row>
    <row r="74" spans="1:11">
      <c r="A74" s="41" t="s">
        <v>67</v>
      </c>
      <c r="B74" s="41" t="s">
        <v>67</v>
      </c>
      <c r="C74" s="41" t="s">
        <v>67</v>
      </c>
      <c r="D74" s="41" t="s">
        <v>67</v>
      </c>
      <c r="E74" s="39" t="s">
        <v>149</v>
      </c>
      <c r="F74" s="38">
        <v>295900</v>
      </c>
      <c r="G74" s="38">
        <v>1</v>
      </c>
      <c r="H74" s="38">
        <v>295900</v>
      </c>
      <c r="I74" s="38">
        <v>295900</v>
      </c>
      <c r="J74" s="38">
        <v>1</v>
      </c>
      <c r="K74" s="38">
        <v>295900</v>
      </c>
    </row>
    <row r="75" spans="1:11">
      <c r="A75" s="41" t="s">
        <v>67</v>
      </c>
      <c r="B75" s="41" t="s">
        <v>67</v>
      </c>
      <c r="C75" s="41" t="s">
        <v>67</v>
      </c>
      <c r="D75" s="41" t="s">
        <v>67</v>
      </c>
      <c r="E75" s="39" t="s">
        <v>150</v>
      </c>
      <c r="F75" s="38">
        <v>150000</v>
      </c>
      <c r="G75" s="38">
        <v>6</v>
      </c>
      <c r="H75" s="38">
        <v>900000</v>
      </c>
      <c r="I75" s="38">
        <v>150000</v>
      </c>
      <c r="J75" s="38">
        <v>6</v>
      </c>
      <c r="K75" s="38">
        <v>900000</v>
      </c>
    </row>
    <row r="76" spans="1:11">
      <c r="A76" s="41" t="s">
        <v>67</v>
      </c>
      <c r="B76" s="41" t="s">
        <v>67</v>
      </c>
      <c r="C76" s="41" t="s">
        <v>67</v>
      </c>
      <c r="D76" s="41" t="s">
        <v>67</v>
      </c>
      <c r="E76" s="39" t="s">
        <v>151</v>
      </c>
      <c r="F76" s="38">
        <v>150000</v>
      </c>
      <c r="G76" s="38">
        <v>3</v>
      </c>
      <c r="H76" s="38">
        <v>450000</v>
      </c>
      <c r="I76" s="38">
        <v>150000</v>
      </c>
      <c r="J76" s="38">
        <v>3</v>
      </c>
      <c r="K76" s="38">
        <v>450000</v>
      </c>
    </row>
    <row r="77" spans="1:11">
      <c r="A77" s="41" t="s">
        <v>67</v>
      </c>
      <c r="B77" s="41" t="s">
        <v>67</v>
      </c>
      <c r="C77" s="41" t="s">
        <v>67</v>
      </c>
      <c r="D77" s="41" t="s">
        <v>67</v>
      </c>
      <c r="E77" s="39" t="s">
        <v>152</v>
      </c>
      <c r="F77" s="38">
        <v>100000</v>
      </c>
      <c r="G77" s="38">
        <v>2</v>
      </c>
      <c r="H77" s="38">
        <v>200000</v>
      </c>
      <c r="I77" s="38">
        <v>100000</v>
      </c>
      <c r="J77" s="38">
        <v>2</v>
      </c>
      <c r="K77" s="38">
        <v>200000</v>
      </c>
    </row>
    <row r="78" spans="1:11">
      <c r="A78" s="41" t="s">
        <v>67</v>
      </c>
      <c r="B78" s="41" t="s">
        <v>67</v>
      </c>
      <c r="C78" s="41" t="s">
        <v>67</v>
      </c>
      <c r="D78" s="41" t="s">
        <v>67</v>
      </c>
      <c r="E78" s="39" t="s">
        <v>153</v>
      </c>
      <c r="F78" s="38">
        <v>150000</v>
      </c>
      <c r="G78" s="38">
        <v>4</v>
      </c>
      <c r="H78" s="38">
        <v>600000</v>
      </c>
      <c r="I78" s="38">
        <v>150000</v>
      </c>
      <c r="J78" s="38">
        <v>4</v>
      </c>
      <c r="K78" s="38">
        <v>600000</v>
      </c>
    </row>
    <row r="79" spans="1:11">
      <c r="A79" s="41" t="s">
        <v>67</v>
      </c>
      <c r="B79" s="41" t="s">
        <v>67</v>
      </c>
      <c r="C79" s="41" t="s">
        <v>67</v>
      </c>
      <c r="D79" s="41" t="s">
        <v>67</v>
      </c>
      <c r="E79" s="39" t="s">
        <v>154</v>
      </c>
      <c r="F79" s="38">
        <v>100000</v>
      </c>
      <c r="G79" s="38">
        <v>1</v>
      </c>
      <c r="H79" s="38">
        <v>100000</v>
      </c>
      <c r="I79" s="38">
        <v>100000</v>
      </c>
      <c r="J79" s="38">
        <v>1</v>
      </c>
      <c r="K79" s="38">
        <v>100000</v>
      </c>
    </row>
    <row r="80" spans="1:11">
      <c r="A80" s="41" t="s">
        <v>67</v>
      </c>
      <c r="B80" s="41" t="s">
        <v>67</v>
      </c>
      <c r="C80" s="41" t="s">
        <v>67</v>
      </c>
      <c r="D80" s="41" t="s">
        <v>67</v>
      </c>
      <c r="E80" s="39" t="s">
        <v>155</v>
      </c>
      <c r="F80" s="38">
        <v>150000</v>
      </c>
      <c r="G80" s="38">
        <v>2</v>
      </c>
      <c r="H80" s="38">
        <v>300000</v>
      </c>
      <c r="I80" s="38">
        <v>150000</v>
      </c>
      <c r="J80" s="38">
        <v>2</v>
      </c>
      <c r="K80" s="38">
        <v>300000</v>
      </c>
    </row>
    <row r="81" spans="1:11">
      <c r="A81" s="41" t="s">
        <v>67</v>
      </c>
      <c r="B81" s="41" t="s">
        <v>67</v>
      </c>
      <c r="C81" s="41" t="s">
        <v>67</v>
      </c>
      <c r="D81" s="41" t="s">
        <v>67</v>
      </c>
      <c r="E81" s="39" t="s">
        <v>156</v>
      </c>
      <c r="F81" s="38">
        <v>286600</v>
      </c>
      <c r="G81" s="38">
        <v>2</v>
      </c>
      <c r="H81" s="38">
        <v>573200</v>
      </c>
      <c r="I81" s="38">
        <v>286600</v>
      </c>
      <c r="J81" s="38">
        <v>2</v>
      </c>
      <c r="K81" s="38">
        <v>573200</v>
      </c>
    </row>
    <row r="82" spans="1:11">
      <c r="A82" s="41" t="s">
        <v>67</v>
      </c>
      <c r="B82" s="41" t="s">
        <v>67</v>
      </c>
      <c r="C82" s="41" t="s">
        <v>67</v>
      </c>
      <c r="D82" s="41" t="s">
        <v>67</v>
      </c>
      <c r="E82" s="39" t="s">
        <v>157</v>
      </c>
      <c r="F82" s="38">
        <v>298700</v>
      </c>
      <c r="G82" s="38">
        <v>1</v>
      </c>
      <c r="H82" s="38">
        <v>298700</v>
      </c>
      <c r="I82" s="38">
        <v>298700</v>
      </c>
      <c r="J82" s="38">
        <v>1</v>
      </c>
      <c r="K82" s="38">
        <v>298700</v>
      </c>
    </row>
    <row r="83" spans="1:11">
      <c r="A83" s="41" t="s">
        <v>67</v>
      </c>
      <c r="B83" s="41" t="s">
        <v>67</v>
      </c>
      <c r="C83" s="41" t="s">
        <v>67</v>
      </c>
      <c r="D83" s="41" t="s">
        <v>67</v>
      </c>
      <c r="E83" s="39" t="s">
        <v>158</v>
      </c>
      <c r="F83" s="38">
        <v>150000</v>
      </c>
      <c r="G83" s="38">
        <v>8</v>
      </c>
      <c r="H83" s="38">
        <v>1200000</v>
      </c>
      <c r="I83" s="38">
        <v>150000</v>
      </c>
      <c r="J83" s="38">
        <v>8</v>
      </c>
      <c r="K83" s="38">
        <v>1200000</v>
      </c>
    </row>
    <row r="84" spans="1:11">
      <c r="A84" s="41" t="s">
        <v>67</v>
      </c>
      <c r="B84" s="41" t="s">
        <v>67</v>
      </c>
      <c r="C84" s="41" t="s">
        <v>67</v>
      </c>
      <c r="D84" s="41" t="s">
        <v>67</v>
      </c>
      <c r="E84" s="39" t="s">
        <v>159</v>
      </c>
      <c r="F84" s="38">
        <v>150000</v>
      </c>
      <c r="G84" s="38">
        <v>4</v>
      </c>
      <c r="H84" s="38">
        <v>600000</v>
      </c>
      <c r="I84" s="38">
        <v>150000</v>
      </c>
      <c r="J84" s="38">
        <v>4</v>
      </c>
      <c r="K84" s="38">
        <v>600000</v>
      </c>
    </row>
    <row r="85" spans="1:11">
      <c r="A85" s="41" t="s">
        <v>67</v>
      </c>
      <c r="B85" s="41" t="s">
        <v>67</v>
      </c>
      <c r="C85" s="41" t="s">
        <v>67</v>
      </c>
      <c r="D85" s="41" t="s">
        <v>67</v>
      </c>
      <c r="E85" s="39" t="s">
        <v>160</v>
      </c>
      <c r="F85" s="38">
        <v>160729</v>
      </c>
      <c r="G85" s="38">
        <v>2</v>
      </c>
      <c r="H85" s="38">
        <v>321458</v>
      </c>
      <c r="I85" s="38">
        <v>160729</v>
      </c>
      <c r="J85" s="38">
        <v>2</v>
      </c>
      <c r="K85" s="38">
        <v>321458</v>
      </c>
    </row>
    <row r="86" spans="1:11">
      <c r="A86" s="41" t="s">
        <v>67</v>
      </c>
      <c r="B86" s="41" t="s">
        <v>67</v>
      </c>
      <c r="C86" s="41" t="s">
        <v>67</v>
      </c>
      <c r="D86" s="41" t="s">
        <v>67</v>
      </c>
      <c r="E86" s="39" t="s">
        <v>161</v>
      </c>
      <c r="F86" s="38">
        <v>182081</v>
      </c>
      <c r="G86" s="38">
        <v>1</v>
      </c>
      <c r="H86" s="38">
        <v>182081</v>
      </c>
      <c r="I86" s="38">
        <v>182081</v>
      </c>
      <c r="J86" s="38">
        <v>1</v>
      </c>
      <c r="K86" s="38">
        <v>182081</v>
      </c>
    </row>
    <row r="87" spans="1:11">
      <c r="A87" s="41" t="s">
        <v>67</v>
      </c>
      <c r="B87" s="41" t="s">
        <v>67</v>
      </c>
      <c r="C87" s="41" t="s">
        <v>67</v>
      </c>
      <c r="D87" s="41" t="s">
        <v>67</v>
      </c>
      <c r="E87" s="39" t="s">
        <v>162</v>
      </c>
      <c r="F87" s="38">
        <v>163979</v>
      </c>
      <c r="G87" s="38">
        <v>2</v>
      </c>
      <c r="H87" s="38">
        <v>327958</v>
      </c>
      <c r="I87" s="38">
        <v>163979</v>
      </c>
      <c r="J87" s="38">
        <v>2</v>
      </c>
      <c r="K87" s="38">
        <v>327958</v>
      </c>
    </row>
    <row r="88" spans="1:11">
      <c r="A88" s="41" t="s">
        <v>67</v>
      </c>
      <c r="B88" s="41" t="s">
        <v>67</v>
      </c>
      <c r="C88" s="41" t="s">
        <v>67</v>
      </c>
      <c r="D88" s="41" t="s">
        <v>67</v>
      </c>
      <c r="E88" s="39" t="s">
        <v>163</v>
      </c>
      <c r="F88" s="38">
        <v>180950</v>
      </c>
      <c r="G88" s="38">
        <v>1</v>
      </c>
      <c r="H88" s="38">
        <v>180950</v>
      </c>
      <c r="I88" s="38">
        <v>180950</v>
      </c>
      <c r="J88" s="38">
        <v>1</v>
      </c>
      <c r="K88" s="38">
        <v>180950</v>
      </c>
    </row>
    <row r="89" spans="1:11">
      <c r="A89" s="41" t="s">
        <v>67</v>
      </c>
      <c r="B89" s="41" t="s">
        <v>67</v>
      </c>
      <c r="C89" s="41" t="s">
        <v>67</v>
      </c>
      <c r="D89" s="41" t="s">
        <v>67</v>
      </c>
      <c r="E89" s="39" t="s">
        <v>164</v>
      </c>
      <c r="F89" s="38">
        <v>150000</v>
      </c>
      <c r="G89" s="38">
        <v>2</v>
      </c>
      <c r="H89" s="38">
        <v>300000</v>
      </c>
      <c r="I89" s="38">
        <v>150000</v>
      </c>
      <c r="J89" s="38">
        <v>2</v>
      </c>
      <c r="K89" s="38">
        <v>300000</v>
      </c>
    </row>
    <row r="90" spans="1:11">
      <c r="A90" s="41" t="s">
        <v>67</v>
      </c>
      <c r="B90" s="41" t="s">
        <v>67</v>
      </c>
      <c r="C90" s="41" t="s">
        <v>67</v>
      </c>
      <c r="D90" s="41" t="s">
        <v>67</v>
      </c>
      <c r="E90" s="39" t="s">
        <v>165</v>
      </c>
      <c r="F90" s="38">
        <v>150000</v>
      </c>
      <c r="G90" s="38">
        <v>1</v>
      </c>
      <c r="H90" s="38">
        <v>150000</v>
      </c>
      <c r="I90" s="38">
        <v>150000</v>
      </c>
      <c r="J90" s="38">
        <v>1</v>
      </c>
      <c r="K90" s="38">
        <v>150000</v>
      </c>
    </row>
    <row r="91" spans="1:11">
      <c r="A91" s="41" t="s">
        <v>67</v>
      </c>
      <c r="B91" s="41" t="s">
        <v>67</v>
      </c>
      <c r="C91" s="41" t="s">
        <v>67</v>
      </c>
      <c r="D91" s="41" t="s">
        <v>67</v>
      </c>
      <c r="E91" s="39" t="s">
        <v>166</v>
      </c>
      <c r="F91" s="38">
        <v>233300</v>
      </c>
      <c r="G91" s="38">
        <v>2</v>
      </c>
      <c r="H91" s="38">
        <v>466600</v>
      </c>
      <c r="I91" s="38">
        <v>233300</v>
      </c>
      <c r="J91" s="38">
        <v>2</v>
      </c>
      <c r="K91" s="38">
        <v>466600</v>
      </c>
    </row>
    <row r="92" spans="1:11">
      <c r="A92" s="41" t="s">
        <v>67</v>
      </c>
      <c r="B92" s="41" t="s">
        <v>67</v>
      </c>
      <c r="C92" s="41" t="s">
        <v>67</v>
      </c>
      <c r="D92" s="41" t="s">
        <v>67</v>
      </c>
      <c r="E92" s="39" t="s">
        <v>167</v>
      </c>
      <c r="F92" s="38">
        <v>251800</v>
      </c>
      <c r="G92" s="38">
        <v>1</v>
      </c>
      <c r="H92" s="38">
        <v>251800</v>
      </c>
      <c r="I92" s="38">
        <v>251800</v>
      </c>
      <c r="J92" s="38">
        <v>1</v>
      </c>
      <c r="K92" s="38">
        <v>251800</v>
      </c>
    </row>
    <row r="93" spans="1:11">
      <c r="A93" s="41" t="s">
        <v>67</v>
      </c>
      <c r="B93" s="41" t="s">
        <v>67</v>
      </c>
      <c r="C93" s="41" t="s">
        <v>67</v>
      </c>
      <c r="D93" s="41" t="s">
        <v>67</v>
      </c>
      <c r="E93" s="39" t="s">
        <v>168</v>
      </c>
      <c r="F93" s="38">
        <v>183000</v>
      </c>
      <c r="G93" s="38">
        <v>3</v>
      </c>
      <c r="H93" s="38">
        <v>549000</v>
      </c>
      <c r="I93" s="38">
        <v>183000</v>
      </c>
      <c r="J93" s="38">
        <v>3</v>
      </c>
      <c r="K93" s="38">
        <v>549000</v>
      </c>
    </row>
    <row r="94" spans="1:11">
      <c r="A94" s="41" t="s">
        <v>67</v>
      </c>
      <c r="B94" s="41" t="s">
        <v>67</v>
      </c>
      <c r="C94" s="41" t="s">
        <v>67</v>
      </c>
      <c r="D94" s="41" t="s">
        <v>67</v>
      </c>
      <c r="E94" s="39" t="s">
        <v>169</v>
      </c>
      <c r="F94" s="38">
        <v>299000</v>
      </c>
      <c r="G94" s="38">
        <v>1</v>
      </c>
      <c r="H94" s="38">
        <v>299000</v>
      </c>
      <c r="I94" s="38">
        <v>299000</v>
      </c>
      <c r="J94" s="38">
        <v>1</v>
      </c>
      <c r="K94" s="38">
        <v>299000</v>
      </c>
    </row>
    <row r="95" spans="1:11">
      <c r="A95" s="41" t="s">
        <v>67</v>
      </c>
      <c r="B95" s="41" t="s">
        <v>67</v>
      </c>
      <c r="C95" s="41" t="s">
        <v>67</v>
      </c>
      <c r="D95" s="41" t="s">
        <v>67</v>
      </c>
      <c r="E95" s="39" t="s">
        <v>170</v>
      </c>
      <c r="F95" s="38">
        <v>234500</v>
      </c>
      <c r="G95" s="38">
        <v>1</v>
      </c>
      <c r="H95" s="38">
        <v>234500</v>
      </c>
      <c r="I95" s="38">
        <v>234500</v>
      </c>
      <c r="J95" s="38">
        <v>1</v>
      </c>
      <c r="K95" s="38">
        <v>234500</v>
      </c>
    </row>
    <row r="96" spans="1:11">
      <c r="A96" s="41" t="s">
        <v>67</v>
      </c>
      <c r="B96" s="41" t="s">
        <v>67</v>
      </c>
      <c r="C96" s="41" t="s">
        <v>67</v>
      </c>
      <c r="D96" s="41" t="s">
        <v>67</v>
      </c>
      <c r="E96" s="39" t="s">
        <v>171</v>
      </c>
      <c r="F96" s="38">
        <v>127100</v>
      </c>
      <c r="G96" s="38">
        <v>1</v>
      </c>
      <c r="H96" s="38">
        <v>127100</v>
      </c>
      <c r="I96" s="38">
        <v>127100</v>
      </c>
      <c r="J96" s="38">
        <v>1</v>
      </c>
      <c r="K96" s="38">
        <v>127100</v>
      </c>
    </row>
    <row r="97" spans="1:11">
      <c r="A97" s="41" t="s">
        <v>67</v>
      </c>
      <c r="B97" s="41" t="s">
        <v>67</v>
      </c>
      <c r="C97" s="41" t="s">
        <v>67</v>
      </c>
      <c r="D97" s="41" t="s">
        <v>67</v>
      </c>
      <c r="E97" s="39" t="s">
        <v>172</v>
      </c>
      <c r="F97" s="38">
        <v>241298</v>
      </c>
      <c r="G97" s="38">
        <v>2</v>
      </c>
      <c r="H97" s="38">
        <v>482596</v>
      </c>
      <c r="I97" s="38">
        <v>241298</v>
      </c>
      <c r="J97" s="38">
        <v>2</v>
      </c>
      <c r="K97" s="38">
        <v>482596</v>
      </c>
    </row>
    <row r="98" spans="1:11">
      <c r="A98" s="41" t="s">
        <v>67</v>
      </c>
      <c r="B98" s="41" t="s">
        <v>67</v>
      </c>
      <c r="C98" s="41" t="s">
        <v>67</v>
      </c>
      <c r="D98" s="41" t="s">
        <v>67</v>
      </c>
      <c r="E98" s="39" t="s">
        <v>173</v>
      </c>
      <c r="F98" s="38">
        <v>127875</v>
      </c>
      <c r="G98" s="38">
        <v>2</v>
      </c>
      <c r="H98" s="38">
        <v>255750</v>
      </c>
      <c r="I98" s="38">
        <v>127875</v>
      </c>
      <c r="J98" s="38">
        <v>2</v>
      </c>
      <c r="K98" s="38">
        <v>255750</v>
      </c>
    </row>
    <row r="99" spans="1:11">
      <c r="A99" s="41" t="s">
        <v>67</v>
      </c>
      <c r="B99" s="41" t="s">
        <v>67</v>
      </c>
      <c r="C99" s="41" t="s">
        <v>67</v>
      </c>
      <c r="D99" s="39" t="s">
        <v>174</v>
      </c>
      <c r="E99" s="39" t="s">
        <v>35</v>
      </c>
      <c r="F99" s="38" t="s">
        <v>107</v>
      </c>
      <c r="G99" s="38">
        <v>78</v>
      </c>
      <c r="H99" s="38">
        <v>16425816</v>
      </c>
      <c r="I99" s="38" t="s">
        <v>107</v>
      </c>
      <c r="J99" s="38">
        <v>78</v>
      </c>
      <c r="K99" s="38">
        <v>16425816</v>
      </c>
    </row>
    <row r="100" spans="1:11">
      <c r="A100" s="41" t="s">
        <v>67</v>
      </c>
      <c r="B100" s="41" t="s">
        <v>67</v>
      </c>
      <c r="C100" s="41" t="s">
        <v>67</v>
      </c>
      <c r="D100" s="41" t="s">
        <v>67</v>
      </c>
      <c r="E100" s="39" t="s">
        <v>175</v>
      </c>
      <c r="F100" s="38">
        <v>100000</v>
      </c>
      <c r="G100" s="38">
        <v>6</v>
      </c>
      <c r="H100" s="38">
        <v>600000</v>
      </c>
      <c r="I100" s="38">
        <v>100000</v>
      </c>
      <c r="J100" s="38">
        <v>6</v>
      </c>
      <c r="K100" s="38">
        <v>600000</v>
      </c>
    </row>
    <row r="101" spans="1:11">
      <c r="A101" s="41" t="s">
        <v>67</v>
      </c>
      <c r="B101" s="41" t="s">
        <v>67</v>
      </c>
      <c r="C101" s="41" t="s">
        <v>67</v>
      </c>
      <c r="D101" s="41" t="s">
        <v>67</v>
      </c>
      <c r="E101" s="39" t="s">
        <v>176</v>
      </c>
      <c r="F101" s="38">
        <v>150000</v>
      </c>
      <c r="G101" s="38">
        <v>2</v>
      </c>
      <c r="H101" s="38">
        <v>300000</v>
      </c>
      <c r="I101" s="38">
        <v>150000</v>
      </c>
      <c r="J101" s="38">
        <v>2</v>
      </c>
      <c r="K101" s="38">
        <v>300000</v>
      </c>
    </row>
    <row r="102" spans="1:11">
      <c r="A102" s="41" t="s">
        <v>67</v>
      </c>
      <c r="B102" s="41" t="s">
        <v>67</v>
      </c>
      <c r="C102" s="41" t="s">
        <v>67</v>
      </c>
      <c r="D102" s="41" t="s">
        <v>67</v>
      </c>
      <c r="E102" s="39" t="s">
        <v>177</v>
      </c>
      <c r="F102" s="38">
        <v>183200</v>
      </c>
      <c r="G102" s="38">
        <v>4</v>
      </c>
      <c r="H102" s="38">
        <v>732800</v>
      </c>
      <c r="I102" s="38">
        <v>183200</v>
      </c>
      <c r="J102" s="38">
        <v>4</v>
      </c>
      <c r="K102" s="38">
        <v>732800</v>
      </c>
    </row>
    <row r="103" spans="1:11">
      <c r="A103" s="41" t="s">
        <v>67</v>
      </c>
      <c r="B103" s="41" t="s">
        <v>67</v>
      </c>
      <c r="C103" s="41" t="s">
        <v>67</v>
      </c>
      <c r="D103" s="41" t="s">
        <v>67</v>
      </c>
      <c r="E103" s="39" t="s">
        <v>178</v>
      </c>
      <c r="F103" s="38">
        <v>208200</v>
      </c>
      <c r="G103" s="38">
        <v>2</v>
      </c>
      <c r="H103" s="38">
        <v>416400</v>
      </c>
      <c r="I103" s="38">
        <v>208200</v>
      </c>
      <c r="J103" s="38">
        <v>2</v>
      </c>
      <c r="K103" s="38">
        <v>416400</v>
      </c>
    </row>
    <row r="104" spans="1:11">
      <c r="A104" s="41" t="s">
        <v>67</v>
      </c>
      <c r="B104" s="41" t="s">
        <v>67</v>
      </c>
      <c r="C104" s="41" t="s">
        <v>67</v>
      </c>
      <c r="D104" s="41" t="s">
        <v>67</v>
      </c>
      <c r="E104" s="39" t="s">
        <v>179</v>
      </c>
      <c r="F104" s="38">
        <v>242700</v>
      </c>
      <c r="G104" s="38">
        <v>3</v>
      </c>
      <c r="H104" s="38">
        <v>728100</v>
      </c>
      <c r="I104" s="38">
        <v>242700</v>
      </c>
      <c r="J104" s="38">
        <v>3</v>
      </c>
      <c r="K104" s="38">
        <v>728100</v>
      </c>
    </row>
    <row r="105" spans="1:11">
      <c r="A105" s="41" t="s">
        <v>67</v>
      </c>
      <c r="B105" s="41" t="s">
        <v>67</v>
      </c>
      <c r="C105" s="41" t="s">
        <v>67</v>
      </c>
      <c r="D105" s="41" t="s">
        <v>67</v>
      </c>
      <c r="E105" s="39" t="s">
        <v>180</v>
      </c>
      <c r="F105" s="38">
        <v>132900</v>
      </c>
      <c r="G105" s="38">
        <v>3</v>
      </c>
      <c r="H105" s="38">
        <v>398700</v>
      </c>
      <c r="I105" s="38">
        <v>132900</v>
      </c>
      <c r="J105" s="38">
        <v>3</v>
      </c>
      <c r="K105" s="38">
        <v>398700</v>
      </c>
    </row>
    <row r="106" spans="1:11">
      <c r="A106" s="41" t="s">
        <v>67</v>
      </c>
      <c r="B106" s="41" t="s">
        <v>67</v>
      </c>
      <c r="C106" s="41" t="s">
        <v>67</v>
      </c>
      <c r="D106" s="41" t="s">
        <v>67</v>
      </c>
      <c r="E106" s="39" t="s">
        <v>181</v>
      </c>
      <c r="F106" s="38">
        <v>160960</v>
      </c>
      <c r="G106" s="38">
        <v>2</v>
      </c>
      <c r="H106" s="38">
        <v>321920</v>
      </c>
      <c r="I106" s="38">
        <v>160960</v>
      </c>
      <c r="J106" s="38">
        <v>2</v>
      </c>
      <c r="K106" s="38">
        <v>321920</v>
      </c>
    </row>
    <row r="107" spans="1:11">
      <c r="A107" s="41" t="s">
        <v>67</v>
      </c>
      <c r="B107" s="41" t="s">
        <v>67</v>
      </c>
      <c r="C107" s="41" t="s">
        <v>67</v>
      </c>
      <c r="D107" s="41" t="s">
        <v>67</v>
      </c>
      <c r="E107" s="39" t="s">
        <v>182</v>
      </c>
      <c r="F107" s="38">
        <v>178830</v>
      </c>
      <c r="G107" s="38">
        <v>1</v>
      </c>
      <c r="H107" s="38">
        <v>178830</v>
      </c>
      <c r="I107" s="38">
        <v>178830</v>
      </c>
      <c r="J107" s="38">
        <v>1</v>
      </c>
      <c r="K107" s="38">
        <v>178830</v>
      </c>
    </row>
    <row r="108" spans="1:11">
      <c r="A108" s="41" t="s">
        <v>67</v>
      </c>
      <c r="B108" s="41" t="s">
        <v>67</v>
      </c>
      <c r="C108" s="41" t="s">
        <v>67</v>
      </c>
      <c r="D108" s="41" t="s">
        <v>67</v>
      </c>
      <c r="E108" s="39" t="s">
        <v>183</v>
      </c>
      <c r="F108" s="38">
        <v>174500</v>
      </c>
      <c r="G108" s="38">
        <v>2</v>
      </c>
      <c r="H108" s="38">
        <v>349000</v>
      </c>
      <c r="I108" s="38">
        <v>174500</v>
      </c>
      <c r="J108" s="38">
        <v>2</v>
      </c>
      <c r="K108" s="38">
        <v>349000</v>
      </c>
    </row>
    <row r="109" spans="1:11">
      <c r="A109" s="41" t="s">
        <v>67</v>
      </c>
      <c r="B109" s="41" t="s">
        <v>67</v>
      </c>
      <c r="C109" s="41" t="s">
        <v>67</v>
      </c>
      <c r="D109" s="41" t="s">
        <v>67</v>
      </c>
      <c r="E109" s="39" t="s">
        <v>184</v>
      </c>
      <c r="F109" s="38">
        <v>184000</v>
      </c>
      <c r="G109" s="38">
        <v>1</v>
      </c>
      <c r="H109" s="38">
        <v>184000</v>
      </c>
      <c r="I109" s="38">
        <v>184000</v>
      </c>
      <c r="J109" s="38">
        <v>1</v>
      </c>
      <c r="K109" s="38">
        <v>184000</v>
      </c>
    </row>
    <row r="110" spans="1:11">
      <c r="A110" s="41" t="s">
        <v>67</v>
      </c>
      <c r="B110" s="41" t="s">
        <v>67</v>
      </c>
      <c r="C110" s="41" t="s">
        <v>67</v>
      </c>
      <c r="D110" s="41" t="s">
        <v>67</v>
      </c>
      <c r="E110" s="39" t="s">
        <v>185</v>
      </c>
      <c r="F110" s="38">
        <v>250000</v>
      </c>
      <c r="G110" s="38">
        <v>1</v>
      </c>
      <c r="H110" s="38">
        <v>250000</v>
      </c>
      <c r="I110" s="38">
        <v>250000</v>
      </c>
      <c r="J110" s="38">
        <v>1</v>
      </c>
      <c r="K110" s="38">
        <v>250000</v>
      </c>
    </row>
    <row r="111" spans="1:11">
      <c r="A111" s="41" t="s">
        <v>67</v>
      </c>
      <c r="B111" s="41" t="s">
        <v>67</v>
      </c>
      <c r="C111" s="41" t="s">
        <v>67</v>
      </c>
      <c r="D111" s="41" t="s">
        <v>67</v>
      </c>
      <c r="E111" s="39" t="s">
        <v>186</v>
      </c>
      <c r="F111" s="38">
        <v>132000</v>
      </c>
      <c r="G111" s="38">
        <v>1</v>
      </c>
      <c r="H111" s="38">
        <v>132000</v>
      </c>
      <c r="I111" s="38">
        <v>132000</v>
      </c>
      <c r="J111" s="38">
        <v>1</v>
      </c>
      <c r="K111" s="38">
        <v>132000</v>
      </c>
    </row>
    <row r="112" spans="1:11">
      <c r="A112" s="41" t="s">
        <v>67</v>
      </c>
      <c r="B112" s="41" t="s">
        <v>67</v>
      </c>
      <c r="C112" s="41" t="s">
        <v>67</v>
      </c>
      <c r="D112" s="41" t="s">
        <v>67</v>
      </c>
      <c r="E112" s="39" t="s">
        <v>187</v>
      </c>
      <c r="F112" s="38">
        <v>269800</v>
      </c>
      <c r="G112" s="38">
        <v>2</v>
      </c>
      <c r="H112" s="38">
        <v>539600</v>
      </c>
      <c r="I112" s="38">
        <v>269800</v>
      </c>
      <c r="J112" s="38">
        <v>2</v>
      </c>
      <c r="K112" s="38">
        <v>539600</v>
      </c>
    </row>
    <row r="113" spans="1:11">
      <c r="A113" s="41" t="s">
        <v>67</v>
      </c>
      <c r="B113" s="41" t="s">
        <v>67</v>
      </c>
      <c r="C113" s="41" t="s">
        <v>67</v>
      </c>
      <c r="D113" s="41" t="s">
        <v>67</v>
      </c>
      <c r="E113" s="39" t="s">
        <v>188</v>
      </c>
      <c r="F113" s="38">
        <v>306400</v>
      </c>
      <c r="G113" s="38">
        <v>1</v>
      </c>
      <c r="H113" s="38">
        <v>306400</v>
      </c>
      <c r="I113" s="38">
        <v>306400</v>
      </c>
      <c r="J113" s="38">
        <v>1</v>
      </c>
      <c r="K113" s="38">
        <v>306400</v>
      </c>
    </row>
    <row r="114" spans="1:11">
      <c r="A114" s="41" t="s">
        <v>67</v>
      </c>
      <c r="B114" s="41" t="s">
        <v>67</v>
      </c>
      <c r="C114" s="41" t="s">
        <v>67</v>
      </c>
      <c r="D114" s="41" t="s">
        <v>67</v>
      </c>
      <c r="E114" s="39" t="s">
        <v>189</v>
      </c>
      <c r="F114" s="38">
        <v>163800</v>
      </c>
      <c r="G114" s="38">
        <v>2</v>
      </c>
      <c r="H114" s="38">
        <v>327600</v>
      </c>
      <c r="I114" s="38">
        <v>163800</v>
      </c>
      <c r="J114" s="38">
        <v>2</v>
      </c>
      <c r="K114" s="38">
        <v>327600</v>
      </c>
    </row>
    <row r="115" spans="1:11">
      <c r="A115" s="41" t="s">
        <v>67</v>
      </c>
      <c r="B115" s="41" t="s">
        <v>67</v>
      </c>
      <c r="C115" s="41" t="s">
        <v>67</v>
      </c>
      <c r="D115" s="41" t="s">
        <v>67</v>
      </c>
      <c r="E115" s="39" t="s">
        <v>190</v>
      </c>
      <c r="F115" s="38">
        <v>197900</v>
      </c>
      <c r="G115" s="38">
        <v>1</v>
      </c>
      <c r="H115" s="38">
        <v>197900</v>
      </c>
      <c r="I115" s="38">
        <v>197900</v>
      </c>
      <c r="J115" s="38">
        <v>1</v>
      </c>
      <c r="K115" s="38">
        <v>197900</v>
      </c>
    </row>
    <row r="116" spans="1:11">
      <c r="A116" s="41" t="s">
        <v>67</v>
      </c>
      <c r="B116" s="41" t="s">
        <v>67</v>
      </c>
      <c r="C116" s="41" t="s">
        <v>67</v>
      </c>
      <c r="D116" s="41" t="s">
        <v>67</v>
      </c>
      <c r="E116" s="39" t="s">
        <v>191</v>
      </c>
      <c r="F116" s="38">
        <v>285800</v>
      </c>
      <c r="G116" s="38">
        <v>2</v>
      </c>
      <c r="H116" s="38">
        <v>571600</v>
      </c>
      <c r="I116" s="38">
        <v>285800</v>
      </c>
      <c r="J116" s="38">
        <v>2</v>
      </c>
      <c r="K116" s="38">
        <v>571600</v>
      </c>
    </row>
    <row r="117" spans="1:11">
      <c r="A117" s="41" t="s">
        <v>67</v>
      </c>
      <c r="B117" s="41" t="s">
        <v>67</v>
      </c>
      <c r="C117" s="41" t="s">
        <v>67</v>
      </c>
      <c r="D117" s="41" t="s">
        <v>67</v>
      </c>
      <c r="E117" s="39" t="s">
        <v>192</v>
      </c>
      <c r="F117" s="38">
        <v>292600</v>
      </c>
      <c r="G117" s="38">
        <v>1</v>
      </c>
      <c r="H117" s="38">
        <v>292600</v>
      </c>
      <c r="I117" s="38">
        <v>292600</v>
      </c>
      <c r="J117" s="38">
        <v>1</v>
      </c>
      <c r="K117" s="38">
        <v>292600</v>
      </c>
    </row>
    <row r="118" spans="1:11">
      <c r="A118" s="41" t="s">
        <v>67</v>
      </c>
      <c r="B118" s="41" t="s">
        <v>67</v>
      </c>
      <c r="C118" s="41" t="s">
        <v>67</v>
      </c>
      <c r="D118" s="41" t="s">
        <v>67</v>
      </c>
      <c r="E118" s="39" t="s">
        <v>193</v>
      </c>
      <c r="F118" s="38">
        <v>153100</v>
      </c>
      <c r="G118" s="38">
        <v>4</v>
      </c>
      <c r="H118" s="38">
        <v>612400</v>
      </c>
      <c r="I118" s="38">
        <v>153100</v>
      </c>
      <c r="J118" s="38">
        <v>4</v>
      </c>
      <c r="K118" s="38">
        <v>612400</v>
      </c>
    </row>
    <row r="119" spans="1:11">
      <c r="A119" s="41" t="s">
        <v>67</v>
      </c>
      <c r="B119" s="41" t="s">
        <v>67</v>
      </c>
      <c r="C119" s="41" t="s">
        <v>67</v>
      </c>
      <c r="D119" s="41" t="s">
        <v>67</v>
      </c>
      <c r="E119" s="39" t="s">
        <v>194</v>
      </c>
      <c r="F119" s="38">
        <v>188400</v>
      </c>
      <c r="G119" s="38">
        <v>2</v>
      </c>
      <c r="H119" s="38">
        <v>376800</v>
      </c>
      <c r="I119" s="38">
        <v>188400</v>
      </c>
      <c r="J119" s="38">
        <v>2</v>
      </c>
      <c r="K119" s="38">
        <v>376800</v>
      </c>
    </row>
    <row r="120" spans="1:11">
      <c r="A120" s="41" t="s">
        <v>67</v>
      </c>
      <c r="B120" s="41" t="s">
        <v>67</v>
      </c>
      <c r="C120" s="41" t="s">
        <v>67</v>
      </c>
      <c r="D120" s="41" t="s">
        <v>67</v>
      </c>
      <c r="E120" s="39" t="s">
        <v>195</v>
      </c>
      <c r="F120" s="38">
        <v>240500</v>
      </c>
      <c r="G120" s="38">
        <v>4</v>
      </c>
      <c r="H120" s="38">
        <v>962000</v>
      </c>
      <c r="I120" s="38">
        <v>240500</v>
      </c>
      <c r="J120" s="38">
        <v>4</v>
      </c>
      <c r="K120" s="38">
        <v>962000</v>
      </c>
    </row>
    <row r="121" spans="1:11">
      <c r="A121" s="41" t="s">
        <v>67</v>
      </c>
      <c r="B121" s="41" t="s">
        <v>67</v>
      </c>
      <c r="C121" s="41" t="s">
        <v>67</v>
      </c>
      <c r="D121" s="41" t="s">
        <v>67</v>
      </c>
      <c r="E121" s="39" t="s">
        <v>196</v>
      </c>
      <c r="F121" s="38">
        <v>244000</v>
      </c>
      <c r="G121" s="38">
        <v>2</v>
      </c>
      <c r="H121" s="38">
        <v>488000</v>
      </c>
      <c r="I121" s="38">
        <v>244000</v>
      </c>
      <c r="J121" s="38">
        <v>2</v>
      </c>
      <c r="K121" s="38">
        <v>488000</v>
      </c>
    </row>
    <row r="122" spans="1:11">
      <c r="A122" s="41" t="s">
        <v>67</v>
      </c>
      <c r="B122" s="41" t="s">
        <v>67</v>
      </c>
      <c r="C122" s="41" t="s">
        <v>67</v>
      </c>
      <c r="D122" s="41" t="s">
        <v>67</v>
      </c>
      <c r="E122" s="39" t="s">
        <v>197</v>
      </c>
      <c r="F122" s="38">
        <v>242900</v>
      </c>
      <c r="G122" s="38">
        <v>2</v>
      </c>
      <c r="H122" s="38">
        <v>485800</v>
      </c>
      <c r="I122" s="38">
        <v>242900</v>
      </c>
      <c r="J122" s="38">
        <v>2</v>
      </c>
      <c r="K122" s="38">
        <v>485800</v>
      </c>
    </row>
    <row r="123" spans="1:11">
      <c r="A123" s="41" t="s">
        <v>67</v>
      </c>
      <c r="B123" s="41" t="s">
        <v>67</v>
      </c>
      <c r="C123" s="41" t="s">
        <v>67</v>
      </c>
      <c r="D123" s="41" t="s">
        <v>67</v>
      </c>
      <c r="E123" s="39" t="s">
        <v>198</v>
      </c>
      <c r="F123" s="38">
        <v>265400</v>
      </c>
      <c r="G123" s="38">
        <v>1</v>
      </c>
      <c r="H123" s="38">
        <v>265400</v>
      </c>
      <c r="I123" s="38">
        <v>265400</v>
      </c>
      <c r="J123" s="38">
        <v>1</v>
      </c>
      <c r="K123" s="38">
        <v>265400</v>
      </c>
    </row>
    <row r="124" spans="1:11">
      <c r="A124" s="41" t="s">
        <v>67</v>
      </c>
      <c r="B124" s="41" t="s">
        <v>67</v>
      </c>
      <c r="C124" s="41" t="s">
        <v>67</v>
      </c>
      <c r="D124" s="41" t="s">
        <v>67</v>
      </c>
      <c r="E124" s="39" t="s">
        <v>199</v>
      </c>
      <c r="F124" s="38">
        <v>165680</v>
      </c>
      <c r="G124" s="38">
        <v>3</v>
      </c>
      <c r="H124" s="38">
        <v>497040</v>
      </c>
      <c r="I124" s="38">
        <v>165680</v>
      </c>
      <c r="J124" s="38">
        <v>3</v>
      </c>
      <c r="K124" s="38">
        <v>497040</v>
      </c>
    </row>
    <row r="125" spans="1:11">
      <c r="A125" s="41" t="s">
        <v>67</v>
      </c>
      <c r="B125" s="41" t="s">
        <v>67</v>
      </c>
      <c r="C125" s="41" t="s">
        <v>67</v>
      </c>
      <c r="D125" s="41" t="s">
        <v>67</v>
      </c>
      <c r="E125" s="39" t="s">
        <v>200</v>
      </c>
      <c r="F125" s="38">
        <v>272790</v>
      </c>
      <c r="G125" s="38">
        <v>1</v>
      </c>
      <c r="H125" s="38">
        <v>272790</v>
      </c>
      <c r="I125" s="38">
        <v>272790</v>
      </c>
      <c r="J125" s="38">
        <v>1</v>
      </c>
      <c r="K125" s="38">
        <v>272790</v>
      </c>
    </row>
    <row r="126" spans="1:11">
      <c r="A126" s="41" t="s">
        <v>67</v>
      </c>
      <c r="B126" s="41" t="s">
        <v>67</v>
      </c>
      <c r="C126" s="41" t="s">
        <v>67</v>
      </c>
      <c r="D126" s="41" t="s">
        <v>67</v>
      </c>
      <c r="E126" s="39" t="s">
        <v>201</v>
      </c>
      <c r="F126" s="38">
        <v>286300</v>
      </c>
      <c r="G126" s="38">
        <v>4</v>
      </c>
      <c r="H126" s="38">
        <v>1145200</v>
      </c>
      <c r="I126" s="38">
        <v>286300</v>
      </c>
      <c r="J126" s="38">
        <v>4</v>
      </c>
      <c r="K126" s="38">
        <v>1145200</v>
      </c>
    </row>
    <row r="127" spans="1:11">
      <c r="A127" s="41" t="s">
        <v>67</v>
      </c>
      <c r="B127" s="41" t="s">
        <v>67</v>
      </c>
      <c r="C127" s="41" t="s">
        <v>67</v>
      </c>
      <c r="D127" s="41" t="s">
        <v>67</v>
      </c>
      <c r="E127" s="39" t="s">
        <v>202</v>
      </c>
      <c r="F127" s="38">
        <v>285800</v>
      </c>
      <c r="G127" s="38">
        <v>2</v>
      </c>
      <c r="H127" s="38">
        <v>571600</v>
      </c>
      <c r="I127" s="38">
        <v>285800</v>
      </c>
      <c r="J127" s="38">
        <v>2</v>
      </c>
      <c r="K127" s="38">
        <v>571600</v>
      </c>
    </row>
    <row r="128" spans="1:11">
      <c r="A128" s="41" t="s">
        <v>67</v>
      </c>
      <c r="B128" s="41" t="s">
        <v>67</v>
      </c>
      <c r="C128" s="41" t="s">
        <v>67</v>
      </c>
      <c r="D128" s="41" t="s">
        <v>67</v>
      </c>
      <c r="E128" s="39" t="s">
        <v>203</v>
      </c>
      <c r="F128" s="38">
        <v>275500</v>
      </c>
      <c r="G128" s="38">
        <v>2</v>
      </c>
      <c r="H128" s="38">
        <v>551000</v>
      </c>
      <c r="I128" s="38">
        <v>275500</v>
      </c>
      <c r="J128" s="38">
        <v>2</v>
      </c>
      <c r="K128" s="38">
        <v>551000</v>
      </c>
    </row>
    <row r="129" spans="1:11">
      <c r="A129" s="41" t="s">
        <v>67</v>
      </c>
      <c r="B129" s="41" t="s">
        <v>67</v>
      </c>
      <c r="C129" s="41" t="s">
        <v>67</v>
      </c>
      <c r="D129" s="41" t="s">
        <v>67</v>
      </c>
      <c r="E129" s="39" t="s">
        <v>204</v>
      </c>
      <c r="F129" s="38">
        <v>296600</v>
      </c>
      <c r="G129" s="38">
        <v>1</v>
      </c>
      <c r="H129" s="38">
        <v>296600</v>
      </c>
      <c r="I129" s="38">
        <v>296600</v>
      </c>
      <c r="J129" s="38">
        <v>1</v>
      </c>
      <c r="K129" s="38">
        <v>296600</v>
      </c>
    </row>
    <row r="130" spans="1:11">
      <c r="A130" s="41" t="s">
        <v>67</v>
      </c>
      <c r="B130" s="41" t="s">
        <v>67</v>
      </c>
      <c r="C130" s="41" t="s">
        <v>67</v>
      </c>
      <c r="D130" s="41" t="s">
        <v>67</v>
      </c>
      <c r="E130" s="39" t="s">
        <v>205</v>
      </c>
      <c r="F130" s="38">
        <v>275500</v>
      </c>
      <c r="G130" s="38">
        <v>2</v>
      </c>
      <c r="H130" s="38">
        <v>551000</v>
      </c>
      <c r="I130" s="38">
        <v>275500</v>
      </c>
      <c r="J130" s="38">
        <v>2</v>
      </c>
      <c r="K130" s="38">
        <v>551000</v>
      </c>
    </row>
    <row r="131" spans="1:11">
      <c r="A131" s="41" t="s">
        <v>67</v>
      </c>
      <c r="B131" s="41" t="s">
        <v>67</v>
      </c>
      <c r="C131" s="41" t="s">
        <v>67</v>
      </c>
      <c r="D131" s="41" t="s">
        <v>67</v>
      </c>
      <c r="E131" s="39" t="s">
        <v>206</v>
      </c>
      <c r="F131" s="38">
        <v>296600</v>
      </c>
      <c r="G131" s="38">
        <v>1</v>
      </c>
      <c r="H131" s="38">
        <v>296600</v>
      </c>
      <c r="I131" s="38">
        <v>296600</v>
      </c>
      <c r="J131" s="38">
        <v>1</v>
      </c>
      <c r="K131" s="38">
        <v>296600</v>
      </c>
    </row>
    <row r="132" spans="1:11">
      <c r="A132" s="41" t="s">
        <v>67</v>
      </c>
      <c r="B132" s="41" t="s">
        <v>67</v>
      </c>
      <c r="C132" s="41" t="s">
        <v>67</v>
      </c>
      <c r="D132" s="41" t="s">
        <v>67</v>
      </c>
      <c r="E132" s="39" t="s">
        <v>207</v>
      </c>
      <c r="F132" s="38">
        <v>287700</v>
      </c>
      <c r="G132" s="38">
        <v>2</v>
      </c>
      <c r="H132" s="38">
        <v>575400</v>
      </c>
      <c r="I132" s="38">
        <v>287700</v>
      </c>
      <c r="J132" s="38">
        <v>2</v>
      </c>
      <c r="K132" s="38">
        <v>575400</v>
      </c>
    </row>
    <row r="133" spans="1:11">
      <c r="A133" s="41" t="s">
        <v>67</v>
      </c>
      <c r="B133" s="41" t="s">
        <v>67</v>
      </c>
      <c r="C133" s="41" t="s">
        <v>67</v>
      </c>
      <c r="D133" s="41" t="s">
        <v>67</v>
      </c>
      <c r="E133" s="39" t="s">
        <v>208</v>
      </c>
      <c r="F133" s="38">
        <v>298800</v>
      </c>
      <c r="G133" s="38">
        <v>1</v>
      </c>
      <c r="H133" s="38">
        <v>298800</v>
      </c>
      <c r="I133" s="38">
        <v>298800</v>
      </c>
      <c r="J133" s="38">
        <v>1</v>
      </c>
      <c r="K133" s="38">
        <v>298800</v>
      </c>
    </row>
    <row r="134" spans="1:11">
      <c r="A134" s="41" t="s">
        <v>67</v>
      </c>
      <c r="B134" s="41" t="s">
        <v>67</v>
      </c>
      <c r="C134" s="41" t="s">
        <v>67</v>
      </c>
      <c r="D134" s="41" t="s">
        <v>67</v>
      </c>
      <c r="E134" s="39" t="s">
        <v>209</v>
      </c>
      <c r="F134" s="38">
        <v>26650</v>
      </c>
      <c r="G134" s="38">
        <v>1</v>
      </c>
      <c r="H134" s="38">
        <v>26650</v>
      </c>
      <c r="I134" s="38">
        <v>26650</v>
      </c>
      <c r="J134" s="38">
        <v>1</v>
      </c>
      <c r="K134" s="38">
        <v>26650</v>
      </c>
    </row>
    <row r="135" spans="1:11">
      <c r="A135" s="41" t="s">
        <v>67</v>
      </c>
      <c r="B135" s="41" t="s">
        <v>67</v>
      </c>
      <c r="C135" s="41" t="s">
        <v>67</v>
      </c>
      <c r="D135" s="41" t="s">
        <v>67</v>
      </c>
      <c r="E135" s="39" t="s">
        <v>210</v>
      </c>
      <c r="F135" s="38">
        <v>19186</v>
      </c>
      <c r="G135" s="38">
        <v>1</v>
      </c>
      <c r="H135" s="38">
        <v>19186</v>
      </c>
      <c r="I135" s="38">
        <v>19186</v>
      </c>
      <c r="J135" s="38">
        <v>1</v>
      </c>
      <c r="K135" s="38">
        <v>19186</v>
      </c>
    </row>
    <row r="136" spans="1:11">
      <c r="A136" s="41" t="s">
        <v>67</v>
      </c>
      <c r="B136" s="41" t="s">
        <v>67</v>
      </c>
      <c r="C136" s="41" t="s">
        <v>67</v>
      </c>
      <c r="D136" s="41" t="s">
        <v>67</v>
      </c>
      <c r="E136" s="39" t="s">
        <v>211</v>
      </c>
      <c r="F136" s="38">
        <v>292000</v>
      </c>
      <c r="G136" s="38">
        <v>1</v>
      </c>
      <c r="H136" s="38">
        <v>292000</v>
      </c>
      <c r="I136" s="38">
        <v>292000</v>
      </c>
      <c r="J136" s="38">
        <v>1</v>
      </c>
      <c r="K136" s="38">
        <v>292000</v>
      </c>
    </row>
    <row r="137" spans="1:11">
      <c r="A137" s="41" t="s">
        <v>67</v>
      </c>
      <c r="B137" s="41" t="s">
        <v>67</v>
      </c>
      <c r="C137" s="41" t="s">
        <v>67</v>
      </c>
      <c r="D137" s="41" t="s">
        <v>67</v>
      </c>
      <c r="E137" s="39" t="s">
        <v>212</v>
      </c>
      <c r="F137" s="38">
        <v>150800</v>
      </c>
      <c r="G137" s="38">
        <v>1</v>
      </c>
      <c r="H137" s="38">
        <v>150800</v>
      </c>
      <c r="I137" s="38">
        <v>150800</v>
      </c>
      <c r="J137" s="38">
        <v>1</v>
      </c>
      <c r="K137" s="38">
        <v>150800</v>
      </c>
    </row>
    <row r="138" spans="1:11">
      <c r="A138" s="41" t="s">
        <v>67</v>
      </c>
      <c r="B138" s="41" t="s">
        <v>67</v>
      </c>
      <c r="C138" s="41" t="s">
        <v>67</v>
      </c>
      <c r="D138" s="41" t="s">
        <v>67</v>
      </c>
      <c r="E138" s="39" t="s">
        <v>213</v>
      </c>
      <c r="F138" s="38">
        <v>290200</v>
      </c>
      <c r="G138" s="38">
        <v>2</v>
      </c>
      <c r="H138" s="38">
        <v>580400</v>
      </c>
      <c r="I138" s="38">
        <v>290200</v>
      </c>
      <c r="J138" s="38">
        <v>2</v>
      </c>
      <c r="K138" s="38">
        <v>580400</v>
      </c>
    </row>
    <row r="139" spans="1:11">
      <c r="A139" s="41" t="s">
        <v>67</v>
      </c>
      <c r="B139" s="41" t="s">
        <v>67</v>
      </c>
      <c r="C139" s="41" t="s">
        <v>67</v>
      </c>
      <c r="D139" s="41" t="s">
        <v>67</v>
      </c>
      <c r="E139" s="39" t="s">
        <v>214</v>
      </c>
      <c r="F139" s="38">
        <v>282900</v>
      </c>
      <c r="G139" s="38">
        <v>1</v>
      </c>
      <c r="H139" s="38">
        <v>282900</v>
      </c>
      <c r="I139" s="38">
        <v>282900</v>
      </c>
      <c r="J139" s="38">
        <v>1</v>
      </c>
      <c r="K139" s="38">
        <v>282900</v>
      </c>
    </row>
    <row r="140" spans="1:11">
      <c r="A140" s="41" t="s">
        <v>67</v>
      </c>
      <c r="B140" s="41" t="s">
        <v>67</v>
      </c>
      <c r="C140" s="39" t="s">
        <v>136</v>
      </c>
      <c r="D140" s="39" t="s">
        <v>35</v>
      </c>
      <c r="E140" s="39" t="s">
        <v>35</v>
      </c>
      <c r="F140" s="38" t="s">
        <v>107</v>
      </c>
      <c r="G140" s="38">
        <v>5</v>
      </c>
      <c r="H140" s="38">
        <v>465800</v>
      </c>
      <c r="I140" s="38" t="s">
        <v>107</v>
      </c>
      <c r="J140" s="38">
        <v>5</v>
      </c>
      <c r="K140" s="38">
        <v>465800</v>
      </c>
    </row>
    <row r="141" spans="1:11">
      <c r="A141" s="41" t="s">
        <v>67</v>
      </c>
      <c r="B141" s="41" t="s">
        <v>67</v>
      </c>
      <c r="C141" s="41" t="s">
        <v>67</v>
      </c>
      <c r="D141" s="39" t="s">
        <v>215</v>
      </c>
      <c r="E141" s="39" t="s">
        <v>35</v>
      </c>
      <c r="F141" s="38">
        <v>93700</v>
      </c>
      <c r="G141" s="38">
        <v>4</v>
      </c>
      <c r="H141" s="38">
        <v>374800</v>
      </c>
      <c r="I141" s="38">
        <v>93700</v>
      </c>
      <c r="J141" s="38">
        <v>4</v>
      </c>
      <c r="K141" s="38">
        <v>374800</v>
      </c>
    </row>
    <row r="142" spans="1:11">
      <c r="A142" s="41" t="s">
        <v>67</v>
      </c>
      <c r="B142" s="41" t="s">
        <v>67</v>
      </c>
      <c r="C142" s="41" t="s">
        <v>67</v>
      </c>
      <c r="D142" s="39" t="s">
        <v>216</v>
      </c>
      <c r="E142" s="39" t="s">
        <v>35</v>
      </c>
      <c r="F142" s="38">
        <v>91000</v>
      </c>
      <c r="G142" s="38">
        <v>1</v>
      </c>
      <c r="H142" s="38">
        <v>91000</v>
      </c>
      <c r="I142" s="38">
        <v>91000</v>
      </c>
      <c r="J142" s="38">
        <v>1</v>
      </c>
      <c r="K142" s="38">
        <v>91000</v>
      </c>
    </row>
    <row r="143" spans="1:11">
      <c r="A143" s="41" t="s">
        <v>67</v>
      </c>
      <c r="B143" s="39" t="s">
        <v>109</v>
      </c>
      <c r="C143" s="39" t="s">
        <v>35</v>
      </c>
      <c r="D143" s="39" t="s">
        <v>35</v>
      </c>
      <c r="E143" s="39" t="s">
        <v>35</v>
      </c>
      <c r="F143" s="38" t="s">
        <v>107</v>
      </c>
      <c r="G143" s="38">
        <v>7</v>
      </c>
      <c r="H143" s="38">
        <v>313090</v>
      </c>
      <c r="I143" s="38" t="s">
        <v>107</v>
      </c>
      <c r="J143" s="38">
        <v>10</v>
      </c>
      <c r="K143" s="38">
        <v>479979</v>
      </c>
    </row>
    <row r="144" spans="1:11">
      <c r="A144" s="41" t="s">
        <v>67</v>
      </c>
      <c r="B144" s="41" t="s">
        <v>67</v>
      </c>
      <c r="C144" s="39" t="s">
        <v>136</v>
      </c>
      <c r="D144" s="39" t="s">
        <v>35</v>
      </c>
      <c r="E144" s="39" t="s">
        <v>35</v>
      </c>
      <c r="F144" s="38" t="s">
        <v>107</v>
      </c>
      <c r="G144" s="38">
        <v>2</v>
      </c>
      <c r="H144" s="38">
        <v>93723</v>
      </c>
      <c r="I144" s="38" t="s">
        <v>107</v>
      </c>
      <c r="J144" s="38">
        <v>3</v>
      </c>
      <c r="K144" s="38">
        <v>146245</v>
      </c>
    </row>
    <row r="145" spans="1:11">
      <c r="A145" s="41" t="s">
        <v>67</v>
      </c>
      <c r="B145" s="41" t="s">
        <v>67</v>
      </c>
      <c r="C145" s="41" t="s">
        <v>67</v>
      </c>
      <c r="D145" s="39" t="s">
        <v>219</v>
      </c>
      <c r="E145" s="39" t="s">
        <v>35</v>
      </c>
      <c r="F145" s="38" t="s">
        <v>107</v>
      </c>
      <c r="G145" s="38" t="s">
        <v>107</v>
      </c>
      <c r="H145" s="38" t="s">
        <v>107</v>
      </c>
      <c r="I145" s="38" t="s">
        <v>107</v>
      </c>
      <c r="J145" s="38" t="s">
        <v>107</v>
      </c>
      <c r="K145" s="38" t="s">
        <v>107</v>
      </c>
    </row>
    <row r="146" spans="1:11">
      <c r="A146" s="41" t="s">
        <v>67</v>
      </c>
      <c r="B146" s="41" t="s">
        <v>67</v>
      </c>
      <c r="C146" s="41" t="s">
        <v>67</v>
      </c>
      <c r="D146" s="39" t="s">
        <v>220</v>
      </c>
      <c r="E146" s="39" t="s">
        <v>35</v>
      </c>
      <c r="F146" s="38" t="s">
        <v>107</v>
      </c>
      <c r="G146" s="38" t="s">
        <v>107</v>
      </c>
      <c r="H146" s="38" t="s">
        <v>107</v>
      </c>
      <c r="I146" s="38" t="s">
        <v>107</v>
      </c>
      <c r="J146" s="38" t="s">
        <v>107</v>
      </c>
      <c r="K146" s="38" t="s">
        <v>107</v>
      </c>
    </row>
    <row r="147" spans="1:11">
      <c r="A147" s="41" t="s">
        <v>67</v>
      </c>
      <c r="B147" s="41" t="s">
        <v>67</v>
      </c>
      <c r="C147" s="41" t="s">
        <v>67</v>
      </c>
      <c r="D147" s="39" t="s">
        <v>221</v>
      </c>
      <c r="E147" s="39" t="s">
        <v>35</v>
      </c>
      <c r="F147" s="38" t="s">
        <v>107</v>
      </c>
      <c r="G147" s="38" t="s">
        <v>107</v>
      </c>
      <c r="H147" s="38" t="s">
        <v>107</v>
      </c>
      <c r="I147" s="38" t="s">
        <v>107</v>
      </c>
      <c r="J147" s="38" t="s">
        <v>107</v>
      </c>
      <c r="K147" s="38" t="s">
        <v>107</v>
      </c>
    </row>
    <row r="148" spans="1:11">
      <c r="A148" s="41" t="s">
        <v>67</v>
      </c>
      <c r="B148" s="41" t="s">
        <v>67</v>
      </c>
      <c r="C148" s="41" t="s">
        <v>67</v>
      </c>
      <c r="D148" s="39" t="s">
        <v>222</v>
      </c>
      <c r="E148" s="39" t="s">
        <v>35</v>
      </c>
      <c r="F148" s="38" t="s">
        <v>107</v>
      </c>
      <c r="G148" s="38" t="s">
        <v>107</v>
      </c>
      <c r="H148" s="38" t="s">
        <v>107</v>
      </c>
      <c r="I148" s="38" t="s">
        <v>107</v>
      </c>
      <c r="J148" s="38" t="s">
        <v>107</v>
      </c>
      <c r="K148" s="38" t="s">
        <v>107</v>
      </c>
    </row>
    <row r="149" spans="1:11">
      <c r="A149" s="41" t="s">
        <v>67</v>
      </c>
      <c r="B149" s="41" t="s">
        <v>67</v>
      </c>
      <c r="C149" s="41" t="s">
        <v>67</v>
      </c>
      <c r="D149" s="39" t="s">
        <v>223</v>
      </c>
      <c r="E149" s="39" t="s">
        <v>35</v>
      </c>
      <c r="F149" s="38">
        <v>58947</v>
      </c>
      <c r="G149" s="38">
        <v>1</v>
      </c>
      <c r="H149" s="38">
        <v>58947</v>
      </c>
      <c r="I149" s="38" t="s">
        <v>107</v>
      </c>
      <c r="J149" s="38" t="s">
        <v>107</v>
      </c>
      <c r="K149" s="38" t="s">
        <v>107</v>
      </c>
    </row>
    <row r="150" spans="1:11">
      <c r="A150" s="41" t="s">
        <v>67</v>
      </c>
      <c r="B150" s="41" t="s">
        <v>67</v>
      </c>
      <c r="C150" s="41" t="s">
        <v>67</v>
      </c>
      <c r="D150" s="39" t="s">
        <v>224</v>
      </c>
      <c r="E150" s="39" t="s">
        <v>35</v>
      </c>
      <c r="F150" s="38">
        <v>34776</v>
      </c>
      <c r="G150" s="38">
        <v>1</v>
      </c>
      <c r="H150" s="38">
        <v>34776</v>
      </c>
      <c r="I150" s="38" t="s">
        <v>107</v>
      </c>
      <c r="J150" s="38" t="s">
        <v>107</v>
      </c>
      <c r="K150" s="38" t="s">
        <v>107</v>
      </c>
    </row>
    <row r="151" spans="1:11">
      <c r="A151" s="41" t="s">
        <v>67</v>
      </c>
      <c r="B151" s="41" t="s">
        <v>67</v>
      </c>
      <c r="C151" s="41" t="s">
        <v>67</v>
      </c>
      <c r="D151" s="39" t="s">
        <v>217</v>
      </c>
      <c r="E151" s="39" t="s">
        <v>35</v>
      </c>
      <c r="F151" s="38" t="s">
        <v>107</v>
      </c>
      <c r="G151" s="38" t="s">
        <v>107</v>
      </c>
      <c r="H151" s="38" t="s">
        <v>107</v>
      </c>
      <c r="I151" s="38">
        <v>48514</v>
      </c>
      <c r="J151" s="38">
        <v>2</v>
      </c>
      <c r="K151" s="38">
        <v>97028</v>
      </c>
    </row>
    <row r="152" spans="1:11">
      <c r="A152" s="41" t="s">
        <v>67</v>
      </c>
      <c r="B152" s="41" t="s">
        <v>67</v>
      </c>
      <c r="C152" s="41" t="s">
        <v>67</v>
      </c>
      <c r="D152" s="39" t="s">
        <v>218</v>
      </c>
      <c r="E152" s="39" t="s">
        <v>35</v>
      </c>
      <c r="F152" s="38" t="s">
        <v>107</v>
      </c>
      <c r="G152" s="38" t="s">
        <v>107</v>
      </c>
      <c r="H152" s="38" t="s">
        <v>107</v>
      </c>
      <c r="I152" s="38">
        <v>49217</v>
      </c>
      <c r="J152" s="38">
        <v>1</v>
      </c>
      <c r="K152" s="38">
        <v>49217</v>
      </c>
    </row>
    <row r="153" spans="1:11">
      <c r="A153" s="41" t="s">
        <v>67</v>
      </c>
      <c r="B153" s="41" t="s">
        <v>67</v>
      </c>
      <c r="C153" s="39" t="s">
        <v>38</v>
      </c>
      <c r="D153" s="39" t="s">
        <v>35</v>
      </c>
      <c r="E153" s="39" t="s">
        <v>35</v>
      </c>
      <c r="F153" s="38" t="s">
        <v>107</v>
      </c>
      <c r="G153" s="38">
        <v>5</v>
      </c>
      <c r="H153" s="38">
        <v>219367</v>
      </c>
      <c r="I153" s="38" t="s">
        <v>107</v>
      </c>
      <c r="J153" s="38">
        <v>7</v>
      </c>
      <c r="K153" s="38">
        <v>333734</v>
      </c>
    </row>
    <row r="154" spans="1:11">
      <c r="A154" s="41" t="s">
        <v>67</v>
      </c>
      <c r="B154" s="41" t="s">
        <v>67</v>
      </c>
      <c r="C154" s="41" t="s">
        <v>67</v>
      </c>
      <c r="D154" s="39" t="s">
        <v>219</v>
      </c>
      <c r="E154" s="39" t="s">
        <v>35</v>
      </c>
      <c r="F154" s="38">
        <v>35000</v>
      </c>
      <c r="G154" s="38">
        <v>2</v>
      </c>
      <c r="H154" s="38">
        <v>70000</v>
      </c>
      <c r="I154" s="38">
        <v>35000</v>
      </c>
      <c r="J154" s="38">
        <v>2</v>
      </c>
      <c r="K154" s="38">
        <v>70000</v>
      </c>
    </row>
    <row r="155" spans="1:11">
      <c r="A155" s="41" t="s">
        <v>67</v>
      </c>
      <c r="B155" s="41" t="s">
        <v>67</v>
      </c>
      <c r="C155" s="41" t="s">
        <v>67</v>
      </c>
      <c r="D155" s="39" t="s">
        <v>220</v>
      </c>
      <c r="E155" s="39" t="s">
        <v>35</v>
      </c>
      <c r="F155" s="38">
        <v>35000</v>
      </c>
      <c r="G155" s="38">
        <v>1</v>
      </c>
      <c r="H155" s="38">
        <v>35000</v>
      </c>
      <c r="I155" s="38">
        <v>35000</v>
      </c>
      <c r="J155" s="38">
        <v>1</v>
      </c>
      <c r="K155" s="38">
        <v>35000</v>
      </c>
    </row>
    <row r="156" spans="1:11">
      <c r="A156" s="41" t="s">
        <v>67</v>
      </c>
      <c r="B156" s="41" t="s">
        <v>67</v>
      </c>
      <c r="C156" s="41" t="s">
        <v>67</v>
      </c>
      <c r="D156" s="39" t="s">
        <v>221</v>
      </c>
      <c r="E156" s="39" t="s">
        <v>35</v>
      </c>
      <c r="F156" s="38">
        <v>71893</v>
      </c>
      <c r="G156" s="38">
        <v>1</v>
      </c>
      <c r="H156" s="38">
        <v>71893</v>
      </c>
      <c r="I156" s="38">
        <v>71893</v>
      </c>
      <c r="J156" s="38">
        <v>1</v>
      </c>
      <c r="K156" s="38">
        <v>71893</v>
      </c>
    </row>
    <row r="157" spans="1:11">
      <c r="A157" s="41" t="s">
        <v>67</v>
      </c>
      <c r="B157" s="41" t="s">
        <v>67</v>
      </c>
      <c r="C157" s="41" t="s">
        <v>67</v>
      </c>
      <c r="D157" s="39" t="s">
        <v>222</v>
      </c>
      <c r="E157" s="39" t="s">
        <v>35</v>
      </c>
      <c r="F157" s="38">
        <v>42474</v>
      </c>
      <c r="G157" s="38">
        <v>1</v>
      </c>
      <c r="H157" s="38">
        <v>42474</v>
      </c>
      <c r="I157" s="38">
        <v>42474</v>
      </c>
      <c r="J157" s="38">
        <v>1</v>
      </c>
      <c r="K157" s="38">
        <v>42474</v>
      </c>
    </row>
    <row r="158" spans="1:11">
      <c r="A158" s="41" t="s">
        <v>67</v>
      </c>
      <c r="B158" s="41" t="s">
        <v>67</v>
      </c>
      <c r="C158" s="41" t="s">
        <v>67</v>
      </c>
      <c r="D158" s="39" t="s">
        <v>223</v>
      </c>
      <c r="E158" s="39" t="s">
        <v>35</v>
      </c>
      <c r="F158" s="38" t="s">
        <v>107</v>
      </c>
      <c r="G158" s="38" t="s">
        <v>107</v>
      </c>
      <c r="H158" s="38" t="s">
        <v>107</v>
      </c>
      <c r="I158" s="38">
        <v>71893</v>
      </c>
      <c r="J158" s="38">
        <v>1</v>
      </c>
      <c r="K158" s="38">
        <v>71893</v>
      </c>
    </row>
    <row r="159" spans="1:11">
      <c r="A159" s="41" t="s">
        <v>67</v>
      </c>
      <c r="B159" s="41" t="s">
        <v>67</v>
      </c>
      <c r="C159" s="41" t="s">
        <v>67</v>
      </c>
      <c r="D159" s="39" t="s">
        <v>224</v>
      </c>
      <c r="E159" s="39" t="s">
        <v>35</v>
      </c>
      <c r="F159" s="38" t="s">
        <v>107</v>
      </c>
      <c r="G159" s="38" t="s">
        <v>107</v>
      </c>
      <c r="H159" s="38" t="s">
        <v>107</v>
      </c>
      <c r="I159" s="38">
        <v>42474</v>
      </c>
      <c r="J159" s="38">
        <v>1</v>
      </c>
      <c r="K159" s="38">
        <v>42474</v>
      </c>
    </row>
    <row r="160" spans="1:11">
      <c r="A160" s="39" t="s">
        <v>225</v>
      </c>
      <c r="B160" s="39" t="s">
        <v>34</v>
      </c>
      <c r="C160" s="39" t="s">
        <v>35</v>
      </c>
      <c r="D160" s="39" t="s">
        <v>35</v>
      </c>
      <c r="E160" s="39" t="s">
        <v>35</v>
      </c>
      <c r="F160" s="38" t="s">
        <v>107</v>
      </c>
      <c r="G160" s="38">
        <v>217</v>
      </c>
      <c r="H160" s="38">
        <v>340617</v>
      </c>
      <c r="I160" s="38" t="s">
        <v>107</v>
      </c>
      <c r="J160" s="38">
        <v>214</v>
      </c>
      <c r="K160" s="38">
        <v>175680</v>
      </c>
    </row>
    <row r="161" spans="1:11">
      <c r="A161" s="41" t="s">
        <v>67</v>
      </c>
      <c r="B161" s="41" t="s">
        <v>67</v>
      </c>
      <c r="C161" s="39" t="s">
        <v>44</v>
      </c>
      <c r="D161" s="39" t="s">
        <v>35</v>
      </c>
      <c r="E161" s="39" t="s">
        <v>35</v>
      </c>
      <c r="F161" s="38" t="s">
        <v>107</v>
      </c>
      <c r="G161" s="38">
        <v>2</v>
      </c>
      <c r="H161" s="38">
        <v>80000</v>
      </c>
      <c r="I161" s="38" t="s">
        <v>107</v>
      </c>
      <c r="J161" s="38">
        <v>2</v>
      </c>
      <c r="K161" s="38">
        <v>80000</v>
      </c>
    </row>
    <row r="162" spans="1:11">
      <c r="A162" s="41" t="s">
        <v>67</v>
      </c>
      <c r="B162" s="41" t="s">
        <v>67</v>
      </c>
      <c r="C162" s="39" t="s">
        <v>136</v>
      </c>
      <c r="D162" s="39" t="s">
        <v>35</v>
      </c>
      <c r="E162" s="39" t="s">
        <v>35</v>
      </c>
      <c r="F162" s="38" t="s">
        <v>107</v>
      </c>
      <c r="G162" s="38">
        <v>215</v>
      </c>
      <c r="H162" s="38">
        <v>260617</v>
      </c>
      <c r="I162" s="38" t="s">
        <v>107</v>
      </c>
      <c r="J162" s="38">
        <v>212</v>
      </c>
      <c r="K162" s="38">
        <v>95680</v>
      </c>
    </row>
    <row r="163" spans="1:11">
      <c r="A163" s="41" t="s">
        <v>67</v>
      </c>
      <c r="B163" s="39" t="s">
        <v>109</v>
      </c>
      <c r="C163" s="39" t="s">
        <v>35</v>
      </c>
      <c r="D163" s="39" t="s">
        <v>35</v>
      </c>
      <c r="E163" s="39" t="s">
        <v>35</v>
      </c>
      <c r="F163" s="38" t="s">
        <v>107</v>
      </c>
      <c r="G163" s="38">
        <v>217</v>
      </c>
      <c r="H163" s="38">
        <v>340617</v>
      </c>
      <c r="I163" s="38" t="s">
        <v>107</v>
      </c>
      <c r="J163" s="38">
        <v>214</v>
      </c>
      <c r="K163" s="38">
        <v>175680</v>
      </c>
    </row>
    <row r="164" spans="1:11">
      <c r="A164" s="41" t="s">
        <v>67</v>
      </c>
      <c r="B164" s="41" t="s">
        <v>67</v>
      </c>
      <c r="C164" s="39" t="s">
        <v>44</v>
      </c>
      <c r="D164" s="39" t="s">
        <v>35</v>
      </c>
      <c r="E164" s="39" t="s">
        <v>35</v>
      </c>
      <c r="F164" s="38" t="s">
        <v>107</v>
      </c>
      <c r="G164" s="38">
        <v>2</v>
      </c>
      <c r="H164" s="38">
        <v>80000</v>
      </c>
      <c r="I164" s="38" t="s">
        <v>107</v>
      </c>
      <c r="J164" s="38">
        <v>2</v>
      </c>
      <c r="K164" s="38">
        <v>80000</v>
      </c>
    </row>
    <row r="165" spans="1:11">
      <c r="A165" s="41" t="s">
        <v>67</v>
      </c>
      <c r="B165" s="41" t="s">
        <v>67</v>
      </c>
      <c r="C165" s="41" t="s">
        <v>67</v>
      </c>
      <c r="D165" s="39" t="s">
        <v>226</v>
      </c>
      <c r="E165" s="39" t="s">
        <v>35</v>
      </c>
      <c r="F165" s="38">
        <v>40000</v>
      </c>
      <c r="G165" s="38">
        <v>2</v>
      </c>
      <c r="H165" s="38">
        <v>80000</v>
      </c>
      <c r="I165" s="38">
        <v>40000</v>
      </c>
      <c r="J165" s="38">
        <v>2</v>
      </c>
      <c r="K165" s="38">
        <v>80000</v>
      </c>
    </row>
    <row r="166" spans="1:11">
      <c r="A166" s="41" t="s">
        <v>67</v>
      </c>
      <c r="B166" s="41" t="s">
        <v>67</v>
      </c>
      <c r="C166" s="39" t="s">
        <v>136</v>
      </c>
      <c r="D166" s="39" t="s">
        <v>35</v>
      </c>
      <c r="E166" s="39" t="s">
        <v>35</v>
      </c>
      <c r="F166" s="38" t="s">
        <v>107</v>
      </c>
      <c r="G166" s="38">
        <v>215</v>
      </c>
      <c r="H166" s="38">
        <v>260617</v>
      </c>
      <c r="I166" s="38" t="s">
        <v>107</v>
      </c>
      <c r="J166" s="38">
        <v>212</v>
      </c>
      <c r="K166" s="38">
        <v>95680</v>
      </c>
    </row>
    <row r="167" spans="1:11">
      <c r="A167" s="41" t="s">
        <v>67</v>
      </c>
      <c r="B167" s="41" t="s">
        <v>67</v>
      </c>
      <c r="C167" s="41" t="s">
        <v>67</v>
      </c>
      <c r="D167" s="39" t="s">
        <v>227</v>
      </c>
      <c r="E167" s="39" t="s">
        <v>35</v>
      </c>
      <c r="F167" s="38">
        <v>55000</v>
      </c>
      <c r="G167" s="38">
        <v>1</v>
      </c>
      <c r="H167" s="38">
        <v>55000</v>
      </c>
      <c r="I167" s="38" t="s">
        <v>107</v>
      </c>
      <c r="J167" s="38" t="s">
        <v>107</v>
      </c>
      <c r="K167" s="38" t="s">
        <v>107</v>
      </c>
    </row>
    <row r="168" spans="1:11">
      <c r="A168" s="41" t="s">
        <v>67</v>
      </c>
      <c r="B168" s="41" t="s">
        <v>67</v>
      </c>
      <c r="C168" s="41" t="s">
        <v>67</v>
      </c>
      <c r="D168" s="39" t="s">
        <v>228</v>
      </c>
      <c r="E168" s="39" t="s">
        <v>35</v>
      </c>
      <c r="F168" s="38">
        <v>55000</v>
      </c>
      <c r="G168" s="38">
        <v>1</v>
      </c>
      <c r="H168" s="38">
        <v>55000</v>
      </c>
      <c r="I168" s="38" t="s">
        <v>107</v>
      </c>
      <c r="J168" s="38" t="s">
        <v>107</v>
      </c>
      <c r="K168" s="38" t="s">
        <v>107</v>
      </c>
    </row>
    <row r="169" spans="1:11">
      <c r="A169" s="41" t="s">
        <v>67</v>
      </c>
      <c r="B169" s="41" t="s">
        <v>67</v>
      </c>
      <c r="C169" s="41" t="s">
        <v>67</v>
      </c>
      <c r="D169" s="39" t="s">
        <v>229</v>
      </c>
      <c r="E169" s="39" t="s">
        <v>35</v>
      </c>
      <c r="F169" s="38">
        <v>55000</v>
      </c>
      <c r="G169" s="38">
        <v>1</v>
      </c>
      <c r="H169" s="38">
        <v>55000</v>
      </c>
      <c r="I169" s="38" t="s">
        <v>107</v>
      </c>
      <c r="J169" s="38" t="s">
        <v>107</v>
      </c>
      <c r="K169" s="38" t="s">
        <v>107</v>
      </c>
    </row>
    <row r="170" spans="1:11">
      <c r="A170" s="41" t="s">
        <v>67</v>
      </c>
      <c r="B170" s="41" t="s">
        <v>67</v>
      </c>
      <c r="C170" s="41" t="s">
        <v>67</v>
      </c>
      <c r="D170" s="39" t="s">
        <v>230</v>
      </c>
      <c r="E170" s="39" t="s">
        <v>35</v>
      </c>
      <c r="F170" s="38">
        <v>1000</v>
      </c>
      <c r="G170" s="38">
        <v>2</v>
      </c>
      <c r="H170" s="38">
        <v>2000</v>
      </c>
      <c r="I170" s="38">
        <v>1000</v>
      </c>
      <c r="J170" s="38">
        <v>2</v>
      </c>
      <c r="K170" s="38">
        <v>2000</v>
      </c>
    </row>
    <row r="171" spans="1:11">
      <c r="A171" s="41" t="s">
        <v>67</v>
      </c>
      <c r="B171" s="41" t="s">
        <v>67</v>
      </c>
      <c r="C171" s="41" t="s">
        <v>67</v>
      </c>
      <c r="D171" s="39" t="s">
        <v>231</v>
      </c>
      <c r="E171" s="39" t="s">
        <v>35</v>
      </c>
      <c r="F171" s="38">
        <v>1500</v>
      </c>
      <c r="G171" s="38">
        <v>2</v>
      </c>
      <c r="H171" s="38">
        <v>3000</v>
      </c>
      <c r="I171" s="38">
        <v>1500</v>
      </c>
      <c r="J171" s="38">
        <v>2</v>
      </c>
      <c r="K171" s="38">
        <v>3000</v>
      </c>
    </row>
    <row r="172" spans="1:11">
      <c r="A172" s="41" t="s">
        <v>67</v>
      </c>
      <c r="B172" s="41" t="s">
        <v>67</v>
      </c>
      <c r="C172" s="41" t="s">
        <v>67</v>
      </c>
      <c r="D172" s="39" t="s">
        <v>232</v>
      </c>
      <c r="E172" s="39" t="s">
        <v>35</v>
      </c>
      <c r="F172" s="38">
        <v>1500</v>
      </c>
      <c r="G172" s="38">
        <v>1</v>
      </c>
      <c r="H172" s="38">
        <v>1500</v>
      </c>
      <c r="I172" s="38">
        <v>1500</v>
      </c>
      <c r="J172" s="38">
        <v>1</v>
      </c>
      <c r="K172" s="38">
        <v>1500</v>
      </c>
    </row>
    <row r="173" spans="1:11">
      <c r="A173" s="41" t="s">
        <v>67</v>
      </c>
      <c r="B173" s="41" t="s">
        <v>67</v>
      </c>
      <c r="C173" s="41" t="s">
        <v>67</v>
      </c>
      <c r="D173" s="39" t="s">
        <v>233</v>
      </c>
      <c r="E173" s="39" t="s">
        <v>35</v>
      </c>
      <c r="F173" s="38">
        <v>3000</v>
      </c>
      <c r="G173" s="38">
        <v>2</v>
      </c>
      <c r="H173" s="38">
        <v>6000</v>
      </c>
      <c r="I173" s="38">
        <v>3000</v>
      </c>
      <c r="J173" s="38">
        <v>2</v>
      </c>
      <c r="K173" s="38">
        <v>6000</v>
      </c>
    </row>
    <row r="174" spans="1:11">
      <c r="A174" s="41" t="s">
        <v>67</v>
      </c>
      <c r="B174" s="41" t="s">
        <v>67</v>
      </c>
      <c r="C174" s="41" t="s">
        <v>67</v>
      </c>
      <c r="D174" s="39" t="s">
        <v>234</v>
      </c>
      <c r="E174" s="39" t="s">
        <v>35</v>
      </c>
      <c r="F174" s="38">
        <v>3000</v>
      </c>
      <c r="G174" s="38">
        <v>2</v>
      </c>
      <c r="H174" s="38">
        <v>6000</v>
      </c>
      <c r="I174" s="38">
        <v>3000</v>
      </c>
      <c r="J174" s="38">
        <v>2</v>
      </c>
      <c r="K174" s="38">
        <v>6000</v>
      </c>
    </row>
    <row r="175" spans="1:11">
      <c r="A175" s="41" t="s">
        <v>67</v>
      </c>
      <c r="B175" s="41" t="s">
        <v>67</v>
      </c>
      <c r="C175" s="41" t="s">
        <v>67</v>
      </c>
      <c r="D175" s="39" t="s">
        <v>235</v>
      </c>
      <c r="E175" s="39" t="s">
        <v>35</v>
      </c>
      <c r="F175" s="38">
        <v>500</v>
      </c>
      <c r="G175" s="38">
        <v>2</v>
      </c>
      <c r="H175" s="38">
        <v>1000</v>
      </c>
      <c r="I175" s="38">
        <v>500</v>
      </c>
      <c r="J175" s="38">
        <v>2</v>
      </c>
      <c r="K175" s="38">
        <v>1000</v>
      </c>
    </row>
    <row r="176" spans="1:11">
      <c r="A176" s="41" t="s">
        <v>67</v>
      </c>
      <c r="B176" s="41" t="s">
        <v>67</v>
      </c>
      <c r="C176" s="41" t="s">
        <v>67</v>
      </c>
      <c r="D176" s="39" t="s">
        <v>236</v>
      </c>
      <c r="E176" s="39" t="s">
        <v>35</v>
      </c>
      <c r="F176" s="38">
        <v>800</v>
      </c>
      <c r="G176" s="38">
        <v>2</v>
      </c>
      <c r="H176" s="38">
        <v>1600</v>
      </c>
      <c r="I176" s="38">
        <v>800</v>
      </c>
      <c r="J176" s="38">
        <v>2</v>
      </c>
      <c r="K176" s="38">
        <v>1600</v>
      </c>
    </row>
    <row r="177" spans="1:11">
      <c r="A177" s="41" t="s">
        <v>67</v>
      </c>
      <c r="B177" s="41" t="s">
        <v>67</v>
      </c>
      <c r="C177" s="41" t="s">
        <v>67</v>
      </c>
      <c r="D177" s="39" t="s">
        <v>237</v>
      </c>
      <c r="E177" s="39" t="s">
        <v>35</v>
      </c>
      <c r="F177" s="38">
        <v>800</v>
      </c>
      <c r="G177" s="38">
        <v>1</v>
      </c>
      <c r="H177" s="38">
        <v>800</v>
      </c>
      <c r="I177" s="38">
        <v>800</v>
      </c>
      <c r="J177" s="38">
        <v>1</v>
      </c>
      <c r="K177" s="38">
        <v>800</v>
      </c>
    </row>
    <row r="178" spans="1:11">
      <c r="A178" s="41" t="s">
        <v>67</v>
      </c>
      <c r="B178" s="41" t="s">
        <v>67</v>
      </c>
      <c r="C178" s="41" t="s">
        <v>67</v>
      </c>
      <c r="D178" s="39" t="s">
        <v>238</v>
      </c>
      <c r="E178" s="39" t="s">
        <v>35</v>
      </c>
      <c r="F178" s="38">
        <v>500</v>
      </c>
      <c r="G178" s="38">
        <v>1</v>
      </c>
      <c r="H178" s="38">
        <v>500</v>
      </c>
      <c r="I178" s="38">
        <v>500</v>
      </c>
      <c r="J178" s="38">
        <v>1</v>
      </c>
      <c r="K178" s="38">
        <v>500</v>
      </c>
    </row>
    <row r="179" spans="1:11">
      <c r="A179" s="41" t="s">
        <v>67</v>
      </c>
      <c r="B179" s="41" t="s">
        <v>67</v>
      </c>
      <c r="C179" s="41" t="s">
        <v>67</v>
      </c>
      <c r="D179" s="39" t="s">
        <v>239</v>
      </c>
      <c r="E179" s="39" t="s">
        <v>35</v>
      </c>
      <c r="F179" s="38">
        <v>750</v>
      </c>
      <c r="G179" s="38">
        <v>2</v>
      </c>
      <c r="H179" s="38">
        <v>1500</v>
      </c>
      <c r="I179" s="38">
        <v>750</v>
      </c>
      <c r="J179" s="38">
        <v>2</v>
      </c>
      <c r="K179" s="38">
        <v>1500</v>
      </c>
    </row>
    <row r="180" spans="1:11">
      <c r="A180" s="41" t="s">
        <v>67</v>
      </c>
      <c r="B180" s="41" t="s">
        <v>67</v>
      </c>
      <c r="C180" s="41" t="s">
        <v>67</v>
      </c>
      <c r="D180" s="39" t="s">
        <v>240</v>
      </c>
      <c r="E180" s="39" t="s">
        <v>35</v>
      </c>
      <c r="F180" s="38">
        <v>1000</v>
      </c>
      <c r="G180" s="38">
        <v>2</v>
      </c>
      <c r="H180" s="38">
        <v>2000</v>
      </c>
      <c r="I180" s="38">
        <v>1000</v>
      </c>
      <c r="J180" s="38">
        <v>2</v>
      </c>
      <c r="K180" s="38">
        <v>2000</v>
      </c>
    </row>
    <row r="181" spans="1:11">
      <c r="A181" s="41" t="s">
        <v>67</v>
      </c>
      <c r="B181" s="41" t="s">
        <v>67</v>
      </c>
      <c r="C181" s="41" t="s">
        <v>67</v>
      </c>
      <c r="D181" s="39" t="s">
        <v>241</v>
      </c>
      <c r="E181" s="39" t="s">
        <v>35</v>
      </c>
      <c r="F181" s="38">
        <v>500</v>
      </c>
      <c r="G181" s="38">
        <v>3</v>
      </c>
      <c r="H181" s="38">
        <v>1500</v>
      </c>
      <c r="I181" s="38">
        <v>500</v>
      </c>
      <c r="J181" s="38">
        <v>3</v>
      </c>
      <c r="K181" s="38">
        <v>1500</v>
      </c>
    </row>
    <row r="182" spans="1:11">
      <c r="A182" s="41" t="s">
        <v>67</v>
      </c>
      <c r="B182" s="41" t="s">
        <v>67</v>
      </c>
      <c r="C182" s="41" t="s">
        <v>67</v>
      </c>
      <c r="D182" s="39" t="s">
        <v>242</v>
      </c>
      <c r="E182" s="39" t="s">
        <v>35</v>
      </c>
      <c r="F182" s="38">
        <v>1000</v>
      </c>
      <c r="G182" s="38">
        <v>2</v>
      </c>
      <c r="H182" s="38">
        <v>2000</v>
      </c>
      <c r="I182" s="38">
        <v>1000</v>
      </c>
      <c r="J182" s="38">
        <v>2</v>
      </c>
      <c r="K182" s="38">
        <v>2000</v>
      </c>
    </row>
    <row r="183" spans="1:11">
      <c r="A183" s="41" t="s">
        <v>67</v>
      </c>
      <c r="B183" s="41" t="s">
        <v>67</v>
      </c>
      <c r="C183" s="41" t="s">
        <v>67</v>
      </c>
      <c r="D183" s="39" t="s">
        <v>243</v>
      </c>
      <c r="E183" s="39" t="s">
        <v>35</v>
      </c>
      <c r="F183" s="38">
        <v>1000</v>
      </c>
      <c r="G183" s="38">
        <v>2</v>
      </c>
      <c r="H183" s="38">
        <v>2000</v>
      </c>
      <c r="I183" s="38">
        <v>1000</v>
      </c>
      <c r="J183" s="38">
        <v>2</v>
      </c>
      <c r="K183" s="38">
        <v>2000</v>
      </c>
    </row>
    <row r="184" spans="1:11">
      <c r="A184" s="41" t="s">
        <v>67</v>
      </c>
      <c r="B184" s="41" t="s">
        <v>67</v>
      </c>
      <c r="C184" s="41" t="s">
        <v>67</v>
      </c>
      <c r="D184" s="39" t="s">
        <v>244</v>
      </c>
      <c r="E184" s="39" t="s">
        <v>35</v>
      </c>
      <c r="F184" s="38">
        <v>1000</v>
      </c>
      <c r="G184" s="38">
        <v>1</v>
      </c>
      <c r="H184" s="38">
        <v>1000</v>
      </c>
      <c r="I184" s="38">
        <v>1000</v>
      </c>
      <c r="J184" s="38">
        <v>1</v>
      </c>
      <c r="K184" s="38">
        <v>1000</v>
      </c>
    </row>
    <row r="185" spans="1:11">
      <c r="A185" s="41" t="s">
        <v>67</v>
      </c>
      <c r="B185" s="41" t="s">
        <v>67</v>
      </c>
      <c r="C185" s="41" t="s">
        <v>67</v>
      </c>
      <c r="D185" s="39" t="s">
        <v>245</v>
      </c>
      <c r="E185" s="39" t="s">
        <v>35</v>
      </c>
      <c r="F185" s="38">
        <v>1000</v>
      </c>
      <c r="G185" s="38">
        <v>1</v>
      </c>
      <c r="H185" s="38">
        <v>1000</v>
      </c>
      <c r="I185" s="38">
        <v>1000</v>
      </c>
      <c r="J185" s="38">
        <v>1</v>
      </c>
      <c r="K185" s="38">
        <v>1000</v>
      </c>
    </row>
    <row r="186" spans="1:11">
      <c r="A186" s="41" t="s">
        <v>67</v>
      </c>
      <c r="B186" s="41" t="s">
        <v>67</v>
      </c>
      <c r="C186" s="41" t="s">
        <v>67</v>
      </c>
      <c r="D186" s="39" t="s">
        <v>246</v>
      </c>
      <c r="E186" s="39" t="s">
        <v>35</v>
      </c>
      <c r="F186" s="38">
        <v>500</v>
      </c>
      <c r="G186" s="38">
        <v>1</v>
      </c>
      <c r="H186" s="38">
        <v>500</v>
      </c>
      <c r="I186" s="38">
        <v>500</v>
      </c>
      <c r="J186" s="38">
        <v>1</v>
      </c>
      <c r="K186" s="38">
        <v>500</v>
      </c>
    </row>
    <row r="187" spans="1:11">
      <c r="A187" s="41" t="s">
        <v>67</v>
      </c>
      <c r="B187" s="41" t="s">
        <v>67</v>
      </c>
      <c r="C187" s="41" t="s">
        <v>67</v>
      </c>
      <c r="D187" s="39" t="s">
        <v>247</v>
      </c>
      <c r="E187" s="39" t="s">
        <v>35</v>
      </c>
      <c r="F187" s="38">
        <v>1000</v>
      </c>
      <c r="G187" s="38">
        <v>2</v>
      </c>
      <c r="H187" s="38">
        <v>2000</v>
      </c>
      <c r="I187" s="38">
        <v>1000</v>
      </c>
      <c r="J187" s="38">
        <v>2</v>
      </c>
      <c r="K187" s="38">
        <v>2000</v>
      </c>
    </row>
    <row r="188" spans="1:11">
      <c r="A188" s="41" t="s">
        <v>67</v>
      </c>
      <c r="B188" s="41" t="s">
        <v>67</v>
      </c>
      <c r="C188" s="41" t="s">
        <v>67</v>
      </c>
      <c r="D188" s="39" t="s">
        <v>248</v>
      </c>
      <c r="E188" s="39" t="s">
        <v>35</v>
      </c>
      <c r="F188" s="38">
        <v>300</v>
      </c>
      <c r="G188" s="38">
        <v>3</v>
      </c>
      <c r="H188" s="38">
        <v>900</v>
      </c>
      <c r="I188" s="38">
        <v>300</v>
      </c>
      <c r="J188" s="38">
        <v>3</v>
      </c>
      <c r="K188" s="38">
        <v>900</v>
      </c>
    </row>
    <row r="189" spans="1:11">
      <c r="A189" s="41" t="s">
        <v>67</v>
      </c>
      <c r="B189" s="41" t="s">
        <v>67</v>
      </c>
      <c r="C189" s="41" t="s">
        <v>67</v>
      </c>
      <c r="D189" s="39" t="s">
        <v>249</v>
      </c>
      <c r="E189" s="39" t="s">
        <v>35</v>
      </c>
      <c r="F189" s="38">
        <v>500</v>
      </c>
      <c r="G189" s="38">
        <v>1</v>
      </c>
      <c r="H189" s="38">
        <v>500</v>
      </c>
      <c r="I189" s="38">
        <v>500</v>
      </c>
      <c r="J189" s="38">
        <v>1</v>
      </c>
      <c r="K189" s="38">
        <v>500</v>
      </c>
    </row>
    <row r="190" spans="1:11">
      <c r="A190" s="41" t="s">
        <v>67</v>
      </c>
      <c r="B190" s="41" t="s">
        <v>67</v>
      </c>
      <c r="C190" s="41" t="s">
        <v>67</v>
      </c>
      <c r="D190" s="39" t="s">
        <v>250</v>
      </c>
      <c r="E190" s="39" t="s">
        <v>35</v>
      </c>
      <c r="F190" s="38">
        <v>500</v>
      </c>
      <c r="G190" s="38">
        <v>1</v>
      </c>
      <c r="H190" s="38">
        <v>500</v>
      </c>
      <c r="I190" s="38">
        <v>500</v>
      </c>
      <c r="J190" s="38">
        <v>1</v>
      </c>
      <c r="K190" s="38">
        <v>500</v>
      </c>
    </row>
    <row r="191" spans="1:11">
      <c r="A191" s="41" t="s">
        <v>67</v>
      </c>
      <c r="B191" s="41" t="s">
        <v>67</v>
      </c>
      <c r="C191" s="41" t="s">
        <v>67</v>
      </c>
      <c r="D191" s="39" t="s">
        <v>251</v>
      </c>
      <c r="E191" s="39" t="s">
        <v>35</v>
      </c>
      <c r="F191" s="38">
        <v>500</v>
      </c>
      <c r="G191" s="38">
        <v>2</v>
      </c>
      <c r="H191" s="38">
        <v>1000</v>
      </c>
      <c r="I191" s="38">
        <v>500</v>
      </c>
      <c r="J191" s="38">
        <v>2</v>
      </c>
      <c r="K191" s="38">
        <v>1000</v>
      </c>
    </row>
    <row r="192" spans="1:11">
      <c r="A192" s="41" t="s">
        <v>67</v>
      </c>
      <c r="B192" s="41" t="s">
        <v>67</v>
      </c>
      <c r="C192" s="41" t="s">
        <v>67</v>
      </c>
      <c r="D192" s="39" t="s">
        <v>252</v>
      </c>
      <c r="E192" s="39" t="s">
        <v>35</v>
      </c>
      <c r="F192" s="38">
        <v>450</v>
      </c>
      <c r="G192" s="38">
        <v>3</v>
      </c>
      <c r="H192" s="38">
        <v>1350</v>
      </c>
      <c r="I192" s="38">
        <v>450</v>
      </c>
      <c r="J192" s="38">
        <v>3</v>
      </c>
      <c r="K192" s="38">
        <v>1350</v>
      </c>
    </row>
    <row r="193" spans="1:11">
      <c r="A193" s="41" t="s">
        <v>67</v>
      </c>
      <c r="B193" s="41" t="s">
        <v>67</v>
      </c>
      <c r="C193" s="41" t="s">
        <v>67</v>
      </c>
      <c r="D193" s="39" t="s">
        <v>253</v>
      </c>
      <c r="E193" s="39" t="s">
        <v>35</v>
      </c>
      <c r="F193" s="38">
        <v>500</v>
      </c>
      <c r="G193" s="38">
        <v>1</v>
      </c>
      <c r="H193" s="38">
        <v>500</v>
      </c>
      <c r="I193" s="38">
        <v>500</v>
      </c>
      <c r="J193" s="38">
        <v>1</v>
      </c>
      <c r="K193" s="38">
        <v>500</v>
      </c>
    </row>
    <row r="194" spans="1:11">
      <c r="A194" s="41" t="s">
        <v>67</v>
      </c>
      <c r="B194" s="41" t="s">
        <v>67</v>
      </c>
      <c r="C194" s="41" t="s">
        <v>67</v>
      </c>
      <c r="D194" s="39" t="s">
        <v>254</v>
      </c>
      <c r="E194" s="39" t="s">
        <v>35</v>
      </c>
      <c r="F194" s="38">
        <v>1000</v>
      </c>
      <c r="G194" s="38">
        <v>1</v>
      </c>
      <c r="H194" s="38">
        <v>1000</v>
      </c>
      <c r="I194" s="38">
        <v>1000</v>
      </c>
      <c r="J194" s="38">
        <v>1</v>
      </c>
      <c r="K194" s="38">
        <v>1000</v>
      </c>
    </row>
    <row r="195" spans="1:11">
      <c r="A195" s="41" t="s">
        <v>67</v>
      </c>
      <c r="B195" s="41" t="s">
        <v>67</v>
      </c>
      <c r="C195" s="41" t="s">
        <v>67</v>
      </c>
      <c r="D195" s="39" t="s">
        <v>255</v>
      </c>
      <c r="E195" s="39" t="s">
        <v>35</v>
      </c>
      <c r="F195" s="38">
        <v>1500</v>
      </c>
      <c r="G195" s="38">
        <v>3</v>
      </c>
      <c r="H195" s="38">
        <v>4500</v>
      </c>
      <c r="I195" s="38">
        <v>1500</v>
      </c>
      <c r="J195" s="38">
        <v>3</v>
      </c>
      <c r="K195" s="38">
        <v>4500</v>
      </c>
    </row>
    <row r="196" spans="1:11">
      <c r="A196" s="41" t="s">
        <v>67</v>
      </c>
      <c r="B196" s="41" t="s">
        <v>67</v>
      </c>
      <c r="C196" s="41" t="s">
        <v>67</v>
      </c>
      <c r="D196" s="39" t="s">
        <v>256</v>
      </c>
      <c r="E196" s="39" t="s">
        <v>35</v>
      </c>
      <c r="F196" s="38">
        <v>1500</v>
      </c>
      <c r="G196" s="38">
        <v>1</v>
      </c>
      <c r="H196" s="38">
        <v>1500</v>
      </c>
      <c r="I196" s="38">
        <v>1500</v>
      </c>
      <c r="J196" s="38">
        <v>1</v>
      </c>
      <c r="K196" s="38">
        <v>1500</v>
      </c>
    </row>
    <row r="197" spans="1:11">
      <c r="A197" s="41" t="s">
        <v>67</v>
      </c>
      <c r="B197" s="41" t="s">
        <v>67</v>
      </c>
      <c r="C197" s="41" t="s">
        <v>67</v>
      </c>
      <c r="D197" s="39" t="s">
        <v>257</v>
      </c>
      <c r="E197" s="39" t="s">
        <v>35</v>
      </c>
      <c r="F197" s="38">
        <v>1500</v>
      </c>
      <c r="G197" s="38">
        <v>2</v>
      </c>
      <c r="H197" s="38">
        <v>3000</v>
      </c>
      <c r="I197" s="38">
        <v>1500</v>
      </c>
      <c r="J197" s="38">
        <v>2</v>
      </c>
      <c r="K197" s="38">
        <v>3000</v>
      </c>
    </row>
    <row r="198" spans="1:11">
      <c r="A198" s="41" t="s">
        <v>67</v>
      </c>
      <c r="B198" s="41" t="s">
        <v>67</v>
      </c>
      <c r="C198" s="41" t="s">
        <v>67</v>
      </c>
      <c r="D198" s="39" t="s">
        <v>258</v>
      </c>
      <c r="E198" s="39" t="s">
        <v>35</v>
      </c>
      <c r="F198" s="38">
        <v>3000</v>
      </c>
      <c r="G198" s="38">
        <v>2</v>
      </c>
      <c r="H198" s="38">
        <v>6000</v>
      </c>
      <c r="I198" s="38">
        <v>3000</v>
      </c>
      <c r="J198" s="38">
        <v>2</v>
      </c>
      <c r="K198" s="38">
        <v>6000</v>
      </c>
    </row>
    <row r="199" spans="1:11">
      <c r="A199" s="41" t="s">
        <v>67</v>
      </c>
      <c r="B199" s="41" t="s">
        <v>67</v>
      </c>
      <c r="C199" s="41" t="s">
        <v>67</v>
      </c>
      <c r="D199" s="39" t="s">
        <v>259</v>
      </c>
      <c r="E199" s="39" t="s">
        <v>35</v>
      </c>
      <c r="F199" s="38">
        <v>450</v>
      </c>
      <c r="G199" s="38">
        <v>1</v>
      </c>
      <c r="H199" s="38">
        <v>450</v>
      </c>
      <c r="I199" s="38">
        <v>450</v>
      </c>
      <c r="J199" s="38">
        <v>1</v>
      </c>
      <c r="K199" s="38">
        <v>450</v>
      </c>
    </row>
    <row r="200" spans="1:11">
      <c r="A200" s="41" t="s">
        <v>67</v>
      </c>
      <c r="B200" s="41" t="s">
        <v>67</v>
      </c>
      <c r="C200" s="41" t="s">
        <v>67</v>
      </c>
      <c r="D200" s="39" t="s">
        <v>260</v>
      </c>
      <c r="E200" s="39" t="s">
        <v>35</v>
      </c>
      <c r="F200" s="38">
        <v>500</v>
      </c>
      <c r="G200" s="38">
        <v>1</v>
      </c>
      <c r="H200" s="38">
        <v>500</v>
      </c>
      <c r="I200" s="38">
        <v>500</v>
      </c>
      <c r="J200" s="38">
        <v>1</v>
      </c>
      <c r="K200" s="38">
        <v>500</v>
      </c>
    </row>
    <row r="201" spans="1:11">
      <c r="A201" s="41" t="s">
        <v>67</v>
      </c>
      <c r="B201" s="41" t="s">
        <v>67</v>
      </c>
      <c r="C201" s="41" t="s">
        <v>67</v>
      </c>
      <c r="D201" s="39" t="s">
        <v>261</v>
      </c>
      <c r="E201" s="39" t="s">
        <v>35</v>
      </c>
      <c r="F201" s="38">
        <v>1300</v>
      </c>
      <c r="G201" s="38">
        <v>2</v>
      </c>
      <c r="H201" s="38">
        <v>2600</v>
      </c>
      <c r="I201" s="38">
        <v>1300</v>
      </c>
      <c r="J201" s="38">
        <v>2</v>
      </c>
      <c r="K201" s="38">
        <v>2600</v>
      </c>
    </row>
    <row r="202" spans="1:11">
      <c r="A202" s="41" t="s">
        <v>67</v>
      </c>
      <c r="B202" s="41" t="s">
        <v>67</v>
      </c>
      <c r="C202" s="41" t="s">
        <v>67</v>
      </c>
      <c r="D202" s="39" t="s">
        <v>262</v>
      </c>
      <c r="E202" s="39" t="s">
        <v>35</v>
      </c>
      <c r="F202" s="38">
        <v>800</v>
      </c>
      <c r="G202" s="38">
        <v>3</v>
      </c>
      <c r="H202" s="38">
        <v>2400</v>
      </c>
      <c r="I202" s="38">
        <v>800</v>
      </c>
      <c r="J202" s="38">
        <v>3</v>
      </c>
      <c r="K202" s="38">
        <v>2400</v>
      </c>
    </row>
    <row r="203" spans="1:11">
      <c r="A203" s="41" t="s">
        <v>67</v>
      </c>
      <c r="B203" s="41" t="s">
        <v>67</v>
      </c>
      <c r="C203" s="41" t="s">
        <v>67</v>
      </c>
      <c r="D203" s="39" t="s">
        <v>263</v>
      </c>
      <c r="E203" s="39" t="s">
        <v>35</v>
      </c>
      <c r="F203" s="38">
        <v>1000</v>
      </c>
      <c r="G203" s="38">
        <v>2</v>
      </c>
      <c r="H203" s="38">
        <v>2000</v>
      </c>
      <c r="I203" s="38">
        <v>1000</v>
      </c>
      <c r="J203" s="38">
        <v>2</v>
      </c>
      <c r="K203" s="38">
        <v>2000</v>
      </c>
    </row>
    <row r="204" spans="1:11">
      <c r="A204" s="41" t="s">
        <v>67</v>
      </c>
      <c r="B204" s="41" t="s">
        <v>67</v>
      </c>
      <c r="C204" s="41" t="s">
        <v>67</v>
      </c>
      <c r="D204" s="39" t="s">
        <v>264</v>
      </c>
      <c r="E204" s="39" t="s">
        <v>35</v>
      </c>
      <c r="F204" s="38">
        <v>1900</v>
      </c>
      <c r="G204" s="38">
        <v>3</v>
      </c>
      <c r="H204" s="38">
        <v>5700</v>
      </c>
      <c r="I204" s="38">
        <v>1900</v>
      </c>
      <c r="J204" s="38">
        <v>3</v>
      </c>
      <c r="K204" s="38">
        <v>5700</v>
      </c>
    </row>
    <row r="205" spans="1:11">
      <c r="A205" s="41" t="s">
        <v>67</v>
      </c>
      <c r="B205" s="41" t="s">
        <v>67</v>
      </c>
      <c r="C205" s="41" t="s">
        <v>67</v>
      </c>
      <c r="D205" s="39" t="s">
        <v>265</v>
      </c>
      <c r="E205" s="39" t="s">
        <v>35</v>
      </c>
      <c r="F205" s="38">
        <v>150</v>
      </c>
      <c r="G205" s="38">
        <v>1</v>
      </c>
      <c r="H205" s="38">
        <v>150</v>
      </c>
      <c r="I205" s="38">
        <v>150</v>
      </c>
      <c r="J205" s="38">
        <v>1</v>
      </c>
      <c r="K205" s="38">
        <v>150</v>
      </c>
    </row>
    <row r="206" spans="1:11">
      <c r="A206" s="41" t="s">
        <v>67</v>
      </c>
      <c r="B206" s="41" t="s">
        <v>67</v>
      </c>
      <c r="C206" s="41" t="s">
        <v>67</v>
      </c>
      <c r="D206" s="39" t="s">
        <v>266</v>
      </c>
      <c r="E206" s="39" t="s">
        <v>35</v>
      </c>
      <c r="F206" s="38">
        <v>500</v>
      </c>
      <c r="G206" s="38">
        <v>3</v>
      </c>
      <c r="H206" s="38">
        <v>1500</v>
      </c>
      <c r="I206" s="38">
        <v>500</v>
      </c>
      <c r="J206" s="38">
        <v>3</v>
      </c>
      <c r="K206" s="38">
        <v>1500</v>
      </c>
    </row>
    <row r="207" spans="1:11">
      <c r="A207" s="41" t="s">
        <v>67</v>
      </c>
      <c r="B207" s="41" t="s">
        <v>67</v>
      </c>
      <c r="C207" s="41" t="s">
        <v>67</v>
      </c>
      <c r="D207" s="39" t="s">
        <v>267</v>
      </c>
      <c r="E207" s="39" t="s">
        <v>35</v>
      </c>
      <c r="F207" s="38">
        <v>250</v>
      </c>
      <c r="G207" s="38">
        <v>1</v>
      </c>
      <c r="H207" s="38">
        <v>250</v>
      </c>
      <c r="I207" s="38">
        <v>250</v>
      </c>
      <c r="J207" s="38">
        <v>1</v>
      </c>
      <c r="K207" s="38">
        <v>250</v>
      </c>
    </row>
    <row r="208" spans="1:11">
      <c r="A208" s="41" t="s">
        <v>67</v>
      </c>
      <c r="B208" s="41" t="s">
        <v>67</v>
      </c>
      <c r="C208" s="41" t="s">
        <v>67</v>
      </c>
      <c r="D208" s="39" t="s">
        <v>268</v>
      </c>
      <c r="E208" s="39" t="s">
        <v>35</v>
      </c>
      <c r="F208" s="38">
        <v>500</v>
      </c>
      <c r="G208" s="38">
        <v>1</v>
      </c>
      <c r="H208" s="38">
        <v>500</v>
      </c>
      <c r="I208" s="38">
        <v>500</v>
      </c>
      <c r="J208" s="38">
        <v>1</v>
      </c>
      <c r="K208" s="38">
        <v>500</v>
      </c>
    </row>
    <row r="209" spans="1:11">
      <c r="A209" s="41" t="s">
        <v>67</v>
      </c>
      <c r="B209" s="41" t="s">
        <v>67</v>
      </c>
      <c r="C209" s="41" t="s">
        <v>67</v>
      </c>
      <c r="D209" s="39" t="s">
        <v>269</v>
      </c>
      <c r="E209" s="39" t="s">
        <v>35</v>
      </c>
      <c r="F209" s="38">
        <v>800</v>
      </c>
      <c r="G209" s="38">
        <v>2</v>
      </c>
      <c r="H209" s="38">
        <v>1600</v>
      </c>
      <c r="I209" s="38">
        <v>800</v>
      </c>
      <c r="J209" s="38">
        <v>2</v>
      </c>
      <c r="K209" s="38">
        <v>1600</v>
      </c>
    </row>
    <row r="210" spans="1:11">
      <c r="A210" s="41" t="s">
        <v>67</v>
      </c>
      <c r="B210" s="41" t="s">
        <v>67</v>
      </c>
      <c r="C210" s="41" t="s">
        <v>67</v>
      </c>
      <c r="D210" s="39" t="s">
        <v>270</v>
      </c>
      <c r="E210" s="39" t="s">
        <v>35</v>
      </c>
      <c r="F210" s="38">
        <v>80</v>
      </c>
      <c r="G210" s="38">
        <v>3</v>
      </c>
      <c r="H210" s="38">
        <v>240</v>
      </c>
      <c r="I210" s="38">
        <v>80</v>
      </c>
      <c r="J210" s="38">
        <v>3</v>
      </c>
      <c r="K210" s="38">
        <v>240</v>
      </c>
    </row>
    <row r="211" spans="1:11">
      <c r="A211" s="41" t="s">
        <v>67</v>
      </c>
      <c r="B211" s="41" t="s">
        <v>67</v>
      </c>
      <c r="C211" s="41" t="s">
        <v>67</v>
      </c>
      <c r="D211" s="39" t="s">
        <v>271</v>
      </c>
      <c r="E211" s="39" t="s">
        <v>35</v>
      </c>
      <c r="F211" s="38">
        <v>80</v>
      </c>
      <c r="G211" s="38">
        <v>3</v>
      </c>
      <c r="H211" s="38">
        <v>240</v>
      </c>
      <c r="I211" s="38">
        <v>80</v>
      </c>
      <c r="J211" s="38">
        <v>3</v>
      </c>
      <c r="K211" s="38">
        <v>240</v>
      </c>
    </row>
    <row r="212" spans="1:11">
      <c r="A212" s="41" t="s">
        <v>67</v>
      </c>
      <c r="B212" s="41" t="s">
        <v>67</v>
      </c>
      <c r="C212" s="41" t="s">
        <v>67</v>
      </c>
      <c r="D212" s="39" t="s">
        <v>272</v>
      </c>
      <c r="E212" s="39" t="s">
        <v>35</v>
      </c>
      <c r="F212" s="38">
        <v>150</v>
      </c>
      <c r="G212" s="38">
        <v>1</v>
      </c>
      <c r="H212" s="38">
        <v>150</v>
      </c>
      <c r="I212" s="38">
        <v>150</v>
      </c>
      <c r="J212" s="38">
        <v>1</v>
      </c>
      <c r="K212" s="38">
        <v>150</v>
      </c>
    </row>
    <row r="213" spans="1:11">
      <c r="A213" s="41" t="s">
        <v>67</v>
      </c>
      <c r="B213" s="41" t="s">
        <v>67</v>
      </c>
      <c r="C213" s="41" t="s">
        <v>67</v>
      </c>
      <c r="D213" s="39" t="s">
        <v>273</v>
      </c>
      <c r="E213" s="39" t="s">
        <v>35</v>
      </c>
      <c r="F213" s="38">
        <v>80</v>
      </c>
      <c r="G213" s="38">
        <v>3</v>
      </c>
      <c r="H213" s="38">
        <v>240</v>
      </c>
      <c r="I213" s="38">
        <v>80</v>
      </c>
      <c r="J213" s="38">
        <v>3</v>
      </c>
      <c r="K213" s="38">
        <v>240</v>
      </c>
    </row>
    <row r="214" spans="1:11">
      <c r="A214" s="41" t="s">
        <v>67</v>
      </c>
      <c r="B214" s="41" t="s">
        <v>67</v>
      </c>
      <c r="C214" s="41" t="s">
        <v>67</v>
      </c>
      <c r="D214" s="39" t="s">
        <v>274</v>
      </c>
      <c r="E214" s="39" t="s">
        <v>35</v>
      </c>
      <c r="F214" s="38">
        <v>150</v>
      </c>
      <c r="G214" s="38">
        <v>3</v>
      </c>
      <c r="H214" s="38">
        <v>450</v>
      </c>
      <c r="I214" s="38">
        <v>150</v>
      </c>
      <c r="J214" s="38">
        <v>3</v>
      </c>
      <c r="K214" s="38">
        <v>450</v>
      </c>
    </row>
    <row r="215" spans="1:11">
      <c r="A215" s="41" t="s">
        <v>67</v>
      </c>
      <c r="B215" s="41" t="s">
        <v>67</v>
      </c>
      <c r="C215" s="41" t="s">
        <v>67</v>
      </c>
      <c r="D215" s="39" t="s">
        <v>275</v>
      </c>
      <c r="E215" s="39" t="s">
        <v>35</v>
      </c>
      <c r="F215" s="38">
        <v>150</v>
      </c>
      <c r="G215" s="38">
        <v>2</v>
      </c>
      <c r="H215" s="38">
        <v>300</v>
      </c>
      <c r="I215" s="38">
        <v>150</v>
      </c>
      <c r="J215" s="38">
        <v>2</v>
      </c>
      <c r="K215" s="38">
        <v>300</v>
      </c>
    </row>
    <row r="216" spans="1:11">
      <c r="A216" s="41" t="s">
        <v>67</v>
      </c>
      <c r="B216" s="41" t="s">
        <v>67</v>
      </c>
      <c r="C216" s="41" t="s">
        <v>67</v>
      </c>
      <c r="D216" s="39" t="s">
        <v>276</v>
      </c>
      <c r="E216" s="39" t="s">
        <v>35</v>
      </c>
      <c r="F216" s="38">
        <v>150</v>
      </c>
      <c r="G216" s="38">
        <v>1</v>
      </c>
      <c r="H216" s="38">
        <v>150</v>
      </c>
      <c r="I216" s="38">
        <v>150</v>
      </c>
      <c r="J216" s="38">
        <v>1</v>
      </c>
      <c r="K216" s="38">
        <v>150</v>
      </c>
    </row>
    <row r="217" spans="1:11">
      <c r="A217" s="41" t="s">
        <v>67</v>
      </c>
      <c r="B217" s="41" t="s">
        <v>67</v>
      </c>
      <c r="C217" s="41" t="s">
        <v>67</v>
      </c>
      <c r="D217" s="39" t="s">
        <v>277</v>
      </c>
      <c r="E217" s="39" t="s">
        <v>35</v>
      </c>
      <c r="F217" s="38">
        <v>80</v>
      </c>
      <c r="G217" s="38">
        <v>2</v>
      </c>
      <c r="H217" s="38">
        <v>160</v>
      </c>
      <c r="I217" s="38">
        <v>80</v>
      </c>
      <c r="J217" s="38">
        <v>2</v>
      </c>
      <c r="K217" s="38">
        <v>160</v>
      </c>
    </row>
    <row r="218" spans="1:11">
      <c r="A218" s="41" t="s">
        <v>67</v>
      </c>
      <c r="B218" s="41" t="s">
        <v>67</v>
      </c>
      <c r="C218" s="41" t="s">
        <v>67</v>
      </c>
      <c r="D218" s="39" t="s">
        <v>278</v>
      </c>
      <c r="E218" s="39" t="s">
        <v>35</v>
      </c>
      <c r="F218" s="38">
        <v>100</v>
      </c>
      <c r="G218" s="38">
        <v>1</v>
      </c>
      <c r="H218" s="38">
        <v>100</v>
      </c>
      <c r="I218" s="38">
        <v>100</v>
      </c>
      <c r="J218" s="38">
        <v>1</v>
      </c>
      <c r="K218" s="38">
        <v>100</v>
      </c>
    </row>
    <row r="219" spans="1:11">
      <c r="A219" s="41" t="s">
        <v>67</v>
      </c>
      <c r="B219" s="41" t="s">
        <v>67</v>
      </c>
      <c r="C219" s="41" t="s">
        <v>67</v>
      </c>
      <c r="D219" s="39" t="s">
        <v>279</v>
      </c>
      <c r="E219" s="39" t="s">
        <v>35</v>
      </c>
      <c r="F219" s="38">
        <v>150</v>
      </c>
      <c r="G219" s="38">
        <v>1</v>
      </c>
      <c r="H219" s="38">
        <v>150</v>
      </c>
      <c r="I219" s="38">
        <v>150</v>
      </c>
      <c r="J219" s="38">
        <v>1</v>
      </c>
      <c r="K219" s="38">
        <v>150</v>
      </c>
    </row>
    <row r="220" spans="1:11">
      <c r="A220" s="41" t="s">
        <v>67</v>
      </c>
      <c r="B220" s="41" t="s">
        <v>67</v>
      </c>
      <c r="C220" s="41" t="s">
        <v>67</v>
      </c>
      <c r="D220" s="39" t="s">
        <v>280</v>
      </c>
      <c r="E220" s="39" t="s">
        <v>35</v>
      </c>
      <c r="F220" s="38">
        <v>300</v>
      </c>
      <c r="G220" s="38">
        <v>2</v>
      </c>
      <c r="H220" s="38">
        <v>600</v>
      </c>
      <c r="I220" s="38">
        <v>300</v>
      </c>
      <c r="J220" s="38">
        <v>2</v>
      </c>
      <c r="K220" s="38">
        <v>600</v>
      </c>
    </row>
    <row r="221" spans="1:11">
      <c r="A221" s="41" t="s">
        <v>67</v>
      </c>
      <c r="B221" s="41" t="s">
        <v>67</v>
      </c>
      <c r="C221" s="41" t="s">
        <v>67</v>
      </c>
      <c r="D221" s="39" t="s">
        <v>281</v>
      </c>
      <c r="E221" s="39" t="s">
        <v>35</v>
      </c>
      <c r="F221" s="38">
        <v>500</v>
      </c>
      <c r="G221" s="38">
        <v>1</v>
      </c>
      <c r="H221" s="38">
        <v>500</v>
      </c>
      <c r="I221" s="38">
        <v>500</v>
      </c>
      <c r="J221" s="38">
        <v>1</v>
      </c>
      <c r="K221" s="38">
        <v>500</v>
      </c>
    </row>
    <row r="222" spans="1:11">
      <c r="A222" s="41" t="s">
        <v>67</v>
      </c>
      <c r="B222" s="41" t="s">
        <v>67</v>
      </c>
      <c r="C222" s="41" t="s">
        <v>67</v>
      </c>
      <c r="D222" s="39" t="s">
        <v>282</v>
      </c>
      <c r="E222" s="39" t="s">
        <v>35</v>
      </c>
      <c r="F222" s="38">
        <v>250</v>
      </c>
      <c r="G222" s="38">
        <v>2</v>
      </c>
      <c r="H222" s="38">
        <v>500</v>
      </c>
      <c r="I222" s="38">
        <v>250</v>
      </c>
      <c r="J222" s="38">
        <v>2</v>
      </c>
      <c r="K222" s="38">
        <v>500</v>
      </c>
    </row>
    <row r="223" spans="1:11">
      <c r="A223" s="41" t="s">
        <v>67</v>
      </c>
      <c r="B223" s="41" t="s">
        <v>67</v>
      </c>
      <c r="C223" s="41" t="s">
        <v>67</v>
      </c>
      <c r="D223" s="39" t="s">
        <v>283</v>
      </c>
      <c r="E223" s="39" t="s">
        <v>35</v>
      </c>
      <c r="F223" s="38">
        <v>500</v>
      </c>
      <c r="G223" s="38">
        <v>2</v>
      </c>
      <c r="H223" s="38">
        <v>1000</v>
      </c>
      <c r="I223" s="38">
        <v>500</v>
      </c>
      <c r="J223" s="38">
        <v>2</v>
      </c>
      <c r="K223" s="38">
        <v>1000</v>
      </c>
    </row>
    <row r="224" spans="1:11">
      <c r="A224" s="41" t="s">
        <v>67</v>
      </c>
      <c r="B224" s="41" t="s">
        <v>67</v>
      </c>
      <c r="C224" s="41" t="s">
        <v>67</v>
      </c>
      <c r="D224" s="39" t="s">
        <v>284</v>
      </c>
      <c r="E224" s="39" t="s">
        <v>35</v>
      </c>
      <c r="F224" s="38">
        <v>150</v>
      </c>
      <c r="G224" s="38">
        <v>3</v>
      </c>
      <c r="H224" s="38">
        <v>450</v>
      </c>
      <c r="I224" s="38">
        <v>150</v>
      </c>
      <c r="J224" s="38">
        <v>3</v>
      </c>
      <c r="K224" s="38">
        <v>450</v>
      </c>
    </row>
    <row r="225" spans="1:11">
      <c r="A225" s="41" t="s">
        <v>67</v>
      </c>
      <c r="B225" s="41" t="s">
        <v>67</v>
      </c>
      <c r="C225" s="41" t="s">
        <v>67</v>
      </c>
      <c r="D225" s="39" t="s">
        <v>285</v>
      </c>
      <c r="E225" s="39" t="s">
        <v>35</v>
      </c>
      <c r="F225" s="38">
        <v>300</v>
      </c>
      <c r="G225" s="38">
        <v>1</v>
      </c>
      <c r="H225" s="38">
        <v>300</v>
      </c>
      <c r="I225" s="38">
        <v>300</v>
      </c>
      <c r="J225" s="38">
        <v>1</v>
      </c>
      <c r="K225" s="38">
        <v>300</v>
      </c>
    </row>
    <row r="226" spans="1:11">
      <c r="A226" s="41" t="s">
        <v>67</v>
      </c>
      <c r="B226" s="41" t="s">
        <v>67</v>
      </c>
      <c r="C226" s="41" t="s">
        <v>67</v>
      </c>
      <c r="D226" s="39" t="s">
        <v>286</v>
      </c>
      <c r="E226" s="39" t="s">
        <v>35</v>
      </c>
      <c r="F226" s="38">
        <v>500</v>
      </c>
      <c r="G226" s="38">
        <v>2</v>
      </c>
      <c r="H226" s="38">
        <v>1000</v>
      </c>
      <c r="I226" s="38">
        <v>500</v>
      </c>
      <c r="J226" s="38">
        <v>2</v>
      </c>
      <c r="K226" s="38">
        <v>1000</v>
      </c>
    </row>
    <row r="227" spans="1:11">
      <c r="A227" s="41" t="s">
        <v>67</v>
      </c>
      <c r="B227" s="41" t="s">
        <v>67</v>
      </c>
      <c r="C227" s="41" t="s">
        <v>67</v>
      </c>
      <c r="D227" s="39" t="s">
        <v>287</v>
      </c>
      <c r="E227" s="39" t="s">
        <v>35</v>
      </c>
      <c r="F227" s="38">
        <v>300</v>
      </c>
      <c r="G227" s="38">
        <v>2</v>
      </c>
      <c r="H227" s="38">
        <v>600</v>
      </c>
      <c r="I227" s="38">
        <v>300</v>
      </c>
      <c r="J227" s="38">
        <v>2</v>
      </c>
      <c r="K227" s="38">
        <v>600</v>
      </c>
    </row>
    <row r="228" spans="1:11">
      <c r="A228" s="41" t="s">
        <v>67</v>
      </c>
      <c r="B228" s="41" t="s">
        <v>67</v>
      </c>
      <c r="C228" s="41" t="s">
        <v>67</v>
      </c>
      <c r="D228" s="39" t="s">
        <v>288</v>
      </c>
      <c r="E228" s="39" t="s">
        <v>35</v>
      </c>
      <c r="F228" s="38">
        <v>150</v>
      </c>
      <c r="G228" s="38">
        <v>3</v>
      </c>
      <c r="H228" s="38">
        <v>450</v>
      </c>
      <c r="I228" s="38">
        <v>150</v>
      </c>
      <c r="J228" s="38">
        <v>3</v>
      </c>
      <c r="K228" s="38">
        <v>450</v>
      </c>
    </row>
    <row r="229" spans="1:11">
      <c r="A229" s="41" t="s">
        <v>67</v>
      </c>
      <c r="B229" s="41" t="s">
        <v>67</v>
      </c>
      <c r="C229" s="41" t="s">
        <v>67</v>
      </c>
      <c r="D229" s="39" t="s">
        <v>289</v>
      </c>
      <c r="E229" s="39" t="s">
        <v>35</v>
      </c>
      <c r="F229" s="38">
        <v>500</v>
      </c>
      <c r="G229" s="38">
        <v>3</v>
      </c>
      <c r="H229" s="38">
        <v>1500</v>
      </c>
      <c r="I229" s="38">
        <v>500</v>
      </c>
      <c r="J229" s="38">
        <v>3</v>
      </c>
      <c r="K229" s="38">
        <v>1500</v>
      </c>
    </row>
    <row r="230" spans="1:11">
      <c r="A230" s="41" t="s">
        <v>67</v>
      </c>
      <c r="B230" s="41" t="s">
        <v>67</v>
      </c>
      <c r="C230" s="41" t="s">
        <v>67</v>
      </c>
      <c r="D230" s="39" t="s">
        <v>290</v>
      </c>
      <c r="E230" s="39" t="s">
        <v>35</v>
      </c>
      <c r="F230" s="38">
        <v>150</v>
      </c>
      <c r="G230" s="38">
        <v>3</v>
      </c>
      <c r="H230" s="38">
        <v>450</v>
      </c>
      <c r="I230" s="38">
        <v>150</v>
      </c>
      <c r="J230" s="38">
        <v>3</v>
      </c>
      <c r="K230" s="38">
        <v>450</v>
      </c>
    </row>
    <row r="231" spans="1:11">
      <c r="A231" s="41" t="s">
        <v>67</v>
      </c>
      <c r="B231" s="41" t="s">
        <v>67</v>
      </c>
      <c r="C231" s="41" t="s">
        <v>67</v>
      </c>
      <c r="D231" s="39" t="s">
        <v>291</v>
      </c>
      <c r="E231" s="39" t="s">
        <v>35</v>
      </c>
      <c r="F231" s="38">
        <v>80</v>
      </c>
      <c r="G231" s="38">
        <v>3</v>
      </c>
      <c r="H231" s="38">
        <v>240</v>
      </c>
      <c r="I231" s="38">
        <v>80</v>
      </c>
      <c r="J231" s="38">
        <v>3</v>
      </c>
      <c r="K231" s="38">
        <v>240</v>
      </c>
    </row>
    <row r="232" spans="1:11">
      <c r="A232" s="41" t="s">
        <v>67</v>
      </c>
      <c r="B232" s="41" t="s">
        <v>67</v>
      </c>
      <c r="C232" s="41" t="s">
        <v>67</v>
      </c>
      <c r="D232" s="39" t="s">
        <v>292</v>
      </c>
      <c r="E232" s="39" t="s">
        <v>35</v>
      </c>
      <c r="F232" s="38">
        <v>300</v>
      </c>
      <c r="G232" s="38">
        <v>1</v>
      </c>
      <c r="H232" s="38">
        <v>300</v>
      </c>
      <c r="I232" s="38">
        <v>300</v>
      </c>
      <c r="J232" s="38">
        <v>1</v>
      </c>
      <c r="K232" s="38">
        <v>300</v>
      </c>
    </row>
    <row r="233" spans="1:11">
      <c r="A233" s="41" t="s">
        <v>67</v>
      </c>
      <c r="B233" s="41" t="s">
        <v>67</v>
      </c>
      <c r="C233" s="41" t="s">
        <v>67</v>
      </c>
      <c r="D233" s="39" t="s">
        <v>293</v>
      </c>
      <c r="E233" s="39" t="s">
        <v>35</v>
      </c>
      <c r="F233" s="38">
        <v>250</v>
      </c>
      <c r="G233" s="38">
        <v>3</v>
      </c>
      <c r="H233" s="38">
        <v>750</v>
      </c>
      <c r="I233" s="38">
        <v>250</v>
      </c>
      <c r="J233" s="38">
        <v>3</v>
      </c>
      <c r="K233" s="38">
        <v>750</v>
      </c>
    </row>
    <row r="234" spans="1:11">
      <c r="A234" s="41" t="s">
        <v>67</v>
      </c>
      <c r="B234" s="41" t="s">
        <v>67</v>
      </c>
      <c r="C234" s="41" t="s">
        <v>67</v>
      </c>
      <c r="D234" s="39" t="s">
        <v>294</v>
      </c>
      <c r="E234" s="39" t="s">
        <v>35</v>
      </c>
      <c r="F234" s="38">
        <v>150</v>
      </c>
      <c r="G234" s="38">
        <v>3</v>
      </c>
      <c r="H234" s="38">
        <v>450</v>
      </c>
      <c r="I234" s="38">
        <v>150</v>
      </c>
      <c r="J234" s="38">
        <v>3</v>
      </c>
      <c r="K234" s="38">
        <v>450</v>
      </c>
    </row>
    <row r="235" spans="1:11">
      <c r="A235" s="41" t="s">
        <v>67</v>
      </c>
      <c r="B235" s="41" t="s">
        <v>67</v>
      </c>
      <c r="C235" s="41" t="s">
        <v>67</v>
      </c>
      <c r="D235" s="39" t="s">
        <v>295</v>
      </c>
      <c r="E235" s="39" t="s">
        <v>35</v>
      </c>
      <c r="F235" s="38">
        <v>80</v>
      </c>
      <c r="G235" s="38">
        <v>3</v>
      </c>
      <c r="H235" s="38">
        <v>240</v>
      </c>
      <c r="I235" s="38">
        <v>80</v>
      </c>
      <c r="J235" s="38">
        <v>3</v>
      </c>
      <c r="K235" s="38">
        <v>240</v>
      </c>
    </row>
    <row r="236" spans="1:11">
      <c r="A236" s="41" t="s">
        <v>67</v>
      </c>
      <c r="B236" s="41" t="s">
        <v>67</v>
      </c>
      <c r="C236" s="41" t="s">
        <v>67</v>
      </c>
      <c r="D236" s="39" t="s">
        <v>296</v>
      </c>
      <c r="E236" s="39" t="s">
        <v>35</v>
      </c>
      <c r="F236" s="38">
        <v>150</v>
      </c>
      <c r="G236" s="38">
        <v>3</v>
      </c>
      <c r="H236" s="38">
        <v>450</v>
      </c>
      <c r="I236" s="38">
        <v>150</v>
      </c>
      <c r="J236" s="38">
        <v>3</v>
      </c>
      <c r="K236" s="38">
        <v>450</v>
      </c>
    </row>
    <row r="237" spans="1:11">
      <c r="A237" s="41" t="s">
        <v>67</v>
      </c>
      <c r="B237" s="41" t="s">
        <v>67</v>
      </c>
      <c r="C237" s="41" t="s">
        <v>67</v>
      </c>
      <c r="D237" s="39" t="s">
        <v>297</v>
      </c>
      <c r="E237" s="39" t="s">
        <v>35</v>
      </c>
      <c r="F237" s="38">
        <v>80</v>
      </c>
      <c r="G237" s="38">
        <v>1</v>
      </c>
      <c r="H237" s="38">
        <v>80</v>
      </c>
      <c r="I237" s="38">
        <v>80</v>
      </c>
      <c r="J237" s="38">
        <v>1</v>
      </c>
      <c r="K237" s="38">
        <v>80</v>
      </c>
    </row>
    <row r="238" spans="1:11">
      <c r="A238" s="41" t="s">
        <v>67</v>
      </c>
      <c r="B238" s="41" t="s">
        <v>67</v>
      </c>
      <c r="C238" s="41" t="s">
        <v>67</v>
      </c>
      <c r="D238" s="39" t="s">
        <v>298</v>
      </c>
      <c r="E238" s="39" t="s">
        <v>35</v>
      </c>
      <c r="F238" s="38">
        <v>40</v>
      </c>
      <c r="G238" s="38">
        <v>2</v>
      </c>
      <c r="H238" s="38">
        <v>80</v>
      </c>
      <c r="I238" s="38">
        <v>40</v>
      </c>
      <c r="J238" s="38">
        <v>2</v>
      </c>
      <c r="K238" s="38">
        <v>80</v>
      </c>
    </row>
    <row r="239" spans="1:11">
      <c r="A239" s="41" t="s">
        <v>67</v>
      </c>
      <c r="B239" s="41" t="s">
        <v>67</v>
      </c>
      <c r="C239" s="41" t="s">
        <v>67</v>
      </c>
      <c r="D239" s="39" t="s">
        <v>299</v>
      </c>
      <c r="E239" s="39" t="s">
        <v>35</v>
      </c>
      <c r="F239" s="38">
        <v>80</v>
      </c>
      <c r="G239" s="38">
        <v>1</v>
      </c>
      <c r="H239" s="38">
        <v>80</v>
      </c>
      <c r="I239" s="38">
        <v>80</v>
      </c>
      <c r="J239" s="38">
        <v>1</v>
      </c>
      <c r="K239" s="38">
        <v>80</v>
      </c>
    </row>
    <row r="240" spans="1:11">
      <c r="A240" s="41" t="s">
        <v>67</v>
      </c>
      <c r="B240" s="41" t="s">
        <v>67</v>
      </c>
      <c r="C240" s="41" t="s">
        <v>67</v>
      </c>
      <c r="D240" s="39" t="s">
        <v>300</v>
      </c>
      <c r="E240" s="39" t="s">
        <v>35</v>
      </c>
      <c r="F240" s="38">
        <v>40</v>
      </c>
      <c r="G240" s="38">
        <v>2</v>
      </c>
      <c r="H240" s="38">
        <v>80</v>
      </c>
      <c r="I240" s="38">
        <v>40</v>
      </c>
      <c r="J240" s="38">
        <v>2</v>
      </c>
      <c r="K240" s="38">
        <v>80</v>
      </c>
    </row>
    <row r="241" spans="1:11">
      <c r="A241" s="41" t="s">
        <v>67</v>
      </c>
      <c r="B241" s="41" t="s">
        <v>67</v>
      </c>
      <c r="C241" s="41" t="s">
        <v>67</v>
      </c>
      <c r="D241" s="39" t="s">
        <v>301</v>
      </c>
      <c r="E241" s="39" t="s">
        <v>35</v>
      </c>
      <c r="F241" s="38">
        <v>150</v>
      </c>
      <c r="G241" s="38">
        <v>3</v>
      </c>
      <c r="H241" s="38">
        <v>450</v>
      </c>
      <c r="I241" s="38">
        <v>150</v>
      </c>
      <c r="J241" s="38">
        <v>3</v>
      </c>
      <c r="K241" s="38">
        <v>450</v>
      </c>
    </row>
    <row r="242" spans="1:11">
      <c r="A242" s="41" t="s">
        <v>67</v>
      </c>
      <c r="B242" s="41" t="s">
        <v>67</v>
      </c>
      <c r="C242" s="41" t="s">
        <v>67</v>
      </c>
      <c r="D242" s="39" t="s">
        <v>302</v>
      </c>
      <c r="E242" s="39" t="s">
        <v>35</v>
      </c>
      <c r="F242" s="38">
        <v>100</v>
      </c>
      <c r="G242" s="38">
        <v>1</v>
      </c>
      <c r="H242" s="38">
        <v>100</v>
      </c>
      <c r="I242" s="38">
        <v>100</v>
      </c>
      <c r="J242" s="38">
        <v>1</v>
      </c>
      <c r="K242" s="38">
        <v>100</v>
      </c>
    </row>
    <row r="243" spans="1:11">
      <c r="A243" s="41" t="s">
        <v>67</v>
      </c>
      <c r="B243" s="41" t="s">
        <v>67</v>
      </c>
      <c r="C243" s="41" t="s">
        <v>67</v>
      </c>
      <c r="D243" s="39" t="s">
        <v>303</v>
      </c>
      <c r="E243" s="39" t="s">
        <v>35</v>
      </c>
      <c r="F243" s="38">
        <v>150</v>
      </c>
      <c r="G243" s="38">
        <v>2</v>
      </c>
      <c r="H243" s="38">
        <v>300</v>
      </c>
      <c r="I243" s="38">
        <v>150</v>
      </c>
      <c r="J243" s="38">
        <v>2</v>
      </c>
      <c r="K243" s="38">
        <v>300</v>
      </c>
    </row>
    <row r="244" spans="1:11">
      <c r="A244" s="41" t="s">
        <v>67</v>
      </c>
      <c r="B244" s="41" t="s">
        <v>67</v>
      </c>
      <c r="C244" s="41" t="s">
        <v>67</v>
      </c>
      <c r="D244" s="39" t="s">
        <v>304</v>
      </c>
      <c r="E244" s="39" t="s">
        <v>35</v>
      </c>
      <c r="F244" s="38">
        <v>80</v>
      </c>
      <c r="G244" s="38">
        <v>3</v>
      </c>
      <c r="H244" s="38">
        <v>240</v>
      </c>
      <c r="I244" s="38">
        <v>80</v>
      </c>
      <c r="J244" s="38">
        <v>3</v>
      </c>
      <c r="K244" s="38">
        <v>240</v>
      </c>
    </row>
    <row r="245" spans="1:11">
      <c r="A245" s="41" t="s">
        <v>67</v>
      </c>
      <c r="B245" s="41" t="s">
        <v>67</v>
      </c>
      <c r="C245" s="41" t="s">
        <v>67</v>
      </c>
      <c r="D245" s="39" t="s">
        <v>305</v>
      </c>
      <c r="E245" s="39" t="s">
        <v>35</v>
      </c>
      <c r="F245" s="38">
        <v>80</v>
      </c>
      <c r="G245" s="38">
        <v>1</v>
      </c>
      <c r="H245" s="38">
        <v>80</v>
      </c>
      <c r="I245" s="38">
        <v>80</v>
      </c>
      <c r="J245" s="38">
        <v>1</v>
      </c>
      <c r="K245" s="38">
        <v>80</v>
      </c>
    </row>
    <row r="246" spans="1:11">
      <c r="A246" s="41" t="s">
        <v>67</v>
      </c>
      <c r="B246" s="41" t="s">
        <v>67</v>
      </c>
      <c r="C246" s="41" t="s">
        <v>67</v>
      </c>
      <c r="D246" s="39" t="s">
        <v>306</v>
      </c>
      <c r="E246" s="39" t="s">
        <v>35</v>
      </c>
      <c r="F246" s="38">
        <v>40</v>
      </c>
      <c r="G246" s="38">
        <v>2</v>
      </c>
      <c r="H246" s="38">
        <v>80</v>
      </c>
      <c r="I246" s="38">
        <v>40</v>
      </c>
      <c r="J246" s="38">
        <v>2</v>
      </c>
      <c r="K246" s="38">
        <v>80</v>
      </c>
    </row>
    <row r="247" spans="1:11">
      <c r="A247" s="41" t="s">
        <v>67</v>
      </c>
      <c r="B247" s="41" t="s">
        <v>67</v>
      </c>
      <c r="C247" s="41" t="s">
        <v>67</v>
      </c>
      <c r="D247" s="39" t="s">
        <v>307</v>
      </c>
      <c r="E247" s="39" t="s">
        <v>35</v>
      </c>
      <c r="F247" s="38">
        <v>80</v>
      </c>
      <c r="G247" s="38">
        <v>1</v>
      </c>
      <c r="H247" s="38">
        <v>80</v>
      </c>
      <c r="I247" s="38">
        <v>80</v>
      </c>
      <c r="J247" s="38">
        <v>1</v>
      </c>
      <c r="K247" s="38">
        <v>80</v>
      </c>
    </row>
    <row r="248" spans="1:11">
      <c r="A248" s="41" t="s">
        <v>67</v>
      </c>
      <c r="B248" s="41" t="s">
        <v>67</v>
      </c>
      <c r="C248" s="41" t="s">
        <v>67</v>
      </c>
      <c r="D248" s="39" t="s">
        <v>308</v>
      </c>
      <c r="E248" s="39" t="s">
        <v>35</v>
      </c>
      <c r="F248" s="38">
        <v>40</v>
      </c>
      <c r="G248" s="38">
        <v>2</v>
      </c>
      <c r="H248" s="38">
        <v>80</v>
      </c>
      <c r="I248" s="38">
        <v>40</v>
      </c>
      <c r="J248" s="38">
        <v>2</v>
      </c>
      <c r="K248" s="38">
        <v>80</v>
      </c>
    </row>
    <row r="249" spans="1:11">
      <c r="A249" s="41" t="s">
        <v>67</v>
      </c>
      <c r="B249" s="41" t="s">
        <v>67</v>
      </c>
      <c r="C249" s="41" t="s">
        <v>67</v>
      </c>
      <c r="D249" s="39" t="s">
        <v>309</v>
      </c>
      <c r="E249" s="39" t="s">
        <v>35</v>
      </c>
      <c r="F249" s="38">
        <v>200</v>
      </c>
      <c r="G249" s="38">
        <v>3</v>
      </c>
      <c r="H249" s="38">
        <v>600</v>
      </c>
      <c r="I249" s="38">
        <v>200</v>
      </c>
      <c r="J249" s="38">
        <v>3</v>
      </c>
      <c r="K249" s="38">
        <v>600</v>
      </c>
    </row>
    <row r="250" spans="1:11">
      <c r="A250" s="41" t="s">
        <v>67</v>
      </c>
      <c r="B250" s="41" t="s">
        <v>67</v>
      </c>
      <c r="C250" s="41" t="s">
        <v>67</v>
      </c>
      <c r="D250" s="39" t="s">
        <v>310</v>
      </c>
      <c r="E250" s="39" t="s">
        <v>35</v>
      </c>
      <c r="F250" s="38">
        <v>80</v>
      </c>
      <c r="G250" s="38">
        <v>2</v>
      </c>
      <c r="H250" s="38">
        <v>160</v>
      </c>
      <c r="I250" s="38">
        <v>80</v>
      </c>
      <c r="J250" s="38">
        <v>2</v>
      </c>
      <c r="K250" s="38">
        <v>160</v>
      </c>
    </row>
    <row r="251" spans="1:11">
      <c r="A251" s="41" t="s">
        <v>67</v>
      </c>
      <c r="B251" s="41" t="s">
        <v>67</v>
      </c>
      <c r="C251" s="41" t="s">
        <v>67</v>
      </c>
      <c r="D251" s="39" t="s">
        <v>311</v>
      </c>
      <c r="E251" s="39" t="s">
        <v>35</v>
      </c>
      <c r="F251" s="38">
        <v>100</v>
      </c>
      <c r="G251" s="38">
        <v>1</v>
      </c>
      <c r="H251" s="38">
        <v>100</v>
      </c>
      <c r="I251" s="38">
        <v>100</v>
      </c>
      <c r="J251" s="38">
        <v>1</v>
      </c>
      <c r="K251" s="38">
        <v>100</v>
      </c>
    </row>
    <row r="252" spans="1:11">
      <c r="A252" s="41" t="s">
        <v>67</v>
      </c>
      <c r="B252" s="41" t="s">
        <v>67</v>
      </c>
      <c r="C252" s="41" t="s">
        <v>67</v>
      </c>
      <c r="D252" s="39" t="s">
        <v>312</v>
      </c>
      <c r="E252" s="39" t="s">
        <v>35</v>
      </c>
      <c r="F252" s="38">
        <v>250</v>
      </c>
      <c r="G252" s="38">
        <v>3</v>
      </c>
      <c r="H252" s="38">
        <v>750</v>
      </c>
      <c r="I252" s="38">
        <v>250</v>
      </c>
      <c r="J252" s="38">
        <v>3</v>
      </c>
      <c r="K252" s="38">
        <v>750</v>
      </c>
    </row>
    <row r="253" spans="1:11">
      <c r="A253" s="41" t="s">
        <v>67</v>
      </c>
      <c r="B253" s="41" t="s">
        <v>67</v>
      </c>
      <c r="C253" s="41" t="s">
        <v>67</v>
      </c>
      <c r="D253" s="39" t="s">
        <v>313</v>
      </c>
      <c r="E253" s="39" t="s">
        <v>35</v>
      </c>
      <c r="F253" s="38">
        <v>100</v>
      </c>
      <c r="G253" s="38">
        <v>2</v>
      </c>
      <c r="H253" s="38">
        <v>200</v>
      </c>
      <c r="I253" s="38">
        <v>100</v>
      </c>
      <c r="J253" s="38">
        <v>2</v>
      </c>
      <c r="K253" s="38">
        <v>200</v>
      </c>
    </row>
    <row r="254" spans="1:11">
      <c r="A254" s="41" t="s">
        <v>67</v>
      </c>
      <c r="B254" s="41" t="s">
        <v>67</v>
      </c>
      <c r="C254" s="41" t="s">
        <v>67</v>
      </c>
      <c r="D254" s="39" t="s">
        <v>314</v>
      </c>
      <c r="E254" s="39" t="s">
        <v>35</v>
      </c>
      <c r="F254" s="38">
        <v>100</v>
      </c>
      <c r="G254" s="38">
        <v>1</v>
      </c>
      <c r="H254" s="38">
        <v>100</v>
      </c>
      <c r="I254" s="38">
        <v>100</v>
      </c>
      <c r="J254" s="38">
        <v>1</v>
      </c>
      <c r="K254" s="38">
        <v>100</v>
      </c>
    </row>
    <row r="255" spans="1:11">
      <c r="A255" s="41" t="s">
        <v>67</v>
      </c>
      <c r="B255" s="41" t="s">
        <v>67</v>
      </c>
      <c r="C255" s="41" t="s">
        <v>67</v>
      </c>
      <c r="D255" s="39" t="s">
        <v>315</v>
      </c>
      <c r="E255" s="39" t="s">
        <v>35</v>
      </c>
      <c r="F255" s="38">
        <v>80</v>
      </c>
      <c r="G255" s="38">
        <v>3</v>
      </c>
      <c r="H255" s="38">
        <v>240</v>
      </c>
      <c r="I255" s="38">
        <v>80</v>
      </c>
      <c r="J255" s="38">
        <v>3</v>
      </c>
      <c r="K255" s="38">
        <v>240</v>
      </c>
    </row>
    <row r="256" spans="1:11">
      <c r="A256" s="41" t="s">
        <v>67</v>
      </c>
      <c r="B256" s="41" t="s">
        <v>67</v>
      </c>
      <c r="C256" s="41" t="s">
        <v>67</v>
      </c>
      <c r="D256" s="39" t="s">
        <v>316</v>
      </c>
      <c r="E256" s="39" t="s">
        <v>35</v>
      </c>
      <c r="F256" s="38">
        <v>80</v>
      </c>
      <c r="G256" s="38">
        <v>3</v>
      </c>
      <c r="H256" s="38">
        <v>240</v>
      </c>
      <c r="I256" s="38">
        <v>80</v>
      </c>
      <c r="J256" s="38">
        <v>3</v>
      </c>
      <c r="K256" s="38">
        <v>240</v>
      </c>
    </row>
    <row r="257" spans="1:11">
      <c r="A257" s="41" t="s">
        <v>67</v>
      </c>
      <c r="B257" s="41" t="s">
        <v>67</v>
      </c>
      <c r="C257" s="41" t="s">
        <v>67</v>
      </c>
      <c r="D257" s="39" t="s">
        <v>317</v>
      </c>
      <c r="E257" s="39" t="s">
        <v>35</v>
      </c>
      <c r="F257" s="38">
        <v>250</v>
      </c>
      <c r="G257" s="38">
        <v>3</v>
      </c>
      <c r="H257" s="38">
        <v>750</v>
      </c>
      <c r="I257" s="38">
        <v>250</v>
      </c>
      <c r="J257" s="38">
        <v>3</v>
      </c>
      <c r="K257" s="38">
        <v>750</v>
      </c>
    </row>
    <row r="258" spans="1:11">
      <c r="A258" s="41" t="s">
        <v>67</v>
      </c>
      <c r="B258" s="41" t="s">
        <v>67</v>
      </c>
      <c r="C258" s="41" t="s">
        <v>67</v>
      </c>
      <c r="D258" s="39" t="s">
        <v>318</v>
      </c>
      <c r="E258" s="39" t="s">
        <v>35</v>
      </c>
      <c r="F258" s="38">
        <v>100</v>
      </c>
      <c r="G258" s="38">
        <v>3</v>
      </c>
      <c r="H258" s="38">
        <v>300</v>
      </c>
      <c r="I258" s="38">
        <v>100</v>
      </c>
      <c r="J258" s="38">
        <v>3</v>
      </c>
      <c r="K258" s="38">
        <v>300</v>
      </c>
    </row>
    <row r="259" spans="1:11">
      <c r="A259" s="41" t="s">
        <v>67</v>
      </c>
      <c r="B259" s="41" t="s">
        <v>67</v>
      </c>
      <c r="C259" s="41" t="s">
        <v>67</v>
      </c>
      <c r="D259" s="39" t="s">
        <v>319</v>
      </c>
      <c r="E259" s="39" t="s">
        <v>35</v>
      </c>
      <c r="F259" s="38">
        <v>80</v>
      </c>
      <c r="G259" s="38">
        <v>3</v>
      </c>
      <c r="H259" s="38">
        <v>240</v>
      </c>
      <c r="I259" s="38">
        <v>80</v>
      </c>
      <c r="J259" s="38">
        <v>3</v>
      </c>
      <c r="K259" s="38">
        <v>240</v>
      </c>
    </row>
    <row r="260" spans="1:11">
      <c r="A260" s="41" t="s">
        <v>67</v>
      </c>
      <c r="B260" s="41" t="s">
        <v>67</v>
      </c>
      <c r="C260" s="41" t="s">
        <v>67</v>
      </c>
      <c r="D260" s="39" t="s">
        <v>320</v>
      </c>
      <c r="E260" s="39" t="s">
        <v>35</v>
      </c>
      <c r="F260" s="38">
        <v>80</v>
      </c>
      <c r="G260" s="38">
        <v>3</v>
      </c>
      <c r="H260" s="38">
        <v>240</v>
      </c>
      <c r="I260" s="38">
        <v>80</v>
      </c>
      <c r="J260" s="38">
        <v>3</v>
      </c>
      <c r="K260" s="38">
        <v>240</v>
      </c>
    </row>
    <row r="261" spans="1:11">
      <c r="A261" s="41" t="s">
        <v>67</v>
      </c>
      <c r="B261" s="41" t="s">
        <v>67</v>
      </c>
      <c r="C261" s="41" t="s">
        <v>67</v>
      </c>
      <c r="D261" s="39" t="s">
        <v>321</v>
      </c>
      <c r="E261" s="39" t="s">
        <v>35</v>
      </c>
      <c r="F261" s="38">
        <v>100</v>
      </c>
      <c r="G261" s="38">
        <v>3</v>
      </c>
      <c r="H261" s="38">
        <v>300</v>
      </c>
      <c r="I261" s="38">
        <v>100</v>
      </c>
      <c r="J261" s="38">
        <v>3</v>
      </c>
      <c r="K261" s="38">
        <v>300</v>
      </c>
    </row>
    <row r="262" spans="1:11">
      <c r="A262" s="41" t="s">
        <v>67</v>
      </c>
      <c r="B262" s="41" t="s">
        <v>67</v>
      </c>
      <c r="C262" s="41" t="s">
        <v>67</v>
      </c>
      <c r="D262" s="39" t="s">
        <v>322</v>
      </c>
      <c r="E262" s="39" t="s">
        <v>35</v>
      </c>
      <c r="F262" s="38">
        <v>80</v>
      </c>
      <c r="G262" s="38">
        <v>3</v>
      </c>
      <c r="H262" s="38">
        <v>240</v>
      </c>
      <c r="I262" s="38">
        <v>80</v>
      </c>
      <c r="J262" s="38">
        <v>3</v>
      </c>
      <c r="K262" s="38">
        <v>240</v>
      </c>
    </row>
    <row r="263" spans="1:11">
      <c r="A263" s="41" t="s">
        <v>67</v>
      </c>
      <c r="B263" s="41" t="s">
        <v>67</v>
      </c>
      <c r="C263" s="41" t="s">
        <v>67</v>
      </c>
      <c r="D263" s="39" t="s">
        <v>323</v>
      </c>
      <c r="E263" s="39" t="s">
        <v>35</v>
      </c>
      <c r="F263" s="38">
        <v>250</v>
      </c>
      <c r="G263" s="38">
        <v>3</v>
      </c>
      <c r="H263" s="38">
        <v>750</v>
      </c>
      <c r="I263" s="38">
        <v>250</v>
      </c>
      <c r="J263" s="38">
        <v>3</v>
      </c>
      <c r="K263" s="38">
        <v>750</v>
      </c>
    </row>
    <row r="264" spans="1:11">
      <c r="A264" s="41" t="s">
        <v>67</v>
      </c>
      <c r="B264" s="41" t="s">
        <v>67</v>
      </c>
      <c r="C264" s="41" t="s">
        <v>67</v>
      </c>
      <c r="D264" s="39" t="s">
        <v>324</v>
      </c>
      <c r="E264" s="39" t="s">
        <v>35</v>
      </c>
      <c r="F264" s="38">
        <v>80</v>
      </c>
      <c r="G264" s="38">
        <v>3</v>
      </c>
      <c r="H264" s="38">
        <v>240</v>
      </c>
      <c r="I264" s="38">
        <v>80</v>
      </c>
      <c r="J264" s="38">
        <v>3</v>
      </c>
      <c r="K264" s="38">
        <v>240</v>
      </c>
    </row>
    <row r="265" spans="1:11">
      <c r="A265" s="41" t="s">
        <v>67</v>
      </c>
      <c r="B265" s="41" t="s">
        <v>67</v>
      </c>
      <c r="C265" s="41" t="s">
        <v>67</v>
      </c>
      <c r="D265" s="39" t="s">
        <v>325</v>
      </c>
      <c r="E265" s="39" t="s">
        <v>35</v>
      </c>
      <c r="F265" s="38">
        <v>80</v>
      </c>
      <c r="G265" s="38">
        <v>3</v>
      </c>
      <c r="H265" s="38">
        <v>240</v>
      </c>
      <c r="I265" s="38">
        <v>80</v>
      </c>
      <c r="J265" s="38">
        <v>3</v>
      </c>
      <c r="K265" s="38">
        <v>240</v>
      </c>
    </row>
    <row r="266" spans="1:11">
      <c r="A266" s="41" t="s">
        <v>67</v>
      </c>
      <c r="B266" s="41" t="s">
        <v>67</v>
      </c>
      <c r="C266" s="41" t="s">
        <v>67</v>
      </c>
      <c r="D266" s="39" t="s">
        <v>326</v>
      </c>
      <c r="E266" s="39" t="s">
        <v>35</v>
      </c>
      <c r="F266" s="38">
        <v>80</v>
      </c>
      <c r="G266" s="38">
        <v>3</v>
      </c>
      <c r="H266" s="38">
        <v>240</v>
      </c>
      <c r="I266" s="38">
        <v>80</v>
      </c>
      <c r="J266" s="38">
        <v>3</v>
      </c>
      <c r="K266" s="38">
        <v>240</v>
      </c>
    </row>
    <row r="267" spans="1:11">
      <c r="A267" s="41" t="s">
        <v>67</v>
      </c>
      <c r="B267" s="41" t="s">
        <v>67</v>
      </c>
      <c r="C267" s="41" t="s">
        <v>67</v>
      </c>
      <c r="D267" s="39" t="s">
        <v>327</v>
      </c>
      <c r="E267" s="39" t="s">
        <v>35</v>
      </c>
      <c r="F267" s="38">
        <v>100</v>
      </c>
      <c r="G267" s="38">
        <v>1</v>
      </c>
      <c r="H267" s="38">
        <v>100</v>
      </c>
      <c r="I267" s="38">
        <v>100</v>
      </c>
      <c r="J267" s="38">
        <v>1</v>
      </c>
      <c r="K267" s="38">
        <v>100</v>
      </c>
    </row>
    <row r="268" spans="1:11">
      <c r="A268" s="41" t="s">
        <v>67</v>
      </c>
      <c r="B268" s="41" t="s">
        <v>67</v>
      </c>
      <c r="C268" s="41" t="s">
        <v>67</v>
      </c>
      <c r="D268" s="39" t="s">
        <v>328</v>
      </c>
      <c r="E268" s="39" t="s">
        <v>35</v>
      </c>
      <c r="F268" s="38">
        <v>250</v>
      </c>
      <c r="G268" s="38">
        <v>2</v>
      </c>
      <c r="H268" s="38">
        <v>500</v>
      </c>
      <c r="I268" s="38">
        <v>250</v>
      </c>
      <c r="J268" s="38">
        <v>2</v>
      </c>
      <c r="K268" s="38">
        <v>500</v>
      </c>
    </row>
    <row r="269" spans="1:11">
      <c r="A269" s="41" t="s">
        <v>67</v>
      </c>
      <c r="B269" s="41" t="s">
        <v>67</v>
      </c>
      <c r="C269" s="41" t="s">
        <v>67</v>
      </c>
      <c r="D269" s="39" t="s">
        <v>329</v>
      </c>
      <c r="E269" s="39" t="s">
        <v>35</v>
      </c>
      <c r="F269" s="38">
        <v>80</v>
      </c>
      <c r="G269" s="38">
        <v>2</v>
      </c>
      <c r="H269" s="38">
        <v>160</v>
      </c>
      <c r="I269" s="38">
        <v>80</v>
      </c>
      <c r="J269" s="38">
        <v>2</v>
      </c>
      <c r="K269" s="38">
        <v>160</v>
      </c>
    </row>
    <row r="270" spans="1:11">
      <c r="A270" s="41" t="s">
        <v>67</v>
      </c>
      <c r="B270" s="41" t="s">
        <v>67</v>
      </c>
      <c r="C270" s="41" t="s">
        <v>67</v>
      </c>
      <c r="D270" s="39" t="s">
        <v>330</v>
      </c>
      <c r="E270" s="39" t="s">
        <v>35</v>
      </c>
      <c r="F270" s="38">
        <v>60</v>
      </c>
      <c r="G270" s="38">
        <v>1</v>
      </c>
      <c r="H270" s="38">
        <v>60</v>
      </c>
      <c r="I270" s="38">
        <v>60</v>
      </c>
      <c r="J270" s="38">
        <v>1</v>
      </c>
      <c r="K270" s="38">
        <v>60</v>
      </c>
    </row>
    <row r="271" spans="1:11">
      <c r="A271" s="41" t="s">
        <v>67</v>
      </c>
      <c r="B271" s="41" t="s">
        <v>67</v>
      </c>
      <c r="C271" s="41" t="s">
        <v>67</v>
      </c>
      <c r="D271" s="39" t="s">
        <v>331</v>
      </c>
      <c r="E271" s="39" t="s">
        <v>35</v>
      </c>
      <c r="F271" s="38">
        <v>80</v>
      </c>
      <c r="G271" s="38">
        <v>3</v>
      </c>
      <c r="H271" s="38">
        <v>240</v>
      </c>
      <c r="I271" s="38">
        <v>80</v>
      </c>
      <c r="J271" s="38">
        <v>3</v>
      </c>
      <c r="K271" s="38">
        <v>240</v>
      </c>
    </row>
    <row r="272" spans="1:11">
      <c r="A272" s="41" t="s">
        <v>67</v>
      </c>
      <c r="B272" s="41" t="s">
        <v>67</v>
      </c>
      <c r="C272" s="41" t="s">
        <v>67</v>
      </c>
      <c r="D272" s="39" t="s">
        <v>332</v>
      </c>
      <c r="E272" s="39" t="s">
        <v>35</v>
      </c>
      <c r="F272" s="38">
        <v>273</v>
      </c>
      <c r="G272" s="38">
        <v>1</v>
      </c>
      <c r="H272" s="38">
        <v>273</v>
      </c>
      <c r="I272" s="38">
        <v>300</v>
      </c>
      <c r="J272" s="38">
        <v>1</v>
      </c>
      <c r="K272" s="38">
        <v>300</v>
      </c>
    </row>
    <row r="273" spans="1:11">
      <c r="A273" s="41" t="s">
        <v>67</v>
      </c>
      <c r="B273" s="41" t="s">
        <v>67</v>
      </c>
      <c r="C273" s="41" t="s">
        <v>67</v>
      </c>
      <c r="D273" s="39" t="s">
        <v>333</v>
      </c>
      <c r="E273" s="39" t="s">
        <v>35</v>
      </c>
      <c r="F273" s="38">
        <v>182</v>
      </c>
      <c r="G273" s="38">
        <v>2</v>
      </c>
      <c r="H273" s="38">
        <v>364</v>
      </c>
      <c r="I273" s="38">
        <v>200</v>
      </c>
      <c r="J273" s="38">
        <v>2</v>
      </c>
      <c r="K273" s="38">
        <v>400</v>
      </c>
    </row>
    <row r="274" spans="1:11">
      <c r="A274" s="39" t="s">
        <v>36</v>
      </c>
      <c r="B274" s="39" t="s">
        <v>34</v>
      </c>
      <c r="C274" s="39" t="s">
        <v>35</v>
      </c>
      <c r="D274" s="39" t="s">
        <v>35</v>
      </c>
      <c r="E274" s="39" t="s">
        <v>35</v>
      </c>
      <c r="F274" s="38" t="s">
        <v>107</v>
      </c>
      <c r="G274" s="38">
        <v>24</v>
      </c>
      <c r="H274" s="38">
        <v>23250000</v>
      </c>
      <c r="I274" s="38" t="s">
        <v>107</v>
      </c>
      <c r="J274" s="38">
        <v>24</v>
      </c>
      <c r="K274" s="38">
        <v>23250000</v>
      </c>
    </row>
    <row r="275" spans="1:11">
      <c r="A275" s="41" t="s">
        <v>67</v>
      </c>
      <c r="B275" s="39" t="s">
        <v>108</v>
      </c>
      <c r="C275" s="39" t="s">
        <v>35</v>
      </c>
      <c r="D275" s="39" t="s">
        <v>35</v>
      </c>
      <c r="E275" s="39" t="s">
        <v>35</v>
      </c>
      <c r="F275" s="38" t="s">
        <v>107</v>
      </c>
      <c r="G275" s="38">
        <v>24</v>
      </c>
      <c r="H275" s="38">
        <v>23250000</v>
      </c>
      <c r="I275" s="38" t="s">
        <v>107</v>
      </c>
      <c r="J275" s="38">
        <v>24</v>
      </c>
      <c r="K275" s="38">
        <v>23250000</v>
      </c>
    </row>
    <row r="276" spans="1:11">
      <c r="A276" s="41" t="s">
        <v>67</v>
      </c>
      <c r="B276" s="41" t="s">
        <v>67</v>
      </c>
      <c r="C276" s="39" t="s">
        <v>334</v>
      </c>
      <c r="D276" s="39" t="s">
        <v>35</v>
      </c>
      <c r="E276" s="39" t="s">
        <v>35</v>
      </c>
      <c r="F276" s="38">
        <v>650000</v>
      </c>
      <c r="G276" s="38">
        <v>1</v>
      </c>
      <c r="H276" s="38">
        <v>650000</v>
      </c>
      <c r="I276" s="38">
        <v>650000</v>
      </c>
      <c r="J276" s="38">
        <v>1</v>
      </c>
      <c r="K276" s="38">
        <v>650000</v>
      </c>
    </row>
    <row r="277" spans="1:11">
      <c r="A277" s="41" t="s">
        <v>67</v>
      </c>
      <c r="B277" s="41" t="s">
        <v>67</v>
      </c>
      <c r="C277" s="39" t="s">
        <v>335</v>
      </c>
      <c r="D277" s="39" t="s">
        <v>35</v>
      </c>
      <c r="E277" s="39" t="s">
        <v>35</v>
      </c>
      <c r="F277" s="38">
        <v>950000</v>
      </c>
      <c r="G277" s="38">
        <v>1</v>
      </c>
      <c r="H277" s="38">
        <v>950000</v>
      </c>
      <c r="I277" s="38">
        <v>950000</v>
      </c>
      <c r="J277" s="38">
        <v>1</v>
      </c>
      <c r="K277" s="38">
        <v>950000</v>
      </c>
    </row>
    <row r="278" spans="1:11">
      <c r="A278" s="41" t="s">
        <v>67</v>
      </c>
      <c r="B278" s="41" t="s">
        <v>67</v>
      </c>
      <c r="C278" s="39" t="s">
        <v>336</v>
      </c>
      <c r="D278" s="39" t="s">
        <v>35</v>
      </c>
      <c r="E278" s="39" t="s">
        <v>35</v>
      </c>
      <c r="F278" s="38">
        <v>950000</v>
      </c>
      <c r="G278" s="38">
        <v>1</v>
      </c>
      <c r="H278" s="38">
        <v>950000</v>
      </c>
      <c r="I278" s="38">
        <v>950000</v>
      </c>
      <c r="J278" s="38">
        <v>1</v>
      </c>
      <c r="K278" s="38">
        <v>950000</v>
      </c>
    </row>
    <row r="279" spans="1:11">
      <c r="A279" s="41" t="s">
        <v>67</v>
      </c>
      <c r="B279" s="41" t="s">
        <v>67</v>
      </c>
      <c r="C279" s="39" t="s">
        <v>337</v>
      </c>
      <c r="D279" s="39" t="s">
        <v>35</v>
      </c>
      <c r="E279" s="39" t="s">
        <v>35</v>
      </c>
      <c r="F279" s="38">
        <v>1000000</v>
      </c>
      <c r="G279" s="38">
        <v>1</v>
      </c>
      <c r="H279" s="38">
        <v>1000000</v>
      </c>
      <c r="I279" s="38">
        <v>1000000</v>
      </c>
      <c r="J279" s="38">
        <v>1</v>
      </c>
      <c r="K279" s="38">
        <v>1000000</v>
      </c>
    </row>
    <row r="280" spans="1:11">
      <c r="A280" s="41" t="s">
        <v>67</v>
      </c>
      <c r="B280" s="41" t="s">
        <v>67</v>
      </c>
      <c r="C280" s="39" t="s">
        <v>338</v>
      </c>
      <c r="D280" s="39" t="s">
        <v>35</v>
      </c>
      <c r="E280" s="39" t="s">
        <v>35</v>
      </c>
      <c r="F280" s="38">
        <v>1000000</v>
      </c>
      <c r="G280" s="38">
        <v>1</v>
      </c>
      <c r="H280" s="38">
        <v>1000000</v>
      </c>
      <c r="I280" s="38">
        <v>1000000</v>
      </c>
      <c r="J280" s="38">
        <v>1</v>
      </c>
      <c r="K280" s="38">
        <v>1000000</v>
      </c>
    </row>
    <row r="281" spans="1:11">
      <c r="A281" s="41" t="s">
        <v>67</v>
      </c>
      <c r="B281" s="41" t="s">
        <v>67</v>
      </c>
      <c r="C281" s="39" t="s">
        <v>339</v>
      </c>
      <c r="D281" s="39" t="s">
        <v>35</v>
      </c>
      <c r="E281" s="39" t="s">
        <v>35</v>
      </c>
      <c r="F281" s="38">
        <v>1400000</v>
      </c>
      <c r="G281" s="38">
        <v>1</v>
      </c>
      <c r="H281" s="38">
        <v>1400000</v>
      </c>
      <c r="I281" s="38">
        <v>1400000</v>
      </c>
      <c r="J281" s="38">
        <v>1</v>
      </c>
      <c r="K281" s="38">
        <v>1400000</v>
      </c>
    </row>
    <row r="282" spans="1:11">
      <c r="A282" s="41" t="s">
        <v>67</v>
      </c>
      <c r="B282" s="41" t="s">
        <v>67</v>
      </c>
      <c r="C282" s="39" t="s">
        <v>340</v>
      </c>
      <c r="D282" s="39" t="s">
        <v>35</v>
      </c>
      <c r="E282" s="39" t="s">
        <v>35</v>
      </c>
      <c r="F282" s="38">
        <v>1400000</v>
      </c>
      <c r="G282" s="38">
        <v>1</v>
      </c>
      <c r="H282" s="38">
        <v>1400000</v>
      </c>
      <c r="I282" s="38">
        <v>1400000</v>
      </c>
      <c r="J282" s="38">
        <v>1</v>
      </c>
      <c r="K282" s="38">
        <v>1400000</v>
      </c>
    </row>
    <row r="283" spans="1:11">
      <c r="A283" s="41" t="s">
        <v>67</v>
      </c>
      <c r="B283" s="41" t="s">
        <v>67</v>
      </c>
      <c r="C283" s="39" t="s">
        <v>341</v>
      </c>
      <c r="D283" s="39" t="s">
        <v>35</v>
      </c>
      <c r="E283" s="39" t="s">
        <v>35</v>
      </c>
      <c r="F283" s="38">
        <v>700000</v>
      </c>
      <c r="G283" s="38">
        <v>1</v>
      </c>
      <c r="H283" s="38">
        <v>700000</v>
      </c>
      <c r="I283" s="38">
        <v>700000</v>
      </c>
      <c r="J283" s="38">
        <v>1</v>
      </c>
      <c r="K283" s="38">
        <v>700000</v>
      </c>
    </row>
    <row r="284" spans="1:11">
      <c r="A284" s="41" t="s">
        <v>67</v>
      </c>
      <c r="B284" s="41" t="s">
        <v>67</v>
      </c>
      <c r="C284" s="39" t="s">
        <v>342</v>
      </c>
      <c r="D284" s="39" t="s">
        <v>35</v>
      </c>
      <c r="E284" s="39" t="s">
        <v>35</v>
      </c>
      <c r="F284" s="38">
        <v>700000</v>
      </c>
      <c r="G284" s="38">
        <v>1</v>
      </c>
      <c r="H284" s="38">
        <v>700000</v>
      </c>
      <c r="I284" s="38">
        <v>700000</v>
      </c>
      <c r="J284" s="38">
        <v>1</v>
      </c>
      <c r="K284" s="38">
        <v>700000</v>
      </c>
    </row>
    <row r="285" spans="1:11">
      <c r="A285" s="41" t="s">
        <v>67</v>
      </c>
      <c r="B285" s="41" t="s">
        <v>67</v>
      </c>
      <c r="C285" s="39" t="s">
        <v>343</v>
      </c>
      <c r="D285" s="39" t="s">
        <v>35</v>
      </c>
      <c r="E285" s="39" t="s">
        <v>35</v>
      </c>
      <c r="F285" s="38">
        <v>700000</v>
      </c>
      <c r="G285" s="38">
        <v>1</v>
      </c>
      <c r="H285" s="38">
        <v>700000</v>
      </c>
      <c r="I285" s="38">
        <v>700000</v>
      </c>
      <c r="J285" s="38">
        <v>1</v>
      </c>
      <c r="K285" s="38">
        <v>700000</v>
      </c>
    </row>
    <row r="286" spans="1:11">
      <c r="A286" s="41" t="s">
        <v>67</v>
      </c>
      <c r="B286" s="41" t="s">
        <v>67</v>
      </c>
      <c r="C286" s="39" t="s">
        <v>344</v>
      </c>
      <c r="D286" s="39" t="s">
        <v>35</v>
      </c>
      <c r="E286" s="39" t="s">
        <v>35</v>
      </c>
      <c r="F286" s="38">
        <v>1000000</v>
      </c>
      <c r="G286" s="38">
        <v>1</v>
      </c>
      <c r="H286" s="38">
        <v>1000000</v>
      </c>
      <c r="I286" s="38">
        <v>1000000</v>
      </c>
      <c r="J286" s="38">
        <v>1</v>
      </c>
      <c r="K286" s="38">
        <v>1000000</v>
      </c>
    </row>
    <row r="287" spans="1:11">
      <c r="A287" s="41" t="s">
        <v>67</v>
      </c>
      <c r="B287" s="41" t="s">
        <v>67</v>
      </c>
      <c r="C287" s="39" t="s">
        <v>345</v>
      </c>
      <c r="D287" s="39" t="s">
        <v>35</v>
      </c>
      <c r="E287" s="39" t="s">
        <v>35</v>
      </c>
      <c r="F287" s="38">
        <v>1000000</v>
      </c>
      <c r="G287" s="38">
        <v>1</v>
      </c>
      <c r="H287" s="38">
        <v>1000000</v>
      </c>
      <c r="I287" s="38">
        <v>1000000</v>
      </c>
      <c r="J287" s="38">
        <v>1</v>
      </c>
      <c r="K287" s="38">
        <v>1000000</v>
      </c>
    </row>
    <row r="288" spans="1:11">
      <c r="A288" s="41" t="s">
        <v>67</v>
      </c>
      <c r="B288" s="41" t="s">
        <v>67</v>
      </c>
      <c r="C288" s="39" t="s">
        <v>346</v>
      </c>
      <c r="D288" s="39" t="s">
        <v>35</v>
      </c>
      <c r="E288" s="39" t="s">
        <v>35</v>
      </c>
      <c r="F288" s="38">
        <v>950000</v>
      </c>
      <c r="G288" s="38">
        <v>1</v>
      </c>
      <c r="H288" s="38">
        <v>950000</v>
      </c>
      <c r="I288" s="38">
        <v>950000</v>
      </c>
      <c r="J288" s="38">
        <v>1</v>
      </c>
      <c r="K288" s="38">
        <v>950000</v>
      </c>
    </row>
    <row r="289" spans="1:11">
      <c r="A289" s="41" t="s">
        <v>67</v>
      </c>
      <c r="B289" s="41" t="s">
        <v>67</v>
      </c>
      <c r="C289" s="39" t="s">
        <v>347</v>
      </c>
      <c r="D289" s="39" t="s">
        <v>35</v>
      </c>
      <c r="E289" s="39" t="s">
        <v>35</v>
      </c>
      <c r="F289" s="38">
        <v>950000</v>
      </c>
      <c r="G289" s="38">
        <v>1</v>
      </c>
      <c r="H289" s="38">
        <v>950000</v>
      </c>
      <c r="I289" s="38">
        <v>950000</v>
      </c>
      <c r="J289" s="38">
        <v>1</v>
      </c>
      <c r="K289" s="38">
        <v>950000</v>
      </c>
    </row>
    <row r="290" spans="1:11">
      <c r="A290" s="41" t="s">
        <v>67</v>
      </c>
      <c r="B290" s="41" t="s">
        <v>67</v>
      </c>
      <c r="C290" s="39" t="s">
        <v>348</v>
      </c>
      <c r="D290" s="39" t="s">
        <v>35</v>
      </c>
      <c r="E290" s="39" t="s">
        <v>35</v>
      </c>
      <c r="F290" s="38">
        <v>1000000</v>
      </c>
      <c r="G290" s="38">
        <v>1</v>
      </c>
      <c r="H290" s="38">
        <v>1000000</v>
      </c>
      <c r="I290" s="38">
        <v>1000000</v>
      </c>
      <c r="J290" s="38">
        <v>1</v>
      </c>
      <c r="K290" s="38">
        <v>1000000</v>
      </c>
    </row>
    <row r="291" spans="1:11">
      <c r="A291" s="41" t="s">
        <v>67</v>
      </c>
      <c r="B291" s="41" t="s">
        <v>67</v>
      </c>
      <c r="C291" s="39" t="s">
        <v>349</v>
      </c>
      <c r="D291" s="39" t="s">
        <v>35</v>
      </c>
      <c r="E291" s="39" t="s">
        <v>35</v>
      </c>
      <c r="F291" s="38">
        <v>1000000</v>
      </c>
      <c r="G291" s="38">
        <v>1</v>
      </c>
      <c r="H291" s="38">
        <v>1000000</v>
      </c>
      <c r="I291" s="38">
        <v>1000000</v>
      </c>
      <c r="J291" s="38">
        <v>1</v>
      </c>
      <c r="K291" s="38">
        <v>1000000</v>
      </c>
    </row>
    <row r="292" spans="1:11">
      <c r="A292" s="41" t="s">
        <v>67</v>
      </c>
      <c r="B292" s="41" t="s">
        <v>67</v>
      </c>
      <c r="C292" s="39" t="s">
        <v>350</v>
      </c>
      <c r="D292" s="39" t="s">
        <v>35</v>
      </c>
      <c r="E292" s="39" t="s">
        <v>35</v>
      </c>
      <c r="F292" s="38">
        <v>1000000</v>
      </c>
      <c r="G292" s="38">
        <v>1</v>
      </c>
      <c r="H292" s="38">
        <v>1000000</v>
      </c>
      <c r="I292" s="38">
        <v>1000000</v>
      </c>
      <c r="J292" s="38">
        <v>1</v>
      </c>
      <c r="K292" s="38">
        <v>1000000</v>
      </c>
    </row>
    <row r="293" spans="1:11">
      <c r="A293" s="41" t="s">
        <v>67</v>
      </c>
      <c r="B293" s="41" t="s">
        <v>67</v>
      </c>
      <c r="C293" s="39" t="s">
        <v>351</v>
      </c>
      <c r="D293" s="39" t="s">
        <v>35</v>
      </c>
      <c r="E293" s="39" t="s">
        <v>35</v>
      </c>
      <c r="F293" s="38">
        <v>1000000</v>
      </c>
      <c r="G293" s="38">
        <v>1</v>
      </c>
      <c r="H293" s="38">
        <v>1000000</v>
      </c>
      <c r="I293" s="38">
        <v>1000000</v>
      </c>
      <c r="J293" s="38">
        <v>1</v>
      </c>
      <c r="K293" s="38">
        <v>1000000</v>
      </c>
    </row>
    <row r="294" spans="1:11">
      <c r="A294" s="41" t="s">
        <v>67</v>
      </c>
      <c r="B294" s="41" t="s">
        <v>67</v>
      </c>
      <c r="C294" s="39" t="s">
        <v>352</v>
      </c>
      <c r="D294" s="39" t="s">
        <v>35</v>
      </c>
      <c r="E294" s="39" t="s">
        <v>35</v>
      </c>
      <c r="F294" s="38">
        <v>950000</v>
      </c>
      <c r="G294" s="38">
        <v>1</v>
      </c>
      <c r="H294" s="38">
        <v>950000</v>
      </c>
      <c r="I294" s="38">
        <v>950000</v>
      </c>
      <c r="J294" s="38">
        <v>1</v>
      </c>
      <c r="K294" s="38">
        <v>950000</v>
      </c>
    </row>
    <row r="295" spans="1:11">
      <c r="A295" s="41" t="s">
        <v>67</v>
      </c>
      <c r="B295" s="41" t="s">
        <v>67</v>
      </c>
      <c r="C295" s="39" t="s">
        <v>353</v>
      </c>
      <c r="D295" s="39" t="s">
        <v>35</v>
      </c>
      <c r="E295" s="39" t="s">
        <v>35</v>
      </c>
      <c r="F295" s="38">
        <v>950000</v>
      </c>
      <c r="G295" s="38">
        <v>1</v>
      </c>
      <c r="H295" s="38">
        <v>950000</v>
      </c>
      <c r="I295" s="38">
        <v>950000</v>
      </c>
      <c r="J295" s="38">
        <v>1</v>
      </c>
      <c r="K295" s="38">
        <v>950000</v>
      </c>
    </row>
    <row r="296" spans="1:11">
      <c r="A296" s="41" t="s">
        <v>67</v>
      </c>
      <c r="B296" s="41" t="s">
        <v>67</v>
      </c>
      <c r="C296" s="39" t="s">
        <v>354</v>
      </c>
      <c r="D296" s="39" t="s">
        <v>35</v>
      </c>
      <c r="E296" s="39" t="s">
        <v>35</v>
      </c>
      <c r="F296" s="38">
        <v>1000000</v>
      </c>
      <c r="G296" s="38">
        <v>1</v>
      </c>
      <c r="H296" s="38">
        <v>1000000</v>
      </c>
      <c r="I296" s="38">
        <v>1000000</v>
      </c>
      <c r="J296" s="38">
        <v>1</v>
      </c>
      <c r="K296" s="38">
        <v>1000000</v>
      </c>
    </row>
    <row r="297" spans="1:11">
      <c r="A297" s="41" t="s">
        <v>67</v>
      </c>
      <c r="B297" s="41" t="s">
        <v>67</v>
      </c>
      <c r="C297" s="39" t="s">
        <v>355</v>
      </c>
      <c r="D297" s="39" t="s">
        <v>35</v>
      </c>
      <c r="E297" s="39" t="s">
        <v>35</v>
      </c>
      <c r="F297" s="38">
        <v>1000000</v>
      </c>
      <c r="G297" s="38">
        <v>1</v>
      </c>
      <c r="H297" s="38">
        <v>1000000</v>
      </c>
      <c r="I297" s="38">
        <v>1000000</v>
      </c>
      <c r="J297" s="38">
        <v>1</v>
      </c>
      <c r="K297" s="38">
        <v>1000000</v>
      </c>
    </row>
    <row r="298" spans="1:11">
      <c r="A298" s="41" t="s">
        <v>67</v>
      </c>
      <c r="B298" s="41" t="s">
        <v>67</v>
      </c>
      <c r="C298" s="39" t="s">
        <v>356</v>
      </c>
      <c r="D298" s="39" t="s">
        <v>35</v>
      </c>
      <c r="E298" s="39" t="s">
        <v>35</v>
      </c>
      <c r="F298" s="38">
        <v>1000000</v>
      </c>
      <c r="G298" s="38">
        <v>1</v>
      </c>
      <c r="H298" s="38">
        <v>1000000</v>
      </c>
      <c r="I298" s="38">
        <v>1000000</v>
      </c>
      <c r="J298" s="38">
        <v>1</v>
      </c>
      <c r="K298" s="38">
        <v>1000000</v>
      </c>
    </row>
    <row r="299" spans="1:11">
      <c r="A299" s="41" t="s">
        <v>67</v>
      </c>
      <c r="B299" s="41" t="s">
        <v>67</v>
      </c>
      <c r="C299" s="39" t="s">
        <v>357</v>
      </c>
      <c r="D299" s="39" t="s">
        <v>35</v>
      </c>
      <c r="E299" s="39" t="s">
        <v>35</v>
      </c>
      <c r="F299" s="38">
        <v>1000000</v>
      </c>
      <c r="G299" s="38">
        <v>1</v>
      </c>
      <c r="H299" s="38">
        <v>1000000</v>
      </c>
      <c r="I299" s="38">
        <v>1000000</v>
      </c>
      <c r="J299" s="38">
        <v>1</v>
      </c>
      <c r="K299" s="38">
        <v>1000000</v>
      </c>
    </row>
    <row r="300" spans="1:11">
      <c r="A300" s="39" t="s">
        <v>39</v>
      </c>
      <c r="B300" s="39" t="s">
        <v>34</v>
      </c>
      <c r="C300" s="39" t="s">
        <v>35</v>
      </c>
      <c r="D300" s="39" t="s">
        <v>35</v>
      </c>
      <c r="E300" s="39" t="s">
        <v>35</v>
      </c>
      <c r="F300" s="38" t="s">
        <v>107</v>
      </c>
      <c r="G300" s="38">
        <v>16</v>
      </c>
      <c r="H300" s="38">
        <v>4700000</v>
      </c>
      <c r="I300" s="38" t="s">
        <v>107</v>
      </c>
      <c r="J300" s="38">
        <v>16</v>
      </c>
      <c r="K300" s="38">
        <v>4700000</v>
      </c>
    </row>
    <row r="301" spans="1:11">
      <c r="A301" s="41" t="s">
        <v>67</v>
      </c>
      <c r="B301" s="39" t="s">
        <v>108</v>
      </c>
      <c r="C301" s="39" t="s">
        <v>35</v>
      </c>
      <c r="D301" s="39" t="s">
        <v>35</v>
      </c>
      <c r="E301" s="39" t="s">
        <v>35</v>
      </c>
      <c r="F301" s="38" t="s">
        <v>107</v>
      </c>
      <c r="G301" s="38">
        <v>16</v>
      </c>
      <c r="H301" s="38">
        <v>4700000</v>
      </c>
      <c r="I301" s="38" t="s">
        <v>107</v>
      </c>
      <c r="J301" s="38">
        <v>16</v>
      </c>
      <c r="K301" s="38">
        <v>4700000</v>
      </c>
    </row>
    <row r="302" spans="1:11">
      <c r="A302" s="41" t="s">
        <v>67</v>
      </c>
      <c r="B302" s="41" t="s">
        <v>67</v>
      </c>
      <c r="C302" s="39" t="s">
        <v>358</v>
      </c>
      <c r="D302" s="39" t="s">
        <v>35</v>
      </c>
      <c r="E302" s="39" t="s">
        <v>35</v>
      </c>
      <c r="F302" s="38">
        <v>200000</v>
      </c>
      <c r="G302" s="38">
        <v>2</v>
      </c>
      <c r="H302" s="38">
        <v>400000</v>
      </c>
      <c r="I302" s="38">
        <v>200000</v>
      </c>
      <c r="J302" s="38">
        <v>2</v>
      </c>
      <c r="K302" s="38">
        <v>400000</v>
      </c>
    </row>
    <row r="303" spans="1:11">
      <c r="A303" s="41" t="s">
        <v>67</v>
      </c>
      <c r="B303" s="41" t="s">
        <v>67</v>
      </c>
      <c r="C303" s="39" t="s">
        <v>359</v>
      </c>
      <c r="D303" s="39" t="s">
        <v>35</v>
      </c>
      <c r="E303" s="39" t="s">
        <v>35</v>
      </c>
      <c r="F303" s="38">
        <v>300000</v>
      </c>
      <c r="G303" s="38">
        <v>2</v>
      </c>
      <c r="H303" s="38">
        <v>600000</v>
      </c>
      <c r="I303" s="38">
        <v>300000</v>
      </c>
      <c r="J303" s="38">
        <v>2</v>
      </c>
      <c r="K303" s="38">
        <v>600000</v>
      </c>
    </row>
    <row r="304" spans="1:11">
      <c r="A304" s="41" t="s">
        <v>67</v>
      </c>
      <c r="B304" s="41" t="s">
        <v>67</v>
      </c>
      <c r="C304" s="39" t="s">
        <v>360</v>
      </c>
      <c r="D304" s="39" t="s">
        <v>35</v>
      </c>
      <c r="E304" s="39" t="s">
        <v>35</v>
      </c>
      <c r="F304" s="38">
        <v>300000</v>
      </c>
      <c r="G304" s="38">
        <v>2</v>
      </c>
      <c r="H304" s="38">
        <v>600000</v>
      </c>
      <c r="I304" s="38">
        <v>300000</v>
      </c>
      <c r="J304" s="38">
        <v>2</v>
      </c>
      <c r="K304" s="38">
        <v>600000</v>
      </c>
    </row>
    <row r="305" spans="1:11">
      <c r="A305" s="41" t="s">
        <v>67</v>
      </c>
      <c r="B305" s="41" t="s">
        <v>67</v>
      </c>
      <c r="C305" s="39" t="s">
        <v>361</v>
      </c>
      <c r="D305" s="39" t="s">
        <v>35</v>
      </c>
      <c r="E305" s="39" t="s">
        <v>35</v>
      </c>
      <c r="F305" s="38">
        <v>350000</v>
      </c>
      <c r="G305" s="38">
        <v>2</v>
      </c>
      <c r="H305" s="38">
        <v>700000</v>
      </c>
      <c r="I305" s="38">
        <v>350000</v>
      </c>
      <c r="J305" s="38">
        <v>2</v>
      </c>
      <c r="K305" s="38">
        <v>700000</v>
      </c>
    </row>
    <row r="306" spans="1:11">
      <c r="A306" s="41" t="s">
        <v>67</v>
      </c>
      <c r="B306" s="41" t="s">
        <v>67</v>
      </c>
      <c r="C306" s="39" t="s">
        <v>362</v>
      </c>
      <c r="D306" s="39" t="s">
        <v>35</v>
      </c>
      <c r="E306" s="39" t="s">
        <v>35</v>
      </c>
      <c r="F306" s="38">
        <v>250000</v>
      </c>
      <c r="G306" s="38">
        <v>4</v>
      </c>
      <c r="H306" s="38">
        <v>1000000</v>
      </c>
      <c r="I306" s="38">
        <v>250000</v>
      </c>
      <c r="J306" s="38">
        <v>4</v>
      </c>
      <c r="K306" s="38">
        <v>1000000</v>
      </c>
    </row>
    <row r="307" spans="1:11">
      <c r="A307" s="41" t="s">
        <v>67</v>
      </c>
      <c r="B307" s="41" t="s">
        <v>67</v>
      </c>
      <c r="C307" s="39" t="s">
        <v>363</v>
      </c>
      <c r="D307" s="39" t="s">
        <v>35</v>
      </c>
      <c r="E307" s="39" t="s">
        <v>35</v>
      </c>
      <c r="F307" s="38">
        <v>300000</v>
      </c>
      <c r="G307" s="38">
        <v>2</v>
      </c>
      <c r="H307" s="38">
        <v>600000</v>
      </c>
      <c r="I307" s="38">
        <v>300000</v>
      </c>
      <c r="J307" s="38">
        <v>2</v>
      </c>
      <c r="K307" s="38">
        <v>600000</v>
      </c>
    </row>
    <row r="308" spans="1:11">
      <c r="A308" s="42" t="s">
        <v>67</v>
      </c>
      <c r="B308" s="42" t="s">
        <v>67</v>
      </c>
      <c r="C308" s="40" t="s">
        <v>364</v>
      </c>
      <c r="D308" s="40" t="s">
        <v>35</v>
      </c>
      <c r="E308" s="40" t="s">
        <v>35</v>
      </c>
      <c r="F308" s="38">
        <v>400000</v>
      </c>
      <c r="G308" s="38">
        <v>2</v>
      </c>
      <c r="H308" s="38">
        <v>800000</v>
      </c>
      <c r="I308" s="38">
        <v>400000</v>
      </c>
      <c r="J308" s="38">
        <v>2</v>
      </c>
      <c r="K308" s="38">
        <v>800000</v>
      </c>
    </row>
  </sheetData>
  <mergeCells count="16">
    <mergeCell ref="L3:S3"/>
    <mergeCell ref="T3:T4"/>
    <mergeCell ref="U3:U4"/>
    <mergeCell ref="F3:F4"/>
    <mergeCell ref="G3:G4"/>
    <mergeCell ref="H3:H4"/>
    <mergeCell ref="I3:I4"/>
    <mergeCell ref="J3:J4"/>
    <mergeCell ref="I12:K12"/>
    <mergeCell ref="F12:H12"/>
    <mergeCell ref="A3:A4"/>
    <mergeCell ref="B3:B4"/>
    <mergeCell ref="C3:C4"/>
    <mergeCell ref="D3:D4"/>
    <mergeCell ref="E3:E4"/>
    <mergeCell ref="K3:K4"/>
  </mergeCells>
  <phoneticPr fontId="1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1B58B-7274-4C86-AC0E-0FD6568E946D}">
  <dimension ref="B2:AI86"/>
  <sheetViews>
    <sheetView topLeftCell="A25" workbookViewId="0">
      <selection activeCell="E48" sqref="E48"/>
    </sheetView>
  </sheetViews>
  <sheetFormatPr defaultRowHeight="14.5"/>
  <cols>
    <col min="2" max="2" width="22.6328125" customWidth="1"/>
    <col min="19" max="19" width="9" customWidth="1"/>
    <col min="20" max="20" width="9.7265625" customWidth="1"/>
  </cols>
  <sheetData>
    <row r="2" spans="2:35">
      <c r="B2" t="s">
        <v>74</v>
      </c>
    </row>
    <row r="3" spans="2:35">
      <c r="B3" t="s">
        <v>90</v>
      </c>
    </row>
    <row r="4" spans="2:35">
      <c r="B4" s="29" t="s">
        <v>63</v>
      </c>
      <c r="C4">
        <v>2020</v>
      </c>
      <c r="D4">
        <v>2021</v>
      </c>
      <c r="E4">
        <v>2022</v>
      </c>
      <c r="F4" s="84">
        <v>2023</v>
      </c>
      <c r="G4" s="84">
        <v>2024</v>
      </c>
      <c r="H4" s="84">
        <v>2025</v>
      </c>
      <c r="I4" s="84">
        <v>2026</v>
      </c>
      <c r="J4" s="84">
        <v>2027</v>
      </c>
      <c r="K4" s="84">
        <v>2028</v>
      </c>
      <c r="L4" s="84">
        <v>2029</v>
      </c>
      <c r="M4" s="84">
        <v>2030</v>
      </c>
      <c r="N4" s="84">
        <v>2031</v>
      </c>
      <c r="O4" s="84">
        <v>2032</v>
      </c>
      <c r="P4" s="84">
        <v>2033</v>
      </c>
      <c r="Q4" s="84">
        <v>2034</v>
      </c>
    </row>
    <row r="5" spans="2:35">
      <c r="B5" t="s">
        <v>76</v>
      </c>
      <c r="C5">
        <v>20250</v>
      </c>
      <c r="D5">
        <v>24650</v>
      </c>
      <c r="E5">
        <v>26050</v>
      </c>
      <c r="F5" s="84">
        <v>26100</v>
      </c>
      <c r="G5" s="84">
        <v>27500</v>
      </c>
      <c r="H5" s="84">
        <v>28900</v>
      </c>
      <c r="I5" s="84">
        <v>28900</v>
      </c>
      <c r="J5" s="84">
        <v>28900</v>
      </c>
      <c r="K5" s="84">
        <v>28900</v>
      </c>
      <c r="L5" s="84">
        <v>28900</v>
      </c>
      <c r="M5" s="84">
        <v>28900</v>
      </c>
      <c r="N5" s="84">
        <v>28900</v>
      </c>
      <c r="O5" s="84">
        <v>30300</v>
      </c>
      <c r="P5" s="84">
        <v>31700</v>
      </c>
      <c r="Q5" s="84">
        <v>31700</v>
      </c>
    </row>
    <row r="6" spans="2:35">
      <c r="B6" t="s">
        <v>77</v>
      </c>
      <c r="C6">
        <v>35842</v>
      </c>
      <c r="D6">
        <v>37302</v>
      </c>
      <c r="E6">
        <v>38342</v>
      </c>
      <c r="F6" s="84">
        <v>40200</v>
      </c>
      <c r="G6" s="84">
        <v>41200</v>
      </c>
      <c r="H6" s="84">
        <v>40200</v>
      </c>
      <c r="I6" s="84">
        <v>37600</v>
      </c>
      <c r="J6" s="84">
        <v>36100</v>
      </c>
      <c r="K6" s="84">
        <v>34600</v>
      </c>
      <c r="L6" s="84">
        <v>32700.000000000004</v>
      </c>
      <c r="M6" s="84">
        <v>31700</v>
      </c>
      <c r="N6" s="84">
        <v>30700</v>
      </c>
      <c r="O6" s="84">
        <v>29700</v>
      </c>
      <c r="P6" s="84">
        <v>29700</v>
      </c>
      <c r="Q6" s="84">
        <v>28100</v>
      </c>
    </row>
    <row r="7" spans="2:35">
      <c r="B7" t="s">
        <v>78</v>
      </c>
      <c r="C7">
        <v>41316</v>
      </c>
      <c r="D7">
        <v>41340</v>
      </c>
      <c r="E7">
        <v>43330</v>
      </c>
      <c r="F7" s="84">
        <v>43500</v>
      </c>
      <c r="G7" s="84">
        <v>45300</v>
      </c>
      <c r="H7" s="84">
        <v>47700</v>
      </c>
      <c r="I7" s="84">
        <v>52400</v>
      </c>
      <c r="J7" s="84">
        <v>54100</v>
      </c>
      <c r="K7" s="84">
        <v>55700</v>
      </c>
      <c r="L7" s="84">
        <v>57600</v>
      </c>
      <c r="M7" s="84">
        <v>58600</v>
      </c>
      <c r="N7" s="84">
        <v>59800</v>
      </c>
      <c r="O7" s="84">
        <v>61900</v>
      </c>
      <c r="P7" s="84">
        <v>62000</v>
      </c>
      <c r="Q7" s="84">
        <v>63600</v>
      </c>
    </row>
    <row r="8" spans="2:35">
      <c r="B8" t="s">
        <v>79</v>
      </c>
      <c r="C8">
        <v>20126</v>
      </c>
      <c r="D8">
        <v>24786</v>
      </c>
      <c r="E8">
        <v>29426</v>
      </c>
      <c r="F8" s="84">
        <v>32800</v>
      </c>
      <c r="G8" s="84">
        <v>36800</v>
      </c>
      <c r="H8" s="84">
        <v>40500</v>
      </c>
      <c r="I8" s="84">
        <v>44800</v>
      </c>
      <c r="J8" s="84">
        <v>49400</v>
      </c>
      <c r="K8" s="84">
        <v>56100</v>
      </c>
      <c r="L8" s="84">
        <v>64099.999999999993</v>
      </c>
      <c r="M8" s="84">
        <v>72700</v>
      </c>
      <c r="N8" s="84">
        <v>79900</v>
      </c>
      <c r="O8" s="84">
        <v>86100</v>
      </c>
      <c r="P8" s="84">
        <v>91500</v>
      </c>
      <c r="Q8" s="84">
        <v>96900</v>
      </c>
    </row>
    <row r="9" spans="2:35">
      <c r="B9" t="s">
        <v>80</v>
      </c>
      <c r="C9">
        <v>4700</v>
      </c>
      <c r="D9">
        <v>4700</v>
      </c>
      <c r="E9">
        <v>4700</v>
      </c>
      <c r="F9" s="84">
        <v>4700</v>
      </c>
      <c r="G9" s="84">
        <v>4700</v>
      </c>
      <c r="H9" s="84">
        <v>4700</v>
      </c>
      <c r="I9" s="84">
        <v>4700</v>
      </c>
      <c r="J9" s="84">
        <v>4700</v>
      </c>
      <c r="K9" s="84">
        <v>4700</v>
      </c>
      <c r="L9" s="84">
        <v>4700</v>
      </c>
      <c r="M9" s="84">
        <v>5200</v>
      </c>
      <c r="N9" s="84">
        <v>5200</v>
      </c>
      <c r="O9" s="84">
        <v>5800</v>
      </c>
      <c r="P9" s="84">
        <v>5800</v>
      </c>
      <c r="Q9" s="84">
        <v>6500</v>
      </c>
      <c r="U9">
        <v>2020</v>
      </c>
      <c r="V9">
        <v>2021</v>
      </c>
      <c r="W9">
        <v>2022</v>
      </c>
      <c r="X9">
        <v>2023</v>
      </c>
      <c r="Y9">
        <v>2024</v>
      </c>
      <c r="Z9">
        <v>2025</v>
      </c>
      <c r="AA9">
        <v>2026</v>
      </c>
      <c r="AB9">
        <v>2027</v>
      </c>
      <c r="AC9">
        <v>2028</v>
      </c>
      <c r="AD9">
        <v>2029</v>
      </c>
      <c r="AE9">
        <v>2030</v>
      </c>
      <c r="AF9">
        <v>2031</v>
      </c>
      <c r="AG9">
        <v>2032</v>
      </c>
      <c r="AH9">
        <v>2033</v>
      </c>
      <c r="AI9">
        <v>2034</v>
      </c>
    </row>
    <row r="10" spans="2:35">
      <c r="B10" t="s">
        <v>81</v>
      </c>
      <c r="C10">
        <v>2539</v>
      </c>
      <c r="D10">
        <v>2539</v>
      </c>
      <c r="E10">
        <v>1339</v>
      </c>
      <c r="F10" s="84">
        <v>1100</v>
      </c>
      <c r="G10" s="84">
        <v>1200</v>
      </c>
      <c r="H10" s="84">
        <v>1200</v>
      </c>
      <c r="I10" s="84">
        <v>700</v>
      </c>
      <c r="J10" s="84">
        <v>700</v>
      </c>
      <c r="K10" s="84">
        <v>900</v>
      </c>
      <c r="L10" s="84">
        <v>900</v>
      </c>
      <c r="M10" s="84">
        <v>900</v>
      </c>
      <c r="N10" s="84">
        <v>800</v>
      </c>
      <c r="O10" s="84">
        <v>800</v>
      </c>
      <c r="P10" s="84">
        <v>900</v>
      </c>
      <c r="Q10" s="84">
        <v>900</v>
      </c>
      <c r="S10" s="95" t="s">
        <v>81</v>
      </c>
      <c r="T10" t="s">
        <v>93</v>
      </c>
      <c r="U10" s="28">
        <f>'19-20 Retirements'!W30</f>
        <v>1987.7249999999999</v>
      </c>
      <c r="V10" s="28">
        <f>U10</f>
        <v>1987.7249999999999</v>
      </c>
      <c r="W10" s="28">
        <f>V10-1200</f>
        <v>787.72499999999991</v>
      </c>
      <c r="X10" s="28">
        <f>W10</f>
        <v>787.72499999999991</v>
      </c>
      <c r="Y10" s="28">
        <f>X10</f>
        <v>787.72499999999991</v>
      </c>
      <c r="Z10" s="28">
        <f>Y10</f>
        <v>787.72499999999991</v>
      </c>
      <c r="AA10" s="28">
        <f t="shared" ref="AA10:AI10" si="0">Z10</f>
        <v>787.72499999999991</v>
      </c>
      <c r="AB10" s="28">
        <f t="shared" si="0"/>
        <v>787.72499999999991</v>
      </c>
      <c r="AC10" s="28">
        <f t="shared" si="0"/>
        <v>787.72499999999991</v>
      </c>
      <c r="AD10" s="28">
        <f t="shared" si="0"/>
        <v>787.72499999999991</v>
      </c>
      <c r="AE10" s="28">
        <f t="shared" si="0"/>
        <v>787.72499999999991</v>
      </c>
      <c r="AF10" s="28">
        <f t="shared" si="0"/>
        <v>787.72499999999991</v>
      </c>
      <c r="AG10" s="28">
        <f t="shared" si="0"/>
        <v>787.72499999999991</v>
      </c>
      <c r="AH10" s="28">
        <f t="shared" si="0"/>
        <v>787.72499999999991</v>
      </c>
      <c r="AI10" s="28">
        <f t="shared" si="0"/>
        <v>787.72499999999991</v>
      </c>
    </row>
    <row r="11" spans="2:35">
      <c r="D11" s="31" t="s">
        <v>372</v>
      </c>
      <c r="E11" s="52"/>
      <c r="S11" s="95"/>
      <c r="T11" t="s">
        <v>94</v>
      </c>
      <c r="U11" s="28">
        <f>C10-U10</f>
        <v>551.27500000000009</v>
      </c>
      <c r="V11" s="28">
        <f>U11</f>
        <v>551.27500000000009</v>
      </c>
      <c r="W11" s="28">
        <f>V11</f>
        <v>551.27500000000009</v>
      </c>
      <c r="X11" s="28">
        <f>W11</f>
        <v>551.27500000000009</v>
      </c>
      <c r="Y11" s="28">
        <f>X11-L12</f>
        <v>449.27500000000009</v>
      </c>
      <c r="Z11" s="28">
        <f>Y11</f>
        <v>449.27500000000009</v>
      </c>
      <c r="AA11" s="28">
        <f t="shared" ref="AA11:AI11" si="1">Z11</f>
        <v>449.27500000000009</v>
      </c>
      <c r="AB11" s="28">
        <f t="shared" si="1"/>
        <v>449.27500000000009</v>
      </c>
      <c r="AC11" s="28">
        <f t="shared" si="1"/>
        <v>449.27500000000009</v>
      </c>
      <c r="AD11" s="28">
        <f t="shared" si="1"/>
        <v>449.27500000000009</v>
      </c>
      <c r="AE11" s="28">
        <f t="shared" si="1"/>
        <v>449.27500000000009</v>
      </c>
      <c r="AF11" s="28">
        <f t="shared" si="1"/>
        <v>449.27500000000009</v>
      </c>
      <c r="AG11" s="28">
        <f t="shared" si="1"/>
        <v>449.27500000000009</v>
      </c>
      <c r="AH11" s="28">
        <f t="shared" si="1"/>
        <v>449.27500000000009</v>
      </c>
      <c r="AI11" s="28">
        <f t="shared" si="1"/>
        <v>449.27500000000009</v>
      </c>
    </row>
    <row r="12" spans="2:35">
      <c r="B12" t="s">
        <v>82</v>
      </c>
      <c r="F12" s="33" t="s">
        <v>370</v>
      </c>
      <c r="G12" s="32"/>
      <c r="L12" s="32">
        <f>1339-1237</f>
        <v>102</v>
      </c>
      <c r="S12" s="95"/>
      <c r="T12" t="s">
        <v>95</v>
      </c>
      <c r="U12" s="28">
        <f>U10+U11</f>
        <v>2539</v>
      </c>
      <c r="V12" s="28">
        <f>V10+V11</f>
        <v>2539</v>
      </c>
      <c r="W12" s="28">
        <f>W10+W11</f>
        <v>1339</v>
      </c>
      <c r="X12" s="28">
        <f t="shared" ref="X12:AI12" si="2">X10+X11</f>
        <v>1339</v>
      </c>
      <c r="Y12" s="28">
        <f t="shared" si="2"/>
        <v>1237</v>
      </c>
      <c r="Z12" s="28">
        <f t="shared" si="2"/>
        <v>1237</v>
      </c>
      <c r="AA12" s="28">
        <f t="shared" si="2"/>
        <v>1237</v>
      </c>
      <c r="AB12" s="28">
        <f t="shared" si="2"/>
        <v>1237</v>
      </c>
      <c r="AC12" s="28">
        <f t="shared" si="2"/>
        <v>1237</v>
      </c>
      <c r="AD12" s="28">
        <f t="shared" si="2"/>
        <v>1237</v>
      </c>
      <c r="AE12" s="28">
        <f t="shared" si="2"/>
        <v>1237</v>
      </c>
      <c r="AF12" s="28">
        <f t="shared" si="2"/>
        <v>1237</v>
      </c>
      <c r="AG12" s="28">
        <f t="shared" si="2"/>
        <v>1237</v>
      </c>
      <c r="AH12" s="28">
        <f t="shared" si="2"/>
        <v>1237</v>
      </c>
      <c r="AI12" s="28">
        <f t="shared" si="2"/>
        <v>1237</v>
      </c>
    </row>
    <row r="14" spans="2:35">
      <c r="S14" s="17"/>
    </row>
    <row r="15" spans="2:35">
      <c r="B15" s="15" t="s">
        <v>74</v>
      </c>
      <c r="S15" s="17"/>
      <c r="U15">
        <v>2020</v>
      </c>
      <c r="V15">
        <v>2021</v>
      </c>
      <c r="W15">
        <v>2022</v>
      </c>
      <c r="X15">
        <v>2023</v>
      </c>
      <c r="Y15">
        <v>2024</v>
      </c>
      <c r="Z15">
        <v>2025</v>
      </c>
      <c r="AA15">
        <v>2026</v>
      </c>
      <c r="AB15">
        <v>2027</v>
      </c>
      <c r="AC15">
        <v>2028</v>
      </c>
      <c r="AD15">
        <v>2029</v>
      </c>
      <c r="AE15">
        <v>2030</v>
      </c>
      <c r="AF15">
        <v>2031</v>
      </c>
      <c r="AG15">
        <v>2032</v>
      </c>
      <c r="AH15">
        <v>2033</v>
      </c>
      <c r="AI15">
        <v>2034</v>
      </c>
    </row>
    <row r="16" spans="2:35">
      <c r="B16" t="s">
        <v>91</v>
      </c>
      <c r="S16" s="96" t="s">
        <v>93</v>
      </c>
      <c r="T16" t="s">
        <v>96</v>
      </c>
      <c r="U16" s="28">
        <f>'19-20 Retirements'!S22</f>
        <v>707.72500000000002</v>
      </c>
      <c r="V16" s="28">
        <f>U16</f>
        <v>707.72500000000002</v>
      </c>
      <c r="W16" s="28">
        <f t="shared" ref="W16:AI16" si="3">V16</f>
        <v>707.72500000000002</v>
      </c>
      <c r="X16" s="28">
        <f t="shared" si="3"/>
        <v>707.72500000000002</v>
      </c>
      <c r="Y16" s="28">
        <f t="shared" si="3"/>
        <v>707.72500000000002</v>
      </c>
      <c r="Z16" s="28">
        <f t="shared" si="3"/>
        <v>707.72500000000002</v>
      </c>
      <c r="AA16" s="28">
        <f t="shared" si="3"/>
        <v>707.72500000000002</v>
      </c>
      <c r="AB16" s="28">
        <f t="shared" si="3"/>
        <v>707.72500000000002</v>
      </c>
      <c r="AC16" s="28">
        <f t="shared" si="3"/>
        <v>707.72500000000002</v>
      </c>
      <c r="AD16" s="28">
        <f t="shared" si="3"/>
        <v>707.72500000000002</v>
      </c>
      <c r="AE16" s="28">
        <f t="shared" si="3"/>
        <v>707.72500000000002</v>
      </c>
      <c r="AF16" s="28">
        <f t="shared" si="3"/>
        <v>707.72500000000002</v>
      </c>
      <c r="AG16" s="28">
        <f t="shared" si="3"/>
        <v>707.72500000000002</v>
      </c>
      <c r="AH16" s="28">
        <f t="shared" si="3"/>
        <v>707.72500000000002</v>
      </c>
      <c r="AI16" s="28">
        <f t="shared" si="3"/>
        <v>707.72500000000002</v>
      </c>
    </row>
    <row r="17" spans="2:35">
      <c r="B17" s="29" t="s">
        <v>63</v>
      </c>
      <c r="C17" s="84">
        <v>2020</v>
      </c>
      <c r="D17" s="84">
        <v>2021</v>
      </c>
      <c r="E17" s="84">
        <v>2022</v>
      </c>
      <c r="F17" s="84">
        <v>2023</v>
      </c>
      <c r="G17" s="84">
        <v>2024</v>
      </c>
      <c r="H17" s="84">
        <v>2025</v>
      </c>
      <c r="I17" s="84">
        <v>2026</v>
      </c>
      <c r="J17" s="84">
        <v>2027</v>
      </c>
      <c r="K17" s="84">
        <v>2028</v>
      </c>
      <c r="L17" s="84">
        <v>2029</v>
      </c>
      <c r="M17" s="84">
        <v>2030</v>
      </c>
      <c r="N17" s="84">
        <v>2031</v>
      </c>
      <c r="O17" s="84">
        <v>2032</v>
      </c>
      <c r="P17" s="84">
        <v>2033</v>
      </c>
      <c r="Q17" s="84">
        <v>2034</v>
      </c>
      <c r="S17" s="96"/>
      <c r="T17" t="s">
        <v>368</v>
      </c>
      <c r="U17" s="28">
        <f>'19-20 Retirements'!S26</f>
        <v>0</v>
      </c>
      <c r="V17" s="17">
        <f>U17</f>
        <v>0</v>
      </c>
      <c r="W17" s="17">
        <f t="shared" ref="W17:AI17" si="4">V17</f>
        <v>0</v>
      </c>
      <c r="X17" s="17">
        <f t="shared" si="4"/>
        <v>0</v>
      </c>
      <c r="Y17" s="17">
        <f t="shared" si="4"/>
        <v>0</v>
      </c>
      <c r="Z17" s="17">
        <f t="shared" si="4"/>
        <v>0</v>
      </c>
      <c r="AA17" s="17">
        <f t="shared" si="4"/>
        <v>0</v>
      </c>
      <c r="AB17" s="17">
        <f t="shared" si="4"/>
        <v>0</v>
      </c>
      <c r="AC17" s="17">
        <f t="shared" si="4"/>
        <v>0</v>
      </c>
      <c r="AD17" s="17">
        <f t="shared" si="4"/>
        <v>0</v>
      </c>
      <c r="AE17" s="17">
        <f t="shared" si="4"/>
        <v>0</v>
      </c>
      <c r="AF17" s="17">
        <f t="shared" si="4"/>
        <v>0</v>
      </c>
      <c r="AG17" s="17">
        <f t="shared" si="4"/>
        <v>0</v>
      </c>
      <c r="AH17" s="17">
        <f t="shared" si="4"/>
        <v>0</v>
      </c>
      <c r="AI17" s="17">
        <f t="shared" si="4"/>
        <v>0</v>
      </c>
    </row>
    <row r="18" spans="2:35">
      <c r="B18" t="s">
        <v>83</v>
      </c>
      <c r="C18" s="90">
        <v>14574.791227002601</v>
      </c>
      <c r="D18" s="90">
        <v>18160.575493004701</v>
      </c>
      <c r="E18" s="90">
        <v>20974.720910006199</v>
      </c>
      <c r="F18" s="90">
        <v>23942.806032003198</v>
      </c>
      <c r="G18" s="90">
        <v>27094.8424580026</v>
      </c>
      <c r="H18" s="84">
        <v>31250</v>
      </c>
      <c r="I18" s="85">
        <v>34300</v>
      </c>
      <c r="J18" s="85">
        <v>37350</v>
      </c>
      <c r="K18" s="85">
        <v>40400</v>
      </c>
      <c r="L18" s="85">
        <v>43450</v>
      </c>
      <c r="M18" s="85">
        <v>46500</v>
      </c>
      <c r="N18" s="85">
        <v>49700</v>
      </c>
      <c r="O18" s="85">
        <v>52900</v>
      </c>
      <c r="P18" s="85">
        <v>56100</v>
      </c>
      <c r="Q18" s="85">
        <v>59300</v>
      </c>
      <c r="S18" s="96"/>
      <c r="T18" t="s">
        <v>69</v>
      </c>
      <c r="U18" s="28">
        <f>'19-20 Retirements'!S27</f>
        <v>1280</v>
      </c>
      <c r="V18" s="17">
        <f>V10-V16-V17</f>
        <v>1280</v>
      </c>
      <c r="W18" s="17">
        <f t="shared" ref="W18:AI18" si="5">W10-W16-W17</f>
        <v>79.999999999999886</v>
      </c>
      <c r="X18" s="17">
        <f t="shared" si="5"/>
        <v>79.999999999999886</v>
      </c>
      <c r="Y18" s="17">
        <f t="shared" si="5"/>
        <v>79.999999999999886</v>
      </c>
      <c r="Z18" s="17">
        <f t="shared" si="5"/>
        <v>79.999999999999886</v>
      </c>
      <c r="AA18" s="17">
        <f t="shared" si="5"/>
        <v>79.999999999999886</v>
      </c>
      <c r="AB18" s="17">
        <f t="shared" si="5"/>
        <v>79.999999999999886</v>
      </c>
      <c r="AC18" s="17">
        <f t="shared" si="5"/>
        <v>79.999999999999886</v>
      </c>
      <c r="AD18" s="17">
        <f t="shared" si="5"/>
        <v>79.999999999999886</v>
      </c>
      <c r="AE18" s="17">
        <f t="shared" si="5"/>
        <v>79.999999999999886</v>
      </c>
      <c r="AF18" s="17">
        <f t="shared" si="5"/>
        <v>79.999999999999886</v>
      </c>
      <c r="AG18" s="17">
        <f t="shared" si="5"/>
        <v>79.999999999999886</v>
      </c>
      <c r="AH18" s="17">
        <f t="shared" si="5"/>
        <v>79.999999999999886</v>
      </c>
      <c r="AI18" s="17">
        <f t="shared" si="5"/>
        <v>79.999999999999886</v>
      </c>
    </row>
    <row r="19" spans="2:35">
      <c r="B19" t="s">
        <v>84</v>
      </c>
      <c r="C19" s="90">
        <v>1635.8024</v>
      </c>
      <c r="D19" s="90">
        <v>1708.0429999999999</v>
      </c>
      <c r="E19" s="90">
        <v>1892.5023999999901</v>
      </c>
      <c r="F19" s="90">
        <v>2151.3620000000001</v>
      </c>
      <c r="G19" s="90">
        <v>2247.7716999999998</v>
      </c>
      <c r="H19" s="85">
        <v>3427</v>
      </c>
      <c r="I19" s="85">
        <v>4406</v>
      </c>
      <c r="J19" s="85">
        <v>5744</v>
      </c>
      <c r="K19" s="85">
        <v>9255</v>
      </c>
      <c r="L19" s="85">
        <v>13980</v>
      </c>
      <c r="M19" s="85">
        <v>19300</v>
      </c>
      <c r="N19" s="85">
        <v>23077</v>
      </c>
      <c r="O19" s="85">
        <v>25910</v>
      </c>
      <c r="P19" s="85">
        <v>27970</v>
      </c>
      <c r="Q19" s="85">
        <v>30010</v>
      </c>
      <c r="S19" s="17"/>
      <c r="T19" s="34" t="s">
        <v>369</v>
      </c>
      <c r="V19" s="17"/>
    </row>
    <row r="20" spans="2:35">
      <c r="B20" t="s">
        <v>85</v>
      </c>
      <c r="C20" s="90">
        <v>1805.7683999999999</v>
      </c>
      <c r="D20" s="90">
        <v>1841.1414</v>
      </c>
      <c r="E20" s="90">
        <v>1812.4233999999999</v>
      </c>
      <c r="F20" s="90">
        <v>1804.9964</v>
      </c>
      <c r="G20" s="90">
        <v>1802.8563999999999</v>
      </c>
      <c r="H20" s="85">
        <v>1886</v>
      </c>
      <c r="I20" s="85">
        <v>1901</v>
      </c>
      <c r="J20" s="85">
        <v>1916</v>
      </c>
      <c r="K20" s="85">
        <v>1936</v>
      </c>
      <c r="L20" s="85">
        <v>1956</v>
      </c>
      <c r="M20" s="85">
        <v>1976</v>
      </c>
      <c r="N20" s="85">
        <v>2008</v>
      </c>
      <c r="O20" s="85">
        <v>2039</v>
      </c>
      <c r="P20" s="85">
        <v>2069</v>
      </c>
      <c r="Q20" s="85">
        <v>2089</v>
      </c>
      <c r="S20" s="17"/>
      <c r="V20" s="20"/>
    </row>
    <row r="21" spans="2:35">
      <c r="B21" t="s">
        <v>86</v>
      </c>
      <c r="C21" s="90">
        <v>255.5</v>
      </c>
      <c r="D21" s="90">
        <v>255.5</v>
      </c>
      <c r="E21" s="90">
        <v>255.58</v>
      </c>
      <c r="F21" s="90">
        <v>255.58</v>
      </c>
      <c r="G21" s="90">
        <v>254.58</v>
      </c>
      <c r="H21" s="84">
        <v>256</v>
      </c>
      <c r="I21" s="84">
        <v>256</v>
      </c>
      <c r="J21" s="84">
        <v>256</v>
      </c>
      <c r="K21" s="84">
        <v>256</v>
      </c>
      <c r="L21" s="84">
        <v>256</v>
      </c>
      <c r="M21" s="84">
        <v>256</v>
      </c>
      <c r="N21" s="84">
        <v>256</v>
      </c>
      <c r="O21" s="84">
        <v>256</v>
      </c>
      <c r="P21" s="84">
        <v>256</v>
      </c>
      <c r="Q21" s="84">
        <v>256</v>
      </c>
      <c r="S21" s="17"/>
      <c r="V21" s="17"/>
    </row>
    <row r="22" spans="2:35">
      <c r="B22" t="s">
        <v>87</v>
      </c>
      <c r="C22" s="90">
        <v>1321.9880000000001</v>
      </c>
      <c r="D22" s="90">
        <v>1445.0340000000001</v>
      </c>
      <c r="E22" s="90">
        <v>1801.002</v>
      </c>
      <c r="F22" s="90">
        <v>1810.7360000000001</v>
      </c>
      <c r="G22" s="90">
        <v>1845.6469999999999</v>
      </c>
      <c r="H22" s="90">
        <v>1845.6469999999999</v>
      </c>
      <c r="I22" s="90">
        <v>1845.6469999999999</v>
      </c>
      <c r="J22" s="90">
        <v>1845.6469999999999</v>
      </c>
      <c r="K22" s="90">
        <v>1845.6469999999999</v>
      </c>
      <c r="L22" s="90">
        <v>1845.6469999999999</v>
      </c>
      <c r="M22" s="90">
        <v>1845.6469999999999</v>
      </c>
      <c r="N22" s="90">
        <v>1845.6469999999999</v>
      </c>
      <c r="O22" s="90">
        <v>1845.6469999999999</v>
      </c>
      <c r="P22" s="90">
        <v>1845.6469999999999</v>
      </c>
      <c r="Q22" s="90">
        <v>1845.6469999999999</v>
      </c>
      <c r="S22" s="17"/>
      <c r="V22" s="20"/>
    </row>
    <row r="23" spans="2:35">
      <c r="B23" t="s">
        <v>88</v>
      </c>
      <c r="C23" s="90">
        <v>604.71399999999903</v>
      </c>
      <c r="D23" s="90">
        <v>737.10899999999901</v>
      </c>
      <c r="E23" s="90">
        <v>878.95399999999904</v>
      </c>
      <c r="F23" s="90">
        <v>1065.7539999999899</v>
      </c>
      <c r="G23" s="90">
        <v>1085.6019999999901</v>
      </c>
      <c r="H23" s="85">
        <v>1547</v>
      </c>
      <c r="I23" s="85">
        <v>1747</v>
      </c>
      <c r="J23" s="85">
        <v>1947</v>
      </c>
      <c r="K23" s="85">
        <v>2147</v>
      </c>
      <c r="L23" s="85">
        <v>2347</v>
      </c>
      <c r="M23" s="85">
        <v>2547</v>
      </c>
      <c r="N23" s="85">
        <v>2697</v>
      </c>
      <c r="O23" s="85">
        <v>2847</v>
      </c>
      <c r="P23" s="85">
        <v>2997</v>
      </c>
      <c r="Q23" s="85">
        <v>3147</v>
      </c>
      <c r="S23" s="17"/>
      <c r="V23" s="17"/>
    </row>
    <row r="24" spans="2:35">
      <c r="B24" t="s">
        <v>89</v>
      </c>
      <c r="C24" s="90">
        <v>346.33</v>
      </c>
      <c r="D24" s="90">
        <v>346.33</v>
      </c>
      <c r="E24" s="90">
        <v>346.33</v>
      </c>
      <c r="F24" s="90">
        <v>346.33</v>
      </c>
      <c r="G24" s="90">
        <v>346.33</v>
      </c>
      <c r="H24" s="90">
        <v>346.33</v>
      </c>
      <c r="I24" s="90">
        <v>346.33</v>
      </c>
      <c r="J24" s="90">
        <v>346.33</v>
      </c>
      <c r="K24" s="90">
        <v>346.33</v>
      </c>
      <c r="L24" s="90">
        <v>346.33</v>
      </c>
      <c r="M24" s="90">
        <v>346.33</v>
      </c>
      <c r="N24" s="90">
        <v>346.33</v>
      </c>
      <c r="O24" s="90">
        <v>346.33</v>
      </c>
      <c r="P24" s="90">
        <v>346.33</v>
      </c>
      <c r="Q24" s="90">
        <v>346.33</v>
      </c>
      <c r="S24" s="17"/>
      <c r="V24" s="20"/>
    </row>
    <row r="31" spans="2:35">
      <c r="B31" s="29" t="s">
        <v>63</v>
      </c>
      <c r="C31">
        <v>2020</v>
      </c>
      <c r="D31">
        <v>2021</v>
      </c>
      <c r="E31">
        <v>2022</v>
      </c>
      <c r="F31">
        <v>2023</v>
      </c>
      <c r="G31">
        <v>2024</v>
      </c>
      <c r="H31">
        <v>2025</v>
      </c>
      <c r="I31">
        <v>2026</v>
      </c>
      <c r="J31">
        <v>2027</v>
      </c>
      <c r="K31">
        <v>2028</v>
      </c>
      <c r="L31">
        <v>2029</v>
      </c>
      <c r="M31">
        <v>2030</v>
      </c>
      <c r="N31">
        <v>2031</v>
      </c>
      <c r="O31">
        <v>2032</v>
      </c>
      <c r="P31">
        <v>2033</v>
      </c>
      <c r="Q31">
        <v>2034</v>
      </c>
    </row>
    <row r="32" spans="2:35">
      <c r="B32" s="17" t="s">
        <v>14</v>
      </c>
      <c r="C32">
        <f>C6</f>
        <v>35842</v>
      </c>
      <c r="D32">
        <f t="shared" ref="D32:Q32" si="6">D6</f>
        <v>37302</v>
      </c>
      <c r="E32">
        <f t="shared" si="6"/>
        <v>38342</v>
      </c>
      <c r="F32">
        <f t="shared" si="6"/>
        <v>40200</v>
      </c>
      <c r="G32">
        <f t="shared" si="6"/>
        <v>41200</v>
      </c>
      <c r="H32">
        <f t="shared" si="6"/>
        <v>40200</v>
      </c>
      <c r="I32">
        <f t="shared" si="6"/>
        <v>37600</v>
      </c>
      <c r="J32">
        <f t="shared" si="6"/>
        <v>36100</v>
      </c>
      <c r="K32">
        <f t="shared" si="6"/>
        <v>34600</v>
      </c>
      <c r="L32">
        <f t="shared" si="6"/>
        <v>32700.000000000004</v>
      </c>
      <c r="M32">
        <f t="shared" si="6"/>
        <v>31700</v>
      </c>
      <c r="N32">
        <f t="shared" si="6"/>
        <v>30700</v>
      </c>
      <c r="O32">
        <f t="shared" si="6"/>
        <v>29700</v>
      </c>
      <c r="P32">
        <f t="shared" si="6"/>
        <v>29700</v>
      </c>
      <c r="Q32">
        <f t="shared" si="6"/>
        <v>28100</v>
      </c>
    </row>
    <row r="33" spans="2:17">
      <c r="B33" s="17" t="s">
        <v>9</v>
      </c>
      <c r="C33">
        <f>C7</f>
        <v>41316</v>
      </c>
      <c r="D33">
        <f t="shared" ref="D33:Q33" si="7">D7</f>
        <v>41340</v>
      </c>
      <c r="E33">
        <f t="shared" si="7"/>
        <v>43330</v>
      </c>
      <c r="F33">
        <f t="shared" si="7"/>
        <v>43500</v>
      </c>
      <c r="G33">
        <f t="shared" si="7"/>
        <v>45300</v>
      </c>
      <c r="H33">
        <f t="shared" si="7"/>
        <v>47700</v>
      </c>
      <c r="I33">
        <f t="shared" si="7"/>
        <v>52400</v>
      </c>
      <c r="J33">
        <f t="shared" si="7"/>
        <v>54100</v>
      </c>
      <c r="K33">
        <f t="shared" si="7"/>
        <v>55700</v>
      </c>
      <c r="L33">
        <f t="shared" si="7"/>
        <v>57600</v>
      </c>
      <c r="M33">
        <f t="shared" si="7"/>
        <v>58600</v>
      </c>
      <c r="N33">
        <f t="shared" si="7"/>
        <v>59800</v>
      </c>
      <c r="O33">
        <f t="shared" si="7"/>
        <v>61900</v>
      </c>
      <c r="P33">
        <f t="shared" si="7"/>
        <v>62000</v>
      </c>
      <c r="Q33">
        <f t="shared" si="7"/>
        <v>63600</v>
      </c>
    </row>
    <row r="34" spans="2:17">
      <c r="B34" s="17" t="s">
        <v>0</v>
      </c>
      <c r="C34">
        <f>C5</f>
        <v>20250</v>
      </c>
      <c r="D34">
        <f t="shared" ref="D34:Q34" si="8">D5</f>
        <v>24650</v>
      </c>
      <c r="E34">
        <f t="shared" si="8"/>
        <v>26050</v>
      </c>
      <c r="F34">
        <f t="shared" si="8"/>
        <v>26100</v>
      </c>
      <c r="G34">
        <f t="shared" si="8"/>
        <v>27500</v>
      </c>
      <c r="H34">
        <f t="shared" si="8"/>
        <v>28900</v>
      </c>
      <c r="I34">
        <f t="shared" si="8"/>
        <v>28900</v>
      </c>
      <c r="J34">
        <f t="shared" si="8"/>
        <v>28900</v>
      </c>
      <c r="K34">
        <f t="shared" si="8"/>
        <v>28900</v>
      </c>
      <c r="L34">
        <f t="shared" si="8"/>
        <v>28900</v>
      </c>
      <c r="M34">
        <f t="shared" si="8"/>
        <v>28900</v>
      </c>
      <c r="N34">
        <f t="shared" si="8"/>
        <v>28900</v>
      </c>
      <c r="O34">
        <f t="shared" si="8"/>
        <v>30300</v>
      </c>
      <c r="P34">
        <f t="shared" si="8"/>
        <v>31700</v>
      </c>
      <c r="Q34">
        <f t="shared" si="8"/>
        <v>31700</v>
      </c>
    </row>
    <row r="35" spans="2:17">
      <c r="B35" s="17" t="s">
        <v>1</v>
      </c>
      <c r="C35">
        <f>C20</f>
        <v>1805.7683999999999</v>
      </c>
      <c r="D35">
        <f t="shared" ref="D35:Q35" si="9">D20</f>
        <v>1841.1414</v>
      </c>
      <c r="E35">
        <f t="shared" si="9"/>
        <v>1812.4233999999999</v>
      </c>
      <c r="F35" s="28">
        <f>F20</f>
        <v>1804.9964</v>
      </c>
      <c r="G35">
        <f t="shared" si="9"/>
        <v>1802.8563999999999</v>
      </c>
      <c r="H35">
        <f t="shared" si="9"/>
        <v>1886</v>
      </c>
      <c r="I35">
        <f t="shared" si="9"/>
        <v>1901</v>
      </c>
      <c r="J35">
        <f t="shared" si="9"/>
        <v>1916</v>
      </c>
      <c r="K35">
        <f t="shared" si="9"/>
        <v>1936</v>
      </c>
      <c r="L35">
        <f t="shared" si="9"/>
        <v>1956</v>
      </c>
      <c r="M35">
        <f t="shared" si="9"/>
        <v>1976</v>
      </c>
      <c r="N35">
        <f t="shared" si="9"/>
        <v>2008</v>
      </c>
      <c r="O35">
        <f t="shared" si="9"/>
        <v>2039</v>
      </c>
      <c r="P35">
        <f t="shared" si="9"/>
        <v>2069</v>
      </c>
      <c r="Q35">
        <f t="shared" si="9"/>
        <v>2089</v>
      </c>
    </row>
    <row r="36" spans="2:17">
      <c r="B36" s="17" t="s">
        <v>15</v>
      </c>
      <c r="C36">
        <f>C19</f>
        <v>1635.8024</v>
      </c>
      <c r="D36">
        <f t="shared" ref="D36:Q36" si="10">D19</f>
        <v>1708.0429999999999</v>
      </c>
      <c r="E36">
        <f t="shared" si="10"/>
        <v>1892.5023999999901</v>
      </c>
      <c r="F36">
        <f t="shared" si="10"/>
        <v>2151.3620000000001</v>
      </c>
      <c r="G36">
        <f t="shared" si="10"/>
        <v>2247.7716999999998</v>
      </c>
      <c r="H36">
        <f t="shared" si="10"/>
        <v>3427</v>
      </c>
      <c r="I36">
        <f t="shared" si="10"/>
        <v>4406</v>
      </c>
      <c r="J36">
        <f t="shared" si="10"/>
        <v>5744</v>
      </c>
      <c r="K36">
        <f t="shared" si="10"/>
        <v>9255</v>
      </c>
      <c r="L36">
        <f t="shared" si="10"/>
        <v>13980</v>
      </c>
      <c r="M36">
        <f t="shared" si="10"/>
        <v>19300</v>
      </c>
      <c r="N36">
        <f t="shared" si="10"/>
        <v>23077</v>
      </c>
      <c r="O36">
        <f t="shared" si="10"/>
        <v>25910</v>
      </c>
      <c r="P36">
        <f t="shared" si="10"/>
        <v>27970</v>
      </c>
      <c r="Q36">
        <f t="shared" si="10"/>
        <v>30010</v>
      </c>
    </row>
    <row r="37" spans="2:17">
      <c r="B37" s="17" t="s">
        <v>2</v>
      </c>
      <c r="C37">
        <f>C18</f>
        <v>14574.791227002601</v>
      </c>
      <c r="D37">
        <f t="shared" ref="D37:Q37" si="11">D18</f>
        <v>18160.575493004701</v>
      </c>
      <c r="E37">
        <f t="shared" si="11"/>
        <v>20974.720910006199</v>
      </c>
      <c r="F37">
        <f t="shared" si="11"/>
        <v>23942.806032003198</v>
      </c>
      <c r="G37">
        <f t="shared" si="11"/>
        <v>27094.8424580026</v>
      </c>
      <c r="H37">
        <f t="shared" si="11"/>
        <v>31250</v>
      </c>
      <c r="I37">
        <f t="shared" si="11"/>
        <v>34300</v>
      </c>
      <c r="J37">
        <f t="shared" si="11"/>
        <v>37350</v>
      </c>
      <c r="K37">
        <f t="shared" si="11"/>
        <v>40400</v>
      </c>
      <c r="L37">
        <f t="shared" si="11"/>
        <v>43450</v>
      </c>
      <c r="M37">
        <f t="shared" si="11"/>
        <v>46500</v>
      </c>
      <c r="N37">
        <f t="shared" si="11"/>
        <v>49700</v>
      </c>
      <c r="O37">
        <f t="shared" si="11"/>
        <v>52900</v>
      </c>
      <c r="P37">
        <f t="shared" si="11"/>
        <v>56100</v>
      </c>
      <c r="Q37">
        <f t="shared" si="11"/>
        <v>59300</v>
      </c>
    </row>
    <row r="38" spans="2:17">
      <c r="B38" s="17" t="s">
        <v>3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  <c r="I38">
        <f>0</f>
        <v>0</v>
      </c>
      <c r="J38">
        <f>0</f>
        <v>0</v>
      </c>
      <c r="K38">
        <f>0</f>
        <v>0</v>
      </c>
      <c r="L38">
        <f>0</f>
        <v>0</v>
      </c>
      <c r="M38">
        <f>0</f>
        <v>0</v>
      </c>
      <c r="N38">
        <f>0</f>
        <v>0</v>
      </c>
      <c r="O38">
        <f>0</f>
        <v>0</v>
      </c>
      <c r="P38">
        <f>0</f>
        <v>0</v>
      </c>
      <c r="Q38">
        <f>0</f>
        <v>0</v>
      </c>
    </row>
    <row r="39" spans="2:17">
      <c r="B39" s="17" t="s">
        <v>4</v>
      </c>
      <c r="C39">
        <f>C22</f>
        <v>1321.9880000000001</v>
      </c>
      <c r="D39">
        <f t="shared" ref="D39:Q39" si="12">D22</f>
        <v>1445.0340000000001</v>
      </c>
      <c r="E39">
        <f t="shared" si="12"/>
        <v>1801.002</v>
      </c>
      <c r="F39">
        <f t="shared" si="12"/>
        <v>1810.7360000000001</v>
      </c>
      <c r="G39">
        <f t="shared" si="12"/>
        <v>1845.6469999999999</v>
      </c>
      <c r="H39">
        <f t="shared" si="12"/>
        <v>1845.6469999999999</v>
      </c>
      <c r="I39">
        <f t="shared" si="12"/>
        <v>1845.6469999999999</v>
      </c>
      <c r="J39">
        <f t="shared" si="12"/>
        <v>1845.6469999999999</v>
      </c>
      <c r="K39">
        <f t="shared" si="12"/>
        <v>1845.6469999999999</v>
      </c>
      <c r="L39">
        <f t="shared" si="12"/>
        <v>1845.6469999999999</v>
      </c>
      <c r="M39">
        <f t="shared" si="12"/>
        <v>1845.6469999999999</v>
      </c>
      <c r="N39">
        <f t="shared" si="12"/>
        <v>1845.6469999999999</v>
      </c>
      <c r="O39">
        <f t="shared" si="12"/>
        <v>1845.6469999999999</v>
      </c>
      <c r="P39">
        <f t="shared" si="12"/>
        <v>1845.6469999999999</v>
      </c>
      <c r="Q39">
        <f t="shared" si="12"/>
        <v>1845.6469999999999</v>
      </c>
    </row>
    <row r="40" spans="2:17">
      <c r="B40" s="17" t="s">
        <v>5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  <c r="I40">
        <f>0</f>
        <v>0</v>
      </c>
      <c r="J40">
        <f>0</f>
        <v>0</v>
      </c>
      <c r="K40">
        <f>0</f>
        <v>0</v>
      </c>
      <c r="L40">
        <f>0</f>
        <v>0</v>
      </c>
      <c r="M40">
        <f>0</f>
        <v>0</v>
      </c>
      <c r="N40">
        <f>0</f>
        <v>0</v>
      </c>
      <c r="O40">
        <f>0</f>
        <v>0</v>
      </c>
      <c r="P40">
        <f>0</f>
        <v>0</v>
      </c>
      <c r="Q40">
        <f>0</f>
        <v>0</v>
      </c>
    </row>
    <row r="41" spans="2:17">
      <c r="B41" s="17" t="s">
        <v>10</v>
      </c>
      <c r="C41" s="28">
        <f>U16</f>
        <v>707.72500000000002</v>
      </c>
      <c r="D41" s="28">
        <f t="shared" ref="D41:Q41" si="13">V16</f>
        <v>707.72500000000002</v>
      </c>
      <c r="E41" s="28">
        <f t="shared" si="13"/>
        <v>707.72500000000002</v>
      </c>
      <c r="F41" s="28">
        <f t="shared" si="13"/>
        <v>707.72500000000002</v>
      </c>
      <c r="G41" s="28">
        <f t="shared" si="13"/>
        <v>707.72500000000002</v>
      </c>
      <c r="H41" s="28">
        <f t="shared" si="13"/>
        <v>707.72500000000002</v>
      </c>
      <c r="I41" s="28">
        <f t="shared" si="13"/>
        <v>707.72500000000002</v>
      </c>
      <c r="J41" s="28">
        <f t="shared" si="13"/>
        <v>707.72500000000002</v>
      </c>
      <c r="K41" s="28">
        <f t="shared" si="13"/>
        <v>707.72500000000002</v>
      </c>
      <c r="L41" s="28">
        <f t="shared" si="13"/>
        <v>707.72500000000002</v>
      </c>
      <c r="M41" s="28">
        <f t="shared" si="13"/>
        <v>707.72500000000002</v>
      </c>
      <c r="N41" s="28">
        <f t="shared" si="13"/>
        <v>707.72500000000002</v>
      </c>
      <c r="O41" s="28">
        <f t="shared" si="13"/>
        <v>707.72500000000002</v>
      </c>
      <c r="P41" s="28">
        <f t="shared" si="13"/>
        <v>707.72500000000002</v>
      </c>
      <c r="Q41" s="28">
        <f t="shared" si="13"/>
        <v>707.72500000000002</v>
      </c>
    </row>
    <row r="42" spans="2:17">
      <c r="B42" s="17" t="s">
        <v>11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  <c r="I42">
        <f>0</f>
        <v>0</v>
      </c>
      <c r="J42">
        <f>0</f>
        <v>0</v>
      </c>
      <c r="K42">
        <f>0</f>
        <v>0</v>
      </c>
      <c r="L42">
        <f>0</f>
        <v>0</v>
      </c>
      <c r="M42">
        <f>0</f>
        <v>0</v>
      </c>
      <c r="N42">
        <f>0</f>
        <v>0</v>
      </c>
      <c r="O42">
        <f>0</f>
        <v>0</v>
      </c>
      <c r="P42">
        <f>0</f>
        <v>0</v>
      </c>
      <c r="Q42">
        <f>0</f>
        <v>0</v>
      </c>
    </row>
    <row r="43" spans="2:17">
      <c r="B43" s="17" t="s">
        <v>12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  <c r="I43">
        <f>0</f>
        <v>0</v>
      </c>
      <c r="J43">
        <f>0</f>
        <v>0</v>
      </c>
      <c r="K43">
        <f>0</f>
        <v>0</v>
      </c>
      <c r="L43">
        <f>0</f>
        <v>0</v>
      </c>
      <c r="M43">
        <f>0</f>
        <v>0</v>
      </c>
      <c r="N43">
        <f>0</f>
        <v>0</v>
      </c>
      <c r="O43">
        <f>0</f>
        <v>0</v>
      </c>
      <c r="P43">
        <f>0</f>
        <v>0</v>
      </c>
      <c r="Q43">
        <f>0</f>
        <v>0</v>
      </c>
    </row>
    <row r="44" spans="2:17">
      <c r="B44" s="17" t="s">
        <v>13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  <c r="I44">
        <f>0</f>
        <v>0</v>
      </c>
      <c r="J44">
        <f>0</f>
        <v>0</v>
      </c>
      <c r="K44">
        <f>0</f>
        <v>0</v>
      </c>
      <c r="L44">
        <f>0</f>
        <v>0</v>
      </c>
      <c r="M44">
        <f>0</f>
        <v>0</v>
      </c>
      <c r="N44">
        <f>0</f>
        <v>0</v>
      </c>
      <c r="O44">
        <f>0</f>
        <v>0</v>
      </c>
      <c r="P44">
        <f>0</f>
        <v>0</v>
      </c>
      <c r="Q44">
        <f>0</f>
        <v>0</v>
      </c>
    </row>
    <row r="45" spans="2:17">
      <c r="B45" s="15" t="s">
        <v>23</v>
      </c>
      <c r="C45" s="28">
        <f>U17</f>
        <v>0</v>
      </c>
      <c r="D45" s="28">
        <f t="shared" ref="D45:Q45" si="14">V17</f>
        <v>0</v>
      </c>
      <c r="E45" s="28">
        <f t="shared" si="14"/>
        <v>0</v>
      </c>
      <c r="F45" s="28">
        <f t="shared" si="14"/>
        <v>0</v>
      </c>
      <c r="G45" s="28">
        <f t="shared" si="14"/>
        <v>0</v>
      </c>
      <c r="H45" s="28">
        <f t="shared" si="14"/>
        <v>0</v>
      </c>
      <c r="I45" s="28">
        <f t="shared" si="14"/>
        <v>0</v>
      </c>
      <c r="J45" s="28">
        <f t="shared" si="14"/>
        <v>0</v>
      </c>
      <c r="K45" s="28">
        <f t="shared" si="14"/>
        <v>0</v>
      </c>
      <c r="L45" s="28">
        <f t="shared" si="14"/>
        <v>0</v>
      </c>
      <c r="M45" s="28">
        <f t="shared" si="14"/>
        <v>0</v>
      </c>
      <c r="N45" s="28">
        <f t="shared" si="14"/>
        <v>0</v>
      </c>
      <c r="O45" s="28">
        <f t="shared" si="14"/>
        <v>0</v>
      </c>
      <c r="P45" s="28">
        <f t="shared" si="14"/>
        <v>0</v>
      </c>
      <c r="Q45" s="28">
        <f t="shared" si="14"/>
        <v>0</v>
      </c>
    </row>
    <row r="46" spans="2:17">
      <c r="B46" s="15" t="s">
        <v>24</v>
      </c>
      <c r="C46" s="28">
        <f>U18</f>
        <v>1280</v>
      </c>
      <c r="D46" s="28">
        <f t="shared" ref="D46:Q46" si="15">V18</f>
        <v>1280</v>
      </c>
      <c r="E46" s="28">
        <f t="shared" si="15"/>
        <v>79.999999999999886</v>
      </c>
      <c r="F46" s="28">
        <f t="shared" si="15"/>
        <v>79.999999999999886</v>
      </c>
      <c r="G46" s="28">
        <f t="shared" si="15"/>
        <v>79.999999999999886</v>
      </c>
      <c r="H46" s="28">
        <f t="shared" si="15"/>
        <v>79.999999999999886</v>
      </c>
      <c r="I46" s="28">
        <f t="shared" si="15"/>
        <v>79.999999999999886</v>
      </c>
      <c r="J46" s="28">
        <f t="shared" si="15"/>
        <v>79.999999999999886</v>
      </c>
      <c r="K46" s="28">
        <f t="shared" si="15"/>
        <v>79.999999999999886</v>
      </c>
      <c r="L46" s="28">
        <f t="shared" si="15"/>
        <v>79.999999999999886</v>
      </c>
      <c r="M46" s="28">
        <f t="shared" si="15"/>
        <v>79.999999999999886</v>
      </c>
      <c r="N46" s="28">
        <f t="shared" si="15"/>
        <v>79.999999999999886</v>
      </c>
      <c r="O46" s="28">
        <f t="shared" si="15"/>
        <v>79.999999999999886</v>
      </c>
      <c r="P46" s="28">
        <f t="shared" si="15"/>
        <v>79.999999999999886</v>
      </c>
      <c r="Q46" s="28">
        <f t="shared" si="15"/>
        <v>79.999999999999886</v>
      </c>
    </row>
    <row r="47" spans="2:17">
      <c r="B47" s="15" t="s">
        <v>25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  <c r="I47">
        <f>0</f>
        <v>0</v>
      </c>
      <c r="J47">
        <f>0</f>
        <v>0</v>
      </c>
      <c r="K47">
        <f>0</f>
        <v>0</v>
      </c>
      <c r="L47">
        <f>0</f>
        <v>0</v>
      </c>
      <c r="M47">
        <f>0</f>
        <v>0</v>
      </c>
      <c r="N47">
        <f>0</f>
        <v>0</v>
      </c>
      <c r="O47">
        <f>0</f>
        <v>0</v>
      </c>
      <c r="P47">
        <f>0</f>
        <v>0</v>
      </c>
      <c r="Q47">
        <f>0</f>
        <v>0</v>
      </c>
    </row>
    <row r="50" spans="2:17">
      <c r="B50" s="29" t="s">
        <v>374</v>
      </c>
      <c r="D50">
        <v>2021</v>
      </c>
      <c r="E50">
        <v>2022</v>
      </c>
      <c r="F50">
        <v>2023</v>
      </c>
      <c r="G50">
        <v>2024</v>
      </c>
      <c r="H50">
        <v>2025</v>
      </c>
      <c r="I50">
        <v>2026</v>
      </c>
      <c r="J50">
        <v>2027</v>
      </c>
      <c r="K50">
        <v>2028</v>
      </c>
      <c r="L50">
        <v>2029</v>
      </c>
      <c r="M50">
        <v>2030</v>
      </c>
      <c r="N50">
        <v>2031</v>
      </c>
      <c r="O50">
        <v>2032</v>
      </c>
      <c r="P50">
        <v>2033</v>
      </c>
      <c r="Q50">
        <v>2034</v>
      </c>
    </row>
    <row r="51" spans="2:17">
      <c r="B51" s="17" t="s">
        <v>14</v>
      </c>
      <c r="D51">
        <f>D32-C32</f>
        <v>1460</v>
      </c>
      <c r="E51">
        <f t="shared" ref="E51:Q51" si="16">E32-D32</f>
        <v>1040</v>
      </c>
      <c r="F51">
        <f t="shared" si="16"/>
        <v>1858</v>
      </c>
      <c r="G51">
        <f t="shared" si="16"/>
        <v>1000</v>
      </c>
      <c r="H51">
        <f t="shared" si="16"/>
        <v>-1000</v>
      </c>
      <c r="I51">
        <f t="shared" si="16"/>
        <v>-2600</v>
      </c>
      <c r="J51">
        <f t="shared" si="16"/>
        <v>-1500</v>
      </c>
      <c r="K51">
        <f t="shared" si="16"/>
        <v>-1500</v>
      </c>
      <c r="L51">
        <f t="shared" si="16"/>
        <v>-1899.9999999999964</v>
      </c>
      <c r="M51">
        <f t="shared" si="16"/>
        <v>-1000.0000000000036</v>
      </c>
      <c r="N51">
        <f t="shared" si="16"/>
        <v>-1000</v>
      </c>
      <c r="O51">
        <f t="shared" si="16"/>
        <v>-1000</v>
      </c>
      <c r="P51">
        <f t="shared" si="16"/>
        <v>0</v>
      </c>
      <c r="Q51">
        <f t="shared" si="16"/>
        <v>-1600</v>
      </c>
    </row>
    <row r="52" spans="2:17">
      <c r="B52" s="17" t="s">
        <v>9</v>
      </c>
      <c r="D52">
        <f t="shared" ref="D52:Q66" si="17">D33-C33</f>
        <v>24</v>
      </c>
      <c r="E52">
        <f t="shared" si="17"/>
        <v>1990</v>
      </c>
      <c r="F52">
        <f t="shared" si="17"/>
        <v>170</v>
      </c>
      <c r="G52">
        <f t="shared" si="17"/>
        <v>1800</v>
      </c>
      <c r="H52">
        <f t="shared" si="17"/>
        <v>2400</v>
      </c>
      <c r="I52">
        <f t="shared" si="17"/>
        <v>4700</v>
      </c>
      <c r="J52">
        <f t="shared" si="17"/>
        <v>1700</v>
      </c>
      <c r="K52">
        <f t="shared" si="17"/>
        <v>1600</v>
      </c>
      <c r="L52">
        <f t="shared" si="17"/>
        <v>1900</v>
      </c>
      <c r="M52">
        <f t="shared" si="17"/>
        <v>1000</v>
      </c>
      <c r="N52">
        <f t="shared" si="17"/>
        <v>1200</v>
      </c>
      <c r="O52">
        <f t="shared" si="17"/>
        <v>2100</v>
      </c>
      <c r="P52">
        <f t="shared" si="17"/>
        <v>100</v>
      </c>
      <c r="Q52">
        <f t="shared" si="17"/>
        <v>1600</v>
      </c>
    </row>
    <row r="53" spans="2:17">
      <c r="B53" s="17" t="s">
        <v>0</v>
      </c>
      <c r="D53">
        <f t="shared" si="17"/>
        <v>4400</v>
      </c>
      <c r="E53">
        <f t="shared" si="17"/>
        <v>1400</v>
      </c>
      <c r="F53">
        <f t="shared" si="17"/>
        <v>50</v>
      </c>
      <c r="G53">
        <f t="shared" si="17"/>
        <v>1400</v>
      </c>
      <c r="H53">
        <f t="shared" si="17"/>
        <v>1400</v>
      </c>
      <c r="I53">
        <f t="shared" si="17"/>
        <v>0</v>
      </c>
      <c r="J53">
        <f t="shared" si="17"/>
        <v>0</v>
      </c>
      <c r="K53">
        <f t="shared" si="17"/>
        <v>0</v>
      </c>
      <c r="L53">
        <f t="shared" si="17"/>
        <v>0</v>
      </c>
      <c r="M53">
        <f t="shared" si="17"/>
        <v>0</v>
      </c>
      <c r="N53">
        <f t="shared" si="17"/>
        <v>0</v>
      </c>
      <c r="O53">
        <f t="shared" si="17"/>
        <v>1400</v>
      </c>
      <c r="P53">
        <f t="shared" si="17"/>
        <v>1400</v>
      </c>
      <c r="Q53">
        <f t="shared" si="17"/>
        <v>0</v>
      </c>
    </row>
    <row r="54" spans="2:17">
      <c r="B54" s="17" t="s">
        <v>1</v>
      </c>
      <c r="D54">
        <f t="shared" si="17"/>
        <v>35.373000000000047</v>
      </c>
      <c r="E54">
        <f t="shared" si="17"/>
        <v>-28.718000000000075</v>
      </c>
      <c r="F54">
        <f t="shared" si="17"/>
        <v>-7.4269999999999072</v>
      </c>
      <c r="G54">
        <f>G35-F35</f>
        <v>-2.1400000000001</v>
      </c>
      <c r="H54">
        <f t="shared" si="17"/>
        <v>83.143600000000106</v>
      </c>
      <c r="I54">
        <f t="shared" si="17"/>
        <v>15</v>
      </c>
      <c r="J54">
        <f t="shared" si="17"/>
        <v>15</v>
      </c>
      <c r="K54">
        <f t="shared" si="17"/>
        <v>20</v>
      </c>
      <c r="L54">
        <f t="shared" si="17"/>
        <v>20</v>
      </c>
      <c r="M54">
        <f t="shared" si="17"/>
        <v>20</v>
      </c>
      <c r="N54">
        <f t="shared" si="17"/>
        <v>32</v>
      </c>
      <c r="O54">
        <f t="shared" si="17"/>
        <v>31</v>
      </c>
      <c r="P54">
        <f t="shared" si="17"/>
        <v>30</v>
      </c>
      <c r="Q54">
        <f t="shared" si="17"/>
        <v>20</v>
      </c>
    </row>
    <row r="55" spans="2:17">
      <c r="B55" s="17" t="s">
        <v>15</v>
      </c>
      <c r="D55">
        <f t="shared" si="17"/>
        <v>72.240599999999858</v>
      </c>
      <c r="E55">
        <f t="shared" si="17"/>
        <v>184.45939999999018</v>
      </c>
      <c r="F55">
        <f t="shared" si="17"/>
        <v>258.85960000001</v>
      </c>
      <c r="G55">
        <f t="shared" si="17"/>
        <v>96.409699999999702</v>
      </c>
      <c r="H55">
        <f t="shared" si="17"/>
        <v>1179.2283000000002</v>
      </c>
      <c r="I55">
        <f t="shared" si="17"/>
        <v>979</v>
      </c>
      <c r="J55">
        <f t="shared" si="17"/>
        <v>1338</v>
      </c>
      <c r="K55">
        <f t="shared" si="17"/>
        <v>3511</v>
      </c>
      <c r="L55">
        <f t="shared" si="17"/>
        <v>4725</v>
      </c>
      <c r="M55">
        <f t="shared" si="17"/>
        <v>5320</v>
      </c>
      <c r="N55">
        <f t="shared" si="17"/>
        <v>3777</v>
      </c>
      <c r="O55">
        <f t="shared" si="17"/>
        <v>2833</v>
      </c>
      <c r="P55">
        <f t="shared" si="17"/>
        <v>2060</v>
      </c>
      <c r="Q55">
        <f t="shared" si="17"/>
        <v>2040</v>
      </c>
    </row>
    <row r="56" spans="2:17">
      <c r="B56" s="17" t="s">
        <v>2</v>
      </c>
      <c r="D56">
        <f t="shared" si="17"/>
        <v>3585.7842660020997</v>
      </c>
      <c r="E56">
        <f t="shared" si="17"/>
        <v>2814.1454170014986</v>
      </c>
      <c r="F56">
        <f t="shared" si="17"/>
        <v>2968.0851219969991</v>
      </c>
      <c r="G56">
        <f t="shared" si="17"/>
        <v>3152.0364259994021</v>
      </c>
      <c r="H56">
        <f t="shared" si="17"/>
        <v>4155.1575419973997</v>
      </c>
      <c r="I56">
        <f t="shared" si="17"/>
        <v>3050</v>
      </c>
      <c r="J56">
        <f t="shared" si="17"/>
        <v>3050</v>
      </c>
      <c r="K56">
        <f t="shared" si="17"/>
        <v>3050</v>
      </c>
      <c r="L56">
        <f t="shared" si="17"/>
        <v>3050</v>
      </c>
      <c r="M56">
        <f t="shared" si="17"/>
        <v>3050</v>
      </c>
      <c r="N56">
        <f t="shared" si="17"/>
        <v>3200</v>
      </c>
      <c r="O56">
        <f t="shared" si="17"/>
        <v>3200</v>
      </c>
      <c r="P56">
        <f t="shared" si="17"/>
        <v>3200</v>
      </c>
      <c r="Q56">
        <f t="shared" si="17"/>
        <v>3200</v>
      </c>
    </row>
    <row r="57" spans="2:17">
      <c r="B57" s="17" t="s">
        <v>3</v>
      </c>
      <c r="D57">
        <f t="shared" si="17"/>
        <v>0</v>
      </c>
      <c r="E57">
        <f t="shared" si="17"/>
        <v>0</v>
      </c>
      <c r="F57">
        <f t="shared" si="17"/>
        <v>0</v>
      </c>
      <c r="G57">
        <f t="shared" si="17"/>
        <v>0</v>
      </c>
      <c r="H57">
        <f t="shared" si="17"/>
        <v>0</v>
      </c>
      <c r="I57">
        <f t="shared" si="17"/>
        <v>0</v>
      </c>
      <c r="J57">
        <f t="shared" si="17"/>
        <v>0</v>
      </c>
      <c r="K57">
        <f t="shared" si="17"/>
        <v>0</v>
      </c>
      <c r="L57">
        <f t="shared" si="17"/>
        <v>0</v>
      </c>
      <c r="M57">
        <f t="shared" si="17"/>
        <v>0</v>
      </c>
      <c r="N57">
        <f t="shared" si="17"/>
        <v>0</v>
      </c>
      <c r="O57">
        <f t="shared" si="17"/>
        <v>0</v>
      </c>
      <c r="P57">
        <f t="shared" si="17"/>
        <v>0</v>
      </c>
      <c r="Q57">
        <f t="shared" si="17"/>
        <v>0</v>
      </c>
    </row>
    <row r="58" spans="2:17">
      <c r="B58" s="17" t="s">
        <v>4</v>
      </c>
      <c r="D58">
        <f t="shared" si="17"/>
        <v>123.04600000000005</v>
      </c>
      <c r="E58">
        <f t="shared" si="17"/>
        <v>355.96799999999985</v>
      </c>
      <c r="F58">
        <f t="shared" si="17"/>
        <v>9.734000000000151</v>
      </c>
      <c r="G58">
        <f t="shared" si="17"/>
        <v>34.910999999999831</v>
      </c>
      <c r="H58">
        <f t="shared" si="17"/>
        <v>0</v>
      </c>
      <c r="I58">
        <f t="shared" si="17"/>
        <v>0</v>
      </c>
      <c r="J58">
        <f t="shared" si="17"/>
        <v>0</v>
      </c>
      <c r="K58">
        <f t="shared" si="17"/>
        <v>0</v>
      </c>
      <c r="L58">
        <f t="shared" si="17"/>
        <v>0</v>
      </c>
      <c r="M58">
        <f t="shared" si="17"/>
        <v>0</v>
      </c>
      <c r="N58">
        <f t="shared" si="17"/>
        <v>0</v>
      </c>
      <c r="O58">
        <f t="shared" si="17"/>
        <v>0</v>
      </c>
      <c r="P58">
        <f t="shared" si="17"/>
        <v>0</v>
      </c>
      <c r="Q58">
        <f t="shared" si="17"/>
        <v>0</v>
      </c>
    </row>
    <row r="59" spans="2:17">
      <c r="B59" s="17" t="s">
        <v>5</v>
      </c>
      <c r="D59">
        <f t="shared" si="17"/>
        <v>0</v>
      </c>
      <c r="E59">
        <f t="shared" si="17"/>
        <v>0</v>
      </c>
      <c r="F59">
        <f t="shared" si="17"/>
        <v>0</v>
      </c>
      <c r="G59">
        <f t="shared" si="17"/>
        <v>0</v>
      </c>
      <c r="H59">
        <f t="shared" si="17"/>
        <v>0</v>
      </c>
      <c r="I59">
        <f t="shared" si="17"/>
        <v>0</v>
      </c>
      <c r="J59">
        <f t="shared" si="17"/>
        <v>0</v>
      </c>
      <c r="K59">
        <f t="shared" si="17"/>
        <v>0</v>
      </c>
      <c r="L59">
        <f t="shared" si="17"/>
        <v>0</v>
      </c>
      <c r="M59">
        <f t="shared" si="17"/>
        <v>0</v>
      </c>
      <c r="N59">
        <f t="shared" si="17"/>
        <v>0</v>
      </c>
      <c r="O59">
        <f t="shared" si="17"/>
        <v>0</v>
      </c>
      <c r="P59">
        <f t="shared" si="17"/>
        <v>0</v>
      </c>
      <c r="Q59">
        <f t="shared" si="17"/>
        <v>0</v>
      </c>
    </row>
    <row r="60" spans="2:17">
      <c r="B60" s="17" t="s">
        <v>10</v>
      </c>
      <c r="D60">
        <f t="shared" si="17"/>
        <v>0</v>
      </c>
      <c r="E60">
        <f t="shared" si="17"/>
        <v>0</v>
      </c>
      <c r="F60">
        <f t="shared" si="17"/>
        <v>0</v>
      </c>
      <c r="G60">
        <f t="shared" si="17"/>
        <v>0</v>
      </c>
      <c r="H60">
        <f t="shared" si="17"/>
        <v>0</v>
      </c>
      <c r="I60">
        <f t="shared" si="17"/>
        <v>0</v>
      </c>
      <c r="J60">
        <f t="shared" si="17"/>
        <v>0</v>
      </c>
      <c r="K60">
        <f t="shared" si="17"/>
        <v>0</v>
      </c>
      <c r="L60">
        <f t="shared" si="17"/>
        <v>0</v>
      </c>
      <c r="M60">
        <f t="shared" si="17"/>
        <v>0</v>
      </c>
      <c r="N60">
        <f t="shared" si="17"/>
        <v>0</v>
      </c>
      <c r="O60">
        <f t="shared" si="17"/>
        <v>0</v>
      </c>
      <c r="P60">
        <f t="shared" si="17"/>
        <v>0</v>
      </c>
      <c r="Q60">
        <f t="shared" si="17"/>
        <v>0</v>
      </c>
    </row>
    <row r="61" spans="2:17">
      <c r="B61" s="17" t="s">
        <v>11</v>
      </c>
      <c r="D61">
        <f t="shared" si="17"/>
        <v>0</v>
      </c>
      <c r="E61">
        <f t="shared" si="17"/>
        <v>0</v>
      </c>
      <c r="F61">
        <f t="shared" si="17"/>
        <v>0</v>
      </c>
      <c r="G61">
        <f t="shared" si="17"/>
        <v>0</v>
      </c>
      <c r="H61">
        <f t="shared" si="17"/>
        <v>0</v>
      </c>
      <c r="I61">
        <f t="shared" si="17"/>
        <v>0</v>
      </c>
      <c r="J61">
        <f t="shared" si="17"/>
        <v>0</v>
      </c>
      <c r="K61">
        <f t="shared" si="17"/>
        <v>0</v>
      </c>
      <c r="L61">
        <f t="shared" si="17"/>
        <v>0</v>
      </c>
      <c r="M61">
        <f t="shared" si="17"/>
        <v>0</v>
      </c>
      <c r="N61">
        <f t="shared" si="17"/>
        <v>0</v>
      </c>
      <c r="O61">
        <f t="shared" si="17"/>
        <v>0</v>
      </c>
      <c r="P61">
        <f t="shared" si="17"/>
        <v>0</v>
      </c>
      <c r="Q61">
        <f t="shared" si="17"/>
        <v>0</v>
      </c>
    </row>
    <row r="62" spans="2:17">
      <c r="B62" s="17" t="s">
        <v>12</v>
      </c>
      <c r="D62">
        <f t="shared" si="17"/>
        <v>0</v>
      </c>
      <c r="E62">
        <f t="shared" si="17"/>
        <v>0</v>
      </c>
      <c r="F62">
        <f t="shared" si="17"/>
        <v>0</v>
      </c>
      <c r="G62">
        <f t="shared" si="17"/>
        <v>0</v>
      </c>
      <c r="H62">
        <f t="shared" si="17"/>
        <v>0</v>
      </c>
      <c r="I62">
        <f t="shared" si="17"/>
        <v>0</v>
      </c>
      <c r="J62">
        <f t="shared" si="17"/>
        <v>0</v>
      </c>
      <c r="K62">
        <f t="shared" si="17"/>
        <v>0</v>
      </c>
      <c r="L62">
        <f t="shared" si="17"/>
        <v>0</v>
      </c>
      <c r="M62">
        <f t="shared" si="17"/>
        <v>0</v>
      </c>
      <c r="N62">
        <f t="shared" si="17"/>
        <v>0</v>
      </c>
      <c r="O62">
        <f t="shared" si="17"/>
        <v>0</v>
      </c>
      <c r="P62">
        <f t="shared" si="17"/>
        <v>0</v>
      </c>
      <c r="Q62">
        <f t="shared" si="17"/>
        <v>0</v>
      </c>
    </row>
    <row r="63" spans="2:17">
      <c r="B63" s="17" t="s">
        <v>13</v>
      </c>
      <c r="D63">
        <f t="shared" si="17"/>
        <v>0</v>
      </c>
      <c r="E63">
        <f t="shared" si="17"/>
        <v>0</v>
      </c>
      <c r="F63">
        <f t="shared" si="17"/>
        <v>0</v>
      </c>
      <c r="G63">
        <f t="shared" si="17"/>
        <v>0</v>
      </c>
      <c r="H63">
        <f t="shared" si="17"/>
        <v>0</v>
      </c>
      <c r="I63">
        <f t="shared" si="17"/>
        <v>0</v>
      </c>
      <c r="J63">
        <f t="shared" si="17"/>
        <v>0</v>
      </c>
      <c r="K63">
        <f t="shared" si="17"/>
        <v>0</v>
      </c>
      <c r="L63">
        <f t="shared" si="17"/>
        <v>0</v>
      </c>
      <c r="M63">
        <f t="shared" si="17"/>
        <v>0</v>
      </c>
      <c r="N63">
        <f t="shared" si="17"/>
        <v>0</v>
      </c>
      <c r="O63">
        <f t="shared" si="17"/>
        <v>0</v>
      </c>
      <c r="P63">
        <f t="shared" si="17"/>
        <v>0</v>
      </c>
      <c r="Q63">
        <f t="shared" si="17"/>
        <v>0</v>
      </c>
    </row>
    <row r="64" spans="2:17">
      <c r="B64" s="15" t="s">
        <v>23</v>
      </c>
      <c r="D64">
        <f t="shared" si="17"/>
        <v>0</v>
      </c>
      <c r="E64">
        <f t="shared" si="17"/>
        <v>0</v>
      </c>
      <c r="F64">
        <f t="shared" si="17"/>
        <v>0</v>
      </c>
      <c r="G64">
        <f t="shared" si="17"/>
        <v>0</v>
      </c>
      <c r="H64">
        <f t="shared" si="17"/>
        <v>0</v>
      </c>
      <c r="I64">
        <f t="shared" si="17"/>
        <v>0</v>
      </c>
      <c r="J64">
        <f t="shared" si="17"/>
        <v>0</v>
      </c>
      <c r="K64">
        <f t="shared" si="17"/>
        <v>0</v>
      </c>
      <c r="L64">
        <f t="shared" si="17"/>
        <v>0</v>
      </c>
      <c r="M64">
        <f t="shared" si="17"/>
        <v>0</v>
      </c>
      <c r="N64">
        <f t="shared" si="17"/>
        <v>0</v>
      </c>
      <c r="O64">
        <f t="shared" si="17"/>
        <v>0</v>
      </c>
      <c r="P64">
        <f t="shared" si="17"/>
        <v>0</v>
      </c>
      <c r="Q64">
        <f t="shared" si="17"/>
        <v>0</v>
      </c>
    </row>
    <row r="65" spans="2:17">
      <c r="B65" s="15" t="s">
        <v>24</v>
      </c>
      <c r="D65">
        <f t="shared" si="17"/>
        <v>0</v>
      </c>
      <c r="E65">
        <f t="shared" si="17"/>
        <v>-1200</v>
      </c>
      <c r="F65">
        <f t="shared" si="17"/>
        <v>0</v>
      </c>
      <c r="G65">
        <f t="shared" si="17"/>
        <v>0</v>
      </c>
      <c r="H65">
        <f t="shared" si="17"/>
        <v>0</v>
      </c>
      <c r="I65">
        <f t="shared" si="17"/>
        <v>0</v>
      </c>
      <c r="J65">
        <f t="shared" si="17"/>
        <v>0</v>
      </c>
      <c r="K65">
        <f t="shared" si="17"/>
        <v>0</v>
      </c>
      <c r="L65">
        <f t="shared" si="17"/>
        <v>0</v>
      </c>
      <c r="M65">
        <f t="shared" si="17"/>
        <v>0</v>
      </c>
      <c r="N65">
        <f t="shared" si="17"/>
        <v>0</v>
      </c>
      <c r="O65">
        <f t="shared" si="17"/>
        <v>0</v>
      </c>
      <c r="P65">
        <f t="shared" si="17"/>
        <v>0</v>
      </c>
      <c r="Q65">
        <f t="shared" si="17"/>
        <v>0</v>
      </c>
    </row>
    <row r="66" spans="2:17">
      <c r="B66" s="15" t="s">
        <v>25</v>
      </c>
      <c r="D66">
        <f t="shared" si="17"/>
        <v>0</v>
      </c>
      <c r="E66">
        <f t="shared" si="17"/>
        <v>0</v>
      </c>
      <c r="F66">
        <f t="shared" si="17"/>
        <v>0</v>
      </c>
      <c r="G66">
        <f t="shared" si="17"/>
        <v>0</v>
      </c>
      <c r="H66">
        <f t="shared" si="17"/>
        <v>0</v>
      </c>
      <c r="I66">
        <f t="shared" si="17"/>
        <v>0</v>
      </c>
      <c r="J66">
        <f t="shared" si="17"/>
        <v>0</v>
      </c>
      <c r="K66">
        <f t="shared" si="17"/>
        <v>0</v>
      </c>
      <c r="L66">
        <f t="shared" si="17"/>
        <v>0</v>
      </c>
      <c r="M66">
        <f t="shared" si="17"/>
        <v>0</v>
      </c>
      <c r="N66">
        <f t="shared" si="17"/>
        <v>0</v>
      </c>
      <c r="O66">
        <f t="shared" si="17"/>
        <v>0</v>
      </c>
      <c r="P66">
        <f t="shared" si="17"/>
        <v>0</v>
      </c>
      <c r="Q66">
        <f t="shared" si="17"/>
        <v>0</v>
      </c>
    </row>
    <row r="69" spans="2:17">
      <c r="D69" s="29"/>
    </row>
    <row r="70" spans="2:17" ht="21">
      <c r="B70" s="51" t="s">
        <v>373</v>
      </c>
      <c r="D70">
        <v>2021</v>
      </c>
      <c r="E70">
        <v>2022</v>
      </c>
      <c r="F70">
        <v>2023</v>
      </c>
      <c r="G70">
        <v>2024</v>
      </c>
      <c r="H70">
        <v>2025</v>
      </c>
      <c r="I70">
        <v>2026</v>
      </c>
      <c r="J70">
        <v>2027</v>
      </c>
      <c r="K70">
        <v>2028</v>
      </c>
      <c r="L70">
        <v>2029</v>
      </c>
      <c r="M70">
        <v>2030</v>
      </c>
      <c r="N70">
        <v>2031</v>
      </c>
      <c r="O70">
        <v>2032</v>
      </c>
      <c r="P70">
        <v>2033</v>
      </c>
      <c r="Q70">
        <v>2034</v>
      </c>
    </row>
    <row r="71" spans="2:17">
      <c r="B71" s="17" t="s">
        <v>14</v>
      </c>
      <c r="D71">
        <f>IF(D51&lt;0,-D51,0)</f>
        <v>0</v>
      </c>
      <c r="E71">
        <f t="shared" ref="E71:Q71" si="18">IF(E51&lt;0,-E51,0)</f>
        <v>0</v>
      </c>
      <c r="F71">
        <f t="shared" si="18"/>
        <v>0</v>
      </c>
      <c r="G71">
        <f t="shared" si="18"/>
        <v>0</v>
      </c>
      <c r="H71">
        <f t="shared" si="18"/>
        <v>1000</v>
      </c>
      <c r="I71">
        <f t="shared" si="18"/>
        <v>2600</v>
      </c>
      <c r="J71">
        <f t="shared" si="18"/>
        <v>1500</v>
      </c>
      <c r="K71">
        <f t="shared" si="18"/>
        <v>1500</v>
      </c>
      <c r="L71">
        <f t="shared" si="18"/>
        <v>1899.9999999999964</v>
      </c>
      <c r="M71">
        <f t="shared" si="18"/>
        <v>1000.0000000000036</v>
      </c>
      <c r="N71">
        <f t="shared" si="18"/>
        <v>1000</v>
      </c>
      <c r="O71">
        <f t="shared" si="18"/>
        <v>1000</v>
      </c>
      <c r="P71">
        <f t="shared" si="18"/>
        <v>0</v>
      </c>
      <c r="Q71">
        <f t="shared" si="18"/>
        <v>1600</v>
      </c>
    </row>
    <row r="72" spans="2:17">
      <c r="B72" s="17" t="s">
        <v>9</v>
      </c>
      <c r="D72">
        <f t="shared" ref="D72:Q72" si="19">IF(D52&lt;0,-D52,0)</f>
        <v>0</v>
      </c>
      <c r="E72">
        <f t="shared" si="19"/>
        <v>0</v>
      </c>
      <c r="F72">
        <f t="shared" si="19"/>
        <v>0</v>
      </c>
      <c r="G72">
        <f t="shared" si="19"/>
        <v>0</v>
      </c>
      <c r="H72">
        <f t="shared" si="19"/>
        <v>0</v>
      </c>
      <c r="I72">
        <f t="shared" si="19"/>
        <v>0</v>
      </c>
      <c r="J72">
        <f t="shared" si="19"/>
        <v>0</v>
      </c>
      <c r="K72">
        <f t="shared" si="19"/>
        <v>0</v>
      </c>
      <c r="L72">
        <f t="shared" si="19"/>
        <v>0</v>
      </c>
      <c r="M72">
        <f t="shared" si="19"/>
        <v>0</v>
      </c>
      <c r="N72">
        <f t="shared" si="19"/>
        <v>0</v>
      </c>
      <c r="O72">
        <f t="shared" si="19"/>
        <v>0</v>
      </c>
      <c r="P72">
        <f t="shared" si="19"/>
        <v>0</v>
      </c>
      <c r="Q72">
        <f t="shared" si="19"/>
        <v>0</v>
      </c>
    </row>
    <row r="73" spans="2:17">
      <c r="B73" s="17" t="s">
        <v>0</v>
      </c>
      <c r="D73">
        <f t="shared" ref="D73:Q73" si="20">IF(D53&lt;0,-D53,0)</f>
        <v>0</v>
      </c>
      <c r="E73">
        <f t="shared" si="20"/>
        <v>0</v>
      </c>
      <c r="F73">
        <f t="shared" si="20"/>
        <v>0</v>
      </c>
      <c r="G73">
        <f t="shared" si="20"/>
        <v>0</v>
      </c>
      <c r="H73">
        <f t="shared" si="20"/>
        <v>0</v>
      </c>
      <c r="I73">
        <f t="shared" si="20"/>
        <v>0</v>
      </c>
      <c r="J73">
        <f t="shared" si="20"/>
        <v>0</v>
      </c>
      <c r="K73">
        <f t="shared" si="20"/>
        <v>0</v>
      </c>
      <c r="L73">
        <f t="shared" si="20"/>
        <v>0</v>
      </c>
      <c r="M73">
        <f t="shared" si="20"/>
        <v>0</v>
      </c>
      <c r="N73">
        <f t="shared" si="20"/>
        <v>0</v>
      </c>
      <c r="O73">
        <f t="shared" si="20"/>
        <v>0</v>
      </c>
      <c r="P73">
        <f t="shared" si="20"/>
        <v>0</v>
      </c>
      <c r="Q73">
        <f t="shared" si="20"/>
        <v>0</v>
      </c>
    </row>
    <row r="74" spans="2:17">
      <c r="B74" s="17" t="s">
        <v>1</v>
      </c>
      <c r="D74">
        <f t="shared" ref="D74:Q74" si="21">IF(D54&lt;0,-D54,0)</f>
        <v>0</v>
      </c>
      <c r="E74">
        <f t="shared" si="21"/>
        <v>28.718000000000075</v>
      </c>
      <c r="F74">
        <f t="shared" si="21"/>
        <v>7.4269999999999072</v>
      </c>
      <c r="G74">
        <f>IF(G54&lt;0,-G54,0)</f>
        <v>2.1400000000001</v>
      </c>
      <c r="H74">
        <f t="shared" si="21"/>
        <v>0</v>
      </c>
      <c r="I74">
        <f t="shared" si="21"/>
        <v>0</v>
      </c>
      <c r="J74">
        <f t="shared" si="21"/>
        <v>0</v>
      </c>
      <c r="K74">
        <f t="shared" si="21"/>
        <v>0</v>
      </c>
      <c r="L74">
        <f t="shared" si="21"/>
        <v>0</v>
      </c>
      <c r="M74">
        <f t="shared" si="21"/>
        <v>0</v>
      </c>
      <c r="N74">
        <f t="shared" si="21"/>
        <v>0</v>
      </c>
      <c r="O74">
        <f t="shared" si="21"/>
        <v>0</v>
      </c>
      <c r="P74">
        <f t="shared" si="21"/>
        <v>0</v>
      </c>
      <c r="Q74">
        <f t="shared" si="21"/>
        <v>0</v>
      </c>
    </row>
    <row r="75" spans="2:17">
      <c r="B75" s="17" t="s">
        <v>15</v>
      </c>
      <c r="D75">
        <f t="shared" ref="D75:Q75" si="22">IF(D55&lt;0,-D55,0)</f>
        <v>0</v>
      </c>
      <c r="E75">
        <f t="shared" si="22"/>
        <v>0</v>
      </c>
      <c r="F75">
        <f t="shared" si="22"/>
        <v>0</v>
      </c>
      <c r="G75">
        <f>IF(G55&lt;0,-G55,0)</f>
        <v>0</v>
      </c>
      <c r="H75">
        <f t="shared" si="22"/>
        <v>0</v>
      </c>
      <c r="I75">
        <f t="shared" si="22"/>
        <v>0</v>
      </c>
      <c r="J75">
        <f t="shared" si="22"/>
        <v>0</v>
      </c>
      <c r="K75">
        <f t="shared" si="22"/>
        <v>0</v>
      </c>
      <c r="L75">
        <f t="shared" si="22"/>
        <v>0</v>
      </c>
      <c r="M75">
        <f t="shared" si="22"/>
        <v>0</v>
      </c>
      <c r="N75">
        <f t="shared" si="22"/>
        <v>0</v>
      </c>
      <c r="O75">
        <f t="shared" si="22"/>
        <v>0</v>
      </c>
      <c r="P75">
        <f t="shared" si="22"/>
        <v>0</v>
      </c>
      <c r="Q75">
        <f t="shared" si="22"/>
        <v>0</v>
      </c>
    </row>
    <row r="76" spans="2:17">
      <c r="B76" s="17" t="s">
        <v>2</v>
      </c>
      <c r="D76">
        <f t="shared" ref="D76:Q76" si="23">IF(D56&lt;0,-D56,0)</f>
        <v>0</v>
      </c>
      <c r="E76">
        <f t="shared" si="23"/>
        <v>0</v>
      </c>
      <c r="F76">
        <f t="shared" si="23"/>
        <v>0</v>
      </c>
      <c r="G76">
        <f t="shared" si="23"/>
        <v>0</v>
      </c>
      <c r="H76">
        <f t="shared" si="23"/>
        <v>0</v>
      </c>
      <c r="I76">
        <f t="shared" si="23"/>
        <v>0</v>
      </c>
      <c r="J76">
        <f t="shared" si="23"/>
        <v>0</v>
      </c>
      <c r="K76">
        <f t="shared" si="23"/>
        <v>0</v>
      </c>
      <c r="L76">
        <f t="shared" si="23"/>
        <v>0</v>
      </c>
      <c r="M76">
        <f t="shared" si="23"/>
        <v>0</v>
      </c>
      <c r="N76">
        <f t="shared" si="23"/>
        <v>0</v>
      </c>
      <c r="O76">
        <f t="shared" si="23"/>
        <v>0</v>
      </c>
      <c r="P76">
        <f t="shared" si="23"/>
        <v>0</v>
      </c>
      <c r="Q76">
        <f t="shared" si="23"/>
        <v>0</v>
      </c>
    </row>
    <row r="77" spans="2:17">
      <c r="B77" s="17" t="s">
        <v>3</v>
      </c>
      <c r="D77">
        <f t="shared" ref="D77:Q77" si="24">IF(D57&lt;0,-D57,0)</f>
        <v>0</v>
      </c>
      <c r="E77">
        <f t="shared" si="24"/>
        <v>0</v>
      </c>
      <c r="F77">
        <f t="shared" si="24"/>
        <v>0</v>
      </c>
      <c r="G77">
        <f t="shared" si="24"/>
        <v>0</v>
      </c>
      <c r="H77">
        <f t="shared" si="24"/>
        <v>0</v>
      </c>
      <c r="I77">
        <f t="shared" si="24"/>
        <v>0</v>
      </c>
      <c r="J77">
        <f t="shared" si="24"/>
        <v>0</v>
      </c>
      <c r="K77">
        <f t="shared" si="24"/>
        <v>0</v>
      </c>
      <c r="L77">
        <f t="shared" si="24"/>
        <v>0</v>
      </c>
      <c r="M77">
        <f t="shared" si="24"/>
        <v>0</v>
      </c>
      <c r="N77">
        <f t="shared" si="24"/>
        <v>0</v>
      </c>
      <c r="O77">
        <f t="shared" si="24"/>
        <v>0</v>
      </c>
      <c r="P77">
        <f t="shared" si="24"/>
        <v>0</v>
      </c>
      <c r="Q77">
        <f t="shared" si="24"/>
        <v>0</v>
      </c>
    </row>
    <row r="78" spans="2:17">
      <c r="B78" s="17" t="s">
        <v>4</v>
      </c>
      <c r="D78">
        <f t="shared" ref="D78:Q78" si="25">IF(D58&lt;0,-D58,0)</f>
        <v>0</v>
      </c>
      <c r="E78">
        <f t="shared" si="25"/>
        <v>0</v>
      </c>
      <c r="F78">
        <f t="shared" si="25"/>
        <v>0</v>
      </c>
      <c r="G78">
        <f t="shared" si="25"/>
        <v>0</v>
      </c>
      <c r="H78">
        <f t="shared" si="25"/>
        <v>0</v>
      </c>
      <c r="I78">
        <f t="shared" si="25"/>
        <v>0</v>
      </c>
      <c r="J78">
        <f t="shared" si="25"/>
        <v>0</v>
      </c>
      <c r="K78">
        <f t="shared" si="25"/>
        <v>0</v>
      </c>
      <c r="L78">
        <f t="shared" si="25"/>
        <v>0</v>
      </c>
      <c r="M78">
        <f t="shared" si="25"/>
        <v>0</v>
      </c>
      <c r="N78">
        <f t="shared" si="25"/>
        <v>0</v>
      </c>
      <c r="O78">
        <f t="shared" si="25"/>
        <v>0</v>
      </c>
      <c r="P78">
        <f t="shared" si="25"/>
        <v>0</v>
      </c>
      <c r="Q78">
        <f t="shared" si="25"/>
        <v>0</v>
      </c>
    </row>
    <row r="79" spans="2:17">
      <c r="B79" s="17" t="s">
        <v>5</v>
      </c>
      <c r="D79">
        <f t="shared" ref="D79:Q79" si="26">IF(D59&lt;0,-D59,0)</f>
        <v>0</v>
      </c>
      <c r="E79">
        <f t="shared" si="26"/>
        <v>0</v>
      </c>
      <c r="F79">
        <f t="shared" si="26"/>
        <v>0</v>
      </c>
      <c r="G79">
        <f t="shared" si="26"/>
        <v>0</v>
      </c>
      <c r="H79">
        <f t="shared" si="26"/>
        <v>0</v>
      </c>
      <c r="I79">
        <f t="shared" si="26"/>
        <v>0</v>
      </c>
      <c r="J79">
        <f t="shared" si="26"/>
        <v>0</v>
      </c>
      <c r="K79">
        <f t="shared" si="26"/>
        <v>0</v>
      </c>
      <c r="L79">
        <f t="shared" si="26"/>
        <v>0</v>
      </c>
      <c r="M79">
        <f t="shared" si="26"/>
        <v>0</v>
      </c>
      <c r="N79">
        <f t="shared" si="26"/>
        <v>0</v>
      </c>
      <c r="O79">
        <f t="shared" si="26"/>
        <v>0</v>
      </c>
      <c r="P79">
        <f t="shared" si="26"/>
        <v>0</v>
      </c>
      <c r="Q79">
        <f t="shared" si="26"/>
        <v>0</v>
      </c>
    </row>
    <row r="80" spans="2:17">
      <c r="B80" s="17" t="s">
        <v>10</v>
      </c>
      <c r="D80">
        <f t="shared" ref="D80:Q80" si="27">IF(D60&lt;0,-D60,0)</f>
        <v>0</v>
      </c>
      <c r="E80">
        <f t="shared" si="27"/>
        <v>0</v>
      </c>
      <c r="F80">
        <f t="shared" si="27"/>
        <v>0</v>
      </c>
      <c r="G80">
        <f t="shared" si="27"/>
        <v>0</v>
      </c>
      <c r="H80">
        <f t="shared" si="27"/>
        <v>0</v>
      </c>
      <c r="I80">
        <f t="shared" si="27"/>
        <v>0</v>
      </c>
      <c r="J80">
        <f t="shared" si="27"/>
        <v>0</v>
      </c>
      <c r="K80">
        <f t="shared" si="27"/>
        <v>0</v>
      </c>
      <c r="L80">
        <f t="shared" si="27"/>
        <v>0</v>
      </c>
      <c r="M80">
        <f t="shared" si="27"/>
        <v>0</v>
      </c>
      <c r="N80">
        <f t="shared" si="27"/>
        <v>0</v>
      </c>
      <c r="O80">
        <f t="shared" si="27"/>
        <v>0</v>
      </c>
      <c r="P80">
        <f t="shared" si="27"/>
        <v>0</v>
      </c>
      <c r="Q80">
        <f t="shared" si="27"/>
        <v>0</v>
      </c>
    </row>
    <row r="81" spans="2:17">
      <c r="B81" s="17" t="s">
        <v>11</v>
      </c>
      <c r="D81">
        <f t="shared" ref="D81:Q81" si="28">IF(D61&lt;0,-D61,0)</f>
        <v>0</v>
      </c>
      <c r="E81">
        <f t="shared" si="28"/>
        <v>0</v>
      </c>
      <c r="F81">
        <f t="shared" si="28"/>
        <v>0</v>
      </c>
      <c r="G81">
        <f t="shared" si="28"/>
        <v>0</v>
      </c>
      <c r="H81">
        <f t="shared" si="28"/>
        <v>0</v>
      </c>
      <c r="I81">
        <f t="shared" si="28"/>
        <v>0</v>
      </c>
      <c r="J81">
        <f t="shared" si="28"/>
        <v>0</v>
      </c>
      <c r="K81">
        <f t="shared" si="28"/>
        <v>0</v>
      </c>
      <c r="L81">
        <f t="shared" si="28"/>
        <v>0</v>
      </c>
      <c r="M81">
        <f t="shared" si="28"/>
        <v>0</v>
      </c>
      <c r="N81">
        <f t="shared" si="28"/>
        <v>0</v>
      </c>
      <c r="O81">
        <f t="shared" si="28"/>
        <v>0</v>
      </c>
      <c r="P81">
        <f t="shared" si="28"/>
        <v>0</v>
      </c>
      <c r="Q81">
        <f t="shared" si="28"/>
        <v>0</v>
      </c>
    </row>
    <row r="82" spans="2:17">
      <c r="B82" s="17" t="s">
        <v>12</v>
      </c>
      <c r="D82">
        <f t="shared" ref="D82:Q82" si="29">IF(D62&lt;0,-D62,0)</f>
        <v>0</v>
      </c>
      <c r="E82">
        <f t="shared" si="29"/>
        <v>0</v>
      </c>
      <c r="F82">
        <f t="shared" si="29"/>
        <v>0</v>
      </c>
      <c r="G82">
        <f t="shared" si="29"/>
        <v>0</v>
      </c>
      <c r="H82">
        <f t="shared" si="29"/>
        <v>0</v>
      </c>
      <c r="I82">
        <f t="shared" si="29"/>
        <v>0</v>
      </c>
      <c r="J82">
        <f t="shared" si="29"/>
        <v>0</v>
      </c>
      <c r="K82">
        <f t="shared" si="29"/>
        <v>0</v>
      </c>
      <c r="L82">
        <f t="shared" si="29"/>
        <v>0</v>
      </c>
      <c r="M82">
        <f t="shared" si="29"/>
        <v>0</v>
      </c>
      <c r="N82">
        <f t="shared" si="29"/>
        <v>0</v>
      </c>
      <c r="O82">
        <f t="shared" si="29"/>
        <v>0</v>
      </c>
      <c r="P82">
        <f t="shared" si="29"/>
        <v>0</v>
      </c>
      <c r="Q82">
        <f t="shared" si="29"/>
        <v>0</v>
      </c>
    </row>
    <row r="83" spans="2:17">
      <c r="B83" s="17" t="s">
        <v>13</v>
      </c>
      <c r="D83">
        <f t="shared" ref="D83:Q83" si="30">IF(D63&lt;0,-D63,0)</f>
        <v>0</v>
      </c>
      <c r="E83">
        <f t="shared" si="30"/>
        <v>0</v>
      </c>
      <c r="F83">
        <f t="shared" si="30"/>
        <v>0</v>
      </c>
      <c r="G83">
        <f t="shared" si="30"/>
        <v>0</v>
      </c>
      <c r="H83">
        <f t="shared" si="30"/>
        <v>0</v>
      </c>
      <c r="I83">
        <f t="shared" si="30"/>
        <v>0</v>
      </c>
      <c r="J83">
        <f t="shared" si="30"/>
        <v>0</v>
      </c>
      <c r="K83">
        <f t="shared" si="30"/>
        <v>0</v>
      </c>
      <c r="L83">
        <f t="shared" si="30"/>
        <v>0</v>
      </c>
      <c r="M83">
        <f t="shared" si="30"/>
        <v>0</v>
      </c>
      <c r="N83">
        <f t="shared" si="30"/>
        <v>0</v>
      </c>
      <c r="O83">
        <f t="shared" si="30"/>
        <v>0</v>
      </c>
      <c r="P83">
        <f t="shared" si="30"/>
        <v>0</v>
      </c>
      <c r="Q83">
        <f t="shared" si="30"/>
        <v>0</v>
      </c>
    </row>
    <row r="84" spans="2:17">
      <c r="B84" s="15" t="s">
        <v>23</v>
      </c>
      <c r="D84">
        <f t="shared" ref="D84:Q84" si="31">IF(D64&lt;0,-D64,0)</f>
        <v>0</v>
      </c>
      <c r="E84">
        <f t="shared" si="31"/>
        <v>0</v>
      </c>
      <c r="F84">
        <f t="shared" si="31"/>
        <v>0</v>
      </c>
      <c r="G84">
        <f t="shared" si="31"/>
        <v>0</v>
      </c>
      <c r="H84">
        <f t="shared" si="31"/>
        <v>0</v>
      </c>
      <c r="I84">
        <f t="shared" si="31"/>
        <v>0</v>
      </c>
      <c r="J84">
        <f t="shared" si="31"/>
        <v>0</v>
      </c>
      <c r="K84">
        <f t="shared" si="31"/>
        <v>0</v>
      </c>
      <c r="L84">
        <f t="shared" si="31"/>
        <v>0</v>
      </c>
      <c r="M84">
        <f t="shared" si="31"/>
        <v>0</v>
      </c>
      <c r="N84">
        <f t="shared" si="31"/>
        <v>0</v>
      </c>
      <c r="O84">
        <f t="shared" si="31"/>
        <v>0</v>
      </c>
      <c r="P84">
        <f t="shared" si="31"/>
        <v>0</v>
      </c>
      <c r="Q84">
        <f t="shared" si="31"/>
        <v>0</v>
      </c>
    </row>
    <row r="85" spans="2:17">
      <c r="B85" s="15" t="s">
        <v>24</v>
      </c>
      <c r="D85">
        <f t="shared" ref="D85:Q85" si="32">IF(D65&lt;0,-D65,0)</f>
        <v>0</v>
      </c>
      <c r="E85">
        <f t="shared" si="32"/>
        <v>1200</v>
      </c>
      <c r="F85">
        <f t="shared" si="32"/>
        <v>0</v>
      </c>
      <c r="G85">
        <f t="shared" si="32"/>
        <v>0</v>
      </c>
      <c r="H85">
        <f t="shared" si="32"/>
        <v>0</v>
      </c>
      <c r="I85">
        <f t="shared" si="32"/>
        <v>0</v>
      </c>
      <c r="J85">
        <f t="shared" si="32"/>
        <v>0</v>
      </c>
      <c r="K85">
        <f t="shared" si="32"/>
        <v>0</v>
      </c>
      <c r="L85">
        <f t="shared" si="32"/>
        <v>0</v>
      </c>
      <c r="M85">
        <f t="shared" si="32"/>
        <v>0</v>
      </c>
      <c r="N85">
        <f t="shared" si="32"/>
        <v>0</v>
      </c>
      <c r="O85">
        <f t="shared" si="32"/>
        <v>0</v>
      </c>
      <c r="P85">
        <f t="shared" si="32"/>
        <v>0</v>
      </c>
      <c r="Q85">
        <f t="shared" si="32"/>
        <v>0</v>
      </c>
    </row>
    <row r="86" spans="2:17">
      <c r="B86" s="15" t="s">
        <v>25</v>
      </c>
      <c r="D86">
        <f t="shared" ref="D86:Q86" si="33">IF(D66&lt;0,-D66,0)</f>
        <v>0</v>
      </c>
      <c r="E86">
        <f t="shared" si="33"/>
        <v>0</v>
      </c>
      <c r="F86">
        <f t="shared" si="33"/>
        <v>0</v>
      </c>
      <c r="G86">
        <f t="shared" si="33"/>
        <v>0</v>
      </c>
      <c r="H86">
        <f t="shared" si="33"/>
        <v>0</v>
      </c>
      <c r="I86">
        <f t="shared" si="33"/>
        <v>0</v>
      </c>
      <c r="J86">
        <f t="shared" si="33"/>
        <v>0</v>
      </c>
      <c r="K86">
        <f t="shared" si="33"/>
        <v>0</v>
      </c>
      <c r="L86">
        <f t="shared" si="33"/>
        <v>0</v>
      </c>
      <c r="M86">
        <f t="shared" si="33"/>
        <v>0</v>
      </c>
      <c r="N86">
        <f t="shared" si="33"/>
        <v>0</v>
      </c>
      <c r="O86">
        <f t="shared" si="33"/>
        <v>0</v>
      </c>
      <c r="P86">
        <f t="shared" si="33"/>
        <v>0</v>
      </c>
      <c r="Q86">
        <f t="shared" si="33"/>
        <v>0</v>
      </c>
    </row>
  </sheetData>
  <mergeCells count="2">
    <mergeCell ref="S10:S12"/>
    <mergeCell ref="S16:S18"/>
  </mergeCells>
  <phoneticPr fontId="14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C943A-0582-4C4E-8820-05AE9515AC8C}">
  <dimension ref="A1:R616"/>
  <sheetViews>
    <sheetView topLeftCell="A437" workbookViewId="0">
      <selection activeCell="A2" sqref="A2:R616"/>
    </sheetView>
  </sheetViews>
  <sheetFormatPr defaultColWidth="22.453125" defaultRowHeight="20.5"/>
  <cols>
    <col min="1" max="18" width="22.453125" style="64"/>
    <col min="19" max="16384" width="22.453125" style="63"/>
  </cols>
  <sheetData>
    <row r="1" spans="1:18" s="62" customFormat="1" ht="32">
      <c r="A1" s="61" t="s">
        <v>388</v>
      </c>
      <c r="B1" s="61" t="s">
        <v>389</v>
      </c>
      <c r="C1" s="61" t="s">
        <v>390</v>
      </c>
      <c r="D1" s="61" t="s">
        <v>391</v>
      </c>
      <c r="E1" s="61" t="s">
        <v>392</v>
      </c>
      <c r="F1" s="61" t="s">
        <v>393</v>
      </c>
      <c r="G1" s="61" t="s">
        <v>394</v>
      </c>
      <c r="H1" s="61" t="s">
        <v>395</v>
      </c>
      <c r="I1" s="61" t="s">
        <v>396</v>
      </c>
      <c r="J1" s="61" t="s">
        <v>397</v>
      </c>
      <c r="K1" s="61" t="s">
        <v>398</v>
      </c>
      <c r="L1" s="61" t="s">
        <v>399</v>
      </c>
      <c r="M1" s="61" t="s">
        <v>400</v>
      </c>
      <c r="N1" s="61" t="s">
        <v>401</v>
      </c>
      <c r="O1" s="61" t="s">
        <v>402</v>
      </c>
      <c r="P1" s="61" t="s">
        <v>403</v>
      </c>
      <c r="Q1" s="61" t="s">
        <v>404</v>
      </c>
      <c r="R1" s="61" t="s">
        <v>405</v>
      </c>
    </row>
    <row r="2" spans="1:18">
      <c r="A2" s="86" t="s">
        <v>43</v>
      </c>
      <c r="B2" s="86" t="s">
        <v>1489</v>
      </c>
      <c r="C2" s="87">
        <v>1040000</v>
      </c>
      <c r="D2" s="87">
        <v>1</v>
      </c>
      <c r="E2" s="87">
        <v>1040000</v>
      </c>
      <c r="F2" s="86">
        <v>2022.1</v>
      </c>
      <c r="G2" s="86" t="s">
        <v>43</v>
      </c>
      <c r="H2" s="86" t="s">
        <v>49</v>
      </c>
      <c r="I2" s="86" t="s">
        <v>408</v>
      </c>
      <c r="J2" s="86" t="s">
        <v>408</v>
      </c>
      <c r="K2" s="86" t="s">
        <v>408</v>
      </c>
      <c r="L2" s="86" t="s">
        <v>1490</v>
      </c>
      <c r="M2" s="86" t="s">
        <v>1491</v>
      </c>
      <c r="N2" s="86" t="s">
        <v>412</v>
      </c>
      <c r="O2" s="86" t="s">
        <v>413</v>
      </c>
      <c r="P2" s="86" t="s">
        <v>403</v>
      </c>
      <c r="Q2" s="86" t="s">
        <v>414</v>
      </c>
      <c r="R2" s="88" t="s">
        <v>485</v>
      </c>
    </row>
    <row r="3" spans="1:18">
      <c r="A3" s="86" t="s">
        <v>43</v>
      </c>
      <c r="B3" s="86" t="s">
        <v>1492</v>
      </c>
      <c r="C3" s="87">
        <v>1040000</v>
      </c>
      <c r="D3" s="87">
        <v>1</v>
      </c>
      <c r="E3" s="87">
        <v>1040000</v>
      </c>
      <c r="F3" s="86">
        <v>2022.1</v>
      </c>
      <c r="G3" s="86" t="s">
        <v>43</v>
      </c>
      <c r="H3" s="86" t="s">
        <v>49</v>
      </c>
      <c r="I3" s="86" t="s">
        <v>408</v>
      </c>
      <c r="J3" s="86" t="s">
        <v>408</v>
      </c>
      <c r="K3" s="86" t="s">
        <v>408</v>
      </c>
      <c r="L3" s="86" t="s">
        <v>1490</v>
      </c>
      <c r="M3" s="86" t="s">
        <v>1491</v>
      </c>
      <c r="N3" s="86" t="s">
        <v>412</v>
      </c>
      <c r="O3" s="86" t="s">
        <v>413</v>
      </c>
      <c r="P3" s="86" t="s">
        <v>403</v>
      </c>
      <c r="Q3" s="86" t="s">
        <v>414</v>
      </c>
      <c r="R3" s="88" t="s">
        <v>485</v>
      </c>
    </row>
    <row r="4" spans="1:18">
      <c r="A4" s="86" t="s">
        <v>43</v>
      </c>
      <c r="B4" s="86" t="s">
        <v>406</v>
      </c>
      <c r="C4" s="87">
        <v>100000</v>
      </c>
      <c r="D4" s="87">
        <v>1</v>
      </c>
      <c r="E4" s="87">
        <v>100000</v>
      </c>
      <c r="F4" s="86">
        <v>2006.9</v>
      </c>
      <c r="G4" s="86" t="s">
        <v>40</v>
      </c>
      <c r="H4" s="86" t="s">
        <v>407</v>
      </c>
      <c r="I4" s="86" t="s">
        <v>408</v>
      </c>
      <c r="J4" s="86" t="s">
        <v>409</v>
      </c>
      <c r="K4" s="86" t="s">
        <v>409</v>
      </c>
      <c r="L4" s="86" t="s">
        <v>410</v>
      </c>
      <c r="M4" s="86" t="s">
        <v>411</v>
      </c>
      <c r="N4" s="86" t="s">
        <v>412</v>
      </c>
      <c r="O4" s="86" t="s">
        <v>413</v>
      </c>
      <c r="P4" s="86" t="s">
        <v>403</v>
      </c>
      <c r="Q4" s="86" t="s">
        <v>414</v>
      </c>
      <c r="R4" s="88" t="s">
        <v>415</v>
      </c>
    </row>
    <row r="5" spans="1:18">
      <c r="A5" s="86" t="s">
        <v>43</v>
      </c>
      <c r="B5" s="86" t="s">
        <v>416</v>
      </c>
      <c r="C5" s="87">
        <v>100000</v>
      </c>
      <c r="D5" s="87">
        <v>1</v>
      </c>
      <c r="E5" s="87">
        <v>100000</v>
      </c>
      <c r="F5" s="86">
        <v>2007.3</v>
      </c>
      <c r="G5" s="86" t="s">
        <v>40</v>
      </c>
      <c r="H5" s="86" t="s">
        <v>407</v>
      </c>
      <c r="I5" s="86" t="s">
        <v>408</v>
      </c>
      <c r="J5" s="86" t="s">
        <v>409</v>
      </c>
      <c r="K5" s="86" t="s">
        <v>409</v>
      </c>
      <c r="L5" s="86" t="s">
        <v>410</v>
      </c>
      <c r="M5" s="86" t="s">
        <v>411</v>
      </c>
      <c r="N5" s="86" t="s">
        <v>412</v>
      </c>
      <c r="O5" s="86" t="s">
        <v>413</v>
      </c>
      <c r="P5" s="86" t="s">
        <v>403</v>
      </c>
      <c r="Q5" s="86" t="s">
        <v>414</v>
      </c>
      <c r="R5" s="88" t="s">
        <v>415</v>
      </c>
    </row>
    <row r="6" spans="1:18">
      <c r="A6" s="86" t="s">
        <v>43</v>
      </c>
      <c r="B6" s="86" t="s">
        <v>417</v>
      </c>
      <c r="C6" s="87">
        <v>500000</v>
      </c>
      <c r="D6" s="87">
        <v>1</v>
      </c>
      <c r="E6" s="87">
        <v>500000</v>
      </c>
      <c r="F6" s="86">
        <v>1999.6</v>
      </c>
      <c r="G6" s="86" t="s">
        <v>43</v>
      </c>
      <c r="H6" s="86" t="s">
        <v>49</v>
      </c>
      <c r="I6" s="86" t="s">
        <v>418</v>
      </c>
      <c r="J6" s="86" t="s">
        <v>418</v>
      </c>
      <c r="K6" s="86" t="s">
        <v>418</v>
      </c>
      <c r="L6" s="86" t="s">
        <v>419</v>
      </c>
      <c r="M6" s="86" t="s">
        <v>420</v>
      </c>
      <c r="N6" s="86" t="s">
        <v>412</v>
      </c>
      <c r="O6" s="86" t="s">
        <v>413</v>
      </c>
      <c r="P6" s="86" t="s">
        <v>403</v>
      </c>
      <c r="Q6" s="86" t="s">
        <v>414</v>
      </c>
      <c r="R6" s="88" t="s">
        <v>421</v>
      </c>
    </row>
    <row r="7" spans="1:18">
      <c r="A7" s="86" t="s">
        <v>43</v>
      </c>
      <c r="B7" s="86" t="s">
        <v>422</v>
      </c>
      <c r="C7" s="87">
        <v>1020000</v>
      </c>
      <c r="D7" s="87">
        <v>1</v>
      </c>
      <c r="E7" s="87">
        <v>1020000</v>
      </c>
      <c r="F7" s="86">
        <v>2016.9</v>
      </c>
      <c r="G7" s="86" t="s">
        <v>43</v>
      </c>
      <c r="H7" s="86" t="s">
        <v>49</v>
      </c>
      <c r="I7" s="86" t="s">
        <v>423</v>
      </c>
      <c r="J7" s="86" t="s">
        <v>423</v>
      </c>
      <c r="K7" s="86" t="s">
        <v>423</v>
      </c>
      <c r="L7" s="86" t="s">
        <v>419</v>
      </c>
      <c r="M7" s="86" t="s">
        <v>424</v>
      </c>
      <c r="N7" s="86" t="s">
        <v>412</v>
      </c>
      <c r="O7" s="86" t="s">
        <v>413</v>
      </c>
      <c r="P7" s="86" t="s">
        <v>403</v>
      </c>
      <c r="Q7" s="86" t="s">
        <v>414</v>
      </c>
      <c r="R7" s="88" t="s">
        <v>421</v>
      </c>
    </row>
    <row r="8" spans="1:18">
      <c r="A8" s="86" t="s">
        <v>43</v>
      </c>
      <c r="B8" s="86" t="s">
        <v>425</v>
      </c>
      <c r="C8" s="87">
        <v>500000</v>
      </c>
      <c r="D8" s="87">
        <v>1</v>
      </c>
      <c r="E8" s="87">
        <v>500000</v>
      </c>
      <c r="F8" s="86">
        <v>1999.12</v>
      </c>
      <c r="G8" s="86" t="s">
        <v>43</v>
      </c>
      <c r="H8" s="86" t="s">
        <v>49</v>
      </c>
      <c r="I8" s="86" t="s">
        <v>418</v>
      </c>
      <c r="J8" s="86" t="s">
        <v>418</v>
      </c>
      <c r="K8" s="86" t="s">
        <v>418</v>
      </c>
      <c r="L8" s="86" t="s">
        <v>419</v>
      </c>
      <c r="M8" s="86" t="s">
        <v>420</v>
      </c>
      <c r="N8" s="86" t="s">
        <v>412</v>
      </c>
      <c r="O8" s="86" t="s">
        <v>413</v>
      </c>
      <c r="P8" s="86" t="s">
        <v>403</v>
      </c>
      <c r="Q8" s="86" t="s">
        <v>414</v>
      </c>
      <c r="R8" s="88" t="s">
        <v>421</v>
      </c>
    </row>
    <row r="9" spans="1:18">
      <c r="A9" s="86" t="s">
        <v>43</v>
      </c>
      <c r="B9" s="86" t="s">
        <v>426</v>
      </c>
      <c r="C9" s="87">
        <v>500000</v>
      </c>
      <c r="D9" s="87">
        <v>1</v>
      </c>
      <c r="E9" s="87">
        <v>500000</v>
      </c>
      <c r="F9" s="86">
        <v>2000.9</v>
      </c>
      <c r="G9" s="86" t="s">
        <v>43</v>
      </c>
      <c r="H9" s="86" t="s">
        <v>49</v>
      </c>
      <c r="I9" s="86" t="s">
        <v>418</v>
      </c>
      <c r="J9" s="86" t="s">
        <v>418</v>
      </c>
      <c r="K9" s="86" t="s">
        <v>418</v>
      </c>
      <c r="L9" s="86" t="s">
        <v>419</v>
      </c>
      <c r="M9" s="86" t="s">
        <v>420</v>
      </c>
      <c r="N9" s="86" t="s">
        <v>412</v>
      </c>
      <c r="O9" s="86" t="s">
        <v>413</v>
      </c>
      <c r="P9" s="86" t="s">
        <v>403</v>
      </c>
      <c r="Q9" s="86" t="s">
        <v>414</v>
      </c>
      <c r="R9" s="88" t="s">
        <v>421</v>
      </c>
    </row>
    <row r="10" spans="1:18">
      <c r="A10" s="86" t="s">
        <v>43</v>
      </c>
      <c r="B10" s="86" t="s">
        <v>427</v>
      </c>
      <c r="C10" s="87">
        <v>500000</v>
      </c>
      <c r="D10" s="87">
        <v>1</v>
      </c>
      <c r="E10" s="87">
        <v>500000</v>
      </c>
      <c r="F10" s="86">
        <v>2001.3</v>
      </c>
      <c r="G10" s="86" t="s">
        <v>43</v>
      </c>
      <c r="H10" s="86" t="s">
        <v>49</v>
      </c>
      <c r="I10" s="86" t="s">
        <v>418</v>
      </c>
      <c r="J10" s="86" t="s">
        <v>418</v>
      </c>
      <c r="K10" s="86" t="s">
        <v>418</v>
      </c>
      <c r="L10" s="86" t="s">
        <v>419</v>
      </c>
      <c r="M10" s="86" t="s">
        <v>420</v>
      </c>
      <c r="N10" s="86" t="s">
        <v>412</v>
      </c>
      <c r="O10" s="86" t="s">
        <v>413</v>
      </c>
      <c r="P10" s="86" t="s">
        <v>403</v>
      </c>
      <c r="Q10" s="86" t="s">
        <v>414</v>
      </c>
      <c r="R10" s="88" t="s">
        <v>421</v>
      </c>
    </row>
    <row r="11" spans="1:18">
      <c r="A11" s="86" t="s">
        <v>43</v>
      </c>
      <c r="B11" s="86" t="s">
        <v>428</v>
      </c>
      <c r="C11" s="87">
        <v>500000</v>
      </c>
      <c r="D11" s="87">
        <v>1</v>
      </c>
      <c r="E11" s="87">
        <v>500000</v>
      </c>
      <c r="F11" s="86">
        <v>2005.9</v>
      </c>
      <c r="G11" s="86" t="s">
        <v>43</v>
      </c>
      <c r="H11" s="86" t="s">
        <v>49</v>
      </c>
      <c r="I11" s="86" t="s">
        <v>408</v>
      </c>
      <c r="J11" s="86" t="s">
        <v>408</v>
      </c>
      <c r="K11" s="86" t="s">
        <v>408</v>
      </c>
      <c r="L11" s="86" t="s">
        <v>419</v>
      </c>
      <c r="M11" s="86" t="s">
        <v>420</v>
      </c>
      <c r="N11" s="86" t="s">
        <v>412</v>
      </c>
      <c r="O11" s="86" t="s">
        <v>413</v>
      </c>
      <c r="P11" s="86" t="s">
        <v>403</v>
      </c>
      <c r="Q11" s="86" t="s">
        <v>414</v>
      </c>
      <c r="R11" s="88" t="s">
        <v>421</v>
      </c>
    </row>
    <row r="12" spans="1:18">
      <c r="A12" s="86" t="s">
        <v>43</v>
      </c>
      <c r="B12" s="86" t="s">
        <v>429</v>
      </c>
      <c r="C12" s="87">
        <v>500000</v>
      </c>
      <c r="D12" s="87">
        <v>1</v>
      </c>
      <c r="E12" s="87">
        <v>500000</v>
      </c>
      <c r="F12" s="86">
        <v>2006.3</v>
      </c>
      <c r="G12" s="86" t="s">
        <v>43</v>
      </c>
      <c r="H12" s="86" t="s">
        <v>49</v>
      </c>
      <c r="I12" s="86" t="s">
        <v>408</v>
      </c>
      <c r="J12" s="86" t="s">
        <v>408</v>
      </c>
      <c r="K12" s="86" t="s">
        <v>408</v>
      </c>
      <c r="L12" s="86" t="s">
        <v>419</v>
      </c>
      <c r="M12" s="86" t="s">
        <v>420</v>
      </c>
      <c r="N12" s="86" t="s">
        <v>412</v>
      </c>
      <c r="O12" s="86" t="s">
        <v>413</v>
      </c>
      <c r="P12" s="86" t="s">
        <v>403</v>
      </c>
      <c r="Q12" s="86" t="s">
        <v>414</v>
      </c>
      <c r="R12" s="88" t="s">
        <v>421</v>
      </c>
    </row>
    <row r="13" spans="1:18">
      <c r="A13" s="86" t="s">
        <v>43</v>
      </c>
      <c r="B13" s="86" t="s">
        <v>430</v>
      </c>
      <c r="C13" s="87">
        <v>500000</v>
      </c>
      <c r="D13" s="87">
        <v>1</v>
      </c>
      <c r="E13" s="87">
        <v>500000</v>
      </c>
      <c r="F13" s="86">
        <v>2007.6</v>
      </c>
      <c r="G13" s="86" t="s">
        <v>43</v>
      </c>
      <c r="H13" s="86" t="s">
        <v>49</v>
      </c>
      <c r="I13" s="86" t="s">
        <v>408</v>
      </c>
      <c r="J13" s="86" t="s">
        <v>408</v>
      </c>
      <c r="K13" s="86" t="s">
        <v>408</v>
      </c>
      <c r="L13" s="86" t="s">
        <v>419</v>
      </c>
      <c r="M13" s="86" t="s">
        <v>420</v>
      </c>
      <c r="N13" s="86" t="s">
        <v>412</v>
      </c>
      <c r="O13" s="86" t="s">
        <v>413</v>
      </c>
      <c r="P13" s="86" t="s">
        <v>403</v>
      </c>
      <c r="Q13" s="86" t="s">
        <v>414</v>
      </c>
      <c r="R13" s="88" t="s">
        <v>421</v>
      </c>
    </row>
    <row r="14" spans="1:18">
      <c r="A14" s="86" t="s">
        <v>43</v>
      </c>
      <c r="B14" s="86" t="s">
        <v>431</v>
      </c>
      <c r="C14" s="87">
        <v>500000</v>
      </c>
      <c r="D14" s="87">
        <v>1</v>
      </c>
      <c r="E14" s="87">
        <v>500000</v>
      </c>
      <c r="F14" s="86">
        <v>2007.12</v>
      </c>
      <c r="G14" s="86" t="s">
        <v>43</v>
      </c>
      <c r="H14" s="86" t="s">
        <v>49</v>
      </c>
      <c r="I14" s="86" t="s">
        <v>408</v>
      </c>
      <c r="J14" s="86" t="s">
        <v>408</v>
      </c>
      <c r="K14" s="86" t="s">
        <v>408</v>
      </c>
      <c r="L14" s="86" t="s">
        <v>419</v>
      </c>
      <c r="M14" s="86" t="s">
        <v>420</v>
      </c>
      <c r="N14" s="86" t="s">
        <v>412</v>
      </c>
      <c r="O14" s="86" t="s">
        <v>413</v>
      </c>
      <c r="P14" s="86" t="s">
        <v>403</v>
      </c>
      <c r="Q14" s="86" t="s">
        <v>414</v>
      </c>
      <c r="R14" s="88" t="s">
        <v>421</v>
      </c>
    </row>
    <row r="15" spans="1:18">
      <c r="A15" s="86" t="s">
        <v>43</v>
      </c>
      <c r="B15" s="86" t="s">
        <v>432</v>
      </c>
      <c r="C15" s="87">
        <v>1020000</v>
      </c>
      <c r="D15" s="87">
        <v>1</v>
      </c>
      <c r="E15" s="87">
        <v>1020000</v>
      </c>
      <c r="F15" s="86">
        <v>2016.7</v>
      </c>
      <c r="G15" s="86" t="s">
        <v>43</v>
      </c>
      <c r="H15" s="86" t="s">
        <v>49</v>
      </c>
      <c r="I15" s="86" t="s">
        <v>423</v>
      </c>
      <c r="J15" s="86" t="s">
        <v>423</v>
      </c>
      <c r="K15" s="86" t="s">
        <v>423</v>
      </c>
      <c r="L15" s="86" t="s">
        <v>419</v>
      </c>
      <c r="M15" s="86" t="s">
        <v>424</v>
      </c>
      <c r="N15" s="86" t="s">
        <v>412</v>
      </c>
      <c r="O15" s="86" t="s">
        <v>413</v>
      </c>
      <c r="P15" s="86" t="s">
        <v>403</v>
      </c>
      <c r="Q15" s="86" t="s">
        <v>414</v>
      </c>
      <c r="R15" s="88" t="s">
        <v>421</v>
      </c>
    </row>
    <row r="16" spans="1:18">
      <c r="A16" s="86" t="s">
        <v>43</v>
      </c>
      <c r="B16" s="86" t="s">
        <v>433</v>
      </c>
      <c r="C16" s="87">
        <v>200000</v>
      </c>
      <c r="D16" s="87">
        <v>1</v>
      </c>
      <c r="E16" s="87">
        <v>200000</v>
      </c>
      <c r="F16" s="86">
        <v>1998.9</v>
      </c>
      <c r="G16" s="86" t="s">
        <v>43</v>
      </c>
      <c r="H16" s="86" t="s">
        <v>50</v>
      </c>
      <c r="I16" s="86" t="s">
        <v>434</v>
      </c>
      <c r="J16" s="86" t="s">
        <v>435</v>
      </c>
      <c r="K16" s="86" t="s">
        <v>435</v>
      </c>
      <c r="L16" s="86" t="s">
        <v>419</v>
      </c>
      <c r="M16" s="86" t="s">
        <v>436</v>
      </c>
      <c r="N16" s="86" t="s">
        <v>412</v>
      </c>
      <c r="O16" s="86" t="s">
        <v>413</v>
      </c>
      <c r="P16" s="86" t="s">
        <v>403</v>
      </c>
      <c r="Q16" s="86" t="s">
        <v>414</v>
      </c>
      <c r="R16" s="88" t="s">
        <v>437</v>
      </c>
    </row>
    <row r="17" spans="1:18">
      <c r="A17" s="86" t="s">
        <v>43</v>
      </c>
      <c r="B17" s="86" t="s">
        <v>438</v>
      </c>
      <c r="C17" s="87">
        <v>200000</v>
      </c>
      <c r="D17" s="87">
        <v>1</v>
      </c>
      <c r="E17" s="87">
        <v>200000</v>
      </c>
      <c r="F17" s="86">
        <v>1999.9</v>
      </c>
      <c r="G17" s="86" t="s">
        <v>43</v>
      </c>
      <c r="H17" s="86" t="s">
        <v>50</v>
      </c>
      <c r="I17" s="86" t="s">
        <v>418</v>
      </c>
      <c r="J17" s="86" t="s">
        <v>435</v>
      </c>
      <c r="K17" s="86" t="s">
        <v>435</v>
      </c>
      <c r="L17" s="86" t="s">
        <v>419</v>
      </c>
      <c r="M17" s="86" t="s">
        <v>436</v>
      </c>
      <c r="N17" s="86" t="s">
        <v>412</v>
      </c>
      <c r="O17" s="86" t="s">
        <v>413</v>
      </c>
      <c r="P17" s="86" t="s">
        <v>403</v>
      </c>
      <c r="Q17" s="86" t="s">
        <v>414</v>
      </c>
      <c r="R17" s="88" t="s">
        <v>437</v>
      </c>
    </row>
    <row r="18" spans="1:18">
      <c r="A18" s="86" t="s">
        <v>43</v>
      </c>
      <c r="B18" s="86" t="s">
        <v>439</v>
      </c>
      <c r="C18" s="87">
        <v>500000</v>
      </c>
      <c r="D18" s="87">
        <v>1</v>
      </c>
      <c r="E18" s="87">
        <v>500000</v>
      </c>
      <c r="F18" s="86">
        <v>1983.12</v>
      </c>
      <c r="G18" s="86" t="s">
        <v>43</v>
      </c>
      <c r="H18" s="86" t="s">
        <v>49</v>
      </c>
      <c r="I18" s="86" t="s">
        <v>440</v>
      </c>
      <c r="J18" s="86" t="s">
        <v>441</v>
      </c>
      <c r="K18" s="86" t="s">
        <v>441</v>
      </c>
      <c r="L18" s="86" t="s">
        <v>442</v>
      </c>
      <c r="M18" s="86" t="s">
        <v>420</v>
      </c>
      <c r="N18" s="86" t="s">
        <v>412</v>
      </c>
      <c r="O18" s="86" t="s">
        <v>413</v>
      </c>
      <c r="P18" s="86" t="s">
        <v>403</v>
      </c>
      <c r="Q18" s="86" t="s">
        <v>414</v>
      </c>
      <c r="R18" s="88" t="s">
        <v>443</v>
      </c>
    </row>
    <row r="19" spans="1:18">
      <c r="A19" s="86" t="s">
        <v>43</v>
      </c>
      <c r="B19" s="86" t="s">
        <v>444</v>
      </c>
      <c r="C19" s="87">
        <v>500000</v>
      </c>
      <c r="D19" s="87">
        <v>1</v>
      </c>
      <c r="E19" s="87">
        <v>500000</v>
      </c>
      <c r="F19" s="86">
        <v>1984.9</v>
      </c>
      <c r="G19" s="86" t="s">
        <v>43</v>
      </c>
      <c r="H19" s="86" t="s">
        <v>49</v>
      </c>
      <c r="I19" s="86" t="s">
        <v>440</v>
      </c>
      <c r="J19" s="86" t="s">
        <v>441</v>
      </c>
      <c r="K19" s="86" t="s">
        <v>441</v>
      </c>
      <c r="L19" s="86" t="s">
        <v>442</v>
      </c>
      <c r="M19" s="86" t="s">
        <v>420</v>
      </c>
      <c r="N19" s="86" t="s">
        <v>412</v>
      </c>
      <c r="O19" s="86" t="s">
        <v>413</v>
      </c>
      <c r="P19" s="86" t="s">
        <v>403</v>
      </c>
      <c r="Q19" s="86" t="s">
        <v>414</v>
      </c>
      <c r="R19" s="88" t="s">
        <v>443</v>
      </c>
    </row>
    <row r="20" spans="1:18">
      <c r="A20" s="86" t="s">
        <v>43</v>
      </c>
      <c r="B20" s="86" t="s">
        <v>445</v>
      </c>
      <c r="C20" s="87">
        <v>500000</v>
      </c>
      <c r="D20" s="87">
        <v>1</v>
      </c>
      <c r="E20" s="87">
        <v>500000</v>
      </c>
      <c r="F20" s="86">
        <v>1993.4</v>
      </c>
      <c r="G20" s="86" t="s">
        <v>43</v>
      </c>
      <c r="H20" s="86" t="s">
        <v>49</v>
      </c>
      <c r="I20" s="86" t="s">
        <v>446</v>
      </c>
      <c r="J20" s="86" t="s">
        <v>435</v>
      </c>
      <c r="K20" s="86" t="s">
        <v>435</v>
      </c>
      <c r="L20" s="86" t="s">
        <v>442</v>
      </c>
      <c r="M20" s="86" t="s">
        <v>420</v>
      </c>
      <c r="N20" s="86" t="s">
        <v>412</v>
      </c>
      <c r="O20" s="86" t="s">
        <v>413</v>
      </c>
      <c r="P20" s="86" t="s">
        <v>403</v>
      </c>
      <c r="Q20" s="86" t="s">
        <v>414</v>
      </c>
      <c r="R20" s="88" t="s">
        <v>443</v>
      </c>
    </row>
    <row r="21" spans="1:18">
      <c r="A21" s="86" t="s">
        <v>43</v>
      </c>
      <c r="B21" s="86" t="s">
        <v>447</v>
      </c>
      <c r="C21" s="87">
        <v>500000</v>
      </c>
      <c r="D21" s="87">
        <v>1</v>
      </c>
      <c r="E21" s="87">
        <v>500000</v>
      </c>
      <c r="F21" s="86">
        <v>1993.6</v>
      </c>
      <c r="G21" s="86" t="s">
        <v>43</v>
      </c>
      <c r="H21" s="86" t="s">
        <v>49</v>
      </c>
      <c r="I21" s="86" t="s">
        <v>446</v>
      </c>
      <c r="J21" s="86" t="s">
        <v>435</v>
      </c>
      <c r="K21" s="86" t="s">
        <v>435</v>
      </c>
      <c r="L21" s="86" t="s">
        <v>442</v>
      </c>
      <c r="M21" s="86" t="s">
        <v>420</v>
      </c>
      <c r="N21" s="86" t="s">
        <v>412</v>
      </c>
      <c r="O21" s="86" t="s">
        <v>413</v>
      </c>
      <c r="P21" s="86" t="s">
        <v>403</v>
      </c>
      <c r="Q21" s="86" t="s">
        <v>414</v>
      </c>
      <c r="R21" s="88" t="s">
        <v>443</v>
      </c>
    </row>
    <row r="22" spans="1:18">
      <c r="A22" s="86" t="s">
        <v>43</v>
      </c>
      <c r="B22" s="86" t="s">
        <v>448</v>
      </c>
      <c r="C22" s="87">
        <v>500000</v>
      </c>
      <c r="D22" s="87">
        <v>1</v>
      </c>
      <c r="E22" s="87">
        <v>500000</v>
      </c>
      <c r="F22" s="86">
        <v>1993.12</v>
      </c>
      <c r="G22" s="86" t="s">
        <v>43</v>
      </c>
      <c r="H22" s="86" t="s">
        <v>49</v>
      </c>
      <c r="I22" s="86" t="s">
        <v>446</v>
      </c>
      <c r="J22" s="86" t="s">
        <v>435</v>
      </c>
      <c r="K22" s="86" t="s">
        <v>435</v>
      </c>
      <c r="L22" s="86" t="s">
        <v>442</v>
      </c>
      <c r="M22" s="86" t="s">
        <v>420</v>
      </c>
      <c r="N22" s="86" t="s">
        <v>412</v>
      </c>
      <c r="O22" s="86" t="s">
        <v>413</v>
      </c>
      <c r="P22" s="86" t="s">
        <v>403</v>
      </c>
      <c r="Q22" s="86" t="s">
        <v>414</v>
      </c>
      <c r="R22" s="88" t="s">
        <v>443</v>
      </c>
    </row>
    <row r="23" spans="1:18">
      <c r="A23" s="86" t="s">
        <v>43</v>
      </c>
      <c r="B23" s="86" t="s">
        <v>449</v>
      </c>
      <c r="C23" s="87">
        <v>500000</v>
      </c>
      <c r="D23" s="87">
        <v>1</v>
      </c>
      <c r="E23" s="87">
        <v>500000</v>
      </c>
      <c r="F23" s="86">
        <v>1994.4</v>
      </c>
      <c r="G23" s="86" t="s">
        <v>43</v>
      </c>
      <c r="H23" s="86" t="s">
        <v>49</v>
      </c>
      <c r="I23" s="86" t="s">
        <v>446</v>
      </c>
      <c r="J23" s="86" t="s">
        <v>435</v>
      </c>
      <c r="K23" s="86" t="s">
        <v>435</v>
      </c>
      <c r="L23" s="86" t="s">
        <v>442</v>
      </c>
      <c r="M23" s="86" t="s">
        <v>420</v>
      </c>
      <c r="N23" s="86" t="s">
        <v>412</v>
      </c>
      <c r="O23" s="86" t="s">
        <v>413</v>
      </c>
      <c r="P23" s="86" t="s">
        <v>403</v>
      </c>
      <c r="Q23" s="86" t="s">
        <v>414</v>
      </c>
      <c r="R23" s="88" t="s">
        <v>443</v>
      </c>
    </row>
    <row r="24" spans="1:18">
      <c r="A24" s="86" t="s">
        <v>43</v>
      </c>
      <c r="B24" s="86" t="s">
        <v>450</v>
      </c>
      <c r="C24" s="87">
        <v>500000</v>
      </c>
      <c r="D24" s="87">
        <v>1</v>
      </c>
      <c r="E24" s="87">
        <v>500000</v>
      </c>
      <c r="F24" s="86">
        <v>2008.6</v>
      </c>
      <c r="G24" s="86" t="s">
        <v>43</v>
      </c>
      <c r="H24" s="86" t="s">
        <v>49</v>
      </c>
      <c r="I24" s="86" t="s">
        <v>408</v>
      </c>
      <c r="J24" s="86" t="s">
        <v>408</v>
      </c>
      <c r="K24" s="86" t="s">
        <v>408</v>
      </c>
      <c r="L24" s="86" t="s">
        <v>442</v>
      </c>
      <c r="M24" s="86" t="s">
        <v>420</v>
      </c>
      <c r="N24" s="86" t="s">
        <v>412</v>
      </c>
      <c r="O24" s="86" t="s">
        <v>413</v>
      </c>
      <c r="P24" s="86" t="s">
        <v>403</v>
      </c>
      <c r="Q24" s="86" t="s">
        <v>414</v>
      </c>
      <c r="R24" s="88" t="s">
        <v>443</v>
      </c>
    </row>
    <row r="25" spans="1:18">
      <c r="A25" s="86" t="s">
        <v>43</v>
      </c>
      <c r="B25" s="86" t="s">
        <v>451</v>
      </c>
      <c r="C25" s="87">
        <v>500000</v>
      </c>
      <c r="D25" s="87">
        <v>1</v>
      </c>
      <c r="E25" s="87">
        <v>500000</v>
      </c>
      <c r="F25" s="86">
        <v>2008.12</v>
      </c>
      <c r="G25" s="86" t="s">
        <v>43</v>
      </c>
      <c r="H25" s="86" t="s">
        <v>49</v>
      </c>
      <c r="I25" s="86" t="s">
        <v>408</v>
      </c>
      <c r="J25" s="86" t="s">
        <v>408</v>
      </c>
      <c r="K25" s="86" t="s">
        <v>408</v>
      </c>
      <c r="L25" s="86" t="s">
        <v>442</v>
      </c>
      <c r="M25" s="86" t="s">
        <v>420</v>
      </c>
      <c r="N25" s="86" t="s">
        <v>412</v>
      </c>
      <c r="O25" s="86" t="s">
        <v>413</v>
      </c>
      <c r="P25" s="86" t="s">
        <v>403</v>
      </c>
      <c r="Q25" s="86" t="s">
        <v>414</v>
      </c>
      <c r="R25" s="88" t="s">
        <v>443</v>
      </c>
    </row>
    <row r="26" spans="1:18">
      <c r="A26" s="86" t="s">
        <v>43</v>
      </c>
      <c r="B26" s="86" t="s">
        <v>452</v>
      </c>
      <c r="C26" s="87">
        <v>595000</v>
      </c>
      <c r="D26" s="87">
        <v>1</v>
      </c>
      <c r="E26" s="87">
        <v>595000</v>
      </c>
      <c r="F26" s="86">
        <v>2017.3</v>
      </c>
      <c r="G26" s="86" t="s">
        <v>43</v>
      </c>
      <c r="H26" s="86" t="s">
        <v>49</v>
      </c>
      <c r="I26" s="86" t="s">
        <v>453</v>
      </c>
      <c r="J26" s="86" t="s">
        <v>423</v>
      </c>
      <c r="K26" s="86" t="s">
        <v>423</v>
      </c>
      <c r="L26" s="86" t="s">
        <v>454</v>
      </c>
      <c r="M26" s="86" t="s">
        <v>420</v>
      </c>
      <c r="N26" s="86" t="s">
        <v>412</v>
      </c>
      <c r="O26" s="86" t="s">
        <v>413</v>
      </c>
      <c r="P26" s="86" t="s">
        <v>403</v>
      </c>
      <c r="Q26" s="86" t="s">
        <v>414</v>
      </c>
      <c r="R26" s="88" t="s">
        <v>455</v>
      </c>
    </row>
    <row r="27" spans="1:18">
      <c r="A27" s="86" t="s">
        <v>43</v>
      </c>
      <c r="B27" s="86" t="s">
        <v>456</v>
      </c>
      <c r="C27" s="87">
        <v>595000</v>
      </c>
      <c r="D27" s="87">
        <v>1</v>
      </c>
      <c r="E27" s="87">
        <v>595000</v>
      </c>
      <c r="F27" s="86">
        <v>2017.8</v>
      </c>
      <c r="G27" s="86" t="s">
        <v>43</v>
      </c>
      <c r="H27" s="86" t="s">
        <v>49</v>
      </c>
      <c r="I27" s="86" t="s">
        <v>453</v>
      </c>
      <c r="J27" s="86" t="s">
        <v>423</v>
      </c>
      <c r="K27" s="86" t="s">
        <v>423</v>
      </c>
      <c r="L27" s="86" t="s">
        <v>454</v>
      </c>
      <c r="M27" s="86" t="s">
        <v>420</v>
      </c>
      <c r="N27" s="86" t="s">
        <v>412</v>
      </c>
      <c r="O27" s="86" t="s">
        <v>413</v>
      </c>
      <c r="P27" s="86" t="s">
        <v>403</v>
      </c>
      <c r="Q27" s="86" t="s">
        <v>414</v>
      </c>
      <c r="R27" s="88" t="s">
        <v>455</v>
      </c>
    </row>
    <row r="28" spans="1:18">
      <c r="A28" s="86" t="s">
        <v>43</v>
      </c>
      <c r="B28" s="86" t="s">
        <v>457</v>
      </c>
      <c r="C28" s="87">
        <v>1022000</v>
      </c>
      <c r="D28" s="87">
        <v>1</v>
      </c>
      <c r="E28" s="87">
        <v>1022000</v>
      </c>
      <c r="F28" s="86">
        <v>2016.12</v>
      </c>
      <c r="G28" s="86" t="s">
        <v>43</v>
      </c>
      <c r="H28" s="86" t="s">
        <v>49</v>
      </c>
      <c r="I28" s="86" t="s">
        <v>458</v>
      </c>
      <c r="J28" s="86" t="s">
        <v>459</v>
      </c>
      <c r="K28" s="86" t="s">
        <v>459</v>
      </c>
      <c r="L28" s="86" t="s">
        <v>410</v>
      </c>
      <c r="M28" s="86" t="s">
        <v>424</v>
      </c>
      <c r="N28" s="86" t="s">
        <v>412</v>
      </c>
      <c r="O28" s="86" t="s">
        <v>413</v>
      </c>
      <c r="P28" s="86" t="s">
        <v>403</v>
      </c>
      <c r="Q28" s="86" t="s">
        <v>414</v>
      </c>
      <c r="R28" s="88" t="s">
        <v>460</v>
      </c>
    </row>
    <row r="29" spans="1:18">
      <c r="A29" s="86" t="s">
        <v>43</v>
      </c>
      <c r="B29" s="86" t="s">
        <v>461</v>
      </c>
      <c r="C29" s="87">
        <v>1022000</v>
      </c>
      <c r="D29" s="87">
        <v>1</v>
      </c>
      <c r="E29" s="87">
        <v>1022000</v>
      </c>
      <c r="F29" s="86">
        <v>2017.6</v>
      </c>
      <c r="G29" s="86" t="s">
        <v>43</v>
      </c>
      <c r="H29" s="86" t="s">
        <v>49</v>
      </c>
      <c r="I29" s="86" t="s">
        <v>458</v>
      </c>
      <c r="J29" s="86" t="s">
        <v>459</v>
      </c>
      <c r="K29" s="86" t="s">
        <v>459</v>
      </c>
      <c r="L29" s="86" t="s">
        <v>410</v>
      </c>
      <c r="M29" s="86" t="s">
        <v>424</v>
      </c>
      <c r="N29" s="86" t="s">
        <v>412</v>
      </c>
      <c r="O29" s="86" t="s">
        <v>413</v>
      </c>
      <c r="P29" s="86" t="s">
        <v>403</v>
      </c>
      <c r="Q29" s="86" t="s">
        <v>414</v>
      </c>
      <c r="R29" s="88" t="s">
        <v>460</v>
      </c>
    </row>
    <row r="30" spans="1:18">
      <c r="A30" s="86" t="s">
        <v>43</v>
      </c>
      <c r="B30" s="86" t="s">
        <v>462</v>
      </c>
      <c r="C30" s="87">
        <v>560000</v>
      </c>
      <c r="D30" s="87">
        <v>1</v>
      </c>
      <c r="E30" s="87">
        <v>560000</v>
      </c>
      <c r="F30" s="86">
        <v>1983.8</v>
      </c>
      <c r="G30" s="86" t="s">
        <v>43</v>
      </c>
      <c r="H30" s="86" t="s">
        <v>49</v>
      </c>
      <c r="I30" s="86" t="s">
        <v>418</v>
      </c>
      <c r="J30" s="86" t="s">
        <v>435</v>
      </c>
      <c r="K30" s="86" t="s">
        <v>435</v>
      </c>
      <c r="L30" s="86" t="s">
        <v>463</v>
      </c>
      <c r="M30" s="86" t="s">
        <v>420</v>
      </c>
      <c r="N30" s="86" t="s">
        <v>412</v>
      </c>
      <c r="O30" s="86" t="s">
        <v>413</v>
      </c>
      <c r="P30" s="86" t="s">
        <v>403</v>
      </c>
      <c r="Q30" s="86" t="s">
        <v>414</v>
      </c>
      <c r="R30" s="88" t="s">
        <v>464</v>
      </c>
    </row>
    <row r="31" spans="1:18">
      <c r="A31" s="86" t="s">
        <v>43</v>
      </c>
      <c r="B31" s="86" t="s">
        <v>465</v>
      </c>
      <c r="C31" s="87">
        <v>560000</v>
      </c>
      <c r="D31" s="87">
        <v>1</v>
      </c>
      <c r="E31" s="87">
        <v>560000</v>
      </c>
      <c r="F31" s="86">
        <v>1984.2</v>
      </c>
      <c r="G31" s="86" t="s">
        <v>43</v>
      </c>
      <c r="H31" s="86" t="s">
        <v>49</v>
      </c>
      <c r="I31" s="86" t="s">
        <v>418</v>
      </c>
      <c r="J31" s="86" t="s">
        <v>435</v>
      </c>
      <c r="K31" s="86" t="s">
        <v>435</v>
      </c>
      <c r="L31" s="86" t="s">
        <v>463</v>
      </c>
      <c r="M31" s="86" t="s">
        <v>420</v>
      </c>
      <c r="N31" s="86" t="s">
        <v>412</v>
      </c>
      <c r="O31" s="86" t="s">
        <v>413</v>
      </c>
      <c r="P31" s="86" t="s">
        <v>403</v>
      </c>
      <c r="Q31" s="86" t="s">
        <v>414</v>
      </c>
      <c r="R31" s="88" t="s">
        <v>464</v>
      </c>
    </row>
    <row r="32" spans="1:18">
      <c r="A32" s="86" t="s">
        <v>43</v>
      </c>
      <c r="B32" s="86" t="s">
        <v>466</v>
      </c>
      <c r="C32" s="87">
        <v>560000</v>
      </c>
      <c r="D32" s="87">
        <v>1</v>
      </c>
      <c r="E32" s="87">
        <v>560000</v>
      </c>
      <c r="F32" s="86">
        <v>1993.4</v>
      </c>
      <c r="G32" s="86" t="s">
        <v>43</v>
      </c>
      <c r="H32" s="86" t="s">
        <v>49</v>
      </c>
      <c r="I32" s="86" t="s">
        <v>446</v>
      </c>
      <c r="J32" s="86" t="s">
        <v>467</v>
      </c>
      <c r="K32" s="86" t="s">
        <v>468</v>
      </c>
      <c r="L32" s="86" t="s">
        <v>463</v>
      </c>
      <c r="M32" s="86" t="s">
        <v>420</v>
      </c>
      <c r="N32" s="86" t="s">
        <v>412</v>
      </c>
      <c r="O32" s="86" t="s">
        <v>413</v>
      </c>
      <c r="P32" s="86" t="s">
        <v>403</v>
      </c>
      <c r="Q32" s="86" t="s">
        <v>414</v>
      </c>
      <c r="R32" s="88" t="s">
        <v>464</v>
      </c>
    </row>
    <row r="33" spans="1:18">
      <c r="A33" s="86" t="s">
        <v>43</v>
      </c>
      <c r="B33" s="86" t="s">
        <v>469</v>
      </c>
      <c r="C33" s="87">
        <v>560000</v>
      </c>
      <c r="D33" s="87">
        <v>1</v>
      </c>
      <c r="E33" s="87">
        <v>560000</v>
      </c>
      <c r="F33" s="86">
        <v>1994.3</v>
      </c>
      <c r="G33" s="86" t="s">
        <v>43</v>
      </c>
      <c r="H33" s="86" t="s">
        <v>49</v>
      </c>
      <c r="I33" s="86" t="s">
        <v>446</v>
      </c>
      <c r="J33" s="86" t="s">
        <v>467</v>
      </c>
      <c r="K33" s="86" t="s">
        <v>468</v>
      </c>
      <c r="L33" s="86" t="s">
        <v>463</v>
      </c>
      <c r="M33" s="86" t="s">
        <v>420</v>
      </c>
      <c r="N33" s="86" t="s">
        <v>412</v>
      </c>
      <c r="O33" s="86" t="s">
        <v>413</v>
      </c>
      <c r="P33" s="86" t="s">
        <v>403</v>
      </c>
      <c r="Q33" s="86" t="s">
        <v>414</v>
      </c>
      <c r="R33" s="88" t="s">
        <v>464</v>
      </c>
    </row>
    <row r="34" spans="1:18">
      <c r="A34" s="86" t="s">
        <v>43</v>
      </c>
      <c r="B34" s="86" t="s">
        <v>470</v>
      </c>
      <c r="C34" s="87">
        <v>500000</v>
      </c>
      <c r="D34" s="87">
        <v>1</v>
      </c>
      <c r="E34" s="87">
        <v>500000</v>
      </c>
      <c r="F34" s="86">
        <v>1997.7</v>
      </c>
      <c r="G34" s="86" t="s">
        <v>43</v>
      </c>
      <c r="H34" s="86" t="s">
        <v>49</v>
      </c>
      <c r="I34" s="86" t="s">
        <v>468</v>
      </c>
      <c r="J34" s="86" t="s">
        <v>468</v>
      </c>
      <c r="K34" s="86" t="s">
        <v>468</v>
      </c>
      <c r="L34" s="86" t="s">
        <v>463</v>
      </c>
      <c r="M34" s="86" t="s">
        <v>420</v>
      </c>
      <c r="N34" s="86" t="s">
        <v>412</v>
      </c>
      <c r="O34" s="86" t="s">
        <v>413</v>
      </c>
      <c r="P34" s="86" t="s">
        <v>403</v>
      </c>
      <c r="Q34" s="86" t="s">
        <v>414</v>
      </c>
      <c r="R34" s="88" t="s">
        <v>464</v>
      </c>
    </row>
    <row r="35" spans="1:18">
      <c r="A35" s="86" t="s">
        <v>43</v>
      </c>
      <c r="B35" s="86" t="s">
        <v>471</v>
      </c>
      <c r="C35" s="87">
        <v>500000</v>
      </c>
      <c r="D35" s="87">
        <v>1</v>
      </c>
      <c r="E35" s="87">
        <v>500000</v>
      </c>
      <c r="F35" s="86">
        <v>1998.1</v>
      </c>
      <c r="G35" s="86" t="s">
        <v>43</v>
      </c>
      <c r="H35" s="86" t="s">
        <v>49</v>
      </c>
      <c r="I35" s="86" t="s">
        <v>468</v>
      </c>
      <c r="J35" s="86" t="s">
        <v>468</v>
      </c>
      <c r="K35" s="86" t="s">
        <v>468</v>
      </c>
      <c r="L35" s="86" t="s">
        <v>463</v>
      </c>
      <c r="M35" s="86" t="s">
        <v>420</v>
      </c>
      <c r="N35" s="86" t="s">
        <v>412</v>
      </c>
      <c r="O35" s="86" t="s">
        <v>413</v>
      </c>
      <c r="P35" s="86" t="s">
        <v>403</v>
      </c>
      <c r="Q35" s="86" t="s">
        <v>414</v>
      </c>
      <c r="R35" s="88" t="s">
        <v>464</v>
      </c>
    </row>
    <row r="36" spans="1:18">
      <c r="A36" s="86" t="s">
        <v>43</v>
      </c>
      <c r="B36" s="86" t="s">
        <v>472</v>
      </c>
      <c r="C36" s="87">
        <v>1019029</v>
      </c>
      <c r="D36" s="87">
        <v>1</v>
      </c>
      <c r="E36" s="87">
        <v>1019029</v>
      </c>
      <c r="F36" s="86">
        <v>2017.6</v>
      </c>
      <c r="G36" s="86" t="s">
        <v>43</v>
      </c>
      <c r="H36" s="86" t="s">
        <v>49</v>
      </c>
      <c r="I36" s="86" t="s">
        <v>408</v>
      </c>
      <c r="J36" s="86" t="s">
        <v>408</v>
      </c>
      <c r="K36" s="86" t="s">
        <v>408</v>
      </c>
      <c r="L36" s="86" t="s">
        <v>442</v>
      </c>
      <c r="M36" s="86" t="s">
        <v>473</v>
      </c>
      <c r="N36" s="86" t="s">
        <v>412</v>
      </c>
      <c r="O36" s="86" t="s">
        <v>413</v>
      </c>
      <c r="P36" s="86" t="s">
        <v>403</v>
      </c>
      <c r="Q36" s="86" t="s">
        <v>414</v>
      </c>
      <c r="R36" s="88" t="s">
        <v>474</v>
      </c>
    </row>
    <row r="37" spans="1:18">
      <c r="A37" s="86" t="s">
        <v>43</v>
      </c>
      <c r="B37" s="86" t="s">
        <v>475</v>
      </c>
      <c r="C37" s="87">
        <v>1019029</v>
      </c>
      <c r="D37" s="87">
        <v>1</v>
      </c>
      <c r="E37" s="87">
        <v>1019029</v>
      </c>
      <c r="F37" s="86">
        <v>2017.9</v>
      </c>
      <c r="G37" s="86" t="s">
        <v>43</v>
      </c>
      <c r="H37" s="86" t="s">
        <v>49</v>
      </c>
      <c r="I37" s="86" t="s">
        <v>408</v>
      </c>
      <c r="J37" s="86" t="s">
        <v>408</v>
      </c>
      <c r="K37" s="86" t="s">
        <v>408</v>
      </c>
      <c r="L37" s="86" t="s">
        <v>442</v>
      </c>
      <c r="M37" s="86" t="s">
        <v>473</v>
      </c>
      <c r="N37" s="86" t="s">
        <v>412</v>
      </c>
      <c r="O37" s="86" t="s">
        <v>413</v>
      </c>
      <c r="P37" s="86" t="s">
        <v>403</v>
      </c>
      <c r="Q37" s="86" t="s">
        <v>414</v>
      </c>
      <c r="R37" s="88" t="s">
        <v>474</v>
      </c>
    </row>
    <row r="38" spans="1:18">
      <c r="A38" s="86" t="s">
        <v>43</v>
      </c>
      <c r="B38" s="86" t="s">
        <v>476</v>
      </c>
      <c r="C38" s="87">
        <v>340000</v>
      </c>
      <c r="D38" s="87">
        <v>1</v>
      </c>
      <c r="E38" s="87">
        <v>340000</v>
      </c>
      <c r="F38" s="86">
        <v>2016.8</v>
      </c>
      <c r="G38" s="86" t="s">
        <v>43</v>
      </c>
      <c r="H38" s="86" t="s">
        <v>49</v>
      </c>
      <c r="I38" s="86" t="s">
        <v>408</v>
      </c>
      <c r="J38" s="86" t="s">
        <v>408</v>
      </c>
      <c r="K38" s="86" t="s">
        <v>408</v>
      </c>
      <c r="L38" s="86" t="s">
        <v>463</v>
      </c>
      <c r="M38" s="86" t="s">
        <v>436</v>
      </c>
      <c r="N38" s="86" t="s">
        <v>412</v>
      </c>
      <c r="O38" s="86" t="s">
        <v>413</v>
      </c>
      <c r="P38" s="86" t="s">
        <v>403</v>
      </c>
      <c r="Q38" s="86" t="s">
        <v>414</v>
      </c>
      <c r="R38" s="88" t="s">
        <v>477</v>
      </c>
    </row>
    <row r="39" spans="1:18">
      <c r="A39" s="86" t="s">
        <v>43</v>
      </c>
      <c r="B39" s="86" t="s">
        <v>478</v>
      </c>
      <c r="C39" s="87">
        <v>328600</v>
      </c>
      <c r="D39" s="87">
        <v>1</v>
      </c>
      <c r="E39" s="87">
        <v>328600</v>
      </c>
      <c r="F39" s="86">
        <v>1977.7</v>
      </c>
      <c r="G39" s="86" t="s">
        <v>43</v>
      </c>
      <c r="H39" s="86" t="s">
        <v>49</v>
      </c>
      <c r="I39" s="86" t="s">
        <v>479</v>
      </c>
      <c r="J39" s="86" t="s">
        <v>480</v>
      </c>
      <c r="K39" s="86" t="s">
        <v>481</v>
      </c>
      <c r="L39" s="86" t="s">
        <v>463</v>
      </c>
      <c r="M39" s="86" t="s">
        <v>436</v>
      </c>
      <c r="N39" s="86" t="s">
        <v>412</v>
      </c>
      <c r="O39" s="86" t="s">
        <v>413</v>
      </c>
      <c r="P39" s="86" t="s">
        <v>403</v>
      </c>
      <c r="Q39" s="86" t="s">
        <v>414</v>
      </c>
      <c r="R39" s="88" t="s">
        <v>477</v>
      </c>
    </row>
    <row r="40" spans="1:18">
      <c r="A40" s="86" t="s">
        <v>43</v>
      </c>
      <c r="B40" s="86" t="s">
        <v>482</v>
      </c>
      <c r="C40" s="87">
        <v>200000</v>
      </c>
      <c r="D40" s="87">
        <v>1</v>
      </c>
      <c r="E40" s="87">
        <v>200000</v>
      </c>
      <c r="F40" s="86">
        <v>1979.1</v>
      </c>
      <c r="G40" s="86" t="s">
        <v>40</v>
      </c>
      <c r="H40" s="86" t="s">
        <v>407</v>
      </c>
      <c r="I40" s="86" t="s">
        <v>483</v>
      </c>
      <c r="J40" s="86" t="s">
        <v>483</v>
      </c>
      <c r="K40" s="86" t="s">
        <v>483</v>
      </c>
      <c r="L40" s="86" t="s">
        <v>463</v>
      </c>
      <c r="M40" s="86" t="s">
        <v>484</v>
      </c>
      <c r="N40" s="86" t="s">
        <v>412</v>
      </c>
      <c r="O40" s="86" t="s">
        <v>413</v>
      </c>
      <c r="P40" s="86" t="s">
        <v>403</v>
      </c>
      <c r="Q40" s="86" t="s">
        <v>414</v>
      </c>
      <c r="R40" s="88" t="s">
        <v>485</v>
      </c>
    </row>
    <row r="41" spans="1:18">
      <c r="A41" s="86" t="s">
        <v>43</v>
      </c>
      <c r="B41" s="86" t="s">
        <v>486</v>
      </c>
      <c r="C41" s="87">
        <v>800000</v>
      </c>
      <c r="D41" s="87">
        <v>1</v>
      </c>
      <c r="E41" s="87">
        <v>800000</v>
      </c>
      <c r="F41" s="86">
        <v>2004.7</v>
      </c>
      <c r="G41" s="86" t="s">
        <v>43</v>
      </c>
      <c r="H41" s="86" t="s">
        <v>49</v>
      </c>
      <c r="I41" s="86" t="s">
        <v>487</v>
      </c>
      <c r="J41" s="86" t="s">
        <v>488</v>
      </c>
      <c r="K41" s="86" t="s">
        <v>488</v>
      </c>
      <c r="L41" s="86" t="s">
        <v>463</v>
      </c>
      <c r="M41" s="86" t="s">
        <v>489</v>
      </c>
      <c r="N41" s="86" t="s">
        <v>412</v>
      </c>
      <c r="O41" s="86" t="s">
        <v>413</v>
      </c>
      <c r="P41" s="86" t="s">
        <v>403</v>
      </c>
      <c r="Q41" s="86" t="s">
        <v>414</v>
      </c>
      <c r="R41" s="88" t="s">
        <v>490</v>
      </c>
    </row>
    <row r="42" spans="1:18">
      <c r="A42" s="86" t="s">
        <v>43</v>
      </c>
      <c r="B42" s="86" t="s">
        <v>491</v>
      </c>
      <c r="C42" s="87">
        <v>800000</v>
      </c>
      <c r="D42" s="87">
        <v>1</v>
      </c>
      <c r="E42" s="87">
        <v>800000</v>
      </c>
      <c r="F42" s="86">
        <v>2004.11</v>
      </c>
      <c r="G42" s="86" t="s">
        <v>43</v>
      </c>
      <c r="H42" s="86" t="s">
        <v>49</v>
      </c>
      <c r="I42" s="86" t="s">
        <v>487</v>
      </c>
      <c r="J42" s="86" t="s">
        <v>488</v>
      </c>
      <c r="K42" s="86" t="s">
        <v>488</v>
      </c>
      <c r="L42" s="86" t="s">
        <v>463</v>
      </c>
      <c r="M42" s="86" t="s">
        <v>489</v>
      </c>
      <c r="N42" s="86" t="s">
        <v>412</v>
      </c>
      <c r="O42" s="86" t="s">
        <v>413</v>
      </c>
      <c r="P42" s="86" t="s">
        <v>403</v>
      </c>
      <c r="Q42" s="86" t="s">
        <v>414</v>
      </c>
      <c r="R42" s="88" t="s">
        <v>490</v>
      </c>
    </row>
    <row r="43" spans="1:18">
      <c r="A43" s="86" t="s">
        <v>43</v>
      </c>
      <c r="B43" s="86" t="s">
        <v>492</v>
      </c>
      <c r="C43" s="87">
        <v>870000</v>
      </c>
      <c r="D43" s="87">
        <v>1</v>
      </c>
      <c r="E43" s="87">
        <v>870000</v>
      </c>
      <c r="F43" s="86">
        <v>2008.6</v>
      </c>
      <c r="G43" s="86" t="s">
        <v>43</v>
      </c>
      <c r="H43" s="86" t="s">
        <v>49</v>
      </c>
      <c r="I43" s="86" t="s">
        <v>408</v>
      </c>
      <c r="J43" s="86" t="s">
        <v>483</v>
      </c>
      <c r="K43" s="86" t="s">
        <v>483</v>
      </c>
      <c r="L43" s="86" t="s">
        <v>463</v>
      </c>
      <c r="M43" s="86" t="s">
        <v>489</v>
      </c>
      <c r="N43" s="86" t="s">
        <v>412</v>
      </c>
      <c r="O43" s="86" t="s">
        <v>413</v>
      </c>
      <c r="P43" s="86" t="s">
        <v>403</v>
      </c>
      <c r="Q43" s="86" t="s">
        <v>414</v>
      </c>
      <c r="R43" s="88" t="s">
        <v>490</v>
      </c>
    </row>
    <row r="44" spans="1:18">
      <c r="A44" s="86" t="s">
        <v>43</v>
      </c>
      <c r="B44" s="86" t="s">
        <v>493</v>
      </c>
      <c r="C44" s="87">
        <v>870000</v>
      </c>
      <c r="D44" s="87">
        <v>1</v>
      </c>
      <c r="E44" s="87">
        <v>870000</v>
      </c>
      <c r="F44" s="86">
        <v>2008.12</v>
      </c>
      <c r="G44" s="86" t="s">
        <v>43</v>
      </c>
      <c r="H44" s="86" t="s">
        <v>49</v>
      </c>
      <c r="I44" s="86" t="s">
        <v>408</v>
      </c>
      <c r="J44" s="86" t="s">
        <v>483</v>
      </c>
      <c r="K44" s="86" t="s">
        <v>483</v>
      </c>
      <c r="L44" s="86" t="s">
        <v>463</v>
      </c>
      <c r="M44" s="86" t="s">
        <v>489</v>
      </c>
      <c r="N44" s="86" t="s">
        <v>412</v>
      </c>
      <c r="O44" s="86" t="s">
        <v>413</v>
      </c>
      <c r="P44" s="86" t="s">
        <v>403</v>
      </c>
      <c r="Q44" s="86" t="s">
        <v>414</v>
      </c>
      <c r="R44" s="88" t="s">
        <v>490</v>
      </c>
    </row>
    <row r="45" spans="1:18">
      <c r="A45" s="86" t="s">
        <v>43</v>
      </c>
      <c r="B45" s="86" t="s">
        <v>494</v>
      </c>
      <c r="C45" s="87">
        <v>870000</v>
      </c>
      <c r="D45" s="87">
        <v>1</v>
      </c>
      <c r="E45" s="87">
        <v>870000</v>
      </c>
      <c r="F45" s="86">
        <v>2014.6</v>
      </c>
      <c r="G45" s="86" t="s">
        <v>43</v>
      </c>
      <c r="H45" s="86" t="s">
        <v>49</v>
      </c>
      <c r="I45" s="86" t="s">
        <v>408</v>
      </c>
      <c r="J45" s="86" t="s">
        <v>483</v>
      </c>
      <c r="K45" s="86" t="s">
        <v>483</v>
      </c>
      <c r="L45" s="86" t="s">
        <v>463</v>
      </c>
      <c r="M45" s="86" t="s">
        <v>489</v>
      </c>
      <c r="N45" s="86" t="s">
        <v>412</v>
      </c>
      <c r="O45" s="86" t="s">
        <v>413</v>
      </c>
      <c r="P45" s="86" t="s">
        <v>403</v>
      </c>
      <c r="Q45" s="86" t="s">
        <v>414</v>
      </c>
      <c r="R45" s="88" t="s">
        <v>490</v>
      </c>
    </row>
    <row r="46" spans="1:18">
      <c r="A46" s="86" t="s">
        <v>43</v>
      </c>
      <c r="B46" s="86" t="s">
        <v>495</v>
      </c>
      <c r="C46" s="87">
        <v>870000</v>
      </c>
      <c r="D46" s="87">
        <v>1</v>
      </c>
      <c r="E46" s="87">
        <v>870000</v>
      </c>
      <c r="F46" s="86">
        <v>2014.11</v>
      </c>
      <c r="G46" s="86" t="s">
        <v>43</v>
      </c>
      <c r="H46" s="86" t="s">
        <v>49</v>
      </c>
      <c r="I46" s="86" t="s">
        <v>408</v>
      </c>
      <c r="J46" s="86" t="s">
        <v>483</v>
      </c>
      <c r="K46" s="86" t="s">
        <v>483</v>
      </c>
      <c r="L46" s="86" t="s">
        <v>463</v>
      </c>
      <c r="M46" s="86" t="s">
        <v>489</v>
      </c>
      <c r="N46" s="86" t="s">
        <v>412</v>
      </c>
      <c r="O46" s="86" t="s">
        <v>413</v>
      </c>
      <c r="P46" s="86" t="s">
        <v>403</v>
      </c>
      <c r="Q46" s="86" t="s">
        <v>414</v>
      </c>
      <c r="R46" s="88" t="s">
        <v>490</v>
      </c>
    </row>
    <row r="47" spans="1:18">
      <c r="A47" s="86" t="s">
        <v>43</v>
      </c>
      <c r="B47" s="86" t="s">
        <v>496</v>
      </c>
      <c r="C47" s="87">
        <v>400000</v>
      </c>
      <c r="D47" s="87">
        <v>1</v>
      </c>
      <c r="E47" s="87">
        <v>400000</v>
      </c>
      <c r="F47" s="86">
        <v>1980.1</v>
      </c>
      <c r="G47" s="86" t="s">
        <v>43</v>
      </c>
      <c r="H47" s="86" t="s">
        <v>44</v>
      </c>
      <c r="I47" s="86" t="s">
        <v>497</v>
      </c>
      <c r="J47" s="86" t="s">
        <v>498</v>
      </c>
      <c r="K47" s="86" t="s">
        <v>498</v>
      </c>
      <c r="L47" s="86" t="s">
        <v>419</v>
      </c>
      <c r="M47" s="86" t="s">
        <v>499</v>
      </c>
      <c r="N47" s="86" t="s">
        <v>412</v>
      </c>
      <c r="O47" s="86" t="s">
        <v>413</v>
      </c>
      <c r="P47" s="86" t="s">
        <v>403</v>
      </c>
      <c r="Q47" s="86" t="s">
        <v>414</v>
      </c>
      <c r="R47" s="88" t="s">
        <v>500</v>
      </c>
    </row>
    <row r="48" spans="1:18">
      <c r="A48" s="86" t="s">
        <v>43</v>
      </c>
      <c r="B48" s="86" t="s">
        <v>501</v>
      </c>
      <c r="C48" s="87">
        <v>400000</v>
      </c>
      <c r="D48" s="87">
        <v>1</v>
      </c>
      <c r="E48" s="87">
        <v>400000</v>
      </c>
      <c r="F48" s="86">
        <v>1980.1</v>
      </c>
      <c r="G48" s="86" t="s">
        <v>43</v>
      </c>
      <c r="H48" s="86" t="s">
        <v>44</v>
      </c>
      <c r="I48" s="86" t="s">
        <v>497</v>
      </c>
      <c r="J48" s="86" t="s">
        <v>498</v>
      </c>
      <c r="K48" s="86" t="s">
        <v>498</v>
      </c>
      <c r="L48" s="86" t="s">
        <v>419</v>
      </c>
      <c r="M48" s="86" t="s">
        <v>499</v>
      </c>
      <c r="N48" s="86" t="s">
        <v>412</v>
      </c>
      <c r="O48" s="86" t="s">
        <v>413</v>
      </c>
      <c r="P48" s="86" t="s">
        <v>403</v>
      </c>
      <c r="Q48" s="86" t="s">
        <v>414</v>
      </c>
      <c r="R48" s="88" t="s">
        <v>500</v>
      </c>
    </row>
    <row r="49" spans="1:18">
      <c r="A49" s="86" t="s">
        <v>43</v>
      </c>
      <c r="B49" s="86" t="s">
        <v>502</v>
      </c>
      <c r="C49" s="87">
        <v>400000</v>
      </c>
      <c r="D49" s="87">
        <v>1</v>
      </c>
      <c r="E49" s="87">
        <v>400000</v>
      </c>
      <c r="F49" s="86">
        <v>1981.1</v>
      </c>
      <c r="G49" s="86" t="s">
        <v>43</v>
      </c>
      <c r="H49" s="86" t="s">
        <v>44</v>
      </c>
      <c r="I49" s="86" t="s">
        <v>497</v>
      </c>
      <c r="J49" s="86" t="s">
        <v>498</v>
      </c>
      <c r="K49" s="86" t="s">
        <v>498</v>
      </c>
      <c r="L49" s="86" t="s">
        <v>419</v>
      </c>
      <c r="M49" s="86" t="s">
        <v>499</v>
      </c>
      <c r="N49" s="86" t="s">
        <v>412</v>
      </c>
      <c r="O49" s="86" t="s">
        <v>413</v>
      </c>
      <c r="P49" s="86" t="s">
        <v>403</v>
      </c>
      <c r="Q49" s="86" t="s">
        <v>414</v>
      </c>
      <c r="R49" s="88" t="s">
        <v>500</v>
      </c>
    </row>
    <row r="50" spans="1:18">
      <c r="A50" s="86" t="s">
        <v>43</v>
      </c>
      <c r="B50" s="86" t="s">
        <v>503</v>
      </c>
      <c r="C50" s="87">
        <v>75000</v>
      </c>
      <c r="D50" s="87">
        <v>1</v>
      </c>
      <c r="E50" s="87">
        <v>75000</v>
      </c>
      <c r="F50" s="86">
        <v>2000.3</v>
      </c>
      <c r="G50" s="86" t="s">
        <v>40</v>
      </c>
      <c r="H50" s="86" t="s">
        <v>407</v>
      </c>
      <c r="I50" s="86" t="s">
        <v>468</v>
      </c>
      <c r="J50" s="86" t="s">
        <v>504</v>
      </c>
      <c r="K50" s="86" t="s">
        <v>504</v>
      </c>
      <c r="L50" s="86" t="s">
        <v>442</v>
      </c>
      <c r="M50" s="86" t="s">
        <v>411</v>
      </c>
      <c r="N50" s="86" t="s">
        <v>412</v>
      </c>
      <c r="O50" s="86" t="s">
        <v>413</v>
      </c>
      <c r="P50" s="86" t="s">
        <v>403</v>
      </c>
      <c r="Q50" s="86" t="s">
        <v>414</v>
      </c>
      <c r="R50" s="88" t="s">
        <v>505</v>
      </c>
    </row>
    <row r="51" spans="1:18">
      <c r="A51" s="86" t="s">
        <v>43</v>
      </c>
      <c r="B51" s="86" t="s">
        <v>506</v>
      </c>
      <c r="C51" s="87">
        <v>75000</v>
      </c>
      <c r="D51" s="87">
        <v>1</v>
      </c>
      <c r="E51" s="87">
        <v>75000</v>
      </c>
      <c r="F51" s="86">
        <v>2000.12</v>
      </c>
      <c r="G51" s="86" t="s">
        <v>40</v>
      </c>
      <c r="H51" s="86" t="s">
        <v>407</v>
      </c>
      <c r="I51" s="86" t="s">
        <v>468</v>
      </c>
      <c r="J51" s="86" t="s">
        <v>504</v>
      </c>
      <c r="K51" s="86" t="s">
        <v>504</v>
      </c>
      <c r="L51" s="86" t="s">
        <v>442</v>
      </c>
      <c r="M51" s="86" t="s">
        <v>411</v>
      </c>
      <c r="N51" s="86" t="s">
        <v>412</v>
      </c>
      <c r="O51" s="86" t="s">
        <v>413</v>
      </c>
      <c r="P51" s="86" t="s">
        <v>403</v>
      </c>
      <c r="Q51" s="86" t="s">
        <v>414</v>
      </c>
      <c r="R51" s="88" t="s">
        <v>505</v>
      </c>
    </row>
    <row r="52" spans="1:18">
      <c r="A52" s="86" t="s">
        <v>43</v>
      </c>
      <c r="B52" s="86" t="s">
        <v>507</v>
      </c>
      <c r="C52" s="87">
        <v>500000</v>
      </c>
      <c r="D52" s="87">
        <v>1</v>
      </c>
      <c r="E52" s="87">
        <v>500000</v>
      </c>
      <c r="F52" s="86">
        <v>1995.6</v>
      </c>
      <c r="G52" s="86" t="s">
        <v>43</v>
      </c>
      <c r="H52" s="86" t="s">
        <v>49</v>
      </c>
      <c r="I52" s="86" t="s">
        <v>446</v>
      </c>
      <c r="J52" s="86" t="s">
        <v>435</v>
      </c>
      <c r="K52" s="86" t="s">
        <v>435</v>
      </c>
      <c r="L52" s="86" t="s">
        <v>508</v>
      </c>
      <c r="M52" s="86" t="s">
        <v>420</v>
      </c>
      <c r="N52" s="86" t="s">
        <v>412</v>
      </c>
      <c r="O52" s="86" t="s">
        <v>413</v>
      </c>
      <c r="P52" s="86" t="s">
        <v>403</v>
      </c>
      <c r="Q52" s="86" t="s">
        <v>414</v>
      </c>
      <c r="R52" s="88" t="s">
        <v>509</v>
      </c>
    </row>
    <row r="53" spans="1:18">
      <c r="A53" s="86" t="s">
        <v>43</v>
      </c>
      <c r="B53" s="86" t="s">
        <v>510</v>
      </c>
      <c r="C53" s="87">
        <v>1050000</v>
      </c>
      <c r="D53" s="87">
        <v>1</v>
      </c>
      <c r="E53" s="87">
        <v>1050000</v>
      </c>
      <c r="F53" s="86">
        <v>2017.6</v>
      </c>
      <c r="G53" s="86" t="s">
        <v>43</v>
      </c>
      <c r="H53" s="86" t="s">
        <v>49</v>
      </c>
      <c r="I53" s="86" t="s">
        <v>423</v>
      </c>
      <c r="J53" s="86" t="s">
        <v>423</v>
      </c>
      <c r="K53" s="86" t="s">
        <v>423</v>
      </c>
      <c r="L53" s="86" t="s">
        <v>508</v>
      </c>
      <c r="M53" s="86" t="s">
        <v>424</v>
      </c>
      <c r="N53" s="86" t="s">
        <v>412</v>
      </c>
      <c r="O53" s="86" t="s">
        <v>413</v>
      </c>
      <c r="P53" s="86" t="s">
        <v>403</v>
      </c>
      <c r="Q53" s="86" t="s">
        <v>414</v>
      </c>
      <c r="R53" s="88" t="s">
        <v>509</v>
      </c>
    </row>
    <row r="54" spans="1:18">
      <c r="A54" s="86" t="s">
        <v>43</v>
      </c>
      <c r="B54" s="86" t="s">
        <v>511</v>
      </c>
      <c r="C54" s="87">
        <v>500000</v>
      </c>
      <c r="D54" s="87">
        <v>1</v>
      </c>
      <c r="E54" s="87">
        <v>500000</v>
      </c>
      <c r="F54" s="86">
        <v>1995.12</v>
      </c>
      <c r="G54" s="86" t="s">
        <v>43</v>
      </c>
      <c r="H54" s="86" t="s">
        <v>49</v>
      </c>
      <c r="I54" s="86" t="s">
        <v>446</v>
      </c>
      <c r="J54" s="86" t="s">
        <v>435</v>
      </c>
      <c r="K54" s="86" t="s">
        <v>435</v>
      </c>
      <c r="L54" s="86" t="s">
        <v>508</v>
      </c>
      <c r="M54" s="86" t="s">
        <v>420</v>
      </c>
      <c r="N54" s="86" t="s">
        <v>412</v>
      </c>
      <c r="O54" s="86" t="s">
        <v>413</v>
      </c>
      <c r="P54" s="86" t="s">
        <v>403</v>
      </c>
      <c r="Q54" s="86" t="s">
        <v>414</v>
      </c>
      <c r="R54" s="88" t="s">
        <v>509</v>
      </c>
    </row>
    <row r="55" spans="1:18">
      <c r="A55" s="86" t="s">
        <v>43</v>
      </c>
      <c r="B55" s="86" t="s">
        <v>512</v>
      </c>
      <c r="C55" s="87">
        <v>500000</v>
      </c>
      <c r="D55" s="87">
        <v>1</v>
      </c>
      <c r="E55" s="87">
        <v>500000</v>
      </c>
      <c r="F55" s="86">
        <v>1997.3</v>
      </c>
      <c r="G55" s="86" t="s">
        <v>43</v>
      </c>
      <c r="H55" s="86" t="s">
        <v>49</v>
      </c>
      <c r="I55" s="86" t="s">
        <v>446</v>
      </c>
      <c r="J55" s="86" t="s">
        <v>435</v>
      </c>
      <c r="K55" s="86" t="s">
        <v>435</v>
      </c>
      <c r="L55" s="86" t="s">
        <v>508</v>
      </c>
      <c r="M55" s="86" t="s">
        <v>420</v>
      </c>
      <c r="N55" s="86" t="s">
        <v>412</v>
      </c>
      <c r="O55" s="86" t="s">
        <v>413</v>
      </c>
      <c r="P55" s="86" t="s">
        <v>403</v>
      </c>
      <c r="Q55" s="86" t="s">
        <v>414</v>
      </c>
      <c r="R55" s="88" t="s">
        <v>509</v>
      </c>
    </row>
    <row r="56" spans="1:18">
      <c r="A56" s="86" t="s">
        <v>43</v>
      </c>
      <c r="B56" s="86" t="s">
        <v>513</v>
      </c>
      <c r="C56" s="87">
        <v>500000</v>
      </c>
      <c r="D56" s="87">
        <v>1</v>
      </c>
      <c r="E56" s="87">
        <v>500000</v>
      </c>
      <c r="F56" s="86">
        <v>1997.8</v>
      </c>
      <c r="G56" s="86" t="s">
        <v>43</v>
      </c>
      <c r="H56" s="86" t="s">
        <v>49</v>
      </c>
      <c r="I56" s="86" t="s">
        <v>446</v>
      </c>
      <c r="J56" s="86" t="s">
        <v>435</v>
      </c>
      <c r="K56" s="86" t="s">
        <v>435</v>
      </c>
      <c r="L56" s="86" t="s">
        <v>508</v>
      </c>
      <c r="M56" s="86" t="s">
        <v>420</v>
      </c>
      <c r="N56" s="86" t="s">
        <v>412</v>
      </c>
      <c r="O56" s="86" t="s">
        <v>413</v>
      </c>
      <c r="P56" s="86" t="s">
        <v>403</v>
      </c>
      <c r="Q56" s="86" t="s">
        <v>414</v>
      </c>
      <c r="R56" s="88" t="s">
        <v>509</v>
      </c>
    </row>
    <row r="57" spans="1:18">
      <c r="A57" s="86" t="s">
        <v>43</v>
      </c>
      <c r="B57" s="86" t="s">
        <v>514</v>
      </c>
      <c r="C57" s="87">
        <v>500000</v>
      </c>
      <c r="D57" s="87">
        <v>1</v>
      </c>
      <c r="E57" s="87">
        <v>500000</v>
      </c>
      <c r="F57" s="86">
        <v>2001.1</v>
      </c>
      <c r="G57" s="86" t="s">
        <v>43</v>
      </c>
      <c r="H57" s="86" t="s">
        <v>49</v>
      </c>
      <c r="I57" s="86" t="s">
        <v>515</v>
      </c>
      <c r="J57" s="86" t="s">
        <v>516</v>
      </c>
      <c r="K57" s="86" t="s">
        <v>516</v>
      </c>
      <c r="L57" s="86" t="s">
        <v>508</v>
      </c>
      <c r="M57" s="86" t="s">
        <v>420</v>
      </c>
      <c r="N57" s="86" t="s">
        <v>412</v>
      </c>
      <c r="O57" s="86" t="s">
        <v>413</v>
      </c>
      <c r="P57" s="86" t="s">
        <v>403</v>
      </c>
      <c r="Q57" s="86" t="s">
        <v>414</v>
      </c>
      <c r="R57" s="88" t="s">
        <v>509</v>
      </c>
    </row>
    <row r="58" spans="1:18">
      <c r="A58" s="86" t="s">
        <v>43</v>
      </c>
      <c r="B58" s="86" t="s">
        <v>517</v>
      </c>
      <c r="C58" s="87">
        <v>500000</v>
      </c>
      <c r="D58" s="87">
        <v>1</v>
      </c>
      <c r="E58" s="87">
        <v>500000</v>
      </c>
      <c r="F58" s="86">
        <v>2002.5</v>
      </c>
      <c r="G58" s="86" t="s">
        <v>43</v>
      </c>
      <c r="H58" s="86" t="s">
        <v>49</v>
      </c>
      <c r="I58" s="86" t="s">
        <v>515</v>
      </c>
      <c r="J58" s="86" t="s">
        <v>516</v>
      </c>
      <c r="K58" s="86" t="s">
        <v>516</v>
      </c>
      <c r="L58" s="86" t="s">
        <v>508</v>
      </c>
      <c r="M58" s="86" t="s">
        <v>420</v>
      </c>
      <c r="N58" s="86" t="s">
        <v>412</v>
      </c>
      <c r="O58" s="86" t="s">
        <v>413</v>
      </c>
      <c r="P58" s="86" t="s">
        <v>403</v>
      </c>
      <c r="Q58" s="86" t="s">
        <v>414</v>
      </c>
      <c r="R58" s="88" t="s">
        <v>509</v>
      </c>
    </row>
    <row r="59" spans="1:18">
      <c r="A59" s="86" t="s">
        <v>43</v>
      </c>
      <c r="B59" s="86" t="s">
        <v>518</v>
      </c>
      <c r="C59" s="87">
        <v>500000</v>
      </c>
      <c r="D59" s="87">
        <v>1</v>
      </c>
      <c r="E59" s="87">
        <v>500000</v>
      </c>
      <c r="F59" s="86">
        <v>2007.2</v>
      </c>
      <c r="G59" s="86" t="s">
        <v>43</v>
      </c>
      <c r="H59" s="86" t="s">
        <v>49</v>
      </c>
      <c r="I59" s="86" t="s">
        <v>408</v>
      </c>
      <c r="J59" s="86" t="s">
        <v>408</v>
      </c>
      <c r="K59" s="86" t="s">
        <v>408</v>
      </c>
      <c r="L59" s="86" t="s">
        <v>508</v>
      </c>
      <c r="M59" s="86" t="s">
        <v>420</v>
      </c>
      <c r="N59" s="86" t="s">
        <v>412</v>
      </c>
      <c r="O59" s="86" t="s">
        <v>413</v>
      </c>
      <c r="P59" s="86" t="s">
        <v>403</v>
      </c>
      <c r="Q59" s="86" t="s">
        <v>414</v>
      </c>
      <c r="R59" s="88" t="s">
        <v>509</v>
      </c>
    </row>
    <row r="60" spans="1:18">
      <c r="A60" s="86" t="s">
        <v>43</v>
      </c>
      <c r="B60" s="86" t="s">
        <v>519</v>
      </c>
      <c r="C60" s="87">
        <v>500000</v>
      </c>
      <c r="D60" s="87">
        <v>1</v>
      </c>
      <c r="E60" s="87">
        <v>500000</v>
      </c>
      <c r="F60" s="86">
        <v>2007.8</v>
      </c>
      <c r="G60" s="86" t="s">
        <v>43</v>
      </c>
      <c r="H60" s="86" t="s">
        <v>49</v>
      </c>
      <c r="I60" s="86" t="s">
        <v>408</v>
      </c>
      <c r="J60" s="86" t="s">
        <v>408</v>
      </c>
      <c r="K60" s="86" t="s">
        <v>408</v>
      </c>
      <c r="L60" s="86" t="s">
        <v>508</v>
      </c>
      <c r="M60" s="86" t="s">
        <v>420</v>
      </c>
      <c r="N60" s="86" t="s">
        <v>412</v>
      </c>
      <c r="O60" s="86" t="s">
        <v>413</v>
      </c>
      <c r="P60" s="86" t="s">
        <v>403</v>
      </c>
      <c r="Q60" s="86" t="s">
        <v>414</v>
      </c>
      <c r="R60" s="88" t="s">
        <v>509</v>
      </c>
    </row>
    <row r="61" spans="1:18">
      <c r="A61" s="86" t="s">
        <v>43</v>
      </c>
      <c r="B61" s="86" t="s">
        <v>520</v>
      </c>
      <c r="C61" s="87">
        <v>1050000</v>
      </c>
      <c r="D61" s="87">
        <v>1</v>
      </c>
      <c r="E61" s="87">
        <v>1050000</v>
      </c>
      <c r="F61" s="86">
        <v>2016.1</v>
      </c>
      <c r="G61" s="86" t="s">
        <v>43</v>
      </c>
      <c r="H61" s="86" t="s">
        <v>49</v>
      </c>
      <c r="I61" s="86" t="s">
        <v>423</v>
      </c>
      <c r="J61" s="86" t="s">
        <v>423</v>
      </c>
      <c r="K61" s="86" t="s">
        <v>423</v>
      </c>
      <c r="L61" s="86" t="s">
        <v>508</v>
      </c>
      <c r="M61" s="86" t="s">
        <v>424</v>
      </c>
      <c r="N61" s="86" t="s">
        <v>412</v>
      </c>
      <c r="O61" s="86" t="s">
        <v>413</v>
      </c>
      <c r="P61" s="86" t="s">
        <v>403</v>
      </c>
      <c r="Q61" s="86" t="s">
        <v>414</v>
      </c>
      <c r="R61" s="88" t="s">
        <v>509</v>
      </c>
    </row>
    <row r="62" spans="1:18">
      <c r="A62" s="86" t="s">
        <v>43</v>
      </c>
      <c r="B62" s="86" t="s">
        <v>521</v>
      </c>
      <c r="C62" s="87">
        <v>350000</v>
      </c>
      <c r="D62" s="87">
        <v>1</v>
      </c>
      <c r="E62" s="87">
        <v>350000</v>
      </c>
      <c r="F62" s="86">
        <v>1980.4</v>
      </c>
      <c r="G62" s="86" t="s">
        <v>43</v>
      </c>
      <c r="H62" s="86" t="s">
        <v>38</v>
      </c>
      <c r="I62" s="86" t="s">
        <v>522</v>
      </c>
      <c r="J62" s="86" t="s">
        <v>483</v>
      </c>
      <c r="K62" s="86" t="s">
        <v>483</v>
      </c>
      <c r="L62" s="86" t="s">
        <v>508</v>
      </c>
      <c r="M62" s="86" t="s">
        <v>499</v>
      </c>
      <c r="N62" s="86" t="s">
        <v>412</v>
      </c>
      <c r="O62" s="86" t="s">
        <v>413</v>
      </c>
      <c r="P62" s="86" t="s">
        <v>403</v>
      </c>
      <c r="Q62" s="86" t="s">
        <v>414</v>
      </c>
      <c r="R62" s="88" t="s">
        <v>523</v>
      </c>
    </row>
    <row r="63" spans="1:18">
      <c r="A63" s="86" t="s">
        <v>43</v>
      </c>
      <c r="B63" s="86" t="s">
        <v>524</v>
      </c>
      <c r="C63" s="87">
        <v>350000</v>
      </c>
      <c r="D63" s="87">
        <v>1</v>
      </c>
      <c r="E63" s="87">
        <v>350000</v>
      </c>
      <c r="F63" s="86">
        <v>1980.6</v>
      </c>
      <c r="G63" s="86" t="s">
        <v>43</v>
      </c>
      <c r="H63" s="86" t="s">
        <v>38</v>
      </c>
      <c r="I63" s="86" t="s">
        <v>522</v>
      </c>
      <c r="J63" s="86" t="s">
        <v>483</v>
      </c>
      <c r="K63" s="86" t="s">
        <v>483</v>
      </c>
      <c r="L63" s="86" t="s">
        <v>508</v>
      </c>
      <c r="M63" s="86" t="s">
        <v>499</v>
      </c>
      <c r="N63" s="86" t="s">
        <v>412</v>
      </c>
      <c r="O63" s="86" t="s">
        <v>413</v>
      </c>
      <c r="P63" s="86" t="s">
        <v>403</v>
      </c>
      <c r="Q63" s="86" t="s">
        <v>414</v>
      </c>
      <c r="R63" s="88" t="s">
        <v>523</v>
      </c>
    </row>
    <row r="64" spans="1:18">
      <c r="A64" s="86" t="s">
        <v>43</v>
      </c>
      <c r="B64" s="86" t="s">
        <v>525</v>
      </c>
      <c r="C64" s="87">
        <v>350000</v>
      </c>
      <c r="D64" s="87">
        <v>1</v>
      </c>
      <c r="E64" s="87">
        <v>350000</v>
      </c>
      <c r="F64" s="86">
        <v>1983.5</v>
      </c>
      <c r="G64" s="86" t="s">
        <v>43</v>
      </c>
      <c r="H64" s="86" t="s">
        <v>38</v>
      </c>
      <c r="I64" s="86" t="s">
        <v>522</v>
      </c>
      <c r="J64" s="86" t="s">
        <v>483</v>
      </c>
      <c r="K64" s="86" t="s">
        <v>483</v>
      </c>
      <c r="L64" s="86" t="s">
        <v>508</v>
      </c>
      <c r="M64" s="86" t="s">
        <v>499</v>
      </c>
      <c r="N64" s="86" t="s">
        <v>412</v>
      </c>
      <c r="O64" s="86" t="s">
        <v>413</v>
      </c>
      <c r="P64" s="86" t="s">
        <v>403</v>
      </c>
      <c r="Q64" s="86" t="s">
        <v>414</v>
      </c>
      <c r="R64" s="88" t="s">
        <v>523</v>
      </c>
    </row>
    <row r="65" spans="1:18">
      <c r="A65" s="86" t="s">
        <v>43</v>
      </c>
      <c r="B65" s="86" t="s">
        <v>526</v>
      </c>
      <c r="C65" s="87">
        <v>350000</v>
      </c>
      <c r="D65" s="87">
        <v>1</v>
      </c>
      <c r="E65" s="87">
        <v>350000</v>
      </c>
      <c r="F65" s="86">
        <v>1983.8</v>
      </c>
      <c r="G65" s="86" t="s">
        <v>43</v>
      </c>
      <c r="H65" s="86" t="s">
        <v>38</v>
      </c>
      <c r="I65" s="86" t="s">
        <v>522</v>
      </c>
      <c r="J65" s="86" t="s">
        <v>483</v>
      </c>
      <c r="K65" s="86" t="s">
        <v>483</v>
      </c>
      <c r="L65" s="86" t="s">
        <v>508</v>
      </c>
      <c r="M65" s="86" t="s">
        <v>499</v>
      </c>
      <c r="N65" s="86" t="s">
        <v>412</v>
      </c>
      <c r="O65" s="86" t="s">
        <v>413</v>
      </c>
      <c r="P65" s="86" t="s">
        <v>403</v>
      </c>
      <c r="Q65" s="86" t="s">
        <v>414</v>
      </c>
      <c r="R65" s="88" t="s">
        <v>523</v>
      </c>
    </row>
    <row r="66" spans="1:18">
      <c r="A66" s="86" t="s">
        <v>43</v>
      </c>
      <c r="B66" s="86" t="s">
        <v>527</v>
      </c>
      <c r="C66" s="87">
        <v>500000</v>
      </c>
      <c r="D66" s="87">
        <v>1</v>
      </c>
      <c r="E66" s="87">
        <v>500000</v>
      </c>
      <c r="F66" s="86">
        <v>1997.7</v>
      </c>
      <c r="G66" s="86" t="s">
        <v>43</v>
      </c>
      <c r="H66" s="86" t="s">
        <v>49</v>
      </c>
      <c r="I66" s="86" t="s">
        <v>418</v>
      </c>
      <c r="J66" s="86" t="s">
        <v>435</v>
      </c>
      <c r="K66" s="86" t="s">
        <v>435</v>
      </c>
      <c r="L66" s="86" t="s">
        <v>410</v>
      </c>
      <c r="M66" s="86" t="s">
        <v>420</v>
      </c>
      <c r="N66" s="86" t="s">
        <v>412</v>
      </c>
      <c r="O66" s="86" t="s">
        <v>413</v>
      </c>
      <c r="P66" s="86" t="s">
        <v>403</v>
      </c>
      <c r="Q66" s="86" t="s">
        <v>414</v>
      </c>
      <c r="R66" s="88" t="s">
        <v>528</v>
      </c>
    </row>
    <row r="67" spans="1:18">
      <c r="A67" s="86" t="s">
        <v>43</v>
      </c>
      <c r="B67" s="86" t="s">
        <v>529</v>
      </c>
      <c r="C67" s="87">
        <v>500000</v>
      </c>
      <c r="D67" s="87">
        <v>1</v>
      </c>
      <c r="E67" s="87">
        <v>500000</v>
      </c>
      <c r="F67" s="86">
        <v>1997.11</v>
      </c>
      <c r="G67" s="86" t="s">
        <v>43</v>
      </c>
      <c r="H67" s="86" t="s">
        <v>49</v>
      </c>
      <c r="I67" s="86" t="s">
        <v>418</v>
      </c>
      <c r="J67" s="86" t="s">
        <v>435</v>
      </c>
      <c r="K67" s="86" t="s">
        <v>435</v>
      </c>
      <c r="L67" s="86" t="s">
        <v>410</v>
      </c>
      <c r="M67" s="86" t="s">
        <v>420</v>
      </c>
      <c r="N67" s="86" t="s">
        <v>412</v>
      </c>
      <c r="O67" s="86" t="s">
        <v>413</v>
      </c>
      <c r="P67" s="86" t="s">
        <v>403</v>
      </c>
      <c r="Q67" s="86" t="s">
        <v>414</v>
      </c>
      <c r="R67" s="88" t="s">
        <v>528</v>
      </c>
    </row>
    <row r="68" spans="1:18">
      <c r="A68" s="86" t="s">
        <v>43</v>
      </c>
      <c r="B68" s="86" t="s">
        <v>530</v>
      </c>
      <c r="C68" s="87">
        <v>500000</v>
      </c>
      <c r="D68" s="87">
        <v>1</v>
      </c>
      <c r="E68" s="87">
        <v>500000</v>
      </c>
      <c r="F68" s="86">
        <v>1998.6</v>
      </c>
      <c r="G68" s="86" t="s">
        <v>43</v>
      </c>
      <c r="H68" s="86" t="s">
        <v>49</v>
      </c>
      <c r="I68" s="86" t="s">
        <v>418</v>
      </c>
      <c r="J68" s="86" t="s">
        <v>435</v>
      </c>
      <c r="K68" s="86" t="s">
        <v>435</v>
      </c>
      <c r="L68" s="86" t="s">
        <v>410</v>
      </c>
      <c r="M68" s="86" t="s">
        <v>420</v>
      </c>
      <c r="N68" s="86" t="s">
        <v>412</v>
      </c>
      <c r="O68" s="86" t="s">
        <v>413</v>
      </c>
      <c r="P68" s="86" t="s">
        <v>403</v>
      </c>
      <c r="Q68" s="86" t="s">
        <v>414</v>
      </c>
      <c r="R68" s="88" t="s">
        <v>528</v>
      </c>
    </row>
    <row r="69" spans="1:18">
      <c r="A69" s="86" t="s">
        <v>43</v>
      </c>
      <c r="B69" s="86" t="s">
        <v>531</v>
      </c>
      <c r="C69" s="87">
        <v>500000</v>
      </c>
      <c r="D69" s="87">
        <v>1</v>
      </c>
      <c r="E69" s="87">
        <v>500000</v>
      </c>
      <c r="F69" s="86">
        <v>1999.3</v>
      </c>
      <c r="G69" s="86" t="s">
        <v>43</v>
      </c>
      <c r="H69" s="86" t="s">
        <v>49</v>
      </c>
      <c r="I69" s="86" t="s">
        <v>418</v>
      </c>
      <c r="J69" s="86" t="s">
        <v>435</v>
      </c>
      <c r="K69" s="86" t="s">
        <v>435</v>
      </c>
      <c r="L69" s="86" t="s">
        <v>410</v>
      </c>
      <c r="M69" s="86" t="s">
        <v>420</v>
      </c>
      <c r="N69" s="86" t="s">
        <v>412</v>
      </c>
      <c r="O69" s="86" t="s">
        <v>413</v>
      </c>
      <c r="P69" s="86" t="s">
        <v>403</v>
      </c>
      <c r="Q69" s="86" t="s">
        <v>414</v>
      </c>
      <c r="R69" s="88" t="s">
        <v>528</v>
      </c>
    </row>
    <row r="70" spans="1:18">
      <c r="A70" s="86" t="s">
        <v>43</v>
      </c>
      <c r="B70" s="86" t="s">
        <v>532</v>
      </c>
      <c r="C70" s="87">
        <v>500000</v>
      </c>
      <c r="D70" s="87">
        <v>1</v>
      </c>
      <c r="E70" s="87">
        <v>500000</v>
      </c>
      <c r="F70" s="86">
        <v>2000.7</v>
      </c>
      <c r="G70" s="86" t="s">
        <v>43</v>
      </c>
      <c r="H70" s="86" t="s">
        <v>49</v>
      </c>
      <c r="I70" s="86" t="s">
        <v>418</v>
      </c>
      <c r="J70" s="86" t="s">
        <v>435</v>
      </c>
      <c r="K70" s="86" t="s">
        <v>435</v>
      </c>
      <c r="L70" s="86" t="s">
        <v>410</v>
      </c>
      <c r="M70" s="86" t="s">
        <v>420</v>
      </c>
      <c r="N70" s="86" t="s">
        <v>412</v>
      </c>
      <c r="O70" s="86" t="s">
        <v>413</v>
      </c>
      <c r="P70" s="86" t="s">
        <v>403</v>
      </c>
      <c r="Q70" s="86" t="s">
        <v>414</v>
      </c>
      <c r="R70" s="88" t="s">
        <v>528</v>
      </c>
    </row>
    <row r="71" spans="1:18">
      <c r="A71" s="86" t="s">
        <v>43</v>
      </c>
      <c r="B71" s="86" t="s">
        <v>533</v>
      </c>
      <c r="C71" s="87">
        <v>500000</v>
      </c>
      <c r="D71" s="87">
        <v>1</v>
      </c>
      <c r="E71" s="87">
        <v>500000</v>
      </c>
      <c r="F71" s="86">
        <v>2001.7</v>
      </c>
      <c r="G71" s="86" t="s">
        <v>43</v>
      </c>
      <c r="H71" s="86" t="s">
        <v>49</v>
      </c>
      <c r="I71" s="86" t="s">
        <v>418</v>
      </c>
      <c r="J71" s="86" t="s">
        <v>435</v>
      </c>
      <c r="K71" s="86" t="s">
        <v>435</v>
      </c>
      <c r="L71" s="86" t="s">
        <v>410</v>
      </c>
      <c r="M71" s="86" t="s">
        <v>420</v>
      </c>
      <c r="N71" s="86" t="s">
        <v>412</v>
      </c>
      <c r="O71" s="86" t="s">
        <v>413</v>
      </c>
      <c r="P71" s="86" t="s">
        <v>403</v>
      </c>
      <c r="Q71" s="86" t="s">
        <v>414</v>
      </c>
      <c r="R71" s="88" t="s">
        <v>528</v>
      </c>
    </row>
    <row r="72" spans="1:18">
      <c r="A72" s="86" t="s">
        <v>43</v>
      </c>
      <c r="B72" s="86" t="s">
        <v>534</v>
      </c>
      <c r="C72" s="87">
        <v>500000</v>
      </c>
      <c r="D72" s="87">
        <v>1</v>
      </c>
      <c r="E72" s="87">
        <v>500000</v>
      </c>
      <c r="F72" s="86">
        <v>2008.12</v>
      </c>
      <c r="G72" s="86" t="s">
        <v>43</v>
      </c>
      <c r="H72" s="86" t="s">
        <v>49</v>
      </c>
      <c r="I72" s="86" t="s">
        <v>418</v>
      </c>
      <c r="J72" s="86" t="s">
        <v>435</v>
      </c>
      <c r="K72" s="86" t="s">
        <v>435</v>
      </c>
      <c r="L72" s="86" t="s">
        <v>410</v>
      </c>
      <c r="M72" s="86" t="s">
        <v>420</v>
      </c>
      <c r="N72" s="86" t="s">
        <v>412</v>
      </c>
      <c r="O72" s="86" t="s">
        <v>413</v>
      </c>
      <c r="P72" s="86" t="s">
        <v>403</v>
      </c>
      <c r="Q72" s="86" t="s">
        <v>414</v>
      </c>
      <c r="R72" s="88" t="s">
        <v>528</v>
      </c>
    </row>
    <row r="73" spans="1:18">
      <c r="A73" s="86" t="s">
        <v>43</v>
      </c>
      <c r="B73" s="86" t="s">
        <v>535</v>
      </c>
      <c r="C73" s="87">
        <v>500000</v>
      </c>
      <c r="D73" s="87">
        <v>1</v>
      </c>
      <c r="E73" s="87">
        <v>500000</v>
      </c>
      <c r="F73" s="86">
        <v>2009.5</v>
      </c>
      <c r="G73" s="86" t="s">
        <v>43</v>
      </c>
      <c r="H73" s="86" t="s">
        <v>49</v>
      </c>
      <c r="I73" s="86" t="s">
        <v>418</v>
      </c>
      <c r="J73" s="86" t="s">
        <v>435</v>
      </c>
      <c r="K73" s="86" t="s">
        <v>435</v>
      </c>
      <c r="L73" s="86" t="s">
        <v>410</v>
      </c>
      <c r="M73" s="86" t="s">
        <v>420</v>
      </c>
      <c r="N73" s="86" t="s">
        <v>412</v>
      </c>
      <c r="O73" s="86" t="s">
        <v>413</v>
      </c>
      <c r="P73" s="86" t="s">
        <v>403</v>
      </c>
      <c r="Q73" s="86" t="s">
        <v>414</v>
      </c>
      <c r="R73" s="88" t="s">
        <v>528</v>
      </c>
    </row>
    <row r="74" spans="1:18">
      <c r="A74" s="86" t="s">
        <v>43</v>
      </c>
      <c r="B74" s="86" t="s">
        <v>536</v>
      </c>
      <c r="C74" s="87">
        <v>250000</v>
      </c>
      <c r="D74" s="87">
        <v>1</v>
      </c>
      <c r="E74" s="87">
        <v>250000</v>
      </c>
      <c r="F74" s="86">
        <v>1973.4</v>
      </c>
      <c r="G74" s="86" t="s">
        <v>43</v>
      </c>
      <c r="H74" s="86" t="s">
        <v>49</v>
      </c>
      <c r="I74" s="86" t="s">
        <v>537</v>
      </c>
      <c r="J74" s="86" t="s">
        <v>538</v>
      </c>
      <c r="K74" s="86" t="s">
        <v>538</v>
      </c>
      <c r="L74" s="86" t="s">
        <v>419</v>
      </c>
      <c r="M74" s="86" t="s">
        <v>539</v>
      </c>
      <c r="N74" s="86" t="s">
        <v>412</v>
      </c>
      <c r="O74" s="86" t="s">
        <v>413</v>
      </c>
      <c r="P74" s="86" t="s">
        <v>403</v>
      </c>
      <c r="Q74" s="86" t="s">
        <v>414</v>
      </c>
      <c r="R74" s="88" t="s">
        <v>540</v>
      </c>
    </row>
    <row r="75" spans="1:18">
      <c r="A75" s="86" t="s">
        <v>43</v>
      </c>
      <c r="B75" s="86" t="s">
        <v>536</v>
      </c>
      <c r="C75" s="87">
        <v>0</v>
      </c>
      <c r="D75" s="87">
        <v>0</v>
      </c>
      <c r="E75" s="87">
        <v>0</v>
      </c>
      <c r="F75" s="86">
        <v>1985.3</v>
      </c>
      <c r="G75" s="86" t="s">
        <v>43</v>
      </c>
      <c r="H75" s="86" t="s">
        <v>49</v>
      </c>
      <c r="I75" s="86" t="s">
        <v>541</v>
      </c>
      <c r="J75" s="86" t="s">
        <v>107</v>
      </c>
      <c r="K75" s="86" t="s">
        <v>107</v>
      </c>
      <c r="L75" s="86" t="s">
        <v>107</v>
      </c>
      <c r="M75" s="86" t="s">
        <v>107</v>
      </c>
      <c r="N75" s="86" t="s">
        <v>107</v>
      </c>
      <c r="O75" s="86" t="s">
        <v>107</v>
      </c>
      <c r="P75" s="86" t="s">
        <v>107</v>
      </c>
      <c r="Q75" s="86" t="s">
        <v>107</v>
      </c>
      <c r="R75" s="88" t="s">
        <v>107</v>
      </c>
    </row>
    <row r="76" spans="1:18">
      <c r="A76" s="86" t="s">
        <v>43</v>
      </c>
      <c r="B76" s="86" t="s">
        <v>542</v>
      </c>
      <c r="C76" s="87">
        <v>250000</v>
      </c>
      <c r="D76" s="87">
        <v>1</v>
      </c>
      <c r="E76" s="87">
        <v>250000</v>
      </c>
      <c r="F76" s="86">
        <v>1973.5</v>
      </c>
      <c r="G76" s="86" t="s">
        <v>43</v>
      </c>
      <c r="H76" s="86" t="s">
        <v>49</v>
      </c>
      <c r="I76" s="86" t="s">
        <v>537</v>
      </c>
      <c r="J76" s="86" t="s">
        <v>538</v>
      </c>
      <c r="K76" s="86" t="s">
        <v>538</v>
      </c>
      <c r="L76" s="86" t="s">
        <v>419</v>
      </c>
      <c r="M76" s="86" t="s">
        <v>539</v>
      </c>
      <c r="N76" s="86" t="s">
        <v>412</v>
      </c>
      <c r="O76" s="86" t="s">
        <v>413</v>
      </c>
      <c r="P76" s="86" t="s">
        <v>403</v>
      </c>
      <c r="Q76" s="86" t="s">
        <v>414</v>
      </c>
      <c r="R76" s="88" t="s">
        <v>540</v>
      </c>
    </row>
    <row r="77" spans="1:18">
      <c r="A77" s="86" t="s">
        <v>43</v>
      </c>
      <c r="B77" s="86" t="s">
        <v>542</v>
      </c>
      <c r="C77" s="87">
        <v>0</v>
      </c>
      <c r="D77" s="87">
        <v>0</v>
      </c>
      <c r="E77" s="87">
        <v>0</v>
      </c>
      <c r="F77" s="86">
        <v>1984.12</v>
      </c>
      <c r="G77" s="86" t="s">
        <v>43</v>
      </c>
      <c r="H77" s="86" t="s">
        <v>49</v>
      </c>
      <c r="I77" s="86" t="s">
        <v>541</v>
      </c>
      <c r="J77" s="86" t="s">
        <v>107</v>
      </c>
      <c r="K77" s="86" t="s">
        <v>107</v>
      </c>
      <c r="L77" s="86" t="s">
        <v>107</v>
      </c>
      <c r="M77" s="86" t="s">
        <v>107</v>
      </c>
      <c r="N77" s="86" t="s">
        <v>107</v>
      </c>
      <c r="O77" s="86" t="s">
        <v>107</v>
      </c>
      <c r="P77" s="86" t="s">
        <v>107</v>
      </c>
      <c r="Q77" s="86" t="s">
        <v>107</v>
      </c>
      <c r="R77" s="88" t="s">
        <v>107</v>
      </c>
    </row>
    <row r="78" spans="1:18">
      <c r="A78" s="86" t="s">
        <v>225</v>
      </c>
      <c r="B78" s="86" t="s">
        <v>543</v>
      </c>
      <c r="C78" s="87">
        <v>300</v>
      </c>
      <c r="D78" s="87">
        <v>1</v>
      </c>
      <c r="E78" s="87">
        <v>300</v>
      </c>
      <c r="F78" s="86">
        <v>2004.8</v>
      </c>
      <c r="G78" s="86" t="s">
        <v>544</v>
      </c>
      <c r="H78" s="86" t="s">
        <v>136</v>
      </c>
      <c r="I78" s="86" t="s">
        <v>107</v>
      </c>
      <c r="J78" s="86" t="s">
        <v>545</v>
      </c>
      <c r="K78" s="86" t="s">
        <v>546</v>
      </c>
      <c r="L78" s="86" t="s">
        <v>547</v>
      </c>
      <c r="M78" s="86" t="s">
        <v>107</v>
      </c>
      <c r="N78" s="86" t="s">
        <v>412</v>
      </c>
      <c r="O78" s="86" t="s">
        <v>548</v>
      </c>
      <c r="P78" s="86" t="s">
        <v>549</v>
      </c>
      <c r="Q78" s="86" t="s">
        <v>550</v>
      </c>
      <c r="R78" s="88" t="s">
        <v>551</v>
      </c>
    </row>
    <row r="79" spans="1:18">
      <c r="A79" s="86" t="s">
        <v>225</v>
      </c>
      <c r="B79" s="86" t="s">
        <v>543</v>
      </c>
      <c r="C79" s="87">
        <v>250</v>
      </c>
      <c r="D79" s="87">
        <v>3</v>
      </c>
      <c r="E79" s="87">
        <v>750</v>
      </c>
      <c r="F79" s="86">
        <v>2009.9</v>
      </c>
      <c r="G79" s="86" t="s">
        <v>544</v>
      </c>
      <c r="H79" s="86" t="s">
        <v>136</v>
      </c>
      <c r="I79" s="86" t="s">
        <v>107</v>
      </c>
      <c r="J79" s="86" t="s">
        <v>552</v>
      </c>
      <c r="K79" s="86" t="s">
        <v>553</v>
      </c>
      <c r="L79" s="86" t="s">
        <v>547</v>
      </c>
      <c r="M79" s="86" t="s">
        <v>107</v>
      </c>
      <c r="N79" s="86" t="s">
        <v>412</v>
      </c>
      <c r="O79" s="86" t="s">
        <v>548</v>
      </c>
      <c r="P79" s="86" t="s">
        <v>549</v>
      </c>
      <c r="Q79" s="86" t="s">
        <v>550</v>
      </c>
      <c r="R79" s="88" t="s">
        <v>551</v>
      </c>
    </row>
    <row r="80" spans="1:18">
      <c r="A80" s="86" t="s">
        <v>225</v>
      </c>
      <c r="B80" s="86" t="s">
        <v>554</v>
      </c>
      <c r="C80" s="87">
        <v>80</v>
      </c>
      <c r="D80" s="87">
        <v>3</v>
      </c>
      <c r="E80" s="87">
        <v>240</v>
      </c>
      <c r="F80" s="86">
        <v>1996.7</v>
      </c>
      <c r="G80" s="86" t="s">
        <v>544</v>
      </c>
      <c r="H80" s="86" t="s">
        <v>136</v>
      </c>
      <c r="I80" s="86" t="s">
        <v>107</v>
      </c>
      <c r="J80" s="86" t="s">
        <v>555</v>
      </c>
      <c r="K80" s="86" t="s">
        <v>556</v>
      </c>
      <c r="L80" s="86" t="s">
        <v>547</v>
      </c>
      <c r="M80" s="86" t="s">
        <v>107</v>
      </c>
      <c r="N80" s="86" t="s">
        <v>412</v>
      </c>
      <c r="O80" s="86" t="s">
        <v>548</v>
      </c>
      <c r="P80" s="86" t="s">
        <v>549</v>
      </c>
      <c r="Q80" s="86" t="s">
        <v>550</v>
      </c>
      <c r="R80" s="88" t="s">
        <v>557</v>
      </c>
    </row>
    <row r="81" spans="1:18">
      <c r="A81" s="86" t="s">
        <v>225</v>
      </c>
      <c r="B81" s="86" t="s">
        <v>558</v>
      </c>
      <c r="C81" s="87">
        <v>150</v>
      </c>
      <c r="D81" s="87">
        <v>3</v>
      </c>
      <c r="E81" s="87">
        <v>450</v>
      </c>
      <c r="F81" s="86">
        <v>1993.2</v>
      </c>
      <c r="G81" s="86" t="s">
        <v>544</v>
      </c>
      <c r="H81" s="86" t="s">
        <v>136</v>
      </c>
      <c r="I81" s="86" t="s">
        <v>107</v>
      </c>
      <c r="J81" s="86" t="s">
        <v>559</v>
      </c>
      <c r="K81" s="86" t="s">
        <v>553</v>
      </c>
      <c r="L81" s="86" t="s">
        <v>547</v>
      </c>
      <c r="M81" s="86" t="s">
        <v>107</v>
      </c>
      <c r="N81" s="86" t="s">
        <v>412</v>
      </c>
      <c r="O81" s="86" t="s">
        <v>548</v>
      </c>
      <c r="P81" s="86" t="s">
        <v>549</v>
      </c>
      <c r="Q81" s="86" t="s">
        <v>550</v>
      </c>
      <c r="R81" s="88" t="s">
        <v>560</v>
      </c>
    </row>
    <row r="82" spans="1:18">
      <c r="A82" s="86" t="s">
        <v>225</v>
      </c>
      <c r="B82" s="86" t="s">
        <v>561</v>
      </c>
      <c r="C82" s="87">
        <v>250</v>
      </c>
      <c r="D82" s="87">
        <v>2</v>
      </c>
      <c r="E82" s="87">
        <v>500</v>
      </c>
      <c r="F82" s="86">
        <v>1994.3</v>
      </c>
      <c r="G82" s="86" t="s">
        <v>544</v>
      </c>
      <c r="H82" s="86" t="s">
        <v>136</v>
      </c>
      <c r="I82" s="86" t="s">
        <v>107</v>
      </c>
      <c r="J82" s="86" t="s">
        <v>562</v>
      </c>
      <c r="K82" s="86" t="s">
        <v>553</v>
      </c>
      <c r="L82" s="86" t="s">
        <v>547</v>
      </c>
      <c r="M82" s="86" t="s">
        <v>107</v>
      </c>
      <c r="N82" s="86" t="s">
        <v>412</v>
      </c>
      <c r="O82" s="86" t="s">
        <v>548</v>
      </c>
      <c r="P82" s="86" t="s">
        <v>549</v>
      </c>
      <c r="Q82" s="86" t="s">
        <v>550</v>
      </c>
      <c r="R82" s="88" t="s">
        <v>563</v>
      </c>
    </row>
    <row r="83" spans="1:18">
      <c r="A83" s="86" t="s">
        <v>225</v>
      </c>
      <c r="B83" s="86" t="s">
        <v>561</v>
      </c>
      <c r="C83" s="87">
        <v>500</v>
      </c>
      <c r="D83" s="87">
        <v>2</v>
      </c>
      <c r="E83" s="87">
        <v>1000</v>
      </c>
      <c r="F83" s="86">
        <v>2006.9</v>
      </c>
      <c r="G83" s="86" t="s">
        <v>544</v>
      </c>
      <c r="H83" s="86" t="s">
        <v>136</v>
      </c>
      <c r="I83" s="86" t="s">
        <v>107</v>
      </c>
      <c r="J83" s="86" t="s">
        <v>545</v>
      </c>
      <c r="K83" s="86" t="s">
        <v>546</v>
      </c>
      <c r="L83" s="86" t="s">
        <v>547</v>
      </c>
      <c r="M83" s="86" t="s">
        <v>107</v>
      </c>
      <c r="N83" s="86" t="s">
        <v>412</v>
      </c>
      <c r="O83" s="86" t="s">
        <v>548</v>
      </c>
      <c r="P83" s="86" t="s">
        <v>549</v>
      </c>
      <c r="Q83" s="86" t="s">
        <v>550</v>
      </c>
      <c r="R83" s="88" t="s">
        <v>563</v>
      </c>
    </row>
    <row r="84" spans="1:18">
      <c r="A84" s="86" t="s">
        <v>225</v>
      </c>
      <c r="B84" s="86" t="s">
        <v>564</v>
      </c>
      <c r="C84" s="87">
        <v>1000</v>
      </c>
      <c r="D84" s="87">
        <v>2</v>
      </c>
      <c r="E84" s="87">
        <v>2000</v>
      </c>
      <c r="F84" s="86">
        <v>1989.4</v>
      </c>
      <c r="G84" s="86" t="s">
        <v>544</v>
      </c>
      <c r="H84" s="86" t="s">
        <v>136</v>
      </c>
      <c r="I84" s="86" t="s">
        <v>107</v>
      </c>
      <c r="J84" s="86" t="s">
        <v>565</v>
      </c>
      <c r="K84" s="86" t="s">
        <v>553</v>
      </c>
      <c r="L84" s="86" t="s">
        <v>547</v>
      </c>
      <c r="M84" s="86" t="s">
        <v>107</v>
      </c>
      <c r="N84" s="86" t="s">
        <v>412</v>
      </c>
      <c r="O84" s="86" t="s">
        <v>548</v>
      </c>
      <c r="P84" s="86" t="s">
        <v>549</v>
      </c>
      <c r="Q84" s="86" t="s">
        <v>550</v>
      </c>
      <c r="R84" s="88" t="s">
        <v>566</v>
      </c>
    </row>
    <row r="85" spans="1:18">
      <c r="A85" s="86" t="s">
        <v>225</v>
      </c>
      <c r="B85" s="86" t="s">
        <v>564</v>
      </c>
      <c r="C85" s="87">
        <v>500</v>
      </c>
      <c r="D85" s="87">
        <v>1</v>
      </c>
      <c r="E85" s="87">
        <v>500</v>
      </c>
      <c r="F85" s="86">
        <v>1997.7</v>
      </c>
      <c r="G85" s="86" t="s">
        <v>544</v>
      </c>
      <c r="H85" s="86" t="s">
        <v>136</v>
      </c>
      <c r="I85" s="86" t="s">
        <v>107</v>
      </c>
      <c r="J85" s="86" t="s">
        <v>567</v>
      </c>
      <c r="K85" s="86" t="s">
        <v>546</v>
      </c>
      <c r="L85" s="86" t="s">
        <v>547</v>
      </c>
      <c r="M85" s="86" t="s">
        <v>107</v>
      </c>
      <c r="N85" s="86" t="s">
        <v>412</v>
      </c>
      <c r="O85" s="86" t="s">
        <v>548</v>
      </c>
      <c r="P85" s="86" t="s">
        <v>549</v>
      </c>
      <c r="Q85" s="86" t="s">
        <v>550</v>
      </c>
      <c r="R85" s="88" t="s">
        <v>566</v>
      </c>
    </row>
    <row r="86" spans="1:18">
      <c r="A86" s="86" t="s">
        <v>225</v>
      </c>
      <c r="B86" s="86" t="s">
        <v>564</v>
      </c>
      <c r="C86" s="87">
        <v>1000</v>
      </c>
      <c r="D86" s="87">
        <v>2</v>
      </c>
      <c r="E86" s="87">
        <v>2000</v>
      </c>
      <c r="F86" s="86">
        <v>2005.8</v>
      </c>
      <c r="G86" s="86" t="s">
        <v>544</v>
      </c>
      <c r="H86" s="86" t="s">
        <v>136</v>
      </c>
      <c r="I86" s="86" t="s">
        <v>107</v>
      </c>
      <c r="J86" s="86" t="s">
        <v>568</v>
      </c>
      <c r="K86" s="86" t="s">
        <v>569</v>
      </c>
      <c r="L86" s="86" t="s">
        <v>547</v>
      </c>
      <c r="M86" s="86" t="s">
        <v>107</v>
      </c>
      <c r="N86" s="86" t="s">
        <v>412</v>
      </c>
      <c r="O86" s="86" t="s">
        <v>548</v>
      </c>
      <c r="P86" s="86" t="s">
        <v>549</v>
      </c>
      <c r="Q86" s="86" t="s">
        <v>550</v>
      </c>
      <c r="R86" s="88" t="s">
        <v>566</v>
      </c>
    </row>
    <row r="87" spans="1:18">
      <c r="A87" s="86" t="s">
        <v>225</v>
      </c>
      <c r="B87" s="86" t="s">
        <v>570</v>
      </c>
      <c r="C87" s="87">
        <v>100</v>
      </c>
      <c r="D87" s="87">
        <v>1</v>
      </c>
      <c r="E87" s="87">
        <v>100</v>
      </c>
      <c r="F87" s="86">
        <v>1996.4</v>
      </c>
      <c r="G87" s="86" t="s">
        <v>544</v>
      </c>
      <c r="H87" s="86" t="s">
        <v>136</v>
      </c>
      <c r="I87" s="86" t="s">
        <v>107</v>
      </c>
      <c r="J87" s="86" t="s">
        <v>571</v>
      </c>
      <c r="K87" s="86" t="s">
        <v>553</v>
      </c>
      <c r="L87" s="86" t="s">
        <v>547</v>
      </c>
      <c r="M87" s="86" t="s">
        <v>107</v>
      </c>
      <c r="N87" s="86" t="s">
        <v>412</v>
      </c>
      <c r="O87" s="86" t="s">
        <v>548</v>
      </c>
      <c r="P87" s="86" t="s">
        <v>549</v>
      </c>
      <c r="Q87" s="86" t="s">
        <v>550</v>
      </c>
      <c r="R87" s="88" t="s">
        <v>474</v>
      </c>
    </row>
    <row r="88" spans="1:18">
      <c r="A88" s="86" t="s">
        <v>225</v>
      </c>
      <c r="B88" s="86" t="s">
        <v>570</v>
      </c>
      <c r="C88" s="87">
        <v>150</v>
      </c>
      <c r="D88" s="87">
        <v>2</v>
      </c>
      <c r="E88" s="87">
        <v>300</v>
      </c>
      <c r="F88" s="86">
        <v>1996.4</v>
      </c>
      <c r="G88" s="86" t="s">
        <v>544</v>
      </c>
      <c r="H88" s="86" t="s">
        <v>136</v>
      </c>
      <c r="I88" s="86" t="s">
        <v>107</v>
      </c>
      <c r="J88" s="86" t="s">
        <v>571</v>
      </c>
      <c r="K88" s="86" t="s">
        <v>553</v>
      </c>
      <c r="L88" s="86" t="s">
        <v>547</v>
      </c>
      <c r="M88" s="86" t="s">
        <v>107</v>
      </c>
      <c r="N88" s="86" t="s">
        <v>412</v>
      </c>
      <c r="O88" s="86" t="s">
        <v>548</v>
      </c>
      <c r="P88" s="86" t="s">
        <v>549</v>
      </c>
      <c r="Q88" s="86" t="s">
        <v>550</v>
      </c>
      <c r="R88" s="88" t="s">
        <v>474</v>
      </c>
    </row>
    <row r="89" spans="1:18">
      <c r="A89" s="86" t="s">
        <v>225</v>
      </c>
      <c r="B89" s="86" t="s">
        <v>572</v>
      </c>
      <c r="C89" s="87">
        <v>80</v>
      </c>
      <c r="D89" s="87">
        <v>3</v>
      </c>
      <c r="E89" s="87">
        <v>240</v>
      </c>
      <c r="F89" s="86">
        <v>2007.4</v>
      </c>
      <c r="G89" s="86" t="s">
        <v>544</v>
      </c>
      <c r="H89" s="86" t="s">
        <v>136</v>
      </c>
      <c r="I89" s="86" t="s">
        <v>107</v>
      </c>
      <c r="J89" s="86" t="s">
        <v>573</v>
      </c>
      <c r="K89" s="86" t="s">
        <v>546</v>
      </c>
      <c r="L89" s="86" t="s">
        <v>547</v>
      </c>
      <c r="M89" s="86" t="s">
        <v>107</v>
      </c>
      <c r="N89" s="86" t="s">
        <v>412</v>
      </c>
      <c r="O89" s="86" t="s">
        <v>548</v>
      </c>
      <c r="P89" s="86" t="s">
        <v>549</v>
      </c>
      <c r="Q89" s="86" t="s">
        <v>550</v>
      </c>
      <c r="R89" s="88" t="s">
        <v>574</v>
      </c>
    </row>
    <row r="90" spans="1:18">
      <c r="A90" s="86" t="s">
        <v>225</v>
      </c>
      <c r="B90" s="86" t="s">
        <v>575</v>
      </c>
      <c r="C90" s="87">
        <v>250</v>
      </c>
      <c r="D90" s="87">
        <v>3</v>
      </c>
      <c r="E90" s="87">
        <v>750</v>
      </c>
      <c r="F90" s="86">
        <v>1994.5</v>
      </c>
      <c r="G90" s="86" t="s">
        <v>544</v>
      </c>
      <c r="H90" s="86" t="s">
        <v>136</v>
      </c>
      <c r="I90" s="86" t="s">
        <v>107</v>
      </c>
      <c r="J90" s="86" t="s">
        <v>562</v>
      </c>
      <c r="K90" s="86" t="s">
        <v>553</v>
      </c>
      <c r="L90" s="86" t="s">
        <v>547</v>
      </c>
      <c r="M90" s="86" t="s">
        <v>107</v>
      </c>
      <c r="N90" s="86" t="s">
        <v>412</v>
      </c>
      <c r="O90" s="86" t="s">
        <v>548</v>
      </c>
      <c r="P90" s="86" t="s">
        <v>549</v>
      </c>
      <c r="Q90" s="86" t="s">
        <v>550</v>
      </c>
      <c r="R90" s="88" t="s">
        <v>576</v>
      </c>
    </row>
    <row r="91" spans="1:18">
      <c r="A91" s="86" t="s">
        <v>225</v>
      </c>
      <c r="B91" s="86" t="s">
        <v>577</v>
      </c>
      <c r="C91" s="87">
        <v>80</v>
      </c>
      <c r="D91" s="87">
        <v>2</v>
      </c>
      <c r="E91" s="87">
        <v>160</v>
      </c>
      <c r="F91" s="86">
        <v>1996.1</v>
      </c>
      <c r="G91" s="86" t="s">
        <v>544</v>
      </c>
      <c r="H91" s="86" t="s">
        <v>136</v>
      </c>
      <c r="I91" s="86" t="s">
        <v>107</v>
      </c>
      <c r="J91" s="86" t="s">
        <v>578</v>
      </c>
      <c r="K91" s="86" t="s">
        <v>546</v>
      </c>
      <c r="L91" s="86" t="s">
        <v>547</v>
      </c>
      <c r="M91" s="86" t="s">
        <v>107</v>
      </c>
      <c r="N91" s="86" t="s">
        <v>412</v>
      </c>
      <c r="O91" s="86" t="s">
        <v>548</v>
      </c>
      <c r="P91" s="86" t="s">
        <v>549</v>
      </c>
      <c r="Q91" s="86" t="s">
        <v>550</v>
      </c>
      <c r="R91" s="88" t="s">
        <v>474</v>
      </c>
    </row>
    <row r="92" spans="1:18">
      <c r="A92" s="86" t="s">
        <v>225</v>
      </c>
      <c r="B92" s="86" t="s">
        <v>577</v>
      </c>
      <c r="C92" s="87">
        <v>100</v>
      </c>
      <c r="D92" s="87">
        <v>1</v>
      </c>
      <c r="E92" s="87">
        <v>100</v>
      </c>
      <c r="F92" s="86">
        <v>2011.5</v>
      </c>
      <c r="G92" s="86" t="s">
        <v>544</v>
      </c>
      <c r="H92" s="86" t="s">
        <v>136</v>
      </c>
      <c r="I92" s="86" t="s">
        <v>107</v>
      </c>
      <c r="J92" s="86" t="s">
        <v>579</v>
      </c>
      <c r="K92" s="86" t="s">
        <v>546</v>
      </c>
      <c r="L92" s="86" t="s">
        <v>547</v>
      </c>
      <c r="M92" s="86" t="s">
        <v>107</v>
      </c>
      <c r="N92" s="86" t="s">
        <v>412</v>
      </c>
      <c r="O92" s="86" t="s">
        <v>548</v>
      </c>
      <c r="P92" s="86" t="s">
        <v>549</v>
      </c>
      <c r="Q92" s="86" t="s">
        <v>550</v>
      </c>
      <c r="R92" s="88" t="s">
        <v>474</v>
      </c>
    </row>
    <row r="93" spans="1:18">
      <c r="A93" s="86" t="s">
        <v>225</v>
      </c>
      <c r="B93" s="86" t="s">
        <v>580</v>
      </c>
      <c r="C93" s="87">
        <v>450</v>
      </c>
      <c r="D93" s="87">
        <v>1</v>
      </c>
      <c r="E93" s="87">
        <v>450</v>
      </c>
      <c r="F93" s="86">
        <v>1995.2</v>
      </c>
      <c r="G93" s="86" t="s">
        <v>544</v>
      </c>
      <c r="H93" s="86" t="s">
        <v>136</v>
      </c>
      <c r="I93" s="86" t="s">
        <v>107</v>
      </c>
      <c r="J93" s="86" t="s">
        <v>559</v>
      </c>
      <c r="K93" s="86" t="s">
        <v>553</v>
      </c>
      <c r="L93" s="86" t="s">
        <v>547</v>
      </c>
      <c r="M93" s="86" t="s">
        <v>107</v>
      </c>
      <c r="N93" s="86" t="s">
        <v>412</v>
      </c>
      <c r="O93" s="86" t="s">
        <v>548</v>
      </c>
      <c r="P93" s="86" t="s">
        <v>549</v>
      </c>
      <c r="Q93" s="86" t="s">
        <v>550</v>
      </c>
      <c r="R93" s="88" t="s">
        <v>581</v>
      </c>
    </row>
    <row r="94" spans="1:18">
      <c r="A94" s="86" t="s">
        <v>225</v>
      </c>
      <c r="B94" s="86" t="s">
        <v>580</v>
      </c>
      <c r="C94" s="87">
        <v>500</v>
      </c>
      <c r="D94" s="87">
        <v>1</v>
      </c>
      <c r="E94" s="87">
        <v>500</v>
      </c>
      <c r="F94" s="86">
        <v>2006.8</v>
      </c>
      <c r="G94" s="86" t="s">
        <v>544</v>
      </c>
      <c r="H94" s="86" t="s">
        <v>136</v>
      </c>
      <c r="I94" s="86" t="s">
        <v>107</v>
      </c>
      <c r="J94" s="86" t="s">
        <v>568</v>
      </c>
      <c r="K94" s="86" t="s">
        <v>569</v>
      </c>
      <c r="L94" s="86" t="s">
        <v>547</v>
      </c>
      <c r="M94" s="86" t="s">
        <v>107</v>
      </c>
      <c r="N94" s="86" t="s">
        <v>412</v>
      </c>
      <c r="O94" s="86" t="s">
        <v>548</v>
      </c>
      <c r="P94" s="86" t="s">
        <v>549</v>
      </c>
      <c r="Q94" s="86" t="s">
        <v>550</v>
      </c>
      <c r="R94" s="88" t="s">
        <v>581</v>
      </c>
    </row>
    <row r="95" spans="1:18">
      <c r="A95" s="86" t="s">
        <v>225</v>
      </c>
      <c r="B95" s="86" t="s">
        <v>580</v>
      </c>
      <c r="C95" s="87">
        <v>1300</v>
      </c>
      <c r="D95" s="87">
        <v>2</v>
      </c>
      <c r="E95" s="87">
        <v>2600</v>
      </c>
      <c r="F95" s="86">
        <v>2011.3</v>
      </c>
      <c r="G95" s="86" t="s">
        <v>544</v>
      </c>
      <c r="H95" s="86" t="s">
        <v>136</v>
      </c>
      <c r="I95" s="86" t="s">
        <v>107</v>
      </c>
      <c r="J95" s="86" t="s">
        <v>582</v>
      </c>
      <c r="K95" s="86" t="s">
        <v>546</v>
      </c>
      <c r="L95" s="86" t="s">
        <v>547</v>
      </c>
      <c r="M95" s="86" t="s">
        <v>107</v>
      </c>
      <c r="N95" s="86" t="s">
        <v>412</v>
      </c>
      <c r="O95" s="86" t="s">
        <v>548</v>
      </c>
      <c r="P95" s="86" t="s">
        <v>549</v>
      </c>
      <c r="Q95" s="86" t="s">
        <v>550</v>
      </c>
      <c r="R95" s="88" t="s">
        <v>581</v>
      </c>
    </row>
    <row r="96" spans="1:18">
      <c r="A96" s="86" t="s">
        <v>225</v>
      </c>
      <c r="B96" s="86" t="s">
        <v>583</v>
      </c>
      <c r="C96" s="87">
        <v>80</v>
      </c>
      <c r="D96" s="87">
        <v>3</v>
      </c>
      <c r="E96" s="87">
        <v>240</v>
      </c>
      <c r="F96" s="86">
        <v>1996.5</v>
      </c>
      <c r="G96" s="86" t="s">
        <v>544</v>
      </c>
      <c r="H96" s="86" t="s">
        <v>136</v>
      </c>
      <c r="I96" s="86" t="s">
        <v>107</v>
      </c>
      <c r="J96" s="86" t="s">
        <v>584</v>
      </c>
      <c r="K96" s="86" t="s">
        <v>546</v>
      </c>
      <c r="L96" s="86" t="s">
        <v>547</v>
      </c>
      <c r="M96" s="86" t="s">
        <v>107</v>
      </c>
      <c r="N96" s="86" t="s">
        <v>412</v>
      </c>
      <c r="O96" s="86" t="s">
        <v>548</v>
      </c>
      <c r="P96" s="86" t="s">
        <v>549</v>
      </c>
      <c r="Q96" s="86" t="s">
        <v>550</v>
      </c>
      <c r="R96" s="88" t="s">
        <v>585</v>
      </c>
    </row>
    <row r="97" spans="1:18">
      <c r="A97" s="86" t="s">
        <v>225</v>
      </c>
      <c r="B97" s="86" t="s">
        <v>583</v>
      </c>
      <c r="C97" s="87">
        <v>150</v>
      </c>
      <c r="D97" s="87">
        <v>1</v>
      </c>
      <c r="E97" s="87">
        <v>150</v>
      </c>
      <c r="F97" s="86">
        <v>2000.1</v>
      </c>
      <c r="G97" s="86" t="s">
        <v>544</v>
      </c>
      <c r="H97" s="86" t="s">
        <v>136</v>
      </c>
      <c r="I97" s="86" t="s">
        <v>107</v>
      </c>
      <c r="J97" s="86" t="s">
        <v>586</v>
      </c>
      <c r="K97" s="86" t="s">
        <v>546</v>
      </c>
      <c r="L97" s="86" t="s">
        <v>547</v>
      </c>
      <c r="M97" s="86" t="s">
        <v>107</v>
      </c>
      <c r="N97" s="86" t="s">
        <v>412</v>
      </c>
      <c r="O97" s="86" t="s">
        <v>548</v>
      </c>
      <c r="P97" s="86" t="s">
        <v>549</v>
      </c>
      <c r="Q97" s="86" t="s">
        <v>550</v>
      </c>
      <c r="R97" s="88" t="s">
        <v>585</v>
      </c>
    </row>
    <row r="98" spans="1:18">
      <c r="A98" s="86" t="s">
        <v>225</v>
      </c>
      <c r="B98" s="86" t="s">
        <v>587</v>
      </c>
      <c r="C98" s="87">
        <v>300</v>
      </c>
      <c r="D98" s="87">
        <v>3</v>
      </c>
      <c r="E98" s="87">
        <v>900</v>
      </c>
      <c r="F98" s="86">
        <v>1989.8</v>
      </c>
      <c r="G98" s="86" t="s">
        <v>544</v>
      </c>
      <c r="H98" s="86" t="s">
        <v>136</v>
      </c>
      <c r="I98" s="86" t="s">
        <v>107</v>
      </c>
      <c r="J98" s="86" t="s">
        <v>588</v>
      </c>
      <c r="K98" s="86" t="s">
        <v>569</v>
      </c>
      <c r="L98" s="86" t="s">
        <v>547</v>
      </c>
      <c r="M98" s="86" t="s">
        <v>107</v>
      </c>
      <c r="N98" s="86" t="s">
        <v>412</v>
      </c>
      <c r="O98" s="86" t="s">
        <v>548</v>
      </c>
      <c r="P98" s="86" t="s">
        <v>549</v>
      </c>
      <c r="Q98" s="86" t="s">
        <v>550</v>
      </c>
      <c r="R98" s="88" t="s">
        <v>589</v>
      </c>
    </row>
    <row r="99" spans="1:18">
      <c r="A99" s="86" t="s">
        <v>225</v>
      </c>
      <c r="B99" s="86" t="s">
        <v>587</v>
      </c>
      <c r="C99" s="87">
        <v>500</v>
      </c>
      <c r="D99" s="87">
        <v>1</v>
      </c>
      <c r="E99" s="87">
        <v>500</v>
      </c>
      <c r="F99" s="86">
        <v>1997.7</v>
      </c>
      <c r="G99" s="86" t="s">
        <v>544</v>
      </c>
      <c r="H99" s="86" t="s">
        <v>136</v>
      </c>
      <c r="I99" s="86" t="s">
        <v>107</v>
      </c>
      <c r="J99" s="86" t="s">
        <v>567</v>
      </c>
      <c r="K99" s="86" t="s">
        <v>546</v>
      </c>
      <c r="L99" s="86" t="s">
        <v>547</v>
      </c>
      <c r="M99" s="86" t="s">
        <v>107</v>
      </c>
      <c r="N99" s="86" t="s">
        <v>412</v>
      </c>
      <c r="O99" s="86" t="s">
        <v>548</v>
      </c>
      <c r="P99" s="86" t="s">
        <v>549</v>
      </c>
      <c r="Q99" s="86" t="s">
        <v>550</v>
      </c>
      <c r="R99" s="88" t="s">
        <v>589</v>
      </c>
    </row>
    <row r="100" spans="1:18">
      <c r="A100" s="86" t="s">
        <v>225</v>
      </c>
      <c r="B100" s="86" t="s">
        <v>587</v>
      </c>
      <c r="C100" s="87">
        <v>500</v>
      </c>
      <c r="D100" s="87">
        <v>1</v>
      </c>
      <c r="E100" s="87">
        <v>500</v>
      </c>
      <c r="F100" s="86">
        <v>2001.6</v>
      </c>
      <c r="G100" s="86" t="s">
        <v>544</v>
      </c>
      <c r="H100" s="86" t="s">
        <v>136</v>
      </c>
      <c r="I100" s="86" t="s">
        <v>107</v>
      </c>
      <c r="J100" s="86" t="s">
        <v>590</v>
      </c>
      <c r="K100" s="86" t="s">
        <v>553</v>
      </c>
      <c r="L100" s="86" t="s">
        <v>547</v>
      </c>
      <c r="M100" s="86" t="s">
        <v>107</v>
      </c>
      <c r="N100" s="86" t="s">
        <v>412</v>
      </c>
      <c r="O100" s="86" t="s">
        <v>548</v>
      </c>
      <c r="P100" s="86" t="s">
        <v>549</v>
      </c>
      <c r="Q100" s="86" t="s">
        <v>550</v>
      </c>
      <c r="R100" s="88" t="s">
        <v>589</v>
      </c>
    </row>
    <row r="101" spans="1:18">
      <c r="A101" s="86" t="s">
        <v>225</v>
      </c>
      <c r="B101" s="86" t="s">
        <v>587</v>
      </c>
      <c r="C101" s="87">
        <v>500</v>
      </c>
      <c r="D101" s="87">
        <v>2</v>
      </c>
      <c r="E101" s="87">
        <v>1000</v>
      </c>
      <c r="F101" s="86">
        <v>2005.6</v>
      </c>
      <c r="G101" s="86" t="s">
        <v>544</v>
      </c>
      <c r="H101" s="86" t="s">
        <v>136</v>
      </c>
      <c r="I101" s="86" t="s">
        <v>107</v>
      </c>
      <c r="J101" s="86" t="s">
        <v>568</v>
      </c>
      <c r="K101" s="86" t="s">
        <v>553</v>
      </c>
      <c r="L101" s="86" t="s">
        <v>547</v>
      </c>
      <c r="M101" s="86" t="s">
        <v>107</v>
      </c>
      <c r="N101" s="86" t="s">
        <v>412</v>
      </c>
      <c r="O101" s="86" t="s">
        <v>548</v>
      </c>
      <c r="P101" s="86" t="s">
        <v>549</v>
      </c>
      <c r="Q101" s="86" t="s">
        <v>550</v>
      </c>
      <c r="R101" s="88" t="s">
        <v>589</v>
      </c>
    </row>
    <row r="102" spans="1:18">
      <c r="A102" s="86" t="s">
        <v>225</v>
      </c>
      <c r="B102" s="86" t="s">
        <v>591</v>
      </c>
      <c r="C102" s="87">
        <v>80</v>
      </c>
      <c r="D102" s="87">
        <v>1</v>
      </c>
      <c r="E102" s="87">
        <v>80</v>
      </c>
      <c r="F102" s="86">
        <v>2004.11</v>
      </c>
      <c r="G102" s="86" t="s">
        <v>544</v>
      </c>
      <c r="H102" s="86" t="s">
        <v>136</v>
      </c>
      <c r="I102" s="86" t="s">
        <v>107</v>
      </c>
      <c r="J102" s="86" t="s">
        <v>573</v>
      </c>
      <c r="K102" s="86" t="s">
        <v>546</v>
      </c>
      <c r="L102" s="86" t="s">
        <v>547</v>
      </c>
      <c r="M102" s="86" t="s">
        <v>107</v>
      </c>
      <c r="N102" s="86" t="s">
        <v>412</v>
      </c>
      <c r="O102" s="86" t="s">
        <v>548</v>
      </c>
      <c r="P102" s="86" t="s">
        <v>549</v>
      </c>
      <c r="Q102" s="86" t="s">
        <v>550</v>
      </c>
      <c r="R102" s="88" t="s">
        <v>592</v>
      </c>
    </row>
    <row r="103" spans="1:18">
      <c r="A103" s="86" t="s">
        <v>225</v>
      </c>
      <c r="B103" s="86" t="s">
        <v>591</v>
      </c>
      <c r="C103" s="87">
        <v>40</v>
      </c>
      <c r="D103" s="87">
        <v>2</v>
      </c>
      <c r="E103" s="87">
        <v>80</v>
      </c>
      <c r="F103" s="86">
        <v>2010.1</v>
      </c>
      <c r="G103" s="86" t="s">
        <v>544</v>
      </c>
      <c r="H103" s="86" t="s">
        <v>136</v>
      </c>
      <c r="I103" s="86" t="s">
        <v>107</v>
      </c>
      <c r="J103" s="86" t="s">
        <v>582</v>
      </c>
      <c r="K103" s="86" t="s">
        <v>546</v>
      </c>
      <c r="L103" s="86" t="s">
        <v>547</v>
      </c>
      <c r="M103" s="86" t="s">
        <v>107</v>
      </c>
      <c r="N103" s="86" t="s">
        <v>412</v>
      </c>
      <c r="O103" s="86" t="s">
        <v>548</v>
      </c>
      <c r="P103" s="86" t="s">
        <v>549</v>
      </c>
      <c r="Q103" s="86" t="s">
        <v>550</v>
      </c>
      <c r="R103" s="88" t="s">
        <v>592</v>
      </c>
    </row>
    <row r="104" spans="1:18">
      <c r="A104" s="86" t="s">
        <v>225</v>
      </c>
      <c r="B104" s="86" t="s">
        <v>593</v>
      </c>
      <c r="C104" s="87">
        <v>100</v>
      </c>
      <c r="D104" s="87">
        <v>3</v>
      </c>
      <c r="E104" s="87">
        <v>300</v>
      </c>
      <c r="F104" s="86">
        <v>1994.6</v>
      </c>
      <c r="G104" s="86" t="s">
        <v>544</v>
      </c>
      <c r="H104" s="86" t="s">
        <v>136</v>
      </c>
      <c r="I104" s="86" t="s">
        <v>107</v>
      </c>
      <c r="J104" s="86" t="s">
        <v>562</v>
      </c>
      <c r="K104" s="86" t="s">
        <v>553</v>
      </c>
      <c r="L104" s="86" t="s">
        <v>547</v>
      </c>
      <c r="M104" s="86" t="s">
        <v>107</v>
      </c>
      <c r="N104" s="86" t="s">
        <v>412</v>
      </c>
      <c r="O104" s="86" t="s">
        <v>548</v>
      </c>
      <c r="P104" s="86" t="s">
        <v>549</v>
      </c>
      <c r="Q104" s="86" t="s">
        <v>550</v>
      </c>
      <c r="R104" s="88" t="s">
        <v>594</v>
      </c>
    </row>
    <row r="105" spans="1:18">
      <c r="A105" s="86" t="s">
        <v>225</v>
      </c>
      <c r="B105" s="86" t="s">
        <v>595</v>
      </c>
      <c r="C105" s="87">
        <v>300</v>
      </c>
      <c r="D105" s="87">
        <v>1</v>
      </c>
      <c r="E105" s="87">
        <v>300</v>
      </c>
      <c r="F105" s="86">
        <v>2011.11</v>
      </c>
      <c r="G105" s="86" t="s">
        <v>544</v>
      </c>
      <c r="H105" s="86" t="s">
        <v>136</v>
      </c>
      <c r="I105" s="86" t="s">
        <v>107</v>
      </c>
      <c r="J105" s="86" t="s">
        <v>408</v>
      </c>
      <c r="K105" s="86" t="s">
        <v>596</v>
      </c>
      <c r="L105" s="86" t="s">
        <v>547</v>
      </c>
      <c r="M105" s="86" t="s">
        <v>107</v>
      </c>
      <c r="N105" s="86" t="s">
        <v>412</v>
      </c>
      <c r="O105" s="86" t="s">
        <v>548</v>
      </c>
      <c r="P105" s="86" t="s">
        <v>549</v>
      </c>
      <c r="Q105" s="86" t="s">
        <v>550</v>
      </c>
      <c r="R105" s="88" t="s">
        <v>597</v>
      </c>
    </row>
    <row r="106" spans="1:18">
      <c r="A106" s="86" t="s">
        <v>225</v>
      </c>
      <c r="B106" s="86" t="s">
        <v>595</v>
      </c>
      <c r="C106" s="87">
        <v>200</v>
      </c>
      <c r="D106" s="87">
        <v>1</v>
      </c>
      <c r="E106" s="87">
        <v>200</v>
      </c>
      <c r="F106" s="86">
        <v>2011.11</v>
      </c>
      <c r="G106" s="86" t="s">
        <v>544</v>
      </c>
      <c r="H106" s="86" t="s">
        <v>136</v>
      </c>
      <c r="I106" s="86" t="s">
        <v>107</v>
      </c>
      <c r="J106" s="86" t="s">
        <v>408</v>
      </c>
      <c r="K106" s="86" t="s">
        <v>598</v>
      </c>
      <c r="L106" s="86" t="s">
        <v>547</v>
      </c>
      <c r="M106" s="86" t="s">
        <v>107</v>
      </c>
      <c r="N106" s="86" t="s">
        <v>412</v>
      </c>
      <c r="O106" s="86" t="s">
        <v>548</v>
      </c>
      <c r="P106" s="86" t="s">
        <v>549</v>
      </c>
      <c r="Q106" s="86" t="s">
        <v>550</v>
      </c>
      <c r="R106" s="88" t="s">
        <v>597</v>
      </c>
    </row>
    <row r="107" spans="1:18">
      <c r="A107" s="86" t="s">
        <v>225</v>
      </c>
      <c r="B107" s="86" t="s">
        <v>595</v>
      </c>
      <c r="C107" s="87">
        <v>200</v>
      </c>
      <c r="D107" s="87">
        <v>1</v>
      </c>
      <c r="E107" s="87">
        <v>200</v>
      </c>
      <c r="F107" s="86">
        <v>2013.6</v>
      </c>
      <c r="G107" s="86" t="s">
        <v>544</v>
      </c>
      <c r="H107" s="86" t="s">
        <v>136</v>
      </c>
      <c r="I107" s="86" t="s">
        <v>107</v>
      </c>
      <c r="J107" s="86" t="s">
        <v>408</v>
      </c>
      <c r="K107" s="86" t="s">
        <v>599</v>
      </c>
      <c r="L107" s="86" t="s">
        <v>547</v>
      </c>
      <c r="M107" s="86" t="s">
        <v>107</v>
      </c>
      <c r="N107" s="86" t="s">
        <v>412</v>
      </c>
      <c r="O107" s="86" t="s">
        <v>548</v>
      </c>
      <c r="P107" s="86" t="s">
        <v>549</v>
      </c>
      <c r="Q107" s="86" t="s">
        <v>550</v>
      </c>
      <c r="R107" s="88" t="s">
        <v>597</v>
      </c>
    </row>
    <row r="108" spans="1:18">
      <c r="A108" s="86" t="s">
        <v>225</v>
      </c>
      <c r="B108" s="86" t="s">
        <v>600</v>
      </c>
      <c r="C108" s="87">
        <v>150</v>
      </c>
      <c r="D108" s="87">
        <v>3</v>
      </c>
      <c r="E108" s="87">
        <v>450</v>
      </c>
      <c r="F108" s="86">
        <v>1994.3</v>
      </c>
      <c r="G108" s="86" t="s">
        <v>544</v>
      </c>
      <c r="H108" s="86" t="s">
        <v>136</v>
      </c>
      <c r="I108" s="86" t="s">
        <v>107</v>
      </c>
      <c r="J108" s="86" t="s">
        <v>601</v>
      </c>
      <c r="K108" s="86" t="s">
        <v>546</v>
      </c>
      <c r="L108" s="86" t="s">
        <v>547</v>
      </c>
      <c r="M108" s="86" t="s">
        <v>107</v>
      </c>
      <c r="N108" s="86" t="s">
        <v>412</v>
      </c>
      <c r="O108" s="86" t="s">
        <v>548</v>
      </c>
      <c r="P108" s="86" t="s">
        <v>549</v>
      </c>
      <c r="Q108" s="86" t="s">
        <v>550</v>
      </c>
      <c r="R108" s="88" t="s">
        <v>602</v>
      </c>
    </row>
    <row r="109" spans="1:18">
      <c r="A109" s="86" t="s">
        <v>225</v>
      </c>
      <c r="B109" s="86" t="s">
        <v>603</v>
      </c>
      <c r="C109" s="87">
        <v>80</v>
      </c>
      <c r="D109" s="87">
        <v>3</v>
      </c>
      <c r="E109" s="87">
        <v>240</v>
      </c>
      <c r="F109" s="86">
        <v>2004.1</v>
      </c>
      <c r="G109" s="86" t="s">
        <v>544</v>
      </c>
      <c r="H109" s="86" t="s">
        <v>136</v>
      </c>
      <c r="I109" s="86" t="s">
        <v>107</v>
      </c>
      <c r="J109" s="86" t="s">
        <v>571</v>
      </c>
      <c r="K109" s="86" t="s">
        <v>553</v>
      </c>
      <c r="L109" s="86" t="s">
        <v>547</v>
      </c>
      <c r="M109" s="86" t="s">
        <v>107</v>
      </c>
      <c r="N109" s="86" t="s">
        <v>412</v>
      </c>
      <c r="O109" s="86" t="s">
        <v>548</v>
      </c>
      <c r="P109" s="86" t="s">
        <v>549</v>
      </c>
      <c r="Q109" s="86" t="s">
        <v>550</v>
      </c>
      <c r="R109" s="88" t="s">
        <v>589</v>
      </c>
    </row>
    <row r="110" spans="1:18">
      <c r="A110" s="86" t="s">
        <v>225</v>
      </c>
      <c r="B110" s="86" t="s">
        <v>604</v>
      </c>
      <c r="C110" s="87">
        <v>1500</v>
      </c>
      <c r="D110" s="87">
        <v>3</v>
      </c>
      <c r="E110" s="87">
        <v>4500</v>
      </c>
      <c r="F110" s="86">
        <v>1999.12</v>
      </c>
      <c r="G110" s="86" t="s">
        <v>544</v>
      </c>
      <c r="H110" s="86" t="s">
        <v>136</v>
      </c>
      <c r="I110" s="86" t="s">
        <v>107</v>
      </c>
      <c r="J110" s="86" t="s">
        <v>567</v>
      </c>
      <c r="K110" s="86" t="s">
        <v>546</v>
      </c>
      <c r="L110" s="86" t="s">
        <v>547</v>
      </c>
      <c r="M110" s="86" t="s">
        <v>107</v>
      </c>
      <c r="N110" s="86" t="s">
        <v>412</v>
      </c>
      <c r="O110" s="86" t="s">
        <v>548</v>
      </c>
      <c r="P110" s="86" t="s">
        <v>549</v>
      </c>
      <c r="Q110" s="86" t="s">
        <v>550</v>
      </c>
      <c r="R110" s="88" t="s">
        <v>605</v>
      </c>
    </row>
    <row r="111" spans="1:18">
      <c r="A111" s="86" t="s">
        <v>225</v>
      </c>
      <c r="B111" s="86" t="s">
        <v>604</v>
      </c>
      <c r="C111" s="87">
        <v>1500</v>
      </c>
      <c r="D111" s="87">
        <v>1</v>
      </c>
      <c r="E111" s="87">
        <v>1500</v>
      </c>
      <c r="F111" s="86">
        <v>2001.6</v>
      </c>
      <c r="G111" s="86" t="s">
        <v>544</v>
      </c>
      <c r="H111" s="86" t="s">
        <v>136</v>
      </c>
      <c r="I111" s="86" t="s">
        <v>107</v>
      </c>
      <c r="J111" s="86" t="s">
        <v>590</v>
      </c>
      <c r="K111" s="86" t="s">
        <v>553</v>
      </c>
      <c r="L111" s="86" t="s">
        <v>547</v>
      </c>
      <c r="M111" s="86" t="s">
        <v>107</v>
      </c>
      <c r="N111" s="86" t="s">
        <v>412</v>
      </c>
      <c r="O111" s="86" t="s">
        <v>548</v>
      </c>
      <c r="P111" s="86" t="s">
        <v>549</v>
      </c>
      <c r="Q111" s="86" t="s">
        <v>550</v>
      </c>
      <c r="R111" s="88" t="s">
        <v>605</v>
      </c>
    </row>
    <row r="112" spans="1:18">
      <c r="A112" s="86" t="s">
        <v>225</v>
      </c>
      <c r="B112" s="86" t="s">
        <v>604</v>
      </c>
      <c r="C112" s="87">
        <v>1500</v>
      </c>
      <c r="D112" s="87">
        <v>2</v>
      </c>
      <c r="E112" s="87">
        <v>3000</v>
      </c>
      <c r="F112" s="86">
        <v>2003.7</v>
      </c>
      <c r="G112" s="86" t="s">
        <v>544</v>
      </c>
      <c r="H112" s="86" t="s">
        <v>136</v>
      </c>
      <c r="I112" s="86" t="s">
        <v>107</v>
      </c>
      <c r="J112" s="86" t="s">
        <v>545</v>
      </c>
      <c r="K112" s="86" t="s">
        <v>569</v>
      </c>
      <c r="L112" s="86" t="s">
        <v>547</v>
      </c>
      <c r="M112" s="86" t="s">
        <v>107</v>
      </c>
      <c r="N112" s="86" t="s">
        <v>412</v>
      </c>
      <c r="O112" s="86" t="s">
        <v>548</v>
      </c>
      <c r="P112" s="86" t="s">
        <v>549</v>
      </c>
      <c r="Q112" s="86" t="s">
        <v>550</v>
      </c>
      <c r="R112" s="88" t="s">
        <v>605</v>
      </c>
    </row>
    <row r="113" spans="1:18">
      <c r="A113" s="86" t="s">
        <v>225</v>
      </c>
      <c r="B113" s="86" t="s">
        <v>604</v>
      </c>
      <c r="C113" s="87">
        <v>3000</v>
      </c>
      <c r="D113" s="87">
        <v>2</v>
      </c>
      <c r="E113" s="87">
        <v>6000</v>
      </c>
      <c r="F113" s="86">
        <v>2013.3</v>
      </c>
      <c r="G113" s="86" t="s">
        <v>544</v>
      </c>
      <c r="H113" s="86" t="s">
        <v>136</v>
      </c>
      <c r="I113" s="86" t="s">
        <v>107</v>
      </c>
      <c r="J113" s="86" t="s">
        <v>606</v>
      </c>
      <c r="K113" s="86" t="s">
        <v>553</v>
      </c>
      <c r="L113" s="86" t="s">
        <v>547</v>
      </c>
      <c r="M113" s="86" t="s">
        <v>107</v>
      </c>
      <c r="N113" s="86" t="s">
        <v>412</v>
      </c>
      <c r="O113" s="86" t="s">
        <v>548</v>
      </c>
      <c r="P113" s="86" t="s">
        <v>549</v>
      </c>
      <c r="Q113" s="86" t="s">
        <v>550</v>
      </c>
      <c r="R113" s="88" t="s">
        <v>605</v>
      </c>
    </row>
    <row r="114" spans="1:18">
      <c r="A114" s="86" t="s">
        <v>225</v>
      </c>
      <c r="B114" s="86" t="s">
        <v>607</v>
      </c>
      <c r="C114" s="87">
        <v>150</v>
      </c>
      <c r="D114" s="87">
        <v>3</v>
      </c>
      <c r="E114" s="87">
        <v>450</v>
      </c>
      <c r="F114" s="86">
        <v>1994.3</v>
      </c>
      <c r="G114" s="86" t="s">
        <v>544</v>
      </c>
      <c r="H114" s="86" t="s">
        <v>136</v>
      </c>
      <c r="I114" s="86" t="s">
        <v>107</v>
      </c>
      <c r="J114" s="86" t="s">
        <v>608</v>
      </c>
      <c r="K114" s="86" t="s">
        <v>546</v>
      </c>
      <c r="L114" s="86" t="s">
        <v>547</v>
      </c>
      <c r="M114" s="86" t="s">
        <v>107</v>
      </c>
      <c r="N114" s="86" t="s">
        <v>412</v>
      </c>
      <c r="O114" s="86" t="s">
        <v>548</v>
      </c>
      <c r="P114" s="86" t="s">
        <v>549</v>
      </c>
      <c r="Q114" s="86" t="s">
        <v>550</v>
      </c>
      <c r="R114" s="88" t="s">
        <v>609</v>
      </c>
    </row>
    <row r="115" spans="1:18">
      <c r="A115" s="86" t="s">
        <v>225</v>
      </c>
      <c r="B115" s="86" t="s">
        <v>610</v>
      </c>
      <c r="C115" s="87">
        <v>80</v>
      </c>
      <c r="D115" s="87">
        <v>3</v>
      </c>
      <c r="E115" s="87">
        <v>240</v>
      </c>
      <c r="F115" s="86">
        <v>1996.4</v>
      </c>
      <c r="G115" s="86" t="s">
        <v>544</v>
      </c>
      <c r="H115" s="86" t="s">
        <v>136</v>
      </c>
      <c r="I115" s="86" t="s">
        <v>107</v>
      </c>
      <c r="J115" s="86" t="s">
        <v>611</v>
      </c>
      <c r="K115" s="86" t="s">
        <v>546</v>
      </c>
      <c r="L115" s="86" t="s">
        <v>547</v>
      </c>
      <c r="M115" s="86" t="s">
        <v>107</v>
      </c>
      <c r="N115" s="86" t="s">
        <v>412</v>
      </c>
      <c r="O115" s="86" t="s">
        <v>548</v>
      </c>
      <c r="P115" s="86" t="s">
        <v>549</v>
      </c>
      <c r="Q115" s="86" t="s">
        <v>550</v>
      </c>
      <c r="R115" s="88" t="s">
        <v>612</v>
      </c>
    </row>
    <row r="116" spans="1:18">
      <c r="A116" s="86" t="s">
        <v>225</v>
      </c>
      <c r="B116" s="86" t="s">
        <v>613</v>
      </c>
      <c r="C116" s="87">
        <v>500</v>
      </c>
      <c r="D116" s="87">
        <v>2</v>
      </c>
      <c r="E116" s="87">
        <v>1000</v>
      </c>
      <c r="F116" s="86">
        <v>1993.2</v>
      </c>
      <c r="G116" s="86" t="s">
        <v>544</v>
      </c>
      <c r="H116" s="86" t="s">
        <v>136</v>
      </c>
      <c r="I116" s="86" t="s">
        <v>107</v>
      </c>
      <c r="J116" s="86" t="s">
        <v>559</v>
      </c>
      <c r="K116" s="86" t="s">
        <v>582</v>
      </c>
      <c r="L116" s="86" t="s">
        <v>547</v>
      </c>
      <c r="M116" s="86" t="s">
        <v>107</v>
      </c>
      <c r="N116" s="86" t="s">
        <v>412</v>
      </c>
      <c r="O116" s="86" t="s">
        <v>548</v>
      </c>
      <c r="P116" s="86" t="s">
        <v>549</v>
      </c>
      <c r="Q116" s="86" t="s">
        <v>550</v>
      </c>
      <c r="R116" s="88" t="s">
        <v>614</v>
      </c>
    </row>
    <row r="117" spans="1:18">
      <c r="A117" s="86" t="s">
        <v>225</v>
      </c>
      <c r="B117" s="86" t="s">
        <v>613</v>
      </c>
      <c r="C117" s="87">
        <v>300</v>
      </c>
      <c r="D117" s="87">
        <v>2</v>
      </c>
      <c r="E117" s="87">
        <v>600</v>
      </c>
      <c r="F117" s="86">
        <v>2006.9</v>
      </c>
      <c r="G117" s="86" t="s">
        <v>544</v>
      </c>
      <c r="H117" s="86" t="s">
        <v>136</v>
      </c>
      <c r="I117" s="86" t="s">
        <v>107</v>
      </c>
      <c r="J117" s="86" t="s">
        <v>545</v>
      </c>
      <c r="K117" s="86" t="s">
        <v>546</v>
      </c>
      <c r="L117" s="86" t="s">
        <v>547</v>
      </c>
      <c r="M117" s="86" t="s">
        <v>107</v>
      </c>
      <c r="N117" s="86" t="s">
        <v>412</v>
      </c>
      <c r="O117" s="86" t="s">
        <v>548</v>
      </c>
      <c r="P117" s="86" t="s">
        <v>549</v>
      </c>
      <c r="Q117" s="86" t="s">
        <v>550</v>
      </c>
      <c r="R117" s="88" t="s">
        <v>614</v>
      </c>
    </row>
    <row r="118" spans="1:18">
      <c r="A118" s="86" t="s">
        <v>225</v>
      </c>
      <c r="B118" s="86" t="s">
        <v>615</v>
      </c>
      <c r="C118" s="87">
        <v>80</v>
      </c>
      <c r="D118" s="87">
        <v>1</v>
      </c>
      <c r="E118" s="87">
        <v>80</v>
      </c>
      <c r="F118" s="86">
        <v>2006.7</v>
      </c>
      <c r="G118" s="86" t="s">
        <v>544</v>
      </c>
      <c r="H118" s="86" t="s">
        <v>136</v>
      </c>
      <c r="I118" s="86" t="s">
        <v>107</v>
      </c>
      <c r="J118" s="86" t="s">
        <v>408</v>
      </c>
      <c r="K118" s="86" t="s">
        <v>546</v>
      </c>
      <c r="L118" s="86" t="s">
        <v>547</v>
      </c>
      <c r="M118" s="86" t="s">
        <v>107</v>
      </c>
      <c r="N118" s="86" t="s">
        <v>412</v>
      </c>
      <c r="O118" s="86" t="s">
        <v>548</v>
      </c>
      <c r="P118" s="86" t="s">
        <v>549</v>
      </c>
      <c r="Q118" s="86" t="s">
        <v>550</v>
      </c>
      <c r="R118" s="88" t="s">
        <v>616</v>
      </c>
    </row>
    <row r="119" spans="1:18">
      <c r="A119" s="86" t="s">
        <v>225</v>
      </c>
      <c r="B119" s="86" t="s">
        <v>615</v>
      </c>
      <c r="C119" s="87">
        <v>80</v>
      </c>
      <c r="D119" s="87">
        <v>1</v>
      </c>
      <c r="E119" s="87">
        <v>80</v>
      </c>
      <c r="F119" s="86">
        <v>2006.12</v>
      </c>
      <c r="G119" s="86" t="s">
        <v>544</v>
      </c>
      <c r="H119" s="86" t="s">
        <v>136</v>
      </c>
      <c r="I119" s="86" t="s">
        <v>107</v>
      </c>
      <c r="J119" s="86" t="s">
        <v>408</v>
      </c>
      <c r="K119" s="86" t="s">
        <v>546</v>
      </c>
      <c r="L119" s="86" t="s">
        <v>547</v>
      </c>
      <c r="M119" s="86" t="s">
        <v>107</v>
      </c>
      <c r="N119" s="86" t="s">
        <v>412</v>
      </c>
      <c r="O119" s="86" t="s">
        <v>548</v>
      </c>
      <c r="P119" s="86" t="s">
        <v>549</v>
      </c>
      <c r="Q119" s="86" t="s">
        <v>550</v>
      </c>
      <c r="R119" s="88" t="s">
        <v>616</v>
      </c>
    </row>
    <row r="120" spans="1:18">
      <c r="A120" s="86" t="s">
        <v>225</v>
      </c>
      <c r="B120" s="86" t="s">
        <v>615</v>
      </c>
      <c r="C120" s="87">
        <v>80</v>
      </c>
      <c r="D120" s="87">
        <v>1</v>
      </c>
      <c r="E120" s="87">
        <v>80</v>
      </c>
      <c r="F120" s="86">
        <v>2008.12</v>
      </c>
      <c r="G120" s="86" t="s">
        <v>544</v>
      </c>
      <c r="H120" s="86" t="s">
        <v>136</v>
      </c>
      <c r="I120" s="86" t="s">
        <v>107</v>
      </c>
      <c r="J120" s="86" t="s">
        <v>408</v>
      </c>
      <c r="K120" s="86" t="s">
        <v>546</v>
      </c>
      <c r="L120" s="86" t="s">
        <v>547</v>
      </c>
      <c r="M120" s="86" t="s">
        <v>107</v>
      </c>
      <c r="N120" s="86" t="s">
        <v>412</v>
      </c>
      <c r="O120" s="86" t="s">
        <v>548</v>
      </c>
      <c r="P120" s="86" t="s">
        <v>549</v>
      </c>
      <c r="Q120" s="86" t="s">
        <v>550</v>
      </c>
      <c r="R120" s="88" t="s">
        <v>616</v>
      </c>
    </row>
    <row r="121" spans="1:18">
      <c r="A121" s="86" t="s">
        <v>225</v>
      </c>
      <c r="B121" s="86" t="s">
        <v>617</v>
      </c>
      <c r="C121" s="87">
        <v>80</v>
      </c>
      <c r="D121" s="87">
        <v>1</v>
      </c>
      <c r="E121" s="87">
        <v>80</v>
      </c>
      <c r="F121" s="86">
        <v>2004.12</v>
      </c>
      <c r="G121" s="86" t="s">
        <v>544</v>
      </c>
      <c r="H121" s="86" t="s">
        <v>136</v>
      </c>
      <c r="I121" s="86" t="s">
        <v>107</v>
      </c>
      <c r="J121" s="86" t="s">
        <v>573</v>
      </c>
      <c r="K121" s="86" t="s">
        <v>546</v>
      </c>
      <c r="L121" s="86" t="s">
        <v>547</v>
      </c>
      <c r="M121" s="86" t="s">
        <v>107</v>
      </c>
      <c r="N121" s="86" t="s">
        <v>412</v>
      </c>
      <c r="O121" s="86" t="s">
        <v>548</v>
      </c>
      <c r="P121" s="86" t="s">
        <v>549</v>
      </c>
      <c r="Q121" s="86" t="s">
        <v>550</v>
      </c>
      <c r="R121" s="88" t="s">
        <v>592</v>
      </c>
    </row>
    <row r="122" spans="1:18">
      <c r="A122" s="86" t="s">
        <v>225</v>
      </c>
      <c r="B122" s="86" t="s">
        <v>617</v>
      </c>
      <c r="C122" s="87">
        <v>40</v>
      </c>
      <c r="D122" s="87">
        <v>2</v>
      </c>
      <c r="E122" s="87">
        <v>80</v>
      </c>
      <c r="F122" s="86">
        <v>2010.4</v>
      </c>
      <c r="G122" s="86" t="s">
        <v>544</v>
      </c>
      <c r="H122" s="86" t="s">
        <v>136</v>
      </c>
      <c r="I122" s="86" t="s">
        <v>107</v>
      </c>
      <c r="J122" s="86" t="s">
        <v>582</v>
      </c>
      <c r="K122" s="86" t="s">
        <v>546</v>
      </c>
      <c r="L122" s="86" t="s">
        <v>547</v>
      </c>
      <c r="M122" s="86" t="s">
        <v>107</v>
      </c>
      <c r="N122" s="86" t="s">
        <v>412</v>
      </c>
      <c r="O122" s="86" t="s">
        <v>548</v>
      </c>
      <c r="P122" s="86" t="s">
        <v>549</v>
      </c>
      <c r="Q122" s="86" t="s">
        <v>550</v>
      </c>
      <c r="R122" s="88" t="s">
        <v>592</v>
      </c>
    </row>
    <row r="123" spans="1:18">
      <c r="A123" s="86" t="s">
        <v>225</v>
      </c>
      <c r="B123" s="86" t="s">
        <v>618</v>
      </c>
      <c r="C123" s="87">
        <v>250</v>
      </c>
      <c r="D123" s="87">
        <v>2</v>
      </c>
      <c r="E123" s="87">
        <v>500</v>
      </c>
      <c r="F123" s="86">
        <v>2002.12</v>
      </c>
      <c r="G123" s="86" t="s">
        <v>544</v>
      </c>
      <c r="H123" s="86" t="s">
        <v>136</v>
      </c>
      <c r="I123" s="86" t="s">
        <v>107</v>
      </c>
      <c r="J123" s="86" t="s">
        <v>579</v>
      </c>
      <c r="K123" s="86" t="s">
        <v>546</v>
      </c>
      <c r="L123" s="86" t="s">
        <v>547</v>
      </c>
      <c r="M123" s="86" t="s">
        <v>107</v>
      </c>
      <c r="N123" s="86" t="s">
        <v>412</v>
      </c>
      <c r="O123" s="86" t="s">
        <v>548</v>
      </c>
      <c r="P123" s="86" t="s">
        <v>549</v>
      </c>
      <c r="Q123" s="86" t="s">
        <v>550</v>
      </c>
      <c r="R123" s="88" t="s">
        <v>619</v>
      </c>
    </row>
    <row r="124" spans="1:18">
      <c r="A124" s="86" t="s">
        <v>225</v>
      </c>
      <c r="B124" s="86" t="s">
        <v>618</v>
      </c>
      <c r="C124" s="87">
        <v>100</v>
      </c>
      <c r="D124" s="87">
        <v>1</v>
      </c>
      <c r="E124" s="87">
        <v>100</v>
      </c>
      <c r="F124" s="86">
        <v>2002.12</v>
      </c>
      <c r="G124" s="86" t="s">
        <v>544</v>
      </c>
      <c r="H124" s="86" t="s">
        <v>136</v>
      </c>
      <c r="I124" s="86" t="s">
        <v>107</v>
      </c>
      <c r="J124" s="86" t="s">
        <v>408</v>
      </c>
      <c r="K124" s="86" t="s">
        <v>546</v>
      </c>
      <c r="L124" s="86" t="s">
        <v>547</v>
      </c>
      <c r="M124" s="86" t="s">
        <v>107</v>
      </c>
      <c r="N124" s="86" t="s">
        <v>412</v>
      </c>
      <c r="O124" s="86" t="s">
        <v>548</v>
      </c>
      <c r="P124" s="86" t="s">
        <v>549</v>
      </c>
      <c r="Q124" s="86" t="s">
        <v>550</v>
      </c>
      <c r="R124" s="88" t="s">
        <v>619</v>
      </c>
    </row>
    <row r="125" spans="1:18">
      <c r="A125" s="86" t="s">
        <v>225</v>
      </c>
      <c r="B125" s="86" t="s">
        <v>620</v>
      </c>
      <c r="C125" s="87">
        <v>800</v>
      </c>
      <c r="D125" s="87">
        <v>3</v>
      </c>
      <c r="E125" s="87">
        <v>2400</v>
      </c>
      <c r="F125" s="86">
        <v>1995.1</v>
      </c>
      <c r="G125" s="86" t="s">
        <v>544</v>
      </c>
      <c r="H125" s="86" t="s">
        <v>136</v>
      </c>
      <c r="I125" s="86" t="s">
        <v>107</v>
      </c>
      <c r="J125" s="86" t="s">
        <v>559</v>
      </c>
      <c r="K125" s="86" t="s">
        <v>553</v>
      </c>
      <c r="L125" s="86" t="s">
        <v>547</v>
      </c>
      <c r="M125" s="86" t="s">
        <v>107</v>
      </c>
      <c r="N125" s="86" t="s">
        <v>412</v>
      </c>
      <c r="O125" s="86" t="s">
        <v>548</v>
      </c>
      <c r="P125" s="86" t="s">
        <v>549</v>
      </c>
      <c r="Q125" s="86" t="s">
        <v>550</v>
      </c>
      <c r="R125" s="88" t="s">
        <v>621</v>
      </c>
    </row>
    <row r="126" spans="1:18">
      <c r="A126" s="86" t="s">
        <v>225</v>
      </c>
      <c r="B126" s="86" t="s">
        <v>622</v>
      </c>
      <c r="C126" s="87">
        <v>100</v>
      </c>
      <c r="D126" s="87">
        <v>3</v>
      </c>
      <c r="E126" s="87">
        <v>300</v>
      </c>
      <c r="F126" s="86">
        <v>1994.6</v>
      </c>
      <c r="G126" s="86" t="s">
        <v>544</v>
      </c>
      <c r="H126" s="86" t="s">
        <v>136</v>
      </c>
      <c r="I126" s="86" t="s">
        <v>107</v>
      </c>
      <c r="J126" s="86" t="s">
        <v>623</v>
      </c>
      <c r="K126" s="86" t="s">
        <v>624</v>
      </c>
      <c r="L126" s="86" t="s">
        <v>547</v>
      </c>
      <c r="M126" s="86" t="s">
        <v>107</v>
      </c>
      <c r="N126" s="86" t="s">
        <v>412</v>
      </c>
      <c r="O126" s="86" t="s">
        <v>548</v>
      </c>
      <c r="P126" s="86" t="s">
        <v>549</v>
      </c>
      <c r="Q126" s="86" t="s">
        <v>550</v>
      </c>
      <c r="R126" s="88" t="s">
        <v>625</v>
      </c>
    </row>
    <row r="127" spans="1:18">
      <c r="A127" s="86" t="s">
        <v>225</v>
      </c>
      <c r="B127" s="86" t="s">
        <v>626</v>
      </c>
      <c r="C127" s="87">
        <v>100</v>
      </c>
      <c r="D127" s="87">
        <v>2</v>
      </c>
      <c r="E127" s="87">
        <v>200</v>
      </c>
      <c r="F127" s="86">
        <v>1996.1</v>
      </c>
      <c r="G127" s="86" t="s">
        <v>544</v>
      </c>
      <c r="H127" s="86" t="s">
        <v>136</v>
      </c>
      <c r="I127" s="86" t="s">
        <v>107</v>
      </c>
      <c r="J127" s="86" t="s">
        <v>627</v>
      </c>
      <c r="K127" s="86" t="s">
        <v>546</v>
      </c>
      <c r="L127" s="86" t="s">
        <v>547</v>
      </c>
      <c r="M127" s="86" t="s">
        <v>107</v>
      </c>
      <c r="N127" s="86" t="s">
        <v>412</v>
      </c>
      <c r="O127" s="86" t="s">
        <v>548</v>
      </c>
      <c r="P127" s="86" t="s">
        <v>549</v>
      </c>
      <c r="Q127" s="86" t="s">
        <v>550</v>
      </c>
      <c r="R127" s="88" t="s">
        <v>576</v>
      </c>
    </row>
    <row r="128" spans="1:18">
      <c r="A128" s="86" t="s">
        <v>225</v>
      </c>
      <c r="B128" s="86" t="s">
        <v>626</v>
      </c>
      <c r="C128" s="87">
        <v>100</v>
      </c>
      <c r="D128" s="87">
        <v>1</v>
      </c>
      <c r="E128" s="87">
        <v>100</v>
      </c>
      <c r="F128" s="86">
        <v>2011.5</v>
      </c>
      <c r="G128" s="86" t="s">
        <v>544</v>
      </c>
      <c r="H128" s="86" t="s">
        <v>136</v>
      </c>
      <c r="I128" s="86" t="s">
        <v>107</v>
      </c>
      <c r="J128" s="86" t="s">
        <v>579</v>
      </c>
      <c r="K128" s="86" t="s">
        <v>546</v>
      </c>
      <c r="L128" s="86" t="s">
        <v>547</v>
      </c>
      <c r="M128" s="86" t="s">
        <v>107</v>
      </c>
      <c r="N128" s="86" t="s">
        <v>412</v>
      </c>
      <c r="O128" s="86" t="s">
        <v>548</v>
      </c>
      <c r="P128" s="86" t="s">
        <v>549</v>
      </c>
      <c r="Q128" s="86" t="s">
        <v>550</v>
      </c>
      <c r="R128" s="88" t="s">
        <v>576</v>
      </c>
    </row>
    <row r="129" spans="1:18">
      <c r="A129" s="86" t="s">
        <v>225</v>
      </c>
      <c r="B129" s="86" t="s">
        <v>628</v>
      </c>
      <c r="C129" s="87">
        <v>80</v>
      </c>
      <c r="D129" s="87">
        <v>1</v>
      </c>
      <c r="E129" s="87">
        <v>80</v>
      </c>
      <c r="F129" s="86">
        <v>1996.6</v>
      </c>
      <c r="G129" s="86" t="s">
        <v>544</v>
      </c>
      <c r="H129" s="86" t="s">
        <v>136</v>
      </c>
      <c r="I129" s="86" t="s">
        <v>107</v>
      </c>
      <c r="J129" s="86" t="s">
        <v>571</v>
      </c>
      <c r="K129" s="86" t="s">
        <v>553</v>
      </c>
      <c r="L129" s="86" t="s">
        <v>547</v>
      </c>
      <c r="M129" s="86" t="s">
        <v>107</v>
      </c>
      <c r="N129" s="86" t="s">
        <v>412</v>
      </c>
      <c r="O129" s="86" t="s">
        <v>548</v>
      </c>
      <c r="P129" s="86" t="s">
        <v>549</v>
      </c>
      <c r="Q129" s="86" t="s">
        <v>550</v>
      </c>
      <c r="R129" s="88" t="s">
        <v>629</v>
      </c>
    </row>
    <row r="130" spans="1:18">
      <c r="A130" s="86" t="s">
        <v>225</v>
      </c>
      <c r="B130" s="86" t="s">
        <v>628</v>
      </c>
      <c r="C130" s="87">
        <v>40</v>
      </c>
      <c r="D130" s="87">
        <v>2</v>
      </c>
      <c r="E130" s="87">
        <v>80</v>
      </c>
      <c r="F130" s="86">
        <v>2008.6</v>
      </c>
      <c r="G130" s="86" t="s">
        <v>544</v>
      </c>
      <c r="H130" s="86" t="s">
        <v>136</v>
      </c>
      <c r="I130" s="86" t="s">
        <v>107</v>
      </c>
      <c r="J130" s="86" t="s">
        <v>582</v>
      </c>
      <c r="K130" s="86" t="s">
        <v>582</v>
      </c>
      <c r="L130" s="86" t="s">
        <v>547</v>
      </c>
      <c r="M130" s="86" t="s">
        <v>107</v>
      </c>
      <c r="N130" s="86" t="s">
        <v>412</v>
      </c>
      <c r="O130" s="86" t="s">
        <v>548</v>
      </c>
      <c r="P130" s="86" t="s">
        <v>549</v>
      </c>
      <c r="Q130" s="86" t="s">
        <v>550</v>
      </c>
      <c r="R130" s="88" t="s">
        <v>629</v>
      </c>
    </row>
    <row r="131" spans="1:18">
      <c r="A131" s="86" t="s">
        <v>225</v>
      </c>
      <c r="B131" s="86" t="s">
        <v>630</v>
      </c>
      <c r="C131" s="87">
        <v>80</v>
      </c>
      <c r="D131" s="87">
        <v>3</v>
      </c>
      <c r="E131" s="87">
        <v>240</v>
      </c>
      <c r="F131" s="86">
        <v>2006.11</v>
      </c>
      <c r="G131" s="86" t="s">
        <v>544</v>
      </c>
      <c r="H131" s="86" t="s">
        <v>136</v>
      </c>
      <c r="I131" s="86" t="s">
        <v>107</v>
      </c>
      <c r="J131" s="86" t="s">
        <v>573</v>
      </c>
      <c r="K131" s="86" t="s">
        <v>546</v>
      </c>
      <c r="L131" s="86" t="s">
        <v>547</v>
      </c>
      <c r="M131" s="86" t="s">
        <v>107</v>
      </c>
      <c r="N131" s="86" t="s">
        <v>412</v>
      </c>
      <c r="O131" s="86" t="s">
        <v>548</v>
      </c>
      <c r="P131" s="86" t="s">
        <v>549</v>
      </c>
      <c r="Q131" s="86" t="s">
        <v>550</v>
      </c>
      <c r="R131" s="88" t="s">
        <v>592</v>
      </c>
    </row>
    <row r="132" spans="1:18">
      <c r="A132" s="86" t="s">
        <v>225</v>
      </c>
      <c r="B132" s="86" t="s">
        <v>631</v>
      </c>
      <c r="C132" s="87">
        <v>150</v>
      </c>
      <c r="D132" s="87">
        <v>3</v>
      </c>
      <c r="E132" s="87">
        <v>450</v>
      </c>
      <c r="F132" s="86">
        <v>1994.12</v>
      </c>
      <c r="G132" s="86" t="s">
        <v>544</v>
      </c>
      <c r="H132" s="86" t="s">
        <v>136</v>
      </c>
      <c r="I132" s="86" t="s">
        <v>107</v>
      </c>
      <c r="J132" s="86" t="s">
        <v>559</v>
      </c>
      <c r="K132" s="86" t="s">
        <v>553</v>
      </c>
      <c r="L132" s="86" t="s">
        <v>547</v>
      </c>
      <c r="M132" s="86" t="s">
        <v>107</v>
      </c>
      <c r="N132" s="86" t="s">
        <v>412</v>
      </c>
      <c r="O132" s="86" t="s">
        <v>548</v>
      </c>
      <c r="P132" s="86" t="s">
        <v>549</v>
      </c>
      <c r="Q132" s="86" t="s">
        <v>550</v>
      </c>
      <c r="R132" s="88" t="s">
        <v>632</v>
      </c>
    </row>
    <row r="133" spans="1:18">
      <c r="A133" s="86" t="s">
        <v>225</v>
      </c>
      <c r="B133" s="86" t="s">
        <v>631</v>
      </c>
      <c r="C133" s="87">
        <v>500</v>
      </c>
      <c r="D133" s="87">
        <v>1</v>
      </c>
      <c r="E133" s="87">
        <v>500</v>
      </c>
      <c r="F133" s="86">
        <v>2004.7</v>
      </c>
      <c r="G133" s="86" t="s">
        <v>544</v>
      </c>
      <c r="H133" s="86" t="s">
        <v>136</v>
      </c>
      <c r="I133" s="86" t="s">
        <v>107</v>
      </c>
      <c r="J133" s="86" t="s">
        <v>545</v>
      </c>
      <c r="K133" s="86" t="s">
        <v>546</v>
      </c>
      <c r="L133" s="86" t="s">
        <v>547</v>
      </c>
      <c r="M133" s="86" t="s">
        <v>107</v>
      </c>
      <c r="N133" s="86" t="s">
        <v>412</v>
      </c>
      <c r="O133" s="86" t="s">
        <v>548</v>
      </c>
      <c r="P133" s="86" t="s">
        <v>549</v>
      </c>
      <c r="Q133" s="86" t="s">
        <v>550</v>
      </c>
      <c r="R133" s="88" t="s">
        <v>632</v>
      </c>
    </row>
    <row r="134" spans="1:18">
      <c r="A134" s="86" t="s">
        <v>225</v>
      </c>
      <c r="B134" s="86" t="s">
        <v>631</v>
      </c>
      <c r="C134" s="87">
        <v>500</v>
      </c>
      <c r="D134" s="87">
        <v>2</v>
      </c>
      <c r="E134" s="87">
        <v>1000</v>
      </c>
      <c r="F134" s="86">
        <v>2008.1</v>
      </c>
      <c r="G134" s="86" t="s">
        <v>544</v>
      </c>
      <c r="H134" s="86" t="s">
        <v>136</v>
      </c>
      <c r="I134" s="86" t="s">
        <v>107</v>
      </c>
      <c r="J134" s="86" t="s">
        <v>582</v>
      </c>
      <c r="K134" s="86" t="s">
        <v>546</v>
      </c>
      <c r="L134" s="86" t="s">
        <v>547</v>
      </c>
      <c r="M134" s="86" t="s">
        <v>107</v>
      </c>
      <c r="N134" s="86" t="s">
        <v>412</v>
      </c>
      <c r="O134" s="86" t="s">
        <v>548</v>
      </c>
      <c r="P134" s="86" t="s">
        <v>549</v>
      </c>
      <c r="Q134" s="86" t="s">
        <v>550</v>
      </c>
      <c r="R134" s="88" t="s">
        <v>632</v>
      </c>
    </row>
    <row r="135" spans="1:18">
      <c r="A135" s="86" t="s">
        <v>225</v>
      </c>
      <c r="B135" s="86" t="s">
        <v>633</v>
      </c>
      <c r="C135" s="87">
        <v>250</v>
      </c>
      <c r="D135" s="87">
        <v>3</v>
      </c>
      <c r="E135" s="87">
        <v>750</v>
      </c>
      <c r="F135" s="86">
        <v>1994.8</v>
      </c>
      <c r="G135" s="86" t="s">
        <v>544</v>
      </c>
      <c r="H135" s="86" t="s">
        <v>136</v>
      </c>
      <c r="I135" s="86" t="s">
        <v>107</v>
      </c>
      <c r="J135" s="86" t="s">
        <v>562</v>
      </c>
      <c r="K135" s="86" t="s">
        <v>553</v>
      </c>
      <c r="L135" s="86" t="s">
        <v>547</v>
      </c>
      <c r="M135" s="86" t="s">
        <v>107</v>
      </c>
      <c r="N135" s="86" t="s">
        <v>412</v>
      </c>
      <c r="O135" s="86" t="s">
        <v>548</v>
      </c>
      <c r="P135" s="86" t="s">
        <v>549</v>
      </c>
      <c r="Q135" s="86" t="s">
        <v>550</v>
      </c>
      <c r="R135" s="88" t="s">
        <v>594</v>
      </c>
    </row>
    <row r="136" spans="1:18">
      <c r="A136" s="86" t="s">
        <v>225</v>
      </c>
      <c r="B136" s="86" t="s">
        <v>634</v>
      </c>
      <c r="C136" s="87">
        <v>80</v>
      </c>
      <c r="D136" s="87">
        <v>3</v>
      </c>
      <c r="E136" s="87">
        <v>240</v>
      </c>
      <c r="F136" s="86">
        <v>2006.12</v>
      </c>
      <c r="G136" s="86" t="s">
        <v>544</v>
      </c>
      <c r="H136" s="86" t="s">
        <v>136</v>
      </c>
      <c r="I136" s="86" t="s">
        <v>107</v>
      </c>
      <c r="J136" s="86" t="s">
        <v>635</v>
      </c>
      <c r="K136" s="86" t="s">
        <v>546</v>
      </c>
      <c r="L136" s="86" t="s">
        <v>547</v>
      </c>
      <c r="M136" s="86" t="s">
        <v>107</v>
      </c>
      <c r="N136" s="86" t="s">
        <v>412</v>
      </c>
      <c r="O136" s="86" t="s">
        <v>548</v>
      </c>
      <c r="P136" s="86" t="s">
        <v>549</v>
      </c>
      <c r="Q136" s="86" t="s">
        <v>550</v>
      </c>
      <c r="R136" s="88" t="s">
        <v>636</v>
      </c>
    </row>
    <row r="137" spans="1:18">
      <c r="A137" s="86" t="s">
        <v>225</v>
      </c>
      <c r="B137" s="86" t="s">
        <v>637</v>
      </c>
      <c r="C137" s="87">
        <v>80</v>
      </c>
      <c r="D137" s="87">
        <v>1</v>
      </c>
      <c r="E137" s="87">
        <v>80</v>
      </c>
      <c r="F137" s="86">
        <v>1996.1</v>
      </c>
      <c r="G137" s="86" t="s">
        <v>544</v>
      </c>
      <c r="H137" s="86" t="s">
        <v>136</v>
      </c>
      <c r="I137" s="86" t="s">
        <v>107</v>
      </c>
      <c r="J137" s="86" t="s">
        <v>638</v>
      </c>
      <c r="K137" s="86" t="s">
        <v>546</v>
      </c>
      <c r="L137" s="86" t="s">
        <v>547</v>
      </c>
      <c r="M137" s="86" t="s">
        <v>107</v>
      </c>
      <c r="N137" s="86" t="s">
        <v>412</v>
      </c>
      <c r="O137" s="86" t="s">
        <v>548</v>
      </c>
      <c r="P137" s="86" t="s">
        <v>549</v>
      </c>
      <c r="Q137" s="86" t="s">
        <v>550</v>
      </c>
      <c r="R137" s="88" t="s">
        <v>639</v>
      </c>
    </row>
    <row r="138" spans="1:18">
      <c r="A138" s="86" t="s">
        <v>225</v>
      </c>
      <c r="B138" s="86" t="s">
        <v>637</v>
      </c>
      <c r="C138" s="87">
        <v>40</v>
      </c>
      <c r="D138" s="87">
        <v>2</v>
      </c>
      <c r="E138" s="87">
        <v>80</v>
      </c>
      <c r="F138" s="86">
        <v>1996.1</v>
      </c>
      <c r="G138" s="86" t="s">
        <v>544</v>
      </c>
      <c r="H138" s="86" t="s">
        <v>136</v>
      </c>
      <c r="I138" s="86" t="s">
        <v>107</v>
      </c>
      <c r="J138" s="86" t="s">
        <v>638</v>
      </c>
      <c r="K138" s="86" t="s">
        <v>546</v>
      </c>
      <c r="L138" s="86" t="s">
        <v>547</v>
      </c>
      <c r="M138" s="86" t="s">
        <v>107</v>
      </c>
      <c r="N138" s="86" t="s">
        <v>412</v>
      </c>
      <c r="O138" s="86" t="s">
        <v>548</v>
      </c>
      <c r="P138" s="86" t="s">
        <v>549</v>
      </c>
      <c r="Q138" s="86" t="s">
        <v>550</v>
      </c>
      <c r="R138" s="88" t="s">
        <v>639</v>
      </c>
    </row>
    <row r="139" spans="1:18">
      <c r="A139" s="86" t="s">
        <v>225</v>
      </c>
      <c r="B139" s="86" t="s">
        <v>640</v>
      </c>
      <c r="C139" s="87">
        <v>150</v>
      </c>
      <c r="D139" s="87">
        <v>2</v>
      </c>
      <c r="E139" s="87">
        <v>300</v>
      </c>
      <c r="F139" s="86">
        <v>1994.2</v>
      </c>
      <c r="G139" s="86" t="s">
        <v>544</v>
      </c>
      <c r="H139" s="86" t="s">
        <v>136</v>
      </c>
      <c r="I139" s="86" t="s">
        <v>107</v>
      </c>
      <c r="J139" s="86" t="s">
        <v>559</v>
      </c>
      <c r="K139" s="86" t="s">
        <v>553</v>
      </c>
      <c r="L139" s="86" t="s">
        <v>547</v>
      </c>
      <c r="M139" s="86" t="s">
        <v>107</v>
      </c>
      <c r="N139" s="86" t="s">
        <v>412</v>
      </c>
      <c r="O139" s="86" t="s">
        <v>548</v>
      </c>
      <c r="P139" s="86" t="s">
        <v>549</v>
      </c>
      <c r="Q139" s="86" t="s">
        <v>550</v>
      </c>
      <c r="R139" s="88" t="s">
        <v>641</v>
      </c>
    </row>
    <row r="140" spans="1:18">
      <c r="A140" s="86" t="s">
        <v>225</v>
      </c>
      <c r="B140" s="86" t="s">
        <v>640</v>
      </c>
      <c r="C140" s="87">
        <v>300</v>
      </c>
      <c r="D140" s="87">
        <v>2</v>
      </c>
      <c r="E140" s="87">
        <v>600</v>
      </c>
      <c r="F140" s="86">
        <v>2007.7</v>
      </c>
      <c r="G140" s="86" t="s">
        <v>544</v>
      </c>
      <c r="H140" s="86" t="s">
        <v>136</v>
      </c>
      <c r="I140" s="86" t="s">
        <v>107</v>
      </c>
      <c r="J140" s="86" t="s">
        <v>642</v>
      </c>
      <c r="K140" s="86" t="s">
        <v>546</v>
      </c>
      <c r="L140" s="86" t="s">
        <v>547</v>
      </c>
      <c r="M140" s="86" t="s">
        <v>107</v>
      </c>
      <c r="N140" s="86" t="s">
        <v>412</v>
      </c>
      <c r="O140" s="86" t="s">
        <v>548</v>
      </c>
      <c r="P140" s="86" t="s">
        <v>549</v>
      </c>
      <c r="Q140" s="86" t="s">
        <v>550</v>
      </c>
      <c r="R140" s="88" t="s">
        <v>641</v>
      </c>
    </row>
    <row r="141" spans="1:18">
      <c r="A141" s="86" t="s">
        <v>225</v>
      </c>
      <c r="B141" s="86" t="s">
        <v>640</v>
      </c>
      <c r="C141" s="87">
        <v>500</v>
      </c>
      <c r="D141" s="87">
        <v>1</v>
      </c>
      <c r="E141" s="87">
        <v>500</v>
      </c>
      <c r="F141" s="86">
        <v>2012.8</v>
      </c>
      <c r="G141" s="86" t="s">
        <v>544</v>
      </c>
      <c r="H141" s="86" t="s">
        <v>136</v>
      </c>
      <c r="I141" s="86" t="s">
        <v>107</v>
      </c>
      <c r="J141" s="86" t="s">
        <v>545</v>
      </c>
      <c r="K141" s="86" t="s">
        <v>546</v>
      </c>
      <c r="L141" s="86" t="s">
        <v>547</v>
      </c>
      <c r="M141" s="86" t="s">
        <v>107</v>
      </c>
      <c r="N141" s="86" t="s">
        <v>412</v>
      </c>
      <c r="O141" s="86" t="s">
        <v>548</v>
      </c>
      <c r="P141" s="86" t="s">
        <v>549</v>
      </c>
      <c r="Q141" s="86" t="s">
        <v>550</v>
      </c>
      <c r="R141" s="88" t="s">
        <v>641</v>
      </c>
    </row>
    <row r="142" spans="1:18">
      <c r="A142" s="86" t="s">
        <v>225</v>
      </c>
      <c r="B142" s="86" t="s">
        <v>643</v>
      </c>
      <c r="C142" s="87">
        <v>80</v>
      </c>
      <c r="D142" s="87">
        <v>3</v>
      </c>
      <c r="E142" s="87">
        <v>240</v>
      </c>
      <c r="F142" s="86">
        <v>1996.7</v>
      </c>
      <c r="G142" s="86" t="s">
        <v>544</v>
      </c>
      <c r="H142" s="86" t="s">
        <v>136</v>
      </c>
      <c r="I142" s="86" t="s">
        <v>107</v>
      </c>
      <c r="J142" s="86" t="s">
        <v>559</v>
      </c>
      <c r="K142" s="86" t="s">
        <v>553</v>
      </c>
      <c r="L142" s="86" t="s">
        <v>547</v>
      </c>
      <c r="M142" s="86" t="s">
        <v>107</v>
      </c>
      <c r="N142" s="86" t="s">
        <v>412</v>
      </c>
      <c r="O142" s="86" t="s">
        <v>548</v>
      </c>
      <c r="P142" s="86" t="s">
        <v>549</v>
      </c>
      <c r="Q142" s="86" t="s">
        <v>550</v>
      </c>
      <c r="R142" s="88" t="s">
        <v>644</v>
      </c>
    </row>
    <row r="143" spans="1:18">
      <c r="A143" s="86" t="s">
        <v>225</v>
      </c>
      <c r="B143" s="86" t="s">
        <v>645</v>
      </c>
      <c r="C143" s="87">
        <v>150</v>
      </c>
      <c r="D143" s="87">
        <v>3</v>
      </c>
      <c r="E143" s="87">
        <v>450</v>
      </c>
      <c r="F143" s="86">
        <v>1994.4</v>
      </c>
      <c r="G143" s="86" t="s">
        <v>544</v>
      </c>
      <c r="H143" s="86" t="s">
        <v>136</v>
      </c>
      <c r="I143" s="86" t="s">
        <v>107</v>
      </c>
      <c r="J143" s="86" t="s">
        <v>562</v>
      </c>
      <c r="K143" s="86" t="s">
        <v>553</v>
      </c>
      <c r="L143" s="86" t="s">
        <v>547</v>
      </c>
      <c r="M143" s="86" t="s">
        <v>107</v>
      </c>
      <c r="N143" s="86" t="s">
        <v>412</v>
      </c>
      <c r="O143" s="86" t="s">
        <v>548</v>
      </c>
      <c r="P143" s="86" t="s">
        <v>549</v>
      </c>
      <c r="Q143" s="86" t="s">
        <v>550</v>
      </c>
      <c r="R143" s="88" t="s">
        <v>616</v>
      </c>
    </row>
    <row r="144" spans="1:18">
      <c r="A144" s="86" t="s">
        <v>225</v>
      </c>
      <c r="B144" s="86" t="s">
        <v>646</v>
      </c>
      <c r="C144" s="87">
        <v>80</v>
      </c>
      <c r="D144" s="87">
        <v>2</v>
      </c>
      <c r="E144" s="87">
        <v>160</v>
      </c>
      <c r="F144" s="86">
        <v>1996.4</v>
      </c>
      <c r="G144" s="86" t="s">
        <v>544</v>
      </c>
      <c r="H144" s="86" t="s">
        <v>136</v>
      </c>
      <c r="I144" s="86" t="s">
        <v>107</v>
      </c>
      <c r="J144" s="86" t="s">
        <v>611</v>
      </c>
      <c r="K144" s="86" t="s">
        <v>546</v>
      </c>
      <c r="L144" s="86" t="s">
        <v>547</v>
      </c>
      <c r="M144" s="86" t="s">
        <v>107</v>
      </c>
      <c r="N144" s="86" t="s">
        <v>412</v>
      </c>
      <c r="O144" s="86" t="s">
        <v>548</v>
      </c>
      <c r="P144" s="86" t="s">
        <v>549</v>
      </c>
      <c r="Q144" s="86" t="s">
        <v>550</v>
      </c>
      <c r="R144" s="88" t="s">
        <v>647</v>
      </c>
    </row>
    <row r="145" spans="1:18">
      <c r="A145" s="86" t="s">
        <v>225</v>
      </c>
      <c r="B145" s="86" t="s">
        <v>646</v>
      </c>
      <c r="C145" s="87">
        <v>100</v>
      </c>
      <c r="D145" s="87">
        <v>1</v>
      </c>
      <c r="E145" s="87">
        <v>100</v>
      </c>
      <c r="F145" s="86">
        <v>2011.5</v>
      </c>
      <c r="G145" s="86" t="s">
        <v>544</v>
      </c>
      <c r="H145" s="86" t="s">
        <v>136</v>
      </c>
      <c r="I145" s="86" t="s">
        <v>107</v>
      </c>
      <c r="J145" s="86" t="s">
        <v>579</v>
      </c>
      <c r="K145" s="86" t="s">
        <v>546</v>
      </c>
      <c r="L145" s="86" t="s">
        <v>547</v>
      </c>
      <c r="M145" s="86" t="s">
        <v>107</v>
      </c>
      <c r="N145" s="86" t="s">
        <v>412</v>
      </c>
      <c r="O145" s="86" t="s">
        <v>548</v>
      </c>
      <c r="P145" s="86" t="s">
        <v>549</v>
      </c>
      <c r="Q145" s="86" t="s">
        <v>550</v>
      </c>
      <c r="R145" s="88" t="s">
        <v>647</v>
      </c>
    </row>
    <row r="146" spans="1:18">
      <c r="A146" s="86" t="s">
        <v>225</v>
      </c>
      <c r="B146" s="86" t="s">
        <v>648</v>
      </c>
      <c r="C146" s="87">
        <v>1000</v>
      </c>
      <c r="D146" s="87">
        <v>2</v>
      </c>
      <c r="E146" s="87">
        <v>2000</v>
      </c>
      <c r="F146" s="86">
        <v>2005.7</v>
      </c>
      <c r="G146" s="86" t="s">
        <v>544</v>
      </c>
      <c r="H146" s="86" t="s">
        <v>136</v>
      </c>
      <c r="I146" s="86" t="s">
        <v>107</v>
      </c>
      <c r="J146" s="86" t="s">
        <v>568</v>
      </c>
      <c r="K146" s="86" t="s">
        <v>546</v>
      </c>
      <c r="L146" s="86" t="s">
        <v>547</v>
      </c>
      <c r="M146" s="86" t="s">
        <v>107</v>
      </c>
      <c r="N146" s="86" t="s">
        <v>412</v>
      </c>
      <c r="O146" s="86" t="s">
        <v>548</v>
      </c>
      <c r="P146" s="86" t="s">
        <v>549</v>
      </c>
      <c r="Q146" s="86" t="s">
        <v>550</v>
      </c>
      <c r="R146" s="88" t="s">
        <v>649</v>
      </c>
    </row>
    <row r="147" spans="1:18">
      <c r="A147" s="86" t="s">
        <v>225</v>
      </c>
      <c r="B147" s="86" t="s">
        <v>648</v>
      </c>
      <c r="C147" s="87">
        <v>1900</v>
      </c>
      <c r="D147" s="87">
        <v>3</v>
      </c>
      <c r="E147" s="87">
        <v>5700</v>
      </c>
      <c r="F147" s="86">
        <v>2011.7</v>
      </c>
      <c r="G147" s="86" t="s">
        <v>544</v>
      </c>
      <c r="H147" s="86" t="s">
        <v>136</v>
      </c>
      <c r="I147" s="86" t="s">
        <v>107</v>
      </c>
      <c r="J147" s="86" t="s">
        <v>582</v>
      </c>
      <c r="K147" s="86" t="s">
        <v>546</v>
      </c>
      <c r="L147" s="86" t="s">
        <v>547</v>
      </c>
      <c r="M147" s="86" t="s">
        <v>107</v>
      </c>
      <c r="N147" s="86" t="s">
        <v>412</v>
      </c>
      <c r="O147" s="86" t="s">
        <v>548</v>
      </c>
      <c r="P147" s="86" t="s">
        <v>549</v>
      </c>
      <c r="Q147" s="86" t="s">
        <v>550</v>
      </c>
      <c r="R147" s="88" t="s">
        <v>649</v>
      </c>
    </row>
    <row r="148" spans="1:18">
      <c r="A148" s="86" t="s">
        <v>225</v>
      </c>
      <c r="B148" s="86" t="s">
        <v>650</v>
      </c>
      <c r="C148" s="87">
        <v>80</v>
      </c>
      <c r="D148" s="87">
        <v>3</v>
      </c>
      <c r="E148" s="87">
        <v>240</v>
      </c>
      <c r="F148" s="86">
        <v>2015.11</v>
      </c>
      <c r="G148" s="86" t="s">
        <v>544</v>
      </c>
      <c r="H148" s="86" t="s">
        <v>136</v>
      </c>
      <c r="I148" s="86" t="s">
        <v>107</v>
      </c>
      <c r="J148" s="86" t="s">
        <v>579</v>
      </c>
      <c r="K148" s="86" t="s">
        <v>582</v>
      </c>
      <c r="L148" s="86" t="s">
        <v>547</v>
      </c>
      <c r="M148" s="86" t="s">
        <v>107</v>
      </c>
      <c r="N148" s="86" t="s">
        <v>412</v>
      </c>
      <c r="O148" s="86" t="s">
        <v>548</v>
      </c>
      <c r="P148" s="86" t="s">
        <v>549</v>
      </c>
      <c r="Q148" s="86" t="s">
        <v>550</v>
      </c>
      <c r="R148" s="88" t="s">
        <v>651</v>
      </c>
    </row>
    <row r="149" spans="1:18">
      <c r="A149" s="86" t="s">
        <v>225</v>
      </c>
      <c r="B149" s="86" t="s">
        <v>652</v>
      </c>
      <c r="C149" s="87">
        <v>80</v>
      </c>
      <c r="D149" s="87">
        <v>3</v>
      </c>
      <c r="E149" s="87">
        <v>240</v>
      </c>
      <c r="F149" s="86">
        <v>2006.4</v>
      </c>
      <c r="G149" s="86" t="s">
        <v>544</v>
      </c>
      <c r="H149" s="86" t="s">
        <v>136</v>
      </c>
      <c r="I149" s="86" t="s">
        <v>107</v>
      </c>
      <c r="J149" s="86" t="s">
        <v>579</v>
      </c>
      <c r="K149" s="86" t="s">
        <v>546</v>
      </c>
      <c r="L149" s="86" t="s">
        <v>547</v>
      </c>
      <c r="M149" s="86" t="s">
        <v>107</v>
      </c>
      <c r="N149" s="86" t="s">
        <v>412</v>
      </c>
      <c r="O149" s="86" t="s">
        <v>548</v>
      </c>
      <c r="P149" s="86" t="s">
        <v>549</v>
      </c>
      <c r="Q149" s="86" t="s">
        <v>550</v>
      </c>
      <c r="R149" s="88" t="s">
        <v>653</v>
      </c>
    </row>
    <row r="150" spans="1:18">
      <c r="A150" s="86" t="s">
        <v>225</v>
      </c>
      <c r="B150" s="86" t="s">
        <v>654</v>
      </c>
      <c r="C150" s="87">
        <v>80</v>
      </c>
      <c r="D150" s="87">
        <v>2</v>
      </c>
      <c r="E150" s="87">
        <v>160</v>
      </c>
      <c r="F150" s="86">
        <v>2015.11</v>
      </c>
      <c r="G150" s="86" t="s">
        <v>544</v>
      </c>
      <c r="H150" s="86" t="s">
        <v>136</v>
      </c>
      <c r="I150" s="86" t="s">
        <v>107</v>
      </c>
      <c r="J150" s="86" t="s">
        <v>579</v>
      </c>
      <c r="K150" s="86" t="s">
        <v>546</v>
      </c>
      <c r="L150" s="86" t="s">
        <v>547</v>
      </c>
      <c r="M150" s="86" t="s">
        <v>107</v>
      </c>
      <c r="N150" s="86" t="s">
        <v>412</v>
      </c>
      <c r="O150" s="86" t="s">
        <v>548</v>
      </c>
      <c r="P150" s="86" t="s">
        <v>549</v>
      </c>
      <c r="Q150" s="86" t="s">
        <v>550</v>
      </c>
      <c r="R150" s="88" t="s">
        <v>655</v>
      </c>
    </row>
    <row r="151" spans="1:18">
      <c r="A151" s="86" t="s">
        <v>225</v>
      </c>
      <c r="B151" s="86" t="s">
        <v>654</v>
      </c>
      <c r="C151" s="87">
        <v>60</v>
      </c>
      <c r="D151" s="87">
        <v>1</v>
      </c>
      <c r="E151" s="87">
        <v>60</v>
      </c>
      <c r="F151" s="86">
        <v>2015.11</v>
      </c>
      <c r="G151" s="86" t="s">
        <v>544</v>
      </c>
      <c r="H151" s="86" t="s">
        <v>136</v>
      </c>
      <c r="I151" s="86" t="s">
        <v>107</v>
      </c>
      <c r="J151" s="86" t="s">
        <v>579</v>
      </c>
      <c r="K151" s="86" t="s">
        <v>546</v>
      </c>
      <c r="L151" s="86" t="s">
        <v>547</v>
      </c>
      <c r="M151" s="86" t="s">
        <v>107</v>
      </c>
      <c r="N151" s="86" t="s">
        <v>412</v>
      </c>
      <c r="O151" s="86" t="s">
        <v>548</v>
      </c>
      <c r="P151" s="86" t="s">
        <v>549</v>
      </c>
      <c r="Q151" s="86" t="s">
        <v>550</v>
      </c>
      <c r="R151" s="88" t="s">
        <v>655</v>
      </c>
    </row>
    <row r="152" spans="1:18">
      <c r="A152" s="86" t="s">
        <v>225</v>
      </c>
      <c r="B152" s="86" t="s">
        <v>656</v>
      </c>
      <c r="C152" s="87">
        <v>150</v>
      </c>
      <c r="D152" s="87">
        <v>3</v>
      </c>
      <c r="E152" s="87">
        <v>450</v>
      </c>
      <c r="F152" s="86">
        <v>1994.8</v>
      </c>
      <c r="G152" s="86" t="s">
        <v>544</v>
      </c>
      <c r="H152" s="86" t="s">
        <v>136</v>
      </c>
      <c r="I152" s="86" t="s">
        <v>107</v>
      </c>
      <c r="J152" s="86" t="s">
        <v>559</v>
      </c>
      <c r="K152" s="86" t="s">
        <v>553</v>
      </c>
      <c r="L152" s="86" t="s">
        <v>547</v>
      </c>
      <c r="M152" s="86" t="s">
        <v>107</v>
      </c>
      <c r="N152" s="86" t="s">
        <v>412</v>
      </c>
      <c r="O152" s="86" t="s">
        <v>548</v>
      </c>
      <c r="P152" s="86" t="s">
        <v>549</v>
      </c>
      <c r="Q152" s="86" t="s">
        <v>550</v>
      </c>
      <c r="R152" s="88" t="s">
        <v>657</v>
      </c>
    </row>
    <row r="153" spans="1:18">
      <c r="A153" s="86" t="s">
        <v>225</v>
      </c>
      <c r="B153" s="86" t="s">
        <v>656</v>
      </c>
      <c r="C153" s="87">
        <v>300</v>
      </c>
      <c r="D153" s="87">
        <v>1</v>
      </c>
      <c r="E153" s="87">
        <v>300</v>
      </c>
      <c r="F153" s="86">
        <v>2004.7</v>
      </c>
      <c r="G153" s="86" t="s">
        <v>544</v>
      </c>
      <c r="H153" s="86" t="s">
        <v>136</v>
      </c>
      <c r="I153" s="86" t="s">
        <v>107</v>
      </c>
      <c r="J153" s="86" t="s">
        <v>545</v>
      </c>
      <c r="K153" s="86" t="s">
        <v>546</v>
      </c>
      <c r="L153" s="86" t="s">
        <v>547</v>
      </c>
      <c r="M153" s="86" t="s">
        <v>107</v>
      </c>
      <c r="N153" s="86" t="s">
        <v>412</v>
      </c>
      <c r="O153" s="86" t="s">
        <v>548</v>
      </c>
      <c r="P153" s="86" t="s">
        <v>549</v>
      </c>
      <c r="Q153" s="86" t="s">
        <v>550</v>
      </c>
      <c r="R153" s="88" t="s">
        <v>657</v>
      </c>
    </row>
    <row r="154" spans="1:18">
      <c r="A154" s="86" t="s">
        <v>225</v>
      </c>
      <c r="B154" s="86" t="s">
        <v>658</v>
      </c>
      <c r="C154" s="87">
        <v>80</v>
      </c>
      <c r="D154" s="87">
        <v>3</v>
      </c>
      <c r="E154" s="87">
        <v>240</v>
      </c>
      <c r="F154" s="86">
        <v>2003.3</v>
      </c>
      <c r="G154" s="86" t="s">
        <v>544</v>
      </c>
      <c r="H154" s="86" t="s">
        <v>136</v>
      </c>
      <c r="I154" s="86" t="s">
        <v>107</v>
      </c>
      <c r="J154" s="86" t="s">
        <v>582</v>
      </c>
      <c r="K154" s="86" t="s">
        <v>546</v>
      </c>
      <c r="L154" s="86" t="s">
        <v>547</v>
      </c>
      <c r="M154" s="86" t="s">
        <v>107</v>
      </c>
      <c r="N154" s="86" t="s">
        <v>412</v>
      </c>
      <c r="O154" s="86" t="s">
        <v>548</v>
      </c>
      <c r="P154" s="86" t="s">
        <v>549</v>
      </c>
      <c r="Q154" s="86" t="s">
        <v>550</v>
      </c>
      <c r="R154" s="88" t="s">
        <v>589</v>
      </c>
    </row>
    <row r="155" spans="1:18">
      <c r="A155" s="86" t="s">
        <v>225</v>
      </c>
      <c r="B155" s="86" t="s">
        <v>659</v>
      </c>
      <c r="C155" s="87">
        <v>1000</v>
      </c>
      <c r="D155" s="87">
        <v>2</v>
      </c>
      <c r="E155" s="87">
        <v>2000</v>
      </c>
      <c r="F155" s="86">
        <v>1986.6</v>
      </c>
      <c r="G155" s="86" t="s">
        <v>544</v>
      </c>
      <c r="H155" s="86" t="s">
        <v>136</v>
      </c>
      <c r="I155" s="86" t="s">
        <v>107</v>
      </c>
      <c r="J155" s="86" t="s">
        <v>588</v>
      </c>
      <c r="K155" s="86" t="s">
        <v>569</v>
      </c>
      <c r="L155" s="86" t="s">
        <v>547</v>
      </c>
      <c r="M155" s="86" t="s">
        <v>107</v>
      </c>
      <c r="N155" s="86" t="s">
        <v>412</v>
      </c>
      <c r="O155" s="86" t="s">
        <v>548</v>
      </c>
      <c r="P155" s="86" t="s">
        <v>549</v>
      </c>
      <c r="Q155" s="86" t="s">
        <v>550</v>
      </c>
      <c r="R155" s="88" t="s">
        <v>660</v>
      </c>
    </row>
    <row r="156" spans="1:18">
      <c r="A156" s="86" t="s">
        <v>225</v>
      </c>
      <c r="B156" s="86" t="s">
        <v>659</v>
      </c>
      <c r="C156" s="87">
        <v>1500</v>
      </c>
      <c r="D156" s="87">
        <v>2</v>
      </c>
      <c r="E156" s="87">
        <v>3000</v>
      </c>
      <c r="F156" s="86">
        <v>1996.8</v>
      </c>
      <c r="G156" s="86" t="s">
        <v>544</v>
      </c>
      <c r="H156" s="86" t="s">
        <v>136</v>
      </c>
      <c r="I156" s="86" t="s">
        <v>107</v>
      </c>
      <c r="J156" s="86" t="s">
        <v>567</v>
      </c>
      <c r="K156" s="86" t="s">
        <v>569</v>
      </c>
      <c r="L156" s="86" t="s">
        <v>547</v>
      </c>
      <c r="M156" s="86" t="s">
        <v>107</v>
      </c>
      <c r="N156" s="86" t="s">
        <v>412</v>
      </c>
      <c r="O156" s="86" t="s">
        <v>548</v>
      </c>
      <c r="P156" s="86" t="s">
        <v>549</v>
      </c>
      <c r="Q156" s="86" t="s">
        <v>550</v>
      </c>
      <c r="R156" s="88" t="s">
        <v>660</v>
      </c>
    </row>
    <row r="157" spans="1:18">
      <c r="A157" s="86" t="s">
        <v>225</v>
      </c>
      <c r="B157" s="86" t="s">
        <v>659</v>
      </c>
      <c r="C157" s="87">
        <v>1500</v>
      </c>
      <c r="D157" s="87">
        <v>1</v>
      </c>
      <c r="E157" s="87">
        <v>1500</v>
      </c>
      <c r="F157" s="86">
        <v>2002.9</v>
      </c>
      <c r="G157" s="86" t="s">
        <v>544</v>
      </c>
      <c r="H157" s="86" t="s">
        <v>136</v>
      </c>
      <c r="I157" s="86" t="s">
        <v>107</v>
      </c>
      <c r="J157" s="86" t="s">
        <v>568</v>
      </c>
      <c r="K157" s="86" t="s">
        <v>582</v>
      </c>
      <c r="L157" s="86" t="s">
        <v>547</v>
      </c>
      <c r="M157" s="86" t="s">
        <v>107</v>
      </c>
      <c r="N157" s="86" t="s">
        <v>412</v>
      </c>
      <c r="O157" s="86" t="s">
        <v>548</v>
      </c>
      <c r="P157" s="86" t="s">
        <v>549</v>
      </c>
      <c r="Q157" s="86" t="s">
        <v>550</v>
      </c>
      <c r="R157" s="88" t="s">
        <v>660</v>
      </c>
    </row>
    <row r="158" spans="1:18">
      <c r="A158" s="86" t="s">
        <v>225</v>
      </c>
      <c r="B158" s="86" t="s">
        <v>659</v>
      </c>
      <c r="C158" s="87">
        <v>3000</v>
      </c>
      <c r="D158" s="87">
        <v>2</v>
      </c>
      <c r="E158" s="87">
        <v>6000</v>
      </c>
      <c r="F158" s="86">
        <v>2007.12</v>
      </c>
      <c r="G158" s="86" t="s">
        <v>544</v>
      </c>
      <c r="H158" s="86" t="s">
        <v>136</v>
      </c>
      <c r="I158" s="86" t="s">
        <v>107</v>
      </c>
      <c r="J158" s="86" t="s">
        <v>568</v>
      </c>
      <c r="K158" s="86" t="s">
        <v>582</v>
      </c>
      <c r="L158" s="86" t="s">
        <v>547</v>
      </c>
      <c r="M158" s="86" t="s">
        <v>107</v>
      </c>
      <c r="N158" s="86" t="s">
        <v>412</v>
      </c>
      <c r="O158" s="86" t="s">
        <v>548</v>
      </c>
      <c r="P158" s="86" t="s">
        <v>549</v>
      </c>
      <c r="Q158" s="86" t="s">
        <v>550</v>
      </c>
      <c r="R158" s="88" t="s">
        <v>660</v>
      </c>
    </row>
    <row r="159" spans="1:18">
      <c r="A159" s="86" t="s">
        <v>225</v>
      </c>
      <c r="B159" s="86" t="s">
        <v>659</v>
      </c>
      <c r="C159" s="87">
        <v>3000</v>
      </c>
      <c r="D159" s="87">
        <v>2</v>
      </c>
      <c r="E159" s="87">
        <v>6000</v>
      </c>
      <c r="F159" s="86">
        <v>2011.12</v>
      </c>
      <c r="G159" s="86" t="s">
        <v>544</v>
      </c>
      <c r="H159" s="86" t="s">
        <v>136</v>
      </c>
      <c r="I159" s="86" t="s">
        <v>107</v>
      </c>
      <c r="J159" s="86" t="s">
        <v>582</v>
      </c>
      <c r="K159" s="86" t="s">
        <v>582</v>
      </c>
      <c r="L159" s="86" t="s">
        <v>547</v>
      </c>
      <c r="M159" s="86" t="s">
        <v>107</v>
      </c>
      <c r="N159" s="86" t="s">
        <v>412</v>
      </c>
      <c r="O159" s="86" t="s">
        <v>548</v>
      </c>
      <c r="P159" s="86" t="s">
        <v>549</v>
      </c>
      <c r="Q159" s="86" t="s">
        <v>550</v>
      </c>
      <c r="R159" s="88" t="s">
        <v>660</v>
      </c>
    </row>
    <row r="160" spans="1:18">
      <c r="A160" s="86" t="s">
        <v>225</v>
      </c>
      <c r="B160" s="86" t="s">
        <v>661</v>
      </c>
      <c r="C160" s="87">
        <v>450</v>
      </c>
      <c r="D160" s="87">
        <v>3</v>
      </c>
      <c r="E160" s="87">
        <v>1350</v>
      </c>
      <c r="F160" s="86">
        <v>1993.2</v>
      </c>
      <c r="G160" s="86" t="s">
        <v>544</v>
      </c>
      <c r="H160" s="86" t="s">
        <v>136</v>
      </c>
      <c r="I160" s="86" t="s">
        <v>107</v>
      </c>
      <c r="J160" s="86" t="s">
        <v>662</v>
      </c>
      <c r="K160" s="86" t="s">
        <v>553</v>
      </c>
      <c r="L160" s="86" t="s">
        <v>547</v>
      </c>
      <c r="M160" s="86" t="s">
        <v>107</v>
      </c>
      <c r="N160" s="86" t="s">
        <v>412</v>
      </c>
      <c r="O160" s="86" t="s">
        <v>548</v>
      </c>
      <c r="P160" s="86" t="s">
        <v>549</v>
      </c>
      <c r="Q160" s="86" t="s">
        <v>550</v>
      </c>
      <c r="R160" s="88" t="s">
        <v>663</v>
      </c>
    </row>
    <row r="161" spans="1:18">
      <c r="A161" s="86" t="s">
        <v>225</v>
      </c>
      <c r="B161" s="86" t="s">
        <v>661</v>
      </c>
      <c r="C161" s="87">
        <v>500</v>
      </c>
      <c r="D161" s="87">
        <v>1</v>
      </c>
      <c r="E161" s="87">
        <v>500</v>
      </c>
      <c r="F161" s="86">
        <v>2002.8</v>
      </c>
      <c r="G161" s="86" t="s">
        <v>544</v>
      </c>
      <c r="H161" s="86" t="s">
        <v>136</v>
      </c>
      <c r="I161" s="86" t="s">
        <v>107</v>
      </c>
      <c r="J161" s="86" t="s">
        <v>568</v>
      </c>
      <c r="K161" s="86" t="s">
        <v>582</v>
      </c>
      <c r="L161" s="86" t="s">
        <v>547</v>
      </c>
      <c r="M161" s="86" t="s">
        <v>107</v>
      </c>
      <c r="N161" s="86" t="s">
        <v>412</v>
      </c>
      <c r="O161" s="86" t="s">
        <v>548</v>
      </c>
      <c r="P161" s="86" t="s">
        <v>549</v>
      </c>
      <c r="Q161" s="86" t="s">
        <v>550</v>
      </c>
      <c r="R161" s="88" t="s">
        <v>663</v>
      </c>
    </row>
    <row r="162" spans="1:18">
      <c r="A162" s="86" t="s">
        <v>225</v>
      </c>
      <c r="B162" s="86" t="s">
        <v>661</v>
      </c>
      <c r="C162" s="87">
        <v>1000</v>
      </c>
      <c r="D162" s="87">
        <v>1</v>
      </c>
      <c r="E162" s="87">
        <v>1000</v>
      </c>
      <c r="F162" s="86">
        <v>2003.6</v>
      </c>
      <c r="G162" s="86" t="s">
        <v>544</v>
      </c>
      <c r="H162" s="86" t="s">
        <v>136</v>
      </c>
      <c r="I162" s="86" t="s">
        <v>107</v>
      </c>
      <c r="J162" s="86" t="s">
        <v>568</v>
      </c>
      <c r="K162" s="86" t="s">
        <v>664</v>
      </c>
      <c r="L162" s="86" t="s">
        <v>547</v>
      </c>
      <c r="M162" s="86" t="s">
        <v>107</v>
      </c>
      <c r="N162" s="86" t="s">
        <v>412</v>
      </c>
      <c r="O162" s="86" t="s">
        <v>548</v>
      </c>
      <c r="P162" s="86" t="s">
        <v>549</v>
      </c>
      <c r="Q162" s="86" t="s">
        <v>550</v>
      </c>
      <c r="R162" s="88" t="s">
        <v>663</v>
      </c>
    </row>
    <row r="163" spans="1:18">
      <c r="A163" s="86" t="s">
        <v>225</v>
      </c>
      <c r="B163" s="86" t="s">
        <v>665</v>
      </c>
      <c r="C163" s="87">
        <v>150</v>
      </c>
      <c r="D163" s="87">
        <v>1</v>
      </c>
      <c r="E163" s="87">
        <v>150</v>
      </c>
      <c r="F163" s="86">
        <v>1993.1</v>
      </c>
      <c r="G163" s="86" t="s">
        <v>544</v>
      </c>
      <c r="H163" s="86" t="s">
        <v>136</v>
      </c>
      <c r="I163" s="86" t="s">
        <v>107</v>
      </c>
      <c r="J163" s="86" t="s">
        <v>559</v>
      </c>
      <c r="K163" s="86" t="s">
        <v>553</v>
      </c>
      <c r="L163" s="86" t="s">
        <v>547</v>
      </c>
      <c r="M163" s="86" t="s">
        <v>107</v>
      </c>
      <c r="N163" s="86" t="s">
        <v>412</v>
      </c>
      <c r="O163" s="86" t="s">
        <v>548</v>
      </c>
      <c r="P163" s="86" t="s">
        <v>549</v>
      </c>
      <c r="Q163" s="86" t="s">
        <v>550</v>
      </c>
      <c r="R163" s="88" t="s">
        <v>666</v>
      </c>
    </row>
    <row r="164" spans="1:18">
      <c r="A164" s="86" t="s">
        <v>225</v>
      </c>
      <c r="B164" s="86" t="s">
        <v>665</v>
      </c>
      <c r="C164" s="87">
        <v>500</v>
      </c>
      <c r="D164" s="87">
        <v>3</v>
      </c>
      <c r="E164" s="87">
        <v>1500</v>
      </c>
      <c r="F164" s="86">
        <v>2004.9</v>
      </c>
      <c r="G164" s="86" t="s">
        <v>544</v>
      </c>
      <c r="H164" s="86" t="s">
        <v>136</v>
      </c>
      <c r="I164" s="86" t="s">
        <v>107</v>
      </c>
      <c r="J164" s="86" t="s">
        <v>545</v>
      </c>
      <c r="K164" s="86" t="s">
        <v>546</v>
      </c>
      <c r="L164" s="86" t="s">
        <v>547</v>
      </c>
      <c r="M164" s="86" t="s">
        <v>107</v>
      </c>
      <c r="N164" s="86" t="s">
        <v>412</v>
      </c>
      <c r="O164" s="86" t="s">
        <v>548</v>
      </c>
      <c r="P164" s="86" t="s">
        <v>549</v>
      </c>
      <c r="Q164" s="86" t="s">
        <v>550</v>
      </c>
      <c r="R164" s="88" t="s">
        <v>666</v>
      </c>
    </row>
    <row r="165" spans="1:18">
      <c r="A165" s="86" t="s">
        <v>225</v>
      </c>
      <c r="B165" s="86" t="s">
        <v>667</v>
      </c>
      <c r="C165" s="87">
        <v>150</v>
      </c>
      <c r="D165" s="87">
        <v>3</v>
      </c>
      <c r="E165" s="87">
        <v>450</v>
      </c>
      <c r="F165" s="86">
        <v>1996.1</v>
      </c>
      <c r="G165" s="86" t="s">
        <v>544</v>
      </c>
      <c r="H165" s="86" t="s">
        <v>136</v>
      </c>
      <c r="I165" s="86" t="s">
        <v>107</v>
      </c>
      <c r="J165" s="86" t="s">
        <v>571</v>
      </c>
      <c r="K165" s="86" t="s">
        <v>553</v>
      </c>
      <c r="L165" s="86" t="s">
        <v>547</v>
      </c>
      <c r="M165" s="86" t="s">
        <v>107</v>
      </c>
      <c r="N165" s="86" t="s">
        <v>412</v>
      </c>
      <c r="O165" s="86" t="s">
        <v>548</v>
      </c>
      <c r="P165" s="86" t="s">
        <v>549</v>
      </c>
      <c r="Q165" s="86" t="s">
        <v>550</v>
      </c>
      <c r="R165" s="88" t="s">
        <v>474</v>
      </c>
    </row>
    <row r="166" spans="1:18">
      <c r="A166" s="86" t="s">
        <v>225</v>
      </c>
      <c r="B166" s="86" t="s">
        <v>668</v>
      </c>
      <c r="C166" s="87">
        <v>55000</v>
      </c>
      <c r="D166" s="87">
        <v>2</v>
      </c>
      <c r="E166" s="87">
        <v>110000</v>
      </c>
      <c r="F166" s="86">
        <v>1977.12</v>
      </c>
      <c r="G166" s="86" t="s">
        <v>544</v>
      </c>
      <c r="H166" s="86" t="s">
        <v>136</v>
      </c>
      <c r="I166" s="86" t="s">
        <v>107</v>
      </c>
      <c r="J166" s="86" t="s">
        <v>669</v>
      </c>
      <c r="K166" s="86" t="s">
        <v>670</v>
      </c>
      <c r="L166" s="86" t="s">
        <v>547</v>
      </c>
      <c r="M166" s="86" t="s">
        <v>107</v>
      </c>
      <c r="N166" s="86" t="s">
        <v>412</v>
      </c>
      <c r="O166" s="86" t="s">
        <v>548</v>
      </c>
      <c r="P166" s="86" t="s">
        <v>549</v>
      </c>
      <c r="Q166" s="86" t="s">
        <v>550</v>
      </c>
      <c r="R166" s="88" t="s">
        <v>505</v>
      </c>
    </row>
    <row r="167" spans="1:18">
      <c r="A167" s="86" t="s">
        <v>225</v>
      </c>
      <c r="B167" s="86" t="s">
        <v>671</v>
      </c>
      <c r="C167" s="87">
        <v>55000</v>
      </c>
      <c r="D167" s="87">
        <v>1</v>
      </c>
      <c r="E167" s="87">
        <v>55000</v>
      </c>
      <c r="F167" s="86">
        <v>1977.12</v>
      </c>
      <c r="G167" s="86" t="s">
        <v>544</v>
      </c>
      <c r="H167" s="86" t="s">
        <v>136</v>
      </c>
      <c r="I167" s="86" t="s">
        <v>107</v>
      </c>
      <c r="J167" s="86" t="s">
        <v>669</v>
      </c>
      <c r="K167" s="86" t="s">
        <v>670</v>
      </c>
      <c r="L167" s="86" t="s">
        <v>442</v>
      </c>
      <c r="M167" s="86" t="s">
        <v>107</v>
      </c>
      <c r="N167" s="86" t="s">
        <v>412</v>
      </c>
      <c r="O167" s="86" t="s">
        <v>413</v>
      </c>
      <c r="P167" s="86" t="s">
        <v>403</v>
      </c>
      <c r="Q167" s="86" t="s">
        <v>414</v>
      </c>
      <c r="R167" s="88" t="s">
        <v>505</v>
      </c>
    </row>
    <row r="168" spans="1:18">
      <c r="A168" s="86" t="s">
        <v>225</v>
      </c>
      <c r="B168" s="86" t="s">
        <v>672</v>
      </c>
      <c r="C168" s="87">
        <v>40000</v>
      </c>
      <c r="D168" s="87">
        <v>1</v>
      </c>
      <c r="E168" s="87">
        <v>40000</v>
      </c>
      <c r="F168" s="86">
        <v>2005.6</v>
      </c>
      <c r="G168" s="86" t="s">
        <v>544</v>
      </c>
      <c r="H168" s="86" t="s">
        <v>44</v>
      </c>
      <c r="I168" s="86" t="s">
        <v>107</v>
      </c>
      <c r="J168" s="86" t="s">
        <v>673</v>
      </c>
      <c r="K168" s="86" t="s">
        <v>674</v>
      </c>
      <c r="L168" s="86" t="s">
        <v>442</v>
      </c>
      <c r="M168" s="86" t="s">
        <v>107</v>
      </c>
      <c r="N168" s="86" t="s">
        <v>412</v>
      </c>
      <c r="O168" s="86" t="s">
        <v>413</v>
      </c>
      <c r="P168" s="86" t="s">
        <v>403</v>
      </c>
      <c r="Q168" s="86" t="s">
        <v>414</v>
      </c>
      <c r="R168" s="88" t="s">
        <v>505</v>
      </c>
    </row>
    <row r="169" spans="1:18">
      <c r="A169" s="86" t="s">
        <v>225</v>
      </c>
      <c r="B169" s="86" t="s">
        <v>675</v>
      </c>
      <c r="C169" s="87">
        <v>40000</v>
      </c>
      <c r="D169" s="87">
        <v>1</v>
      </c>
      <c r="E169" s="87">
        <v>40000</v>
      </c>
      <c r="F169" s="86">
        <v>2009.6</v>
      </c>
      <c r="G169" s="86" t="s">
        <v>544</v>
      </c>
      <c r="H169" s="86" t="s">
        <v>44</v>
      </c>
      <c r="I169" s="86" t="s">
        <v>107</v>
      </c>
      <c r="J169" s="86" t="s">
        <v>673</v>
      </c>
      <c r="K169" s="86" t="s">
        <v>674</v>
      </c>
      <c r="L169" s="86" t="s">
        <v>442</v>
      </c>
      <c r="M169" s="86" t="s">
        <v>107</v>
      </c>
      <c r="N169" s="86" t="s">
        <v>412</v>
      </c>
      <c r="O169" s="86" t="s">
        <v>413</v>
      </c>
      <c r="P169" s="86" t="s">
        <v>403</v>
      </c>
      <c r="Q169" s="86" t="s">
        <v>414</v>
      </c>
      <c r="R169" s="88" t="s">
        <v>505</v>
      </c>
    </row>
    <row r="170" spans="1:18">
      <c r="A170" s="86" t="s">
        <v>225</v>
      </c>
      <c r="B170" s="86" t="s">
        <v>676</v>
      </c>
      <c r="C170" s="87">
        <v>500</v>
      </c>
      <c r="D170" s="87">
        <v>2</v>
      </c>
      <c r="E170" s="87">
        <v>1000</v>
      </c>
      <c r="F170" s="86">
        <v>1996.1</v>
      </c>
      <c r="G170" s="86" t="s">
        <v>544</v>
      </c>
      <c r="H170" s="86" t="s">
        <v>136</v>
      </c>
      <c r="I170" s="86" t="s">
        <v>107</v>
      </c>
      <c r="J170" s="86" t="s">
        <v>567</v>
      </c>
      <c r="K170" s="86" t="s">
        <v>569</v>
      </c>
      <c r="L170" s="86" t="s">
        <v>547</v>
      </c>
      <c r="M170" s="86" t="s">
        <v>107</v>
      </c>
      <c r="N170" s="86" t="s">
        <v>412</v>
      </c>
      <c r="O170" s="86" t="s">
        <v>548</v>
      </c>
      <c r="P170" s="86" t="s">
        <v>549</v>
      </c>
      <c r="Q170" s="86" t="s">
        <v>550</v>
      </c>
      <c r="R170" s="88" t="s">
        <v>592</v>
      </c>
    </row>
    <row r="171" spans="1:18">
      <c r="A171" s="86" t="s">
        <v>225</v>
      </c>
      <c r="B171" s="86" t="s">
        <v>676</v>
      </c>
      <c r="C171" s="87">
        <v>800</v>
      </c>
      <c r="D171" s="87">
        <v>2</v>
      </c>
      <c r="E171" s="87">
        <v>1600</v>
      </c>
      <c r="F171" s="86">
        <v>2008.5</v>
      </c>
      <c r="G171" s="86" t="s">
        <v>544</v>
      </c>
      <c r="H171" s="86" t="s">
        <v>136</v>
      </c>
      <c r="I171" s="86" t="s">
        <v>107</v>
      </c>
      <c r="J171" s="86" t="s">
        <v>606</v>
      </c>
      <c r="K171" s="86" t="s">
        <v>569</v>
      </c>
      <c r="L171" s="86" t="s">
        <v>547</v>
      </c>
      <c r="M171" s="86" t="s">
        <v>107</v>
      </c>
      <c r="N171" s="86" t="s">
        <v>412</v>
      </c>
      <c r="O171" s="86" t="s">
        <v>548</v>
      </c>
      <c r="P171" s="86" t="s">
        <v>549</v>
      </c>
      <c r="Q171" s="86" t="s">
        <v>550</v>
      </c>
      <c r="R171" s="88" t="s">
        <v>592</v>
      </c>
    </row>
    <row r="172" spans="1:18">
      <c r="A172" s="86" t="s">
        <v>225</v>
      </c>
      <c r="B172" s="86" t="s">
        <v>676</v>
      </c>
      <c r="C172" s="87">
        <v>800</v>
      </c>
      <c r="D172" s="87">
        <v>1</v>
      </c>
      <c r="E172" s="87">
        <v>800</v>
      </c>
      <c r="F172" s="86">
        <v>2016.2</v>
      </c>
      <c r="G172" s="86" t="s">
        <v>544</v>
      </c>
      <c r="H172" s="86" t="s">
        <v>136</v>
      </c>
      <c r="I172" s="86" t="s">
        <v>107</v>
      </c>
      <c r="J172" s="86" t="s">
        <v>545</v>
      </c>
      <c r="K172" s="86" t="s">
        <v>546</v>
      </c>
      <c r="L172" s="86" t="s">
        <v>547</v>
      </c>
      <c r="M172" s="86" t="s">
        <v>107</v>
      </c>
      <c r="N172" s="86" t="s">
        <v>412</v>
      </c>
      <c r="O172" s="86" t="s">
        <v>548</v>
      </c>
      <c r="P172" s="86" t="s">
        <v>549</v>
      </c>
      <c r="Q172" s="86" t="s">
        <v>550</v>
      </c>
      <c r="R172" s="88" t="s">
        <v>592</v>
      </c>
    </row>
    <row r="173" spans="1:18">
      <c r="A173" s="86" t="s">
        <v>225</v>
      </c>
      <c r="B173" s="86" t="s">
        <v>677</v>
      </c>
      <c r="C173" s="87">
        <v>250</v>
      </c>
      <c r="D173" s="87">
        <v>3</v>
      </c>
      <c r="E173" s="87">
        <v>750</v>
      </c>
      <c r="F173" s="86">
        <v>1992.5</v>
      </c>
      <c r="G173" s="86" t="s">
        <v>544</v>
      </c>
      <c r="H173" s="86" t="s">
        <v>136</v>
      </c>
      <c r="I173" s="86" t="s">
        <v>107</v>
      </c>
      <c r="J173" s="86" t="s">
        <v>623</v>
      </c>
      <c r="K173" s="86" t="s">
        <v>624</v>
      </c>
      <c r="L173" s="86" t="s">
        <v>547</v>
      </c>
      <c r="M173" s="86" t="s">
        <v>107</v>
      </c>
      <c r="N173" s="86" t="s">
        <v>412</v>
      </c>
      <c r="O173" s="86" t="s">
        <v>548</v>
      </c>
      <c r="P173" s="86" t="s">
        <v>549</v>
      </c>
      <c r="Q173" s="86" t="s">
        <v>550</v>
      </c>
      <c r="R173" s="88" t="s">
        <v>625</v>
      </c>
    </row>
    <row r="174" spans="1:18">
      <c r="A174" s="86" t="s">
        <v>225</v>
      </c>
      <c r="B174" s="86" t="s">
        <v>678</v>
      </c>
      <c r="C174" s="87">
        <v>80</v>
      </c>
      <c r="D174" s="87">
        <v>3</v>
      </c>
      <c r="E174" s="87">
        <v>240</v>
      </c>
      <c r="F174" s="86">
        <v>1994.2</v>
      </c>
      <c r="G174" s="86" t="s">
        <v>544</v>
      </c>
      <c r="H174" s="86" t="s">
        <v>136</v>
      </c>
      <c r="I174" s="86" t="s">
        <v>107</v>
      </c>
      <c r="J174" s="86" t="s">
        <v>601</v>
      </c>
      <c r="K174" s="86" t="s">
        <v>546</v>
      </c>
      <c r="L174" s="86" t="s">
        <v>547</v>
      </c>
      <c r="M174" s="86" t="s">
        <v>107</v>
      </c>
      <c r="N174" s="86" t="s">
        <v>412</v>
      </c>
      <c r="O174" s="86" t="s">
        <v>548</v>
      </c>
      <c r="P174" s="86" t="s">
        <v>549</v>
      </c>
      <c r="Q174" s="86" t="s">
        <v>550</v>
      </c>
      <c r="R174" s="88" t="s">
        <v>679</v>
      </c>
    </row>
    <row r="175" spans="1:18">
      <c r="A175" s="86" t="s">
        <v>225</v>
      </c>
      <c r="B175" s="86" t="s">
        <v>680</v>
      </c>
      <c r="C175" s="87">
        <v>500</v>
      </c>
      <c r="D175" s="87">
        <v>1</v>
      </c>
      <c r="E175" s="87">
        <v>500</v>
      </c>
      <c r="F175" s="86">
        <v>1995.12</v>
      </c>
      <c r="G175" s="86" t="s">
        <v>544</v>
      </c>
      <c r="H175" s="86" t="s">
        <v>136</v>
      </c>
      <c r="I175" s="86" t="s">
        <v>107</v>
      </c>
      <c r="J175" s="86" t="s">
        <v>590</v>
      </c>
      <c r="K175" s="86" t="s">
        <v>553</v>
      </c>
      <c r="L175" s="86" t="s">
        <v>547</v>
      </c>
      <c r="M175" s="86" t="s">
        <v>107</v>
      </c>
      <c r="N175" s="86" t="s">
        <v>412</v>
      </c>
      <c r="O175" s="86" t="s">
        <v>548</v>
      </c>
      <c r="P175" s="86" t="s">
        <v>549</v>
      </c>
      <c r="Q175" s="86" t="s">
        <v>550</v>
      </c>
      <c r="R175" s="88" t="s">
        <v>681</v>
      </c>
    </row>
    <row r="176" spans="1:18">
      <c r="A176" s="86" t="s">
        <v>225</v>
      </c>
      <c r="B176" s="86" t="s">
        <v>680</v>
      </c>
      <c r="C176" s="87">
        <v>500</v>
      </c>
      <c r="D176" s="87">
        <v>1</v>
      </c>
      <c r="E176" s="87">
        <v>500</v>
      </c>
      <c r="F176" s="86">
        <v>1999.5</v>
      </c>
      <c r="G176" s="86" t="s">
        <v>544</v>
      </c>
      <c r="H176" s="86" t="s">
        <v>136</v>
      </c>
      <c r="I176" s="86" t="s">
        <v>107</v>
      </c>
      <c r="J176" s="86" t="s">
        <v>590</v>
      </c>
      <c r="K176" s="86" t="s">
        <v>553</v>
      </c>
      <c r="L176" s="86" t="s">
        <v>547</v>
      </c>
      <c r="M176" s="86" t="s">
        <v>107</v>
      </c>
      <c r="N176" s="86" t="s">
        <v>412</v>
      </c>
      <c r="O176" s="86" t="s">
        <v>548</v>
      </c>
      <c r="P176" s="86" t="s">
        <v>549</v>
      </c>
      <c r="Q176" s="86" t="s">
        <v>550</v>
      </c>
      <c r="R176" s="88" t="s">
        <v>681</v>
      </c>
    </row>
    <row r="177" spans="1:18">
      <c r="A177" s="86" t="s">
        <v>225</v>
      </c>
      <c r="B177" s="86" t="s">
        <v>680</v>
      </c>
      <c r="C177" s="87">
        <v>500</v>
      </c>
      <c r="D177" s="87">
        <v>1</v>
      </c>
      <c r="E177" s="87">
        <v>500</v>
      </c>
      <c r="F177" s="86">
        <v>1999.7</v>
      </c>
      <c r="G177" s="86" t="s">
        <v>544</v>
      </c>
      <c r="H177" s="86" t="s">
        <v>136</v>
      </c>
      <c r="I177" s="86" t="s">
        <v>107</v>
      </c>
      <c r="J177" s="86" t="s">
        <v>567</v>
      </c>
      <c r="K177" s="86" t="s">
        <v>569</v>
      </c>
      <c r="L177" s="86" t="s">
        <v>547</v>
      </c>
      <c r="M177" s="86" t="s">
        <v>107</v>
      </c>
      <c r="N177" s="86" t="s">
        <v>412</v>
      </c>
      <c r="O177" s="86" t="s">
        <v>548</v>
      </c>
      <c r="P177" s="86" t="s">
        <v>549</v>
      </c>
      <c r="Q177" s="86" t="s">
        <v>550</v>
      </c>
      <c r="R177" s="88" t="s">
        <v>681</v>
      </c>
    </row>
    <row r="178" spans="1:18">
      <c r="A178" s="86" t="s">
        <v>225</v>
      </c>
      <c r="B178" s="86" t="s">
        <v>680</v>
      </c>
      <c r="C178" s="87">
        <v>1000</v>
      </c>
      <c r="D178" s="87">
        <v>2</v>
      </c>
      <c r="E178" s="87">
        <v>2000</v>
      </c>
      <c r="F178" s="86">
        <v>2007.2</v>
      </c>
      <c r="G178" s="86" t="s">
        <v>544</v>
      </c>
      <c r="H178" s="86" t="s">
        <v>136</v>
      </c>
      <c r="I178" s="86" t="s">
        <v>107</v>
      </c>
      <c r="J178" s="86" t="s">
        <v>606</v>
      </c>
      <c r="K178" s="86" t="s">
        <v>569</v>
      </c>
      <c r="L178" s="86" t="s">
        <v>547</v>
      </c>
      <c r="M178" s="86" t="s">
        <v>107</v>
      </c>
      <c r="N178" s="86" t="s">
        <v>412</v>
      </c>
      <c r="O178" s="86" t="s">
        <v>548</v>
      </c>
      <c r="P178" s="86" t="s">
        <v>549</v>
      </c>
      <c r="Q178" s="86" t="s">
        <v>550</v>
      </c>
      <c r="R178" s="88" t="s">
        <v>681</v>
      </c>
    </row>
    <row r="179" spans="1:18">
      <c r="A179" s="86" t="s">
        <v>225</v>
      </c>
      <c r="B179" s="86" t="s">
        <v>680</v>
      </c>
      <c r="C179" s="87">
        <v>1000</v>
      </c>
      <c r="D179" s="87">
        <v>2</v>
      </c>
      <c r="E179" s="87">
        <v>2000</v>
      </c>
      <c r="F179" s="86">
        <v>2012.5</v>
      </c>
      <c r="G179" s="86" t="s">
        <v>544</v>
      </c>
      <c r="H179" s="86" t="s">
        <v>136</v>
      </c>
      <c r="I179" s="86" t="s">
        <v>107</v>
      </c>
      <c r="J179" s="86" t="s">
        <v>606</v>
      </c>
      <c r="K179" s="86" t="s">
        <v>546</v>
      </c>
      <c r="L179" s="86" t="s">
        <v>547</v>
      </c>
      <c r="M179" s="86" t="s">
        <v>107</v>
      </c>
      <c r="N179" s="86" t="s">
        <v>412</v>
      </c>
      <c r="O179" s="86" t="s">
        <v>548</v>
      </c>
      <c r="P179" s="86" t="s">
        <v>549</v>
      </c>
      <c r="Q179" s="86" t="s">
        <v>550</v>
      </c>
      <c r="R179" s="88" t="s">
        <v>681</v>
      </c>
    </row>
    <row r="180" spans="1:18">
      <c r="A180" s="86" t="s">
        <v>225</v>
      </c>
      <c r="B180" s="86" t="s">
        <v>682</v>
      </c>
      <c r="C180" s="87">
        <v>80</v>
      </c>
      <c r="D180" s="87">
        <v>3</v>
      </c>
      <c r="E180" s="87">
        <v>240</v>
      </c>
      <c r="F180" s="86">
        <v>2005.1</v>
      </c>
      <c r="G180" s="86" t="s">
        <v>544</v>
      </c>
      <c r="H180" s="86" t="s">
        <v>136</v>
      </c>
      <c r="I180" s="86" t="s">
        <v>107</v>
      </c>
      <c r="J180" s="86" t="s">
        <v>623</v>
      </c>
      <c r="K180" s="86" t="s">
        <v>624</v>
      </c>
      <c r="L180" s="86" t="s">
        <v>547</v>
      </c>
      <c r="M180" s="86" t="s">
        <v>107</v>
      </c>
      <c r="N180" s="86" t="s">
        <v>412</v>
      </c>
      <c r="O180" s="86" t="s">
        <v>548</v>
      </c>
      <c r="P180" s="86" t="s">
        <v>549</v>
      </c>
      <c r="Q180" s="86" t="s">
        <v>550</v>
      </c>
      <c r="R180" s="88" t="s">
        <v>625</v>
      </c>
    </row>
    <row r="181" spans="1:18">
      <c r="A181" s="86" t="s">
        <v>225</v>
      </c>
      <c r="B181" s="86" t="s">
        <v>683</v>
      </c>
      <c r="C181" s="87">
        <v>150</v>
      </c>
      <c r="D181" s="87">
        <v>3</v>
      </c>
      <c r="E181" s="87">
        <v>450</v>
      </c>
      <c r="F181" s="86">
        <v>1996.8</v>
      </c>
      <c r="G181" s="86" t="s">
        <v>544</v>
      </c>
      <c r="H181" s="86" t="s">
        <v>136</v>
      </c>
      <c r="I181" s="86" t="s">
        <v>107</v>
      </c>
      <c r="J181" s="86" t="s">
        <v>555</v>
      </c>
      <c r="K181" s="86" t="s">
        <v>556</v>
      </c>
      <c r="L181" s="86" t="s">
        <v>547</v>
      </c>
      <c r="M181" s="86" t="s">
        <v>107</v>
      </c>
      <c r="N181" s="86" t="s">
        <v>412</v>
      </c>
      <c r="O181" s="86" t="s">
        <v>548</v>
      </c>
      <c r="P181" s="86" t="s">
        <v>549</v>
      </c>
      <c r="Q181" s="86" t="s">
        <v>550</v>
      </c>
      <c r="R181" s="88" t="s">
        <v>684</v>
      </c>
    </row>
    <row r="182" spans="1:18">
      <c r="A182" s="86" t="s">
        <v>225</v>
      </c>
      <c r="B182" s="86" t="s">
        <v>685</v>
      </c>
      <c r="C182" s="87">
        <v>200</v>
      </c>
      <c r="D182" s="87">
        <v>3</v>
      </c>
      <c r="E182" s="87">
        <v>600</v>
      </c>
      <c r="F182" s="86">
        <v>1997.7</v>
      </c>
      <c r="G182" s="86" t="s">
        <v>544</v>
      </c>
      <c r="H182" s="86" t="s">
        <v>136</v>
      </c>
      <c r="I182" s="86" t="s">
        <v>107</v>
      </c>
      <c r="J182" s="86" t="s">
        <v>571</v>
      </c>
      <c r="K182" s="86" t="s">
        <v>546</v>
      </c>
      <c r="L182" s="86" t="s">
        <v>547</v>
      </c>
      <c r="M182" s="86" t="s">
        <v>107</v>
      </c>
      <c r="N182" s="86" t="s">
        <v>412</v>
      </c>
      <c r="O182" s="86" t="s">
        <v>548</v>
      </c>
      <c r="P182" s="86" t="s">
        <v>549</v>
      </c>
      <c r="Q182" s="86" t="s">
        <v>550</v>
      </c>
      <c r="R182" s="88" t="s">
        <v>474</v>
      </c>
    </row>
    <row r="183" spans="1:18">
      <c r="A183" s="86" t="s">
        <v>225</v>
      </c>
      <c r="B183" s="86" t="s">
        <v>686</v>
      </c>
      <c r="C183" s="87">
        <v>250</v>
      </c>
      <c r="D183" s="87">
        <v>1</v>
      </c>
      <c r="E183" s="87">
        <v>250</v>
      </c>
      <c r="F183" s="86">
        <v>1993.3</v>
      </c>
      <c r="G183" s="86" t="s">
        <v>544</v>
      </c>
      <c r="H183" s="86" t="s">
        <v>136</v>
      </c>
      <c r="I183" s="86" t="s">
        <v>107</v>
      </c>
      <c r="J183" s="86" t="s">
        <v>559</v>
      </c>
      <c r="K183" s="86" t="s">
        <v>553</v>
      </c>
      <c r="L183" s="86" t="s">
        <v>547</v>
      </c>
      <c r="M183" s="86" t="s">
        <v>107</v>
      </c>
      <c r="N183" s="86" t="s">
        <v>412</v>
      </c>
      <c r="O183" s="86" t="s">
        <v>548</v>
      </c>
      <c r="P183" s="86" t="s">
        <v>549</v>
      </c>
      <c r="Q183" s="86" t="s">
        <v>550</v>
      </c>
      <c r="R183" s="88" t="s">
        <v>687</v>
      </c>
    </row>
    <row r="184" spans="1:18">
      <c r="A184" s="86" t="s">
        <v>225</v>
      </c>
      <c r="B184" s="86" t="s">
        <v>686</v>
      </c>
      <c r="C184" s="87">
        <v>500</v>
      </c>
      <c r="D184" s="87">
        <v>1</v>
      </c>
      <c r="E184" s="87">
        <v>500</v>
      </c>
      <c r="F184" s="86">
        <v>2004.11</v>
      </c>
      <c r="G184" s="86" t="s">
        <v>544</v>
      </c>
      <c r="H184" s="86" t="s">
        <v>136</v>
      </c>
      <c r="I184" s="86" t="s">
        <v>107</v>
      </c>
      <c r="J184" s="86" t="s">
        <v>545</v>
      </c>
      <c r="K184" s="86" t="s">
        <v>546</v>
      </c>
      <c r="L184" s="86" t="s">
        <v>547</v>
      </c>
      <c r="M184" s="86" t="s">
        <v>107</v>
      </c>
      <c r="N184" s="86" t="s">
        <v>412</v>
      </c>
      <c r="O184" s="86" t="s">
        <v>548</v>
      </c>
      <c r="P184" s="86" t="s">
        <v>549</v>
      </c>
      <c r="Q184" s="86" t="s">
        <v>550</v>
      </c>
      <c r="R184" s="88" t="s">
        <v>687</v>
      </c>
    </row>
    <row r="185" spans="1:18">
      <c r="A185" s="86" t="s">
        <v>225</v>
      </c>
      <c r="B185" s="86" t="s">
        <v>686</v>
      </c>
      <c r="C185" s="87">
        <v>800</v>
      </c>
      <c r="D185" s="87">
        <v>2</v>
      </c>
      <c r="E185" s="87">
        <v>1600</v>
      </c>
      <c r="F185" s="86">
        <v>2010.5</v>
      </c>
      <c r="G185" s="86" t="s">
        <v>544</v>
      </c>
      <c r="H185" s="86" t="s">
        <v>136</v>
      </c>
      <c r="I185" s="86" t="s">
        <v>107</v>
      </c>
      <c r="J185" s="86" t="s">
        <v>545</v>
      </c>
      <c r="K185" s="86" t="s">
        <v>546</v>
      </c>
      <c r="L185" s="86" t="s">
        <v>547</v>
      </c>
      <c r="M185" s="86" t="s">
        <v>107</v>
      </c>
      <c r="N185" s="86" t="s">
        <v>412</v>
      </c>
      <c r="O185" s="86" t="s">
        <v>548</v>
      </c>
      <c r="P185" s="86" t="s">
        <v>549</v>
      </c>
      <c r="Q185" s="86" t="s">
        <v>550</v>
      </c>
      <c r="R185" s="88" t="s">
        <v>687</v>
      </c>
    </row>
    <row r="186" spans="1:18">
      <c r="A186" s="86" t="s">
        <v>225</v>
      </c>
      <c r="B186" s="86" t="s">
        <v>688</v>
      </c>
      <c r="C186" s="87">
        <v>80</v>
      </c>
      <c r="D186" s="87">
        <v>1</v>
      </c>
      <c r="E186" s="87">
        <v>80</v>
      </c>
      <c r="F186" s="86">
        <v>2002.02</v>
      </c>
      <c r="G186" s="86" t="s">
        <v>544</v>
      </c>
      <c r="H186" s="86" t="s">
        <v>136</v>
      </c>
      <c r="I186" s="86" t="s">
        <v>107</v>
      </c>
      <c r="J186" s="86" t="s">
        <v>408</v>
      </c>
      <c r="K186" s="86" t="s">
        <v>546</v>
      </c>
      <c r="L186" s="86" t="s">
        <v>547</v>
      </c>
      <c r="M186" s="86" t="s">
        <v>107</v>
      </c>
      <c r="N186" s="86" t="s">
        <v>412</v>
      </c>
      <c r="O186" s="86" t="s">
        <v>548</v>
      </c>
      <c r="P186" s="86" t="s">
        <v>549</v>
      </c>
      <c r="Q186" s="86" t="s">
        <v>550</v>
      </c>
      <c r="R186" s="88" t="s">
        <v>594</v>
      </c>
    </row>
    <row r="187" spans="1:18">
      <c r="A187" s="86" t="s">
        <v>225</v>
      </c>
      <c r="B187" s="86" t="s">
        <v>688</v>
      </c>
      <c r="C187" s="87">
        <v>80</v>
      </c>
      <c r="D187" s="87">
        <v>1</v>
      </c>
      <c r="E187" s="87">
        <v>80</v>
      </c>
      <c r="F187" s="86">
        <v>2007.07</v>
      </c>
      <c r="G187" s="86" t="s">
        <v>544</v>
      </c>
      <c r="H187" s="86" t="s">
        <v>136</v>
      </c>
      <c r="I187" s="86" t="s">
        <v>107</v>
      </c>
      <c r="J187" s="86" t="s">
        <v>408</v>
      </c>
      <c r="K187" s="86" t="s">
        <v>546</v>
      </c>
      <c r="L187" s="86" t="s">
        <v>547</v>
      </c>
      <c r="M187" s="86" t="s">
        <v>107</v>
      </c>
      <c r="N187" s="86" t="s">
        <v>412</v>
      </c>
      <c r="O187" s="86" t="s">
        <v>548</v>
      </c>
      <c r="P187" s="86" t="s">
        <v>549</v>
      </c>
      <c r="Q187" s="86" t="s">
        <v>550</v>
      </c>
      <c r="R187" s="88" t="s">
        <v>594</v>
      </c>
    </row>
    <row r="188" spans="1:18">
      <c r="A188" s="86" t="s">
        <v>225</v>
      </c>
      <c r="B188" s="86" t="s">
        <v>688</v>
      </c>
      <c r="C188" s="87">
        <v>80</v>
      </c>
      <c r="D188" s="87">
        <v>1</v>
      </c>
      <c r="E188" s="87">
        <v>80</v>
      </c>
      <c r="F188" s="86">
        <v>2010.1</v>
      </c>
      <c r="G188" s="86" t="s">
        <v>544</v>
      </c>
      <c r="H188" s="86" t="s">
        <v>136</v>
      </c>
      <c r="I188" s="86" t="s">
        <v>107</v>
      </c>
      <c r="J188" s="86" t="s">
        <v>408</v>
      </c>
      <c r="K188" s="86" t="s">
        <v>546</v>
      </c>
      <c r="L188" s="86" t="s">
        <v>547</v>
      </c>
      <c r="M188" s="86" t="s">
        <v>107</v>
      </c>
      <c r="N188" s="86" t="s">
        <v>412</v>
      </c>
      <c r="O188" s="86" t="s">
        <v>548</v>
      </c>
      <c r="P188" s="86" t="s">
        <v>549</v>
      </c>
      <c r="Q188" s="86" t="s">
        <v>550</v>
      </c>
      <c r="R188" s="88" t="s">
        <v>594</v>
      </c>
    </row>
    <row r="189" spans="1:18">
      <c r="A189" s="86" t="s">
        <v>225</v>
      </c>
      <c r="B189" s="86" t="s">
        <v>689</v>
      </c>
      <c r="C189" s="87">
        <v>500</v>
      </c>
      <c r="D189" s="87">
        <v>1</v>
      </c>
      <c r="E189" s="87">
        <v>500</v>
      </c>
      <c r="F189" s="86">
        <v>1994.8</v>
      </c>
      <c r="G189" s="86" t="s">
        <v>544</v>
      </c>
      <c r="H189" s="86" t="s">
        <v>136</v>
      </c>
      <c r="I189" s="86" t="s">
        <v>107</v>
      </c>
      <c r="J189" s="86" t="s">
        <v>590</v>
      </c>
      <c r="K189" s="86" t="s">
        <v>553</v>
      </c>
      <c r="L189" s="86" t="s">
        <v>547</v>
      </c>
      <c r="M189" s="86" t="s">
        <v>107</v>
      </c>
      <c r="N189" s="86" t="s">
        <v>412</v>
      </c>
      <c r="O189" s="86" t="s">
        <v>548</v>
      </c>
      <c r="P189" s="86" t="s">
        <v>549</v>
      </c>
      <c r="Q189" s="86" t="s">
        <v>550</v>
      </c>
      <c r="R189" s="88" t="s">
        <v>651</v>
      </c>
    </row>
    <row r="190" spans="1:18">
      <c r="A190" s="86" t="s">
        <v>225</v>
      </c>
      <c r="B190" s="86" t="s">
        <v>689</v>
      </c>
      <c r="C190" s="87">
        <v>750</v>
      </c>
      <c r="D190" s="87">
        <v>2</v>
      </c>
      <c r="E190" s="87">
        <v>1500</v>
      </c>
      <c r="F190" s="86">
        <v>1996.8</v>
      </c>
      <c r="G190" s="86" t="s">
        <v>544</v>
      </c>
      <c r="H190" s="86" t="s">
        <v>136</v>
      </c>
      <c r="I190" s="86" t="s">
        <v>107</v>
      </c>
      <c r="J190" s="86" t="s">
        <v>590</v>
      </c>
      <c r="K190" s="86" t="s">
        <v>553</v>
      </c>
      <c r="L190" s="86" t="s">
        <v>547</v>
      </c>
      <c r="M190" s="86" t="s">
        <v>107</v>
      </c>
      <c r="N190" s="86" t="s">
        <v>412</v>
      </c>
      <c r="O190" s="86" t="s">
        <v>548</v>
      </c>
      <c r="P190" s="86" t="s">
        <v>549</v>
      </c>
      <c r="Q190" s="86" t="s">
        <v>550</v>
      </c>
      <c r="R190" s="88" t="s">
        <v>651</v>
      </c>
    </row>
    <row r="191" spans="1:18">
      <c r="A191" s="86" t="s">
        <v>225</v>
      </c>
      <c r="B191" s="86" t="s">
        <v>689</v>
      </c>
      <c r="C191" s="87">
        <v>1000</v>
      </c>
      <c r="D191" s="87">
        <v>2</v>
      </c>
      <c r="E191" s="87">
        <v>2000</v>
      </c>
      <c r="F191" s="86">
        <v>2008.3</v>
      </c>
      <c r="G191" s="86" t="s">
        <v>544</v>
      </c>
      <c r="H191" s="86" t="s">
        <v>136</v>
      </c>
      <c r="I191" s="86" t="s">
        <v>107</v>
      </c>
      <c r="J191" s="86" t="s">
        <v>690</v>
      </c>
      <c r="K191" s="86" t="s">
        <v>569</v>
      </c>
      <c r="L191" s="86" t="s">
        <v>547</v>
      </c>
      <c r="M191" s="86" t="s">
        <v>107</v>
      </c>
      <c r="N191" s="86" t="s">
        <v>412</v>
      </c>
      <c r="O191" s="86" t="s">
        <v>548</v>
      </c>
      <c r="P191" s="86" t="s">
        <v>549</v>
      </c>
      <c r="Q191" s="86" t="s">
        <v>550</v>
      </c>
      <c r="R191" s="88" t="s">
        <v>651</v>
      </c>
    </row>
    <row r="192" spans="1:18">
      <c r="A192" s="86" t="s">
        <v>135</v>
      </c>
      <c r="B192" s="86" t="s">
        <v>691</v>
      </c>
      <c r="C192" s="87">
        <v>153100</v>
      </c>
      <c r="D192" s="87">
        <v>2</v>
      </c>
      <c r="E192" s="87">
        <v>306200</v>
      </c>
      <c r="F192" s="86">
        <v>2006.2</v>
      </c>
      <c r="G192" s="86" t="s">
        <v>692</v>
      </c>
      <c r="H192" s="86" t="s">
        <v>38</v>
      </c>
      <c r="I192" s="86" t="s">
        <v>107</v>
      </c>
      <c r="J192" s="86" t="s">
        <v>483</v>
      </c>
      <c r="K192" s="86" t="s">
        <v>693</v>
      </c>
      <c r="L192" s="86" t="s">
        <v>694</v>
      </c>
      <c r="M192" s="86" t="s">
        <v>695</v>
      </c>
      <c r="N192" s="86" t="s">
        <v>412</v>
      </c>
      <c r="O192" s="86" t="s">
        <v>413</v>
      </c>
      <c r="P192" s="86" t="s">
        <v>403</v>
      </c>
      <c r="Q192" s="86" t="s">
        <v>414</v>
      </c>
      <c r="R192" s="88" t="s">
        <v>696</v>
      </c>
    </row>
    <row r="193" spans="1:18">
      <c r="A193" s="86" t="s">
        <v>135</v>
      </c>
      <c r="B193" s="86" t="s">
        <v>697</v>
      </c>
      <c r="C193" s="87">
        <v>188400</v>
      </c>
      <c r="D193" s="87">
        <v>1</v>
      </c>
      <c r="E193" s="87">
        <v>188400</v>
      </c>
      <c r="F193" s="86">
        <v>2006.2</v>
      </c>
      <c r="G193" s="86" t="s">
        <v>692</v>
      </c>
      <c r="H193" s="86" t="s">
        <v>38</v>
      </c>
      <c r="I193" s="86" t="s">
        <v>693</v>
      </c>
      <c r="J193" s="86" t="s">
        <v>483</v>
      </c>
      <c r="K193" s="86" t="s">
        <v>693</v>
      </c>
      <c r="L193" s="86" t="s">
        <v>694</v>
      </c>
      <c r="M193" s="86" t="s">
        <v>436</v>
      </c>
      <c r="N193" s="86" t="s">
        <v>412</v>
      </c>
      <c r="O193" s="86" t="s">
        <v>413</v>
      </c>
      <c r="P193" s="86" t="s">
        <v>403</v>
      </c>
      <c r="Q193" s="86" t="s">
        <v>414</v>
      </c>
      <c r="R193" s="88" t="s">
        <v>696</v>
      </c>
    </row>
    <row r="194" spans="1:18">
      <c r="A194" s="86" t="s">
        <v>135</v>
      </c>
      <c r="B194" s="86" t="s">
        <v>698</v>
      </c>
      <c r="C194" s="87">
        <v>153100</v>
      </c>
      <c r="D194" s="87">
        <v>2</v>
      </c>
      <c r="E194" s="87">
        <v>306200</v>
      </c>
      <c r="F194" s="86">
        <v>2006.5</v>
      </c>
      <c r="G194" s="86" t="s">
        <v>692</v>
      </c>
      <c r="H194" s="86" t="s">
        <v>38</v>
      </c>
      <c r="I194" s="86" t="s">
        <v>107</v>
      </c>
      <c r="J194" s="86" t="s">
        <v>483</v>
      </c>
      <c r="K194" s="86" t="s">
        <v>693</v>
      </c>
      <c r="L194" s="86" t="s">
        <v>694</v>
      </c>
      <c r="M194" s="86" t="s">
        <v>695</v>
      </c>
      <c r="N194" s="86" t="s">
        <v>412</v>
      </c>
      <c r="O194" s="86" t="s">
        <v>413</v>
      </c>
      <c r="P194" s="86" t="s">
        <v>403</v>
      </c>
      <c r="Q194" s="86" t="s">
        <v>414</v>
      </c>
      <c r="R194" s="88" t="s">
        <v>696</v>
      </c>
    </row>
    <row r="195" spans="1:18">
      <c r="A195" s="86" t="s">
        <v>135</v>
      </c>
      <c r="B195" s="86" t="s">
        <v>699</v>
      </c>
      <c r="C195" s="87">
        <v>188400</v>
      </c>
      <c r="D195" s="87">
        <v>1</v>
      </c>
      <c r="E195" s="87">
        <v>188400</v>
      </c>
      <c r="F195" s="86">
        <v>2006.5</v>
      </c>
      <c r="G195" s="86" t="s">
        <v>692</v>
      </c>
      <c r="H195" s="86" t="s">
        <v>38</v>
      </c>
      <c r="I195" s="86" t="s">
        <v>693</v>
      </c>
      <c r="J195" s="86" t="s">
        <v>483</v>
      </c>
      <c r="K195" s="86" t="s">
        <v>693</v>
      </c>
      <c r="L195" s="86" t="s">
        <v>694</v>
      </c>
      <c r="M195" s="86" t="s">
        <v>436</v>
      </c>
      <c r="N195" s="86" t="s">
        <v>412</v>
      </c>
      <c r="O195" s="86" t="s">
        <v>413</v>
      </c>
      <c r="P195" s="86" t="s">
        <v>403</v>
      </c>
      <c r="Q195" s="86" t="s">
        <v>414</v>
      </c>
      <c r="R195" s="88" t="s">
        <v>696</v>
      </c>
    </row>
    <row r="196" spans="1:18">
      <c r="A196" s="86" t="s">
        <v>135</v>
      </c>
      <c r="B196" s="86" t="s">
        <v>700</v>
      </c>
      <c r="C196" s="87">
        <v>233300</v>
      </c>
      <c r="D196" s="87">
        <v>2</v>
      </c>
      <c r="E196" s="87">
        <v>466600</v>
      </c>
      <c r="F196" s="86">
        <v>2010.5</v>
      </c>
      <c r="G196" s="86" t="s">
        <v>692</v>
      </c>
      <c r="H196" s="86" t="s">
        <v>38</v>
      </c>
      <c r="I196" s="86" t="s">
        <v>107</v>
      </c>
      <c r="J196" s="86" t="s">
        <v>701</v>
      </c>
      <c r="K196" s="86" t="s">
        <v>701</v>
      </c>
      <c r="L196" s="86" t="s">
        <v>508</v>
      </c>
      <c r="M196" s="86" t="s">
        <v>484</v>
      </c>
      <c r="N196" s="86" t="s">
        <v>412</v>
      </c>
      <c r="O196" s="86" t="s">
        <v>413</v>
      </c>
      <c r="P196" s="86" t="s">
        <v>403</v>
      </c>
      <c r="Q196" s="86" t="s">
        <v>414</v>
      </c>
      <c r="R196" s="88" t="s">
        <v>702</v>
      </c>
    </row>
    <row r="197" spans="1:18">
      <c r="A197" s="86" t="s">
        <v>135</v>
      </c>
      <c r="B197" s="86" t="s">
        <v>703</v>
      </c>
      <c r="C197" s="87">
        <v>251800</v>
      </c>
      <c r="D197" s="87">
        <v>1</v>
      </c>
      <c r="E197" s="87">
        <v>251800</v>
      </c>
      <c r="F197" s="86">
        <v>2010.5</v>
      </c>
      <c r="G197" s="86" t="s">
        <v>692</v>
      </c>
      <c r="H197" s="86" t="s">
        <v>38</v>
      </c>
      <c r="I197" s="86" t="s">
        <v>704</v>
      </c>
      <c r="J197" s="86" t="s">
        <v>701</v>
      </c>
      <c r="K197" s="86" t="s">
        <v>701</v>
      </c>
      <c r="L197" s="86" t="s">
        <v>508</v>
      </c>
      <c r="M197" s="86" t="s">
        <v>484</v>
      </c>
      <c r="N197" s="86" t="s">
        <v>412</v>
      </c>
      <c r="O197" s="86" t="s">
        <v>413</v>
      </c>
      <c r="P197" s="86" t="s">
        <v>403</v>
      </c>
      <c r="Q197" s="86" t="s">
        <v>414</v>
      </c>
      <c r="R197" s="88" t="s">
        <v>702</v>
      </c>
    </row>
    <row r="198" spans="1:18">
      <c r="A198" s="86" t="s">
        <v>135</v>
      </c>
      <c r="B198" s="86" t="s">
        <v>1493</v>
      </c>
      <c r="C198" s="87">
        <v>48514</v>
      </c>
      <c r="D198" s="87">
        <v>2</v>
      </c>
      <c r="E198" s="87">
        <v>97028</v>
      </c>
      <c r="F198" s="86">
        <v>2020.11</v>
      </c>
      <c r="G198" s="86" t="s">
        <v>692</v>
      </c>
      <c r="H198" s="86" t="s">
        <v>38</v>
      </c>
      <c r="I198" s="86" t="s">
        <v>107</v>
      </c>
      <c r="J198" s="86" t="s">
        <v>107</v>
      </c>
      <c r="K198" s="86" t="s">
        <v>107</v>
      </c>
      <c r="L198" s="86" t="s">
        <v>410</v>
      </c>
      <c r="M198" s="86" t="s">
        <v>107</v>
      </c>
      <c r="N198" s="86" t="s">
        <v>412</v>
      </c>
      <c r="O198" s="86" t="s">
        <v>413</v>
      </c>
      <c r="P198" s="86" t="s">
        <v>403</v>
      </c>
      <c r="Q198" s="86" t="s">
        <v>414</v>
      </c>
      <c r="R198" s="88" t="s">
        <v>415</v>
      </c>
    </row>
    <row r="199" spans="1:18">
      <c r="A199" s="86" t="s">
        <v>135</v>
      </c>
      <c r="B199" s="86" t="s">
        <v>1494</v>
      </c>
      <c r="C199" s="87">
        <v>49217</v>
      </c>
      <c r="D199" s="87">
        <v>1</v>
      </c>
      <c r="E199" s="87">
        <v>49217</v>
      </c>
      <c r="F199" s="86">
        <v>2020.11</v>
      </c>
      <c r="G199" s="86" t="s">
        <v>692</v>
      </c>
      <c r="H199" s="86" t="s">
        <v>38</v>
      </c>
      <c r="I199" s="86" t="s">
        <v>107</v>
      </c>
      <c r="J199" s="86" t="s">
        <v>107</v>
      </c>
      <c r="K199" s="86" t="s">
        <v>107</v>
      </c>
      <c r="L199" s="86" t="s">
        <v>410</v>
      </c>
      <c r="M199" s="86" t="s">
        <v>107</v>
      </c>
      <c r="N199" s="86" t="s">
        <v>412</v>
      </c>
      <c r="O199" s="86" t="s">
        <v>413</v>
      </c>
      <c r="P199" s="86" t="s">
        <v>403</v>
      </c>
      <c r="Q199" s="86" t="s">
        <v>414</v>
      </c>
      <c r="R199" s="88" t="s">
        <v>415</v>
      </c>
    </row>
    <row r="200" spans="1:18">
      <c r="A200" s="86" t="s">
        <v>135</v>
      </c>
      <c r="B200" s="86" t="s">
        <v>705</v>
      </c>
      <c r="C200" s="87">
        <v>160960</v>
      </c>
      <c r="D200" s="87">
        <v>2</v>
      </c>
      <c r="E200" s="87">
        <v>321920</v>
      </c>
      <c r="F200" s="86">
        <v>2000.7</v>
      </c>
      <c r="G200" s="86" t="s">
        <v>692</v>
      </c>
      <c r="H200" s="86" t="s">
        <v>38</v>
      </c>
      <c r="I200" s="86" t="s">
        <v>107</v>
      </c>
      <c r="J200" s="86" t="s">
        <v>706</v>
      </c>
      <c r="K200" s="86" t="s">
        <v>706</v>
      </c>
      <c r="L200" s="86" t="s">
        <v>707</v>
      </c>
      <c r="M200" s="86" t="s">
        <v>708</v>
      </c>
      <c r="N200" s="86" t="s">
        <v>412</v>
      </c>
      <c r="O200" s="86" t="s">
        <v>709</v>
      </c>
      <c r="P200" s="86" t="s">
        <v>403</v>
      </c>
      <c r="Q200" s="86" t="s">
        <v>414</v>
      </c>
      <c r="R200" s="88" t="s">
        <v>710</v>
      </c>
    </row>
    <row r="201" spans="1:18">
      <c r="A201" s="86" t="s">
        <v>135</v>
      </c>
      <c r="B201" s="86" t="s">
        <v>711</v>
      </c>
      <c r="C201" s="87">
        <v>178830</v>
      </c>
      <c r="D201" s="87">
        <v>1</v>
      </c>
      <c r="E201" s="87">
        <v>178830</v>
      </c>
      <c r="F201" s="86">
        <v>2001.4</v>
      </c>
      <c r="G201" s="86" t="s">
        <v>692</v>
      </c>
      <c r="H201" s="86" t="s">
        <v>38</v>
      </c>
      <c r="I201" s="86" t="s">
        <v>706</v>
      </c>
      <c r="J201" s="86" t="s">
        <v>706</v>
      </c>
      <c r="K201" s="86" t="s">
        <v>706</v>
      </c>
      <c r="L201" s="86" t="s">
        <v>707</v>
      </c>
      <c r="M201" s="86" t="s">
        <v>708</v>
      </c>
      <c r="N201" s="86" t="s">
        <v>412</v>
      </c>
      <c r="O201" s="86" t="s">
        <v>709</v>
      </c>
      <c r="P201" s="86" t="s">
        <v>403</v>
      </c>
      <c r="Q201" s="86" t="s">
        <v>414</v>
      </c>
      <c r="R201" s="88" t="s">
        <v>710</v>
      </c>
    </row>
    <row r="202" spans="1:18">
      <c r="A202" s="86" t="s">
        <v>135</v>
      </c>
      <c r="B202" s="86" t="s">
        <v>712</v>
      </c>
      <c r="C202" s="87">
        <v>174500</v>
      </c>
      <c r="D202" s="87">
        <v>2</v>
      </c>
      <c r="E202" s="87">
        <v>349000</v>
      </c>
      <c r="F202" s="86">
        <v>2008.3</v>
      </c>
      <c r="G202" s="86" t="s">
        <v>692</v>
      </c>
      <c r="H202" s="86" t="s">
        <v>38</v>
      </c>
      <c r="I202" s="86" t="s">
        <v>107</v>
      </c>
      <c r="J202" s="86" t="s">
        <v>706</v>
      </c>
      <c r="K202" s="86" t="s">
        <v>706</v>
      </c>
      <c r="L202" s="86" t="s">
        <v>707</v>
      </c>
      <c r="M202" s="86" t="s">
        <v>713</v>
      </c>
      <c r="N202" s="86" t="s">
        <v>412</v>
      </c>
      <c r="O202" s="86" t="s">
        <v>413</v>
      </c>
      <c r="P202" s="86" t="s">
        <v>403</v>
      </c>
      <c r="Q202" s="86" t="s">
        <v>414</v>
      </c>
      <c r="R202" s="88" t="s">
        <v>710</v>
      </c>
    </row>
    <row r="203" spans="1:18">
      <c r="A203" s="86" t="s">
        <v>135</v>
      </c>
      <c r="B203" s="86" t="s">
        <v>714</v>
      </c>
      <c r="C203" s="87">
        <v>184000</v>
      </c>
      <c r="D203" s="87">
        <v>1</v>
      </c>
      <c r="E203" s="87">
        <v>184000</v>
      </c>
      <c r="F203" s="86">
        <v>2008.3</v>
      </c>
      <c r="G203" s="86" t="s">
        <v>692</v>
      </c>
      <c r="H203" s="86" t="s">
        <v>38</v>
      </c>
      <c r="I203" s="86" t="s">
        <v>706</v>
      </c>
      <c r="J203" s="86" t="s">
        <v>706</v>
      </c>
      <c r="K203" s="86" t="s">
        <v>706</v>
      </c>
      <c r="L203" s="86" t="s">
        <v>707</v>
      </c>
      <c r="M203" s="86" t="s">
        <v>713</v>
      </c>
      <c r="N203" s="86" t="s">
        <v>412</v>
      </c>
      <c r="O203" s="86" t="s">
        <v>413</v>
      </c>
      <c r="P203" s="86" t="s">
        <v>403</v>
      </c>
      <c r="Q203" s="86" t="s">
        <v>414</v>
      </c>
      <c r="R203" s="88" t="s">
        <v>710</v>
      </c>
    </row>
    <row r="204" spans="1:18">
      <c r="A204" s="86" t="s">
        <v>135</v>
      </c>
      <c r="B204" s="86" t="s">
        <v>715</v>
      </c>
      <c r="C204" s="87">
        <v>250000</v>
      </c>
      <c r="D204" s="87">
        <v>1</v>
      </c>
      <c r="E204" s="87">
        <v>250000</v>
      </c>
      <c r="F204" s="86">
        <v>2013.8</v>
      </c>
      <c r="G204" s="86" t="s">
        <v>692</v>
      </c>
      <c r="H204" s="86" t="s">
        <v>38</v>
      </c>
      <c r="I204" s="86" t="s">
        <v>107</v>
      </c>
      <c r="J204" s="86" t="s">
        <v>706</v>
      </c>
      <c r="K204" s="86" t="s">
        <v>706</v>
      </c>
      <c r="L204" s="86" t="s">
        <v>707</v>
      </c>
      <c r="M204" s="86" t="s">
        <v>716</v>
      </c>
      <c r="N204" s="86" t="s">
        <v>412</v>
      </c>
      <c r="O204" s="86" t="s">
        <v>413</v>
      </c>
      <c r="P204" s="86" t="s">
        <v>403</v>
      </c>
      <c r="Q204" s="86" t="s">
        <v>414</v>
      </c>
      <c r="R204" s="88" t="s">
        <v>710</v>
      </c>
    </row>
    <row r="205" spans="1:18">
      <c r="A205" s="86" t="s">
        <v>135</v>
      </c>
      <c r="B205" s="86" t="s">
        <v>717</v>
      </c>
      <c r="C205" s="87">
        <v>132000</v>
      </c>
      <c r="D205" s="87">
        <v>1</v>
      </c>
      <c r="E205" s="87">
        <v>132000</v>
      </c>
      <c r="F205" s="86">
        <v>2013.8</v>
      </c>
      <c r="G205" s="86" t="s">
        <v>692</v>
      </c>
      <c r="H205" s="86" t="s">
        <v>38</v>
      </c>
      <c r="I205" s="86" t="s">
        <v>706</v>
      </c>
      <c r="J205" s="86" t="s">
        <v>706</v>
      </c>
      <c r="K205" s="86" t="s">
        <v>706</v>
      </c>
      <c r="L205" s="86" t="s">
        <v>707</v>
      </c>
      <c r="M205" s="86" t="s">
        <v>716</v>
      </c>
      <c r="N205" s="86" t="s">
        <v>412</v>
      </c>
      <c r="O205" s="86" t="s">
        <v>413</v>
      </c>
      <c r="P205" s="86" t="s">
        <v>403</v>
      </c>
      <c r="Q205" s="86" t="s">
        <v>414</v>
      </c>
      <c r="R205" s="88" t="s">
        <v>710</v>
      </c>
    </row>
    <row r="206" spans="1:18">
      <c r="A206" s="86" t="s">
        <v>135</v>
      </c>
      <c r="B206" s="86" t="s">
        <v>718</v>
      </c>
      <c r="C206" s="87">
        <v>269800</v>
      </c>
      <c r="D206" s="87">
        <v>2</v>
      </c>
      <c r="E206" s="87">
        <v>539600</v>
      </c>
      <c r="F206" s="86">
        <v>2017.4</v>
      </c>
      <c r="G206" s="86" t="s">
        <v>692</v>
      </c>
      <c r="H206" s="86" t="s">
        <v>38</v>
      </c>
      <c r="I206" s="86" t="s">
        <v>719</v>
      </c>
      <c r="J206" s="86" t="s">
        <v>706</v>
      </c>
      <c r="K206" s="86" t="s">
        <v>706</v>
      </c>
      <c r="L206" s="86" t="s">
        <v>707</v>
      </c>
      <c r="M206" s="86" t="s">
        <v>499</v>
      </c>
      <c r="N206" s="86" t="s">
        <v>412</v>
      </c>
      <c r="O206" s="86" t="s">
        <v>413</v>
      </c>
      <c r="P206" s="86" t="s">
        <v>403</v>
      </c>
      <c r="Q206" s="86" t="s">
        <v>414</v>
      </c>
      <c r="R206" s="88" t="s">
        <v>710</v>
      </c>
    </row>
    <row r="207" spans="1:18">
      <c r="A207" s="86" t="s">
        <v>135</v>
      </c>
      <c r="B207" s="86" t="s">
        <v>720</v>
      </c>
      <c r="C207" s="87">
        <v>306400</v>
      </c>
      <c r="D207" s="87">
        <v>1</v>
      </c>
      <c r="E207" s="87">
        <v>306400</v>
      </c>
      <c r="F207" s="86">
        <v>2017.4</v>
      </c>
      <c r="G207" s="86" t="s">
        <v>692</v>
      </c>
      <c r="H207" s="86" t="s">
        <v>38</v>
      </c>
      <c r="I207" s="86" t="s">
        <v>719</v>
      </c>
      <c r="J207" s="86" t="s">
        <v>706</v>
      </c>
      <c r="K207" s="86" t="s">
        <v>706</v>
      </c>
      <c r="L207" s="86" t="s">
        <v>707</v>
      </c>
      <c r="M207" s="86" t="s">
        <v>499</v>
      </c>
      <c r="N207" s="86" t="s">
        <v>412</v>
      </c>
      <c r="O207" s="86" t="s">
        <v>413</v>
      </c>
      <c r="P207" s="86" t="s">
        <v>403</v>
      </c>
      <c r="Q207" s="86" t="s">
        <v>414</v>
      </c>
      <c r="R207" s="88" t="s">
        <v>710</v>
      </c>
    </row>
    <row r="208" spans="1:18">
      <c r="A208" s="86" t="s">
        <v>135</v>
      </c>
      <c r="B208" s="86" t="s">
        <v>721</v>
      </c>
      <c r="C208" s="87">
        <v>93700</v>
      </c>
      <c r="D208" s="87">
        <v>4</v>
      </c>
      <c r="E208" s="87">
        <v>374800</v>
      </c>
      <c r="F208" s="86">
        <v>1997.12</v>
      </c>
      <c r="G208" s="86" t="s">
        <v>692</v>
      </c>
      <c r="H208" s="86" t="s">
        <v>38</v>
      </c>
      <c r="I208" s="86" t="s">
        <v>107</v>
      </c>
      <c r="J208" s="86" t="s">
        <v>722</v>
      </c>
      <c r="K208" s="86" t="s">
        <v>723</v>
      </c>
      <c r="L208" s="86" t="s">
        <v>724</v>
      </c>
      <c r="M208" s="86" t="s">
        <v>725</v>
      </c>
      <c r="N208" s="86" t="s">
        <v>412</v>
      </c>
      <c r="O208" s="86" t="s">
        <v>413</v>
      </c>
      <c r="P208" s="86" t="s">
        <v>403</v>
      </c>
      <c r="Q208" s="86" t="s">
        <v>414</v>
      </c>
      <c r="R208" s="88" t="s">
        <v>726</v>
      </c>
    </row>
    <row r="209" spans="1:18">
      <c r="A209" s="86" t="s">
        <v>135</v>
      </c>
      <c r="B209" s="86" t="s">
        <v>727</v>
      </c>
      <c r="C209" s="87">
        <v>91000</v>
      </c>
      <c r="D209" s="87">
        <v>1</v>
      </c>
      <c r="E209" s="87">
        <v>91000</v>
      </c>
      <c r="F209" s="86">
        <v>1998.3</v>
      </c>
      <c r="G209" s="86" t="s">
        <v>692</v>
      </c>
      <c r="H209" s="86" t="s">
        <v>38</v>
      </c>
      <c r="I209" s="86" t="s">
        <v>582</v>
      </c>
      <c r="J209" s="86" t="s">
        <v>728</v>
      </c>
      <c r="K209" s="86" t="s">
        <v>582</v>
      </c>
      <c r="L209" s="86" t="s">
        <v>724</v>
      </c>
      <c r="M209" s="86" t="s">
        <v>725</v>
      </c>
      <c r="N209" s="86" t="s">
        <v>412</v>
      </c>
      <c r="O209" s="86" t="s">
        <v>413</v>
      </c>
      <c r="P209" s="86" t="s">
        <v>403</v>
      </c>
      <c r="Q209" s="86" t="s">
        <v>414</v>
      </c>
      <c r="R209" s="88" t="s">
        <v>726</v>
      </c>
    </row>
    <row r="210" spans="1:18">
      <c r="A210" s="86" t="s">
        <v>135</v>
      </c>
      <c r="B210" s="86" t="s">
        <v>729</v>
      </c>
      <c r="C210" s="87">
        <v>286300</v>
      </c>
      <c r="D210" s="87">
        <v>2</v>
      </c>
      <c r="E210" s="87">
        <v>572600</v>
      </c>
      <c r="F210" s="86">
        <v>2015.3</v>
      </c>
      <c r="G210" s="86" t="s">
        <v>692</v>
      </c>
      <c r="H210" s="86" t="s">
        <v>38</v>
      </c>
      <c r="I210" s="86" t="s">
        <v>107</v>
      </c>
      <c r="J210" s="86" t="s">
        <v>701</v>
      </c>
      <c r="K210" s="86" t="s">
        <v>701</v>
      </c>
      <c r="L210" s="86" t="s">
        <v>730</v>
      </c>
      <c r="M210" s="86" t="s">
        <v>436</v>
      </c>
      <c r="N210" s="86" t="s">
        <v>412</v>
      </c>
      <c r="O210" s="86" t="s">
        <v>413</v>
      </c>
      <c r="P210" s="86" t="s">
        <v>403</v>
      </c>
      <c r="Q210" s="86" t="s">
        <v>414</v>
      </c>
      <c r="R210" s="88" t="s">
        <v>731</v>
      </c>
    </row>
    <row r="211" spans="1:18">
      <c r="A211" s="86" t="s">
        <v>135</v>
      </c>
      <c r="B211" s="86" t="s">
        <v>732</v>
      </c>
      <c r="C211" s="87">
        <v>285800</v>
      </c>
      <c r="D211" s="87">
        <v>1</v>
      </c>
      <c r="E211" s="87">
        <v>285800</v>
      </c>
      <c r="F211" s="86">
        <v>2015.3</v>
      </c>
      <c r="G211" s="86" t="s">
        <v>692</v>
      </c>
      <c r="H211" s="86" t="s">
        <v>38</v>
      </c>
      <c r="I211" s="86" t="s">
        <v>733</v>
      </c>
      <c r="J211" s="86" t="s">
        <v>701</v>
      </c>
      <c r="K211" s="86" t="s">
        <v>701</v>
      </c>
      <c r="L211" s="86" t="s">
        <v>730</v>
      </c>
      <c r="M211" s="86" t="s">
        <v>436</v>
      </c>
      <c r="N211" s="86" t="s">
        <v>412</v>
      </c>
      <c r="O211" s="86" t="s">
        <v>413</v>
      </c>
      <c r="P211" s="86" t="s">
        <v>403</v>
      </c>
      <c r="Q211" s="86" t="s">
        <v>414</v>
      </c>
      <c r="R211" s="88" t="s">
        <v>731</v>
      </c>
    </row>
    <row r="212" spans="1:18">
      <c r="A212" s="86" t="s">
        <v>135</v>
      </c>
      <c r="B212" s="86" t="s">
        <v>734</v>
      </c>
      <c r="C212" s="87">
        <v>286300</v>
      </c>
      <c r="D212" s="87">
        <v>2</v>
      </c>
      <c r="E212" s="87">
        <v>572600</v>
      </c>
      <c r="F212" s="86">
        <v>2015.1</v>
      </c>
      <c r="G212" s="86" t="s">
        <v>692</v>
      </c>
      <c r="H212" s="86" t="s">
        <v>38</v>
      </c>
      <c r="I212" s="86" t="s">
        <v>107</v>
      </c>
      <c r="J212" s="86" t="s">
        <v>701</v>
      </c>
      <c r="K212" s="86" t="s">
        <v>701</v>
      </c>
      <c r="L212" s="86" t="s">
        <v>730</v>
      </c>
      <c r="M212" s="86" t="s">
        <v>436</v>
      </c>
      <c r="N212" s="86" t="s">
        <v>412</v>
      </c>
      <c r="O212" s="86" t="s">
        <v>413</v>
      </c>
      <c r="P212" s="86" t="s">
        <v>403</v>
      </c>
      <c r="Q212" s="86" t="s">
        <v>414</v>
      </c>
      <c r="R212" s="88" t="s">
        <v>731</v>
      </c>
    </row>
    <row r="213" spans="1:18">
      <c r="A213" s="86" t="s">
        <v>135</v>
      </c>
      <c r="B213" s="86" t="s">
        <v>735</v>
      </c>
      <c r="C213" s="87">
        <v>285800</v>
      </c>
      <c r="D213" s="87">
        <v>1</v>
      </c>
      <c r="E213" s="87">
        <v>285800</v>
      </c>
      <c r="F213" s="86">
        <v>2015.1</v>
      </c>
      <c r="G213" s="86" t="s">
        <v>692</v>
      </c>
      <c r="H213" s="86" t="s">
        <v>38</v>
      </c>
      <c r="I213" s="86" t="s">
        <v>733</v>
      </c>
      <c r="J213" s="86" t="s">
        <v>701</v>
      </c>
      <c r="K213" s="86" t="s">
        <v>701</v>
      </c>
      <c r="L213" s="86" t="s">
        <v>730</v>
      </c>
      <c r="M213" s="86" t="s">
        <v>436</v>
      </c>
      <c r="N213" s="86" t="s">
        <v>412</v>
      </c>
      <c r="O213" s="86" t="s">
        <v>413</v>
      </c>
      <c r="P213" s="86" t="s">
        <v>403</v>
      </c>
      <c r="Q213" s="86" t="s">
        <v>414</v>
      </c>
      <c r="R213" s="88" t="s">
        <v>731</v>
      </c>
    </row>
    <row r="214" spans="1:18">
      <c r="A214" s="86" t="s">
        <v>135</v>
      </c>
      <c r="B214" s="86" t="s">
        <v>1495</v>
      </c>
      <c r="C214" s="87">
        <v>150000</v>
      </c>
      <c r="D214" s="87">
        <v>6</v>
      </c>
      <c r="E214" s="87">
        <v>900000</v>
      </c>
      <c r="F214" s="86">
        <v>1997.8</v>
      </c>
      <c r="G214" s="86" t="s">
        <v>692</v>
      </c>
      <c r="H214" s="86" t="s">
        <v>38</v>
      </c>
      <c r="I214" s="86" t="s">
        <v>107</v>
      </c>
      <c r="J214" s="86" t="s">
        <v>736</v>
      </c>
      <c r="K214" s="86" t="s">
        <v>736</v>
      </c>
      <c r="L214" s="86" t="s">
        <v>442</v>
      </c>
      <c r="M214" s="86" t="s">
        <v>695</v>
      </c>
      <c r="N214" s="86" t="s">
        <v>412</v>
      </c>
      <c r="O214" s="86" t="s">
        <v>413</v>
      </c>
      <c r="P214" s="86" t="s">
        <v>403</v>
      </c>
      <c r="Q214" s="86" t="s">
        <v>414</v>
      </c>
      <c r="R214" s="88" t="s">
        <v>474</v>
      </c>
    </row>
    <row r="215" spans="1:18">
      <c r="A215" s="86" t="s">
        <v>135</v>
      </c>
      <c r="B215" s="86" t="s">
        <v>1496</v>
      </c>
      <c r="C215" s="87">
        <v>150000</v>
      </c>
      <c r="D215" s="87">
        <v>3</v>
      </c>
      <c r="E215" s="87">
        <v>450000</v>
      </c>
      <c r="F215" s="86">
        <v>2002.8</v>
      </c>
      <c r="G215" s="86" t="s">
        <v>692</v>
      </c>
      <c r="H215" s="86" t="s">
        <v>38</v>
      </c>
      <c r="I215" s="86" t="s">
        <v>468</v>
      </c>
      <c r="J215" s="86" t="s">
        <v>736</v>
      </c>
      <c r="K215" s="86" t="s">
        <v>736</v>
      </c>
      <c r="L215" s="86" t="s">
        <v>442</v>
      </c>
      <c r="M215" s="86" t="s">
        <v>695</v>
      </c>
      <c r="N215" s="86" t="s">
        <v>412</v>
      </c>
      <c r="O215" s="86" t="s">
        <v>413</v>
      </c>
      <c r="P215" s="86" t="s">
        <v>403</v>
      </c>
      <c r="Q215" s="86" t="s">
        <v>414</v>
      </c>
      <c r="R215" s="88" t="s">
        <v>474</v>
      </c>
    </row>
    <row r="216" spans="1:18">
      <c r="A216" s="86" t="s">
        <v>135</v>
      </c>
      <c r="B216" s="86" t="s">
        <v>737</v>
      </c>
      <c r="C216" s="87">
        <v>150000</v>
      </c>
      <c r="D216" s="87">
        <v>2</v>
      </c>
      <c r="E216" s="87">
        <v>300000</v>
      </c>
      <c r="F216" s="86">
        <v>2003.5</v>
      </c>
      <c r="G216" s="86" t="s">
        <v>692</v>
      </c>
      <c r="H216" s="86" t="s">
        <v>38</v>
      </c>
      <c r="I216" s="86" t="s">
        <v>107</v>
      </c>
      <c r="J216" s="86" t="s">
        <v>408</v>
      </c>
      <c r="K216" s="86" t="s">
        <v>693</v>
      </c>
      <c r="L216" s="86" t="s">
        <v>410</v>
      </c>
      <c r="M216" s="86" t="s">
        <v>695</v>
      </c>
      <c r="N216" s="86" t="s">
        <v>412</v>
      </c>
      <c r="O216" s="86" t="s">
        <v>413</v>
      </c>
      <c r="P216" s="86" t="s">
        <v>403</v>
      </c>
      <c r="Q216" s="86" t="s">
        <v>414</v>
      </c>
      <c r="R216" s="88" t="s">
        <v>738</v>
      </c>
    </row>
    <row r="217" spans="1:18">
      <c r="A217" s="86" t="s">
        <v>135</v>
      </c>
      <c r="B217" s="86" t="s">
        <v>739</v>
      </c>
      <c r="C217" s="87">
        <v>150000</v>
      </c>
      <c r="D217" s="87">
        <v>1</v>
      </c>
      <c r="E217" s="87">
        <v>150000</v>
      </c>
      <c r="F217" s="86">
        <v>2003.5</v>
      </c>
      <c r="G217" s="86" t="s">
        <v>692</v>
      </c>
      <c r="H217" s="86" t="s">
        <v>38</v>
      </c>
      <c r="I217" s="86" t="s">
        <v>408</v>
      </c>
      <c r="J217" s="86" t="s">
        <v>408</v>
      </c>
      <c r="K217" s="86" t="s">
        <v>693</v>
      </c>
      <c r="L217" s="86" t="s">
        <v>410</v>
      </c>
      <c r="M217" s="86" t="s">
        <v>695</v>
      </c>
      <c r="N217" s="86" t="s">
        <v>412</v>
      </c>
      <c r="O217" s="86" t="s">
        <v>413</v>
      </c>
      <c r="P217" s="86" t="s">
        <v>403</v>
      </c>
      <c r="Q217" s="86" t="s">
        <v>414</v>
      </c>
      <c r="R217" s="88" t="s">
        <v>738</v>
      </c>
    </row>
    <row r="218" spans="1:18">
      <c r="A218" s="86" t="s">
        <v>135</v>
      </c>
      <c r="B218" s="86" t="s">
        <v>740</v>
      </c>
      <c r="C218" s="87">
        <v>150000</v>
      </c>
      <c r="D218" s="87">
        <v>2</v>
      </c>
      <c r="E218" s="87">
        <v>300000</v>
      </c>
      <c r="F218" s="86">
        <v>2003.6</v>
      </c>
      <c r="G218" s="86" t="s">
        <v>692</v>
      </c>
      <c r="H218" s="86" t="s">
        <v>38</v>
      </c>
      <c r="I218" s="86" t="s">
        <v>107</v>
      </c>
      <c r="J218" s="86" t="s">
        <v>408</v>
      </c>
      <c r="K218" s="86" t="s">
        <v>693</v>
      </c>
      <c r="L218" s="86" t="s">
        <v>410</v>
      </c>
      <c r="M218" s="86" t="s">
        <v>695</v>
      </c>
      <c r="N218" s="86" t="s">
        <v>412</v>
      </c>
      <c r="O218" s="86" t="s">
        <v>413</v>
      </c>
      <c r="P218" s="86" t="s">
        <v>403</v>
      </c>
      <c r="Q218" s="86" t="s">
        <v>414</v>
      </c>
      <c r="R218" s="88" t="s">
        <v>738</v>
      </c>
    </row>
    <row r="219" spans="1:18">
      <c r="A219" s="86" t="s">
        <v>135</v>
      </c>
      <c r="B219" s="86" t="s">
        <v>741</v>
      </c>
      <c r="C219" s="87">
        <v>150000</v>
      </c>
      <c r="D219" s="87">
        <v>1</v>
      </c>
      <c r="E219" s="87">
        <v>150000</v>
      </c>
      <c r="F219" s="86">
        <v>2003.6</v>
      </c>
      <c r="G219" s="86" t="s">
        <v>692</v>
      </c>
      <c r="H219" s="86" t="s">
        <v>38</v>
      </c>
      <c r="I219" s="86" t="s">
        <v>408</v>
      </c>
      <c r="J219" s="86" t="s">
        <v>408</v>
      </c>
      <c r="K219" s="86" t="s">
        <v>693</v>
      </c>
      <c r="L219" s="86" t="s">
        <v>410</v>
      </c>
      <c r="M219" s="86" t="s">
        <v>695</v>
      </c>
      <c r="N219" s="86" t="s">
        <v>412</v>
      </c>
      <c r="O219" s="86" t="s">
        <v>413</v>
      </c>
      <c r="P219" s="86" t="s">
        <v>403</v>
      </c>
      <c r="Q219" s="86" t="s">
        <v>414</v>
      </c>
      <c r="R219" s="88" t="s">
        <v>738</v>
      </c>
    </row>
    <row r="220" spans="1:18">
      <c r="A220" s="86" t="s">
        <v>135</v>
      </c>
      <c r="B220" s="86" t="s">
        <v>742</v>
      </c>
      <c r="C220" s="87">
        <v>150000</v>
      </c>
      <c r="D220" s="87">
        <v>2</v>
      </c>
      <c r="E220" s="87">
        <v>300000</v>
      </c>
      <c r="F220" s="86">
        <v>2004.2</v>
      </c>
      <c r="G220" s="86" t="s">
        <v>692</v>
      </c>
      <c r="H220" s="86" t="s">
        <v>38</v>
      </c>
      <c r="I220" s="86" t="s">
        <v>107</v>
      </c>
      <c r="J220" s="86" t="s">
        <v>408</v>
      </c>
      <c r="K220" s="86" t="s">
        <v>693</v>
      </c>
      <c r="L220" s="86" t="s">
        <v>410</v>
      </c>
      <c r="M220" s="86" t="s">
        <v>695</v>
      </c>
      <c r="N220" s="86" t="s">
        <v>412</v>
      </c>
      <c r="O220" s="86" t="s">
        <v>413</v>
      </c>
      <c r="P220" s="86" t="s">
        <v>403</v>
      </c>
      <c r="Q220" s="86" t="s">
        <v>414</v>
      </c>
      <c r="R220" s="88" t="s">
        <v>738</v>
      </c>
    </row>
    <row r="221" spans="1:18">
      <c r="A221" s="86" t="s">
        <v>135</v>
      </c>
      <c r="B221" s="86" t="s">
        <v>743</v>
      </c>
      <c r="C221" s="87">
        <v>150000</v>
      </c>
      <c r="D221" s="87">
        <v>1</v>
      </c>
      <c r="E221" s="87">
        <v>150000</v>
      </c>
      <c r="F221" s="86">
        <v>2004.2</v>
      </c>
      <c r="G221" s="86" t="s">
        <v>692</v>
      </c>
      <c r="H221" s="86" t="s">
        <v>38</v>
      </c>
      <c r="I221" s="86" t="s">
        <v>408</v>
      </c>
      <c r="J221" s="86" t="s">
        <v>408</v>
      </c>
      <c r="K221" s="86" t="s">
        <v>693</v>
      </c>
      <c r="L221" s="86" t="s">
        <v>410</v>
      </c>
      <c r="M221" s="86" t="s">
        <v>695</v>
      </c>
      <c r="N221" s="86" t="s">
        <v>412</v>
      </c>
      <c r="O221" s="86" t="s">
        <v>413</v>
      </c>
      <c r="P221" s="86" t="s">
        <v>403</v>
      </c>
      <c r="Q221" s="86" t="s">
        <v>414</v>
      </c>
      <c r="R221" s="88" t="s">
        <v>738</v>
      </c>
    </row>
    <row r="222" spans="1:18">
      <c r="A222" s="86" t="s">
        <v>135</v>
      </c>
      <c r="B222" s="86" t="s">
        <v>744</v>
      </c>
      <c r="C222" s="87">
        <v>150000</v>
      </c>
      <c r="D222" s="87">
        <v>2</v>
      </c>
      <c r="E222" s="87">
        <v>300000</v>
      </c>
      <c r="F222" s="86">
        <v>2004.3</v>
      </c>
      <c r="G222" s="86" t="s">
        <v>692</v>
      </c>
      <c r="H222" s="86" t="s">
        <v>38</v>
      </c>
      <c r="I222" s="86" t="s">
        <v>107</v>
      </c>
      <c r="J222" s="86" t="s">
        <v>408</v>
      </c>
      <c r="K222" s="86" t="s">
        <v>693</v>
      </c>
      <c r="L222" s="86" t="s">
        <v>410</v>
      </c>
      <c r="M222" s="86" t="s">
        <v>695</v>
      </c>
      <c r="N222" s="86" t="s">
        <v>412</v>
      </c>
      <c r="O222" s="86" t="s">
        <v>413</v>
      </c>
      <c r="P222" s="86" t="s">
        <v>403</v>
      </c>
      <c r="Q222" s="86" t="s">
        <v>414</v>
      </c>
      <c r="R222" s="88" t="s">
        <v>738</v>
      </c>
    </row>
    <row r="223" spans="1:18">
      <c r="A223" s="86" t="s">
        <v>135</v>
      </c>
      <c r="B223" s="86" t="s">
        <v>745</v>
      </c>
      <c r="C223" s="87">
        <v>150000</v>
      </c>
      <c r="D223" s="87">
        <v>1</v>
      </c>
      <c r="E223" s="87">
        <v>150000</v>
      </c>
      <c r="F223" s="86">
        <v>2004.3</v>
      </c>
      <c r="G223" s="86" t="s">
        <v>692</v>
      </c>
      <c r="H223" s="86" t="s">
        <v>38</v>
      </c>
      <c r="I223" s="86" t="s">
        <v>408</v>
      </c>
      <c r="J223" s="86" t="s">
        <v>408</v>
      </c>
      <c r="K223" s="86" t="s">
        <v>693</v>
      </c>
      <c r="L223" s="86" t="s">
        <v>410</v>
      </c>
      <c r="M223" s="86" t="s">
        <v>695</v>
      </c>
      <c r="N223" s="86" t="s">
        <v>412</v>
      </c>
      <c r="O223" s="86" t="s">
        <v>413</v>
      </c>
      <c r="P223" s="86" t="s">
        <v>403</v>
      </c>
      <c r="Q223" s="86" t="s">
        <v>414</v>
      </c>
      <c r="R223" s="88" t="s">
        <v>738</v>
      </c>
    </row>
    <row r="224" spans="1:18">
      <c r="A224" s="86" t="s">
        <v>135</v>
      </c>
      <c r="B224" s="86" t="s">
        <v>746</v>
      </c>
      <c r="C224" s="87">
        <v>26650</v>
      </c>
      <c r="D224" s="87">
        <v>1</v>
      </c>
      <c r="E224" s="87">
        <v>26650</v>
      </c>
      <c r="F224" s="86">
        <v>2017.7</v>
      </c>
      <c r="G224" s="86" t="s">
        <v>692</v>
      </c>
      <c r="H224" s="86" t="s">
        <v>38</v>
      </c>
      <c r="I224" s="86" t="s">
        <v>107</v>
      </c>
      <c r="J224" s="86" t="s">
        <v>107</v>
      </c>
      <c r="K224" s="86" t="s">
        <v>107</v>
      </c>
      <c r="L224" s="86" t="s">
        <v>747</v>
      </c>
      <c r="M224" s="86" t="s">
        <v>420</v>
      </c>
      <c r="N224" s="86" t="s">
        <v>412</v>
      </c>
      <c r="O224" s="86" t="s">
        <v>413</v>
      </c>
      <c r="P224" s="86" t="s">
        <v>403</v>
      </c>
      <c r="Q224" s="86" t="s">
        <v>414</v>
      </c>
      <c r="R224" s="88" t="s">
        <v>748</v>
      </c>
    </row>
    <row r="225" spans="1:18">
      <c r="A225" s="86" t="s">
        <v>135</v>
      </c>
      <c r="B225" s="86" t="s">
        <v>749</v>
      </c>
      <c r="C225" s="87">
        <v>19186</v>
      </c>
      <c r="D225" s="87">
        <v>1</v>
      </c>
      <c r="E225" s="87">
        <v>19186</v>
      </c>
      <c r="F225" s="86">
        <v>2017.7</v>
      </c>
      <c r="G225" s="86" t="s">
        <v>692</v>
      </c>
      <c r="H225" s="86" t="s">
        <v>38</v>
      </c>
      <c r="I225" s="86" t="s">
        <v>107</v>
      </c>
      <c r="J225" s="86" t="s">
        <v>107</v>
      </c>
      <c r="K225" s="86" t="s">
        <v>107</v>
      </c>
      <c r="L225" s="86" t="s">
        <v>747</v>
      </c>
      <c r="M225" s="86" t="s">
        <v>420</v>
      </c>
      <c r="N225" s="86" t="s">
        <v>412</v>
      </c>
      <c r="O225" s="86" t="s">
        <v>413</v>
      </c>
      <c r="P225" s="86" t="s">
        <v>403</v>
      </c>
      <c r="Q225" s="86" t="s">
        <v>414</v>
      </c>
      <c r="R225" s="88" t="s">
        <v>748</v>
      </c>
    </row>
    <row r="226" spans="1:18">
      <c r="A226" s="86" t="s">
        <v>135</v>
      </c>
      <c r="B226" s="86" t="s">
        <v>750</v>
      </c>
      <c r="C226" s="87">
        <v>77758</v>
      </c>
      <c r="D226" s="87">
        <v>2</v>
      </c>
      <c r="E226" s="87">
        <v>155516</v>
      </c>
      <c r="F226" s="86">
        <v>1992.4</v>
      </c>
      <c r="G226" s="86" t="s">
        <v>692</v>
      </c>
      <c r="H226" s="86" t="s">
        <v>38</v>
      </c>
      <c r="I226" s="86" t="s">
        <v>107</v>
      </c>
      <c r="J226" s="86" t="s">
        <v>751</v>
      </c>
      <c r="K226" s="86" t="s">
        <v>751</v>
      </c>
      <c r="L226" s="86" t="s">
        <v>463</v>
      </c>
      <c r="M226" s="86" t="s">
        <v>411</v>
      </c>
      <c r="N226" s="86" t="s">
        <v>412</v>
      </c>
      <c r="O226" s="86" t="s">
        <v>413</v>
      </c>
      <c r="P226" s="86" t="s">
        <v>403</v>
      </c>
      <c r="Q226" s="86" t="s">
        <v>414</v>
      </c>
      <c r="R226" s="88" t="s">
        <v>752</v>
      </c>
    </row>
    <row r="227" spans="1:18">
      <c r="A227" s="86" t="s">
        <v>135</v>
      </c>
      <c r="B227" s="86" t="s">
        <v>750</v>
      </c>
      <c r="C227" s="87">
        <v>77758</v>
      </c>
      <c r="D227" s="87">
        <v>3</v>
      </c>
      <c r="E227" s="87">
        <v>233274</v>
      </c>
      <c r="F227" s="86">
        <v>1992.6</v>
      </c>
      <c r="G227" s="86" t="s">
        <v>692</v>
      </c>
      <c r="H227" s="86" t="s">
        <v>38</v>
      </c>
      <c r="I227" s="86" t="s">
        <v>107</v>
      </c>
      <c r="J227" s="86" t="s">
        <v>751</v>
      </c>
      <c r="K227" s="86" t="s">
        <v>751</v>
      </c>
      <c r="L227" s="86" t="s">
        <v>463</v>
      </c>
      <c r="M227" s="86" t="s">
        <v>411</v>
      </c>
      <c r="N227" s="86" t="s">
        <v>412</v>
      </c>
      <c r="O227" s="86" t="s">
        <v>413</v>
      </c>
      <c r="P227" s="86" t="s">
        <v>403</v>
      </c>
      <c r="Q227" s="86" t="s">
        <v>414</v>
      </c>
      <c r="R227" s="88" t="s">
        <v>752</v>
      </c>
    </row>
    <row r="228" spans="1:18">
      <c r="A228" s="86" t="s">
        <v>135</v>
      </c>
      <c r="B228" s="86" t="s">
        <v>753</v>
      </c>
      <c r="C228" s="87">
        <v>185000</v>
      </c>
      <c r="D228" s="87">
        <v>1</v>
      </c>
      <c r="E228" s="87">
        <v>185000</v>
      </c>
      <c r="F228" s="86">
        <v>1993.9</v>
      </c>
      <c r="G228" s="86" t="s">
        <v>692</v>
      </c>
      <c r="H228" s="86" t="s">
        <v>38</v>
      </c>
      <c r="I228" s="86" t="s">
        <v>434</v>
      </c>
      <c r="J228" s="86" t="s">
        <v>751</v>
      </c>
      <c r="K228" s="86" t="s">
        <v>751</v>
      </c>
      <c r="L228" s="86" t="s">
        <v>463</v>
      </c>
      <c r="M228" s="86" t="s">
        <v>754</v>
      </c>
      <c r="N228" s="86" t="s">
        <v>412</v>
      </c>
      <c r="O228" s="86" t="s">
        <v>413</v>
      </c>
      <c r="P228" s="86" t="s">
        <v>403</v>
      </c>
      <c r="Q228" s="86" t="s">
        <v>414</v>
      </c>
      <c r="R228" s="88" t="s">
        <v>752</v>
      </c>
    </row>
    <row r="229" spans="1:18">
      <c r="A229" s="86" t="s">
        <v>135</v>
      </c>
      <c r="B229" s="86" t="s">
        <v>755</v>
      </c>
      <c r="C229" s="87">
        <v>77758</v>
      </c>
      <c r="D229" s="87">
        <v>3</v>
      </c>
      <c r="E229" s="87">
        <v>233274</v>
      </c>
      <c r="F229" s="86">
        <v>1995.6</v>
      </c>
      <c r="G229" s="86" t="s">
        <v>692</v>
      </c>
      <c r="H229" s="86" t="s">
        <v>38</v>
      </c>
      <c r="I229" s="86" t="s">
        <v>107</v>
      </c>
      <c r="J229" s="86" t="s">
        <v>751</v>
      </c>
      <c r="K229" s="86" t="s">
        <v>751</v>
      </c>
      <c r="L229" s="86" t="s">
        <v>463</v>
      </c>
      <c r="M229" s="86" t="s">
        <v>411</v>
      </c>
      <c r="N229" s="86" t="s">
        <v>412</v>
      </c>
      <c r="O229" s="86" t="s">
        <v>413</v>
      </c>
      <c r="P229" s="86" t="s">
        <v>403</v>
      </c>
      <c r="Q229" s="86" t="s">
        <v>414</v>
      </c>
      <c r="R229" s="88" t="s">
        <v>752</v>
      </c>
    </row>
    <row r="230" spans="1:18">
      <c r="A230" s="86" t="s">
        <v>135</v>
      </c>
      <c r="B230" s="86" t="s">
        <v>756</v>
      </c>
      <c r="C230" s="87">
        <v>115000</v>
      </c>
      <c r="D230" s="87">
        <v>1</v>
      </c>
      <c r="E230" s="87">
        <v>115000</v>
      </c>
      <c r="F230" s="86">
        <v>1997.3</v>
      </c>
      <c r="G230" s="86" t="s">
        <v>692</v>
      </c>
      <c r="H230" s="86" t="s">
        <v>38</v>
      </c>
      <c r="I230" s="86" t="s">
        <v>757</v>
      </c>
      <c r="J230" s="86" t="s">
        <v>751</v>
      </c>
      <c r="K230" s="86" t="s">
        <v>751</v>
      </c>
      <c r="L230" s="86" t="s">
        <v>463</v>
      </c>
      <c r="M230" s="86" t="s">
        <v>411</v>
      </c>
      <c r="N230" s="86" t="s">
        <v>412</v>
      </c>
      <c r="O230" s="86" t="s">
        <v>413</v>
      </c>
      <c r="P230" s="86" t="s">
        <v>403</v>
      </c>
      <c r="Q230" s="86" t="s">
        <v>414</v>
      </c>
      <c r="R230" s="88" t="s">
        <v>752</v>
      </c>
    </row>
    <row r="231" spans="1:18">
      <c r="A231" s="86" t="s">
        <v>135</v>
      </c>
      <c r="B231" s="86" t="s">
        <v>758</v>
      </c>
      <c r="C231" s="87">
        <v>241298</v>
      </c>
      <c r="D231" s="87">
        <v>1</v>
      </c>
      <c r="E231" s="87">
        <v>241298</v>
      </c>
      <c r="F231" s="86">
        <v>2019.11</v>
      </c>
      <c r="G231" s="86" t="s">
        <v>692</v>
      </c>
      <c r="H231" s="86" t="s">
        <v>38</v>
      </c>
      <c r="I231" s="86" t="s">
        <v>408</v>
      </c>
      <c r="J231" s="86" t="s">
        <v>408</v>
      </c>
      <c r="K231" s="86" t="s">
        <v>408</v>
      </c>
      <c r="L231" s="86" t="s">
        <v>442</v>
      </c>
      <c r="M231" s="86" t="s">
        <v>695</v>
      </c>
      <c r="N231" s="86" t="s">
        <v>412</v>
      </c>
      <c r="O231" s="86" t="s">
        <v>413</v>
      </c>
      <c r="P231" s="86" t="s">
        <v>403</v>
      </c>
      <c r="Q231" s="86" t="s">
        <v>414</v>
      </c>
      <c r="R231" s="88" t="s">
        <v>759</v>
      </c>
    </row>
    <row r="232" spans="1:18">
      <c r="A232" s="86" t="s">
        <v>135</v>
      </c>
      <c r="B232" s="86" t="s">
        <v>760</v>
      </c>
      <c r="C232" s="87">
        <v>127875</v>
      </c>
      <c r="D232" s="87">
        <v>1</v>
      </c>
      <c r="E232" s="87">
        <v>127875</v>
      </c>
      <c r="F232" s="86">
        <v>2019.11</v>
      </c>
      <c r="G232" s="86" t="s">
        <v>692</v>
      </c>
      <c r="H232" s="86" t="s">
        <v>38</v>
      </c>
      <c r="I232" s="86" t="s">
        <v>408</v>
      </c>
      <c r="J232" s="86" t="s">
        <v>408</v>
      </c>
      <c r="K232" s="86" t="s">
        <v>408</v>
      </c>
      <c r="L232" s="86" t="s">
        <v>442</v>
      </c>
      <c r="M232" s="86" t="s">
        <v>761</v>
      </c>
      <c r="N232" s="86" t="s">
        <v>412</v>
      </c>
      <c r="O232" s="86" t="s">
        <v>413</v>
      </c>
      <c r="P232" s="86" t="s">
        <v>403</v>
      </c>
      <c r="Q232" s="86" t="s">
        <v>414</v>
      </c>
      <c r="R232" s="88" t="s">
        <v>759</v>
      </c>
    </row>
    <row r="233" spans="1:18">
      <c r="A233" s="86" t="s">
        <v>135</v>
      </c>
      <c r="B233" s="86" t="s">
        <v>762</v>
      </c>
      <c r="C233" s="87">
        <v>241298</v>
      </c>
      <c r="D233" s="87">
        <v>1</v>
      </c>
      <c r="E233" s="87">
        <v>241298</v>
      </c>
      <c r="F233" s="86" t="s">
        <v>1497</v>
      </c>
      <c r="G233" s="86" t="s">
        <v>692</v>
      </c>
      <c r="H233" s="86" t="s">
        <v>38</v>
      </c>
      <c r="I233" s="86" t="s">
        <v>408</v>
      </c>
      <c r="J233" s="86" t="s">
        <v>408</v>
      </c>
      <c r="K233" s="86" t="s">
        <v>408</v>
      </c>
      <c r="L233" s="86" t="s">
        <v>442</v>
      </c>
      <c r="M233" s="86" t="s">
        <v>695</v>
      </c>
      <c r="N233" s="86" t="s">
        <v>412</v>
      </c>
      <c r="O233" s="86" t="s">
        <v>413</v>
      </c>
      <c r="P233" s="86" t="s">
        <v>403</v>
      </c>
      <c r="Q233" s="86" t="s">
        <v>414</v>
      </c>
      <c r="R233" s="88" t="s">
        <v>759</v>
      </c>
    </row>
    <row r="234" spans="1:18">
      <c r="A234" s="86" t="s">
        <v>135</v>
      </c>
      <c r="B234" s="86" t="s">
        <v>763</v>
      </c>
      <c r="C234" s="87">
        <v>127875</v>
      </c>
      <c r="D234" s="87">
        <v>1</v>
      </c>
      <c r="E234" s="87">
        <v>127875</v>
      </c>
      <c r="F234" s="86" t="s">
        <v>1497</v>
      </c>
      <c r="G234" s="86" t="s">
        <v>692</v>
      </c>
      <c r="H234" s="86" t="s">
        <v>38</v>
      </c>
      <c r="I234" s="86" t="s">
        <v>408</v>
      </c>
      <c r="J234" s="86" t="s">
        <v>408</v>
      </c>
      <c r="K234" s="86" t="s">
        <v>408</v>
      </c>
      <c r="L234" s="86" t="s">
        <v>442</v>
      </c>
      <c r="M234" s="86" t="s">
        <v>761</v>
      </c>
      <c r="N234" s="86" t="s">
        <v>412</v>
      </c>
      <c r="O234" s="86" t="s">
        <v>413</v>
      </c>
      <c r="P234" s="86" t="s">
        <v>403</v>
      </c>
      <c r="Q234" s="86" t="s">
        <v>414</v>
      </c>
      <c r="R234" s="88" t="s">
        <v>759</v>
      </c>
    </row>
    <row r="235" spans="1:18">
      <c r="A235" s="86" t="s">
        <v>135</v>
      </c>
      <c r="B235" s="86" t="s">
        <v>1498</v>
      </c>
      <c r="C235" s="87">
        <v>150000</v>
      </c>
      <c r="D235" s="87">
        <v>2</v>
      </c>
      <c r="E235" s="87">
        <v>300000</v>
      </c>
      <c r="F235" s="86">
        <v>1992.5</v>
      </c>
      <c r="G235" s="86" t="s">
        <v>692</v>
      </c>
      <c r="H235" s="86" t="s">
        <v>38</v>
      </c>
      <c r="I235" s="86" t="s">
        <v>107</v>
      </c>
      <c r="J235" s="86" t="s">
        <v>693</v>
      </c>
      <c r="K235" s="86" t="s">
        <v>693</v>
      </c>
      <c r="L235" s="86" t="s">
        <v>508</v>
      </c>
      <c r="M235" s="86" t="s">
        <v>411</v>
      </c>
      <c r="N235" s="86" t="s">
        <v>412</v>
      </c>
      <c r="O235" s="86" t="s">
        <v>413</v>
      </c>
      <c r="P235" s="86" t="s">
        <v>403</v>
      </c>
      <c r="Q235" s="86" t="s">
        <v>414</v>
      </c>
      <c r="R235" s="88" t="s">
        <v>764</v>
      </c>
    </row>
    <row r="236" spans="1:18">
      <c r="A236" s="86" t="s">
        <v>135</v>
      </c>
      <c r="B236" s="86" t="s">
        <v>1498</v>
      </c>
      <c r="C236" s="87">
        <v>150000</v>
      </c>
      <c r="D236" s="87">
        <v>2</v>
      </c>
      <c r="E236" s="87">
        <v>300000</v>
      </c>
      <c r="F236" s="86">
        <v>1992.6</v>
      </c>
      <c r="G236" s="86" t="s">
        <v>692</v>
      </c>
      <c r="H236" s="86" t="s">
        <v>38</v>
      </c>
      <c r="I236" s="86" t="s">
        <v>107</v>
      </c>
      <c r="J236" s="86" t="s">
        <v>693</v>
      </c>
      <c r="K236" s="86" t="s">
        <v>693</v>
      </c>
      <c r="L236" s="86" t="s">
        <v>508</v>
      </c>
      <c r="M236" s="86" t="s">
        <v>411</v>
      </c>
      <c r="N236" s="86" t="s">
        <v>412</v>
      </c>
      <c r="O236" s="86" t="s">
        <v>413</v>
      </c>
      <c r="P236" s="86" t="s">
        <v>403</v>
      </c>
      <c r="Q236" s="86" t="s">
        <v>414</v>
      </c>
      <c r="R236" s="88" t="s">
        <v>764</v>
      </c>
    </row>
    <row r="237" spans="1:18">
      <c r="A237" s="86" t="s">
        <v>135</v>
      </c>
      <c r="B237" s="86" t="s">
        <v>1499</v>
      </c>
      <c r="C237" s="87">
        <v>75000</v>
      </c>
      <c r="D237" s="87">
        <v>2</v>
      </c>
      <c r="E237" s="87">
        <v>150000</v>
      </c>
      <c r="F237" s="86">
        <v>1992.1</v>
      </c>
      <c r="G237" s="86" t="s">
        <v>692</v>
      </c>
      <c r="H237" s="86" t="s">
        <v>38</v>
      </c>
      <c r="I237" s="86" t="s">
        <v>468</v>
      </c>
      <c r="J237" s="86" t="s">
        <v>693</v>
      </c>
      <c r="K237" s="86" t="s">
        <v>693</v>
      </c>
      <c r="L237" s="86" t="s">
        <v>508</v>
      </c>
      <c r="M237" s="86" t="s">
        <v>411</v>
      </c>
      <c r="N237" s="86" t="s">
        <v>412</v>
      </c>
      <c r="O237" s="86" t="s">
        <v>413</v>
      </c>
      <c r="P237" s="86" t="s">
        <v>403</v>
      </c>
      <c r="Q237" s="86" t="s">
        <v>414</v>
      </c>
      <c r="R237" s="88" t="s">
        <v>764</v>
      </c>
    </row>
    <row r="238" spans="1:18">
      <c r="A238" s="86" t="s">
        <v>135</v>
      </c>
      <c r="B238" s="86" t="s">
        <v>1499</v>
      </c>
      <c r="C238" s="87">
        <v>75000</v>
      </c>
      <c r="D238" s="87">
        <v>2</v>
      </c>
      <c r="E238" s="87">
        <v>150000</v>
      </c>
      <c r="F238" s="86">
        <v>1992.11</v>
      </c>
      <c r="G238" s="86" t="s">
        <v>692</v>
      </c>
      <c r="H238" s="86" t="s">
        <v>38</v>
      </c>
      <c r="I238" s="86" t="s">
        <v>468</v>
      </c>
      <c r="J238" s="86" t="s">
        <v>693</v>
      </c>
      <c r="K238" s="86" t="s">
        <v>693</v>
      </c>
      <c r="L238" s="86" t="s">
        <v>508</v>
      </c>
      <c r="M238" s="86" t="s">
        <v>411</v>
      </c>
      <c r="N238" s="86" t="s">
        <v>412</v>
      </c>
      <c r="O238" s="86" t="s">
        <v>413</v>
      </c>
      <c r="P238" s="86" t="s">
        <v>403</v>
      </c>
      <c r="Q238" s="86" t="s">
        <v>414</v>
      </c>
      <c r="R238" s="88" t="s">
        <v>764</v>
      </c>
    </row>
    <row r="239" spans="1:18">
      <c r="A239" s="86" t="s">
        <v>135</v>
      </c>
      <c r="B239" s="86" t="s">
        <v>1500</v>
      </c>
      <c r="C239" s="87">
        <v>150000</v>
      </c>
      <c r="D239" s="87">
        <v>1</v>
      </c>
      <c r="E239" s="87">
        <v>150000</v>
      </c>
      <c r="F239" s="86">
        <v>1992.2</v>
      </c>
      <c r="G239" s="86" t="s">
        <v>692</v>
      </c>
      <c r="H239" s="86" t="s">
        <v>38</v>
      </c>
      <c r="I239" s="86" t="s">
        <v>107</v>
      </c>
      <c r="J239" s="86" t="s">
        <v>693</v>
      </c>
      <c r="K239" s="86" t="s">
        <v>693</v>
      </c>
      <c r="L239" s="86" t="s">
        <v>508</v>
      </c>
      <c r="M239" s="86" t="s">
        <v>411</v>
      </c>
      <c r="N239" s="86" t="s">
        <v>412</v>
      </c>
      <c r="O239" s="86" t="s">
        <v>413</v>
      </c>
      <c r="P239" s="86" t="s">
        <v>403</v>
      </c>
      <c r="Q239" s="86" t="s">
        <v>414</v>
      </c>
      <c r="R239" s="88" t="s">
        <v>764</v>
      </c>
    </row>
    <row r="240" spans="1:18">
      <c r="A240" s="86" t="s">
        <v>135</v>
      </c>
      <c r="B240" s="86" t="s">
        <v>1500</v>
      </c>
      <c r="C240" s="87">
        <v>150000</v>
      </c>
      <c r="D240" s="87">
        <v>1</v>
      </c>
      <c r="E240" s="87">
        <v>150000</v>
      </c>
      <c r="F240" s="86">
        <v>1992.3</v>
      </c>
      <c r="G240" s="86" t="s">
        <v>692</v>
      </c>
      <c r="H240" s="86" t="s">
        <v>38</v>
      </c>
      <c r="I240" s="86" t="s">
        <v>107</v>
      </c>
      <c r="J240" s="86" t="s">
        <v>693</v>
      </c>
      <c r="K240" s="86" t="s">
        <v>693</v>
      </c>
      <c r="L240" s="86" t="s">
        <v>508</v>
      </c>
      <c r="M240" s="86" t="s">
        <v>411</v>
      </c>
      <c r="N240" s="86" t="s">
        <v>412</v>
      </c>
      <c r="O240" s="86" t="s">
        <v>413</v>
      </c>
      <c r="P240" s="86" t="s">
        <v>403</v>
      </c>
      <c r="Q240" s="86" t="s">
        <v>414</v>
      </c>
      <c r="R240" s="88" t="s">
        <v>764</v>
      </c>
    </row>
    <row r="241" spans="1:18">
      <c r="A241" s="86" t="s">
        <v>135</v>
      </c>
      <c r="B241" s="86" t="s">
        <v>1500</v>
      </c>
      <c r="C241" s="87">
        <v>150000</v>
      </c>
      <c r="D241" s="87">
        <v>2</v>
      </c>
      <c r="E241" s="87">
        <v>300000</v>
      </c>
      <c r="F241" s="86">
        <v>1992.4</v>
      </c>
      <c r="G241" s="86" t="s">
        <v>692</v>
      </c>
      <c r="H241" s="86" t="s">
        <v>38</v>
      </c>
      <c r="I241" s="86" t="s">
        <v>107</v>
      </c>
      <c r="J241" s="86" t="s">
        <v>693</v>
      </c>
      <c r="K241" s="86" t="s">
        <v>693</v>
      </c>
      <c r="L241" s="86" t="s">
        <v>508</v>
      </c>
      <c r="M241" s="86" t="s">
        <v>411</v>
      </c>
      <c r="N241" s="86" t="s">
        <v>412</v>
      </c>
      <c r="O241" s="86" t="s">
        <v>413</v>
      </c>
      <c r="P241" s="86" t="s">
        <v>403</v>
      </c>
      <c r="Q241" s="86" t="s">
        <v>414</v>
      </c>
      <c r="R241" s="88" t="s">
        <v>764</v>
      </c>
    </row>
    <row r="242" spans="1:18">
      <c r="A242" s="86" t="s">
        <v>135</v>
      </c>
      <c r="B242" s="86" t="s">
        <v>1501</v>
      </c>
      <c r="C242" s="87">
        <v>75000</v>
      </c>
      <c r="D242" s="87">
        <v>2</v>
      </c>
      <c r="E242" s="87">
        <v>150000</v>
      </c>
      <c r="F242" s="86">
        <v>1992.7</v>
      </c>
      <c r="G242" s="86" t="s">
        <v>692</v>
      </c>
      <c r="H242" s="86" t="s">
        <v>38</v>
      </c>
      <c r="I242" s="86" t="s">
        <v>468</v>
      </c>
      <c r="J242" s="86" t="s">
        <v>693</v>
      </c>
      <c r="K242" s="86" t="s">
        <v>693</v>
      </c>
      <c r="L242" s="86" t="s">
        <v>508</v>
      </c>
      <c r="M242" s="86" t="s">
        <v>411</v>
      </c>
      <c r="N242" s="86" t="s">
        <v>412</v>
      </c>
      <c r="O242" s="86" t="s">
        <v>413</v>
      </c>
      <c r="P242" s="86" t="s">
        <v>403</v>
      </c>
      <c r="Q242" s="86" t="s">
        <v>414</v>
      </c>
      <c r="R242" s="88" t="s">
        <v>764</v>
      </c>
    </row>
    <row r="243" spans="1:18">
      <c r="A243" s="86" t="s">
        <v>135</v>
      </c>
      <c r="B243" s="86" t="s">
        <v>1501</v>
      </c>
      <c r="C243" s="87">
        <v>75000</v>
      </c>
      <c r="D243" s="87">
        <v>2</v>
      </c>
      <c r="E243" s="87">
        <v>150000</v>
      </c>
      <c r="F243" s="86">
        <v>1992.9</v>
      </c>
      <c r="G243" s="86" t="s">
        <v>692</v>
      </c>
      <c r="H243" s="86" t="s">
        <v>38</v>
      </c>
      <c r="I243" s="86" t="s">
        <v>468</v>
      </c>
      <c r="J243" s="86" t="s">
        <v>693</v>
      </c>
      <c r="K243" s="86" t="s">
        <v>693</v>
      </c>
      <c r="L243" s="86" t="s">
        <v>508</v>
      </c>
      <c r="M243" s="86" t="s">
        <v>411</v>
      </c>
      <c r="N243" s="86" t="s">
        <v>412</v>
      </c>
      <c r="O243" s="86" t="s">
        <v>413</v>
      </c>
      <c r="P243" s="86" t="s">
        <v>403</v>
      </c>
      <c r="Q243" s="86" t="s">
        <v>414</v>
      </c>
      <c r="R243" s="88" t="s">
        <v>764</v>
      </c>
    </row>
    <row r="244" spans="1:18">
      <c r="A244" s="86" t="s">
        <v>135</v>
      </c>
      <c r="B244" s="86" t="s">
        <v>1502</v>
      </c>
      <c r="C244" s="87">
        <v>150000</v>
      </c>
      <c r="D244" s="87">
        <v>4</v>
      </c>
      <c r="E244" s="87">
        <v>600000</v>
      </c>
      <c r="F244" s="86">
        <v>1996.6</v>
      </c>
      <c r="G244" s="86" t="s">
        <v>692</v>
      </c>
      <c r="H244" s="86" t="s">
        <v>38</v>
      </c>
      <c r="I244" s="86" t="s">
        <v>107</v>
      </c>
      <c r="J244" s="86" t="s">
        <v>693</v>
      </c>
      <c r="K244" s="86" t="s">
        <v>693</v>
      </c>
      <c r="L244" s="86" t="s">
        <v>410</v>
      </c>
      <c r="M244" s="86" t="s">
        <v>695</v>
      </c>
      <c r="N244" s="86" t="s">
        <v>412</v>
      </c>
      <c r="O244" s="86" t="s">
        <v>413</v>
      </c>
      <c r="P244" s="86" t="s">
        <v>403</v>
      </c>
      <c r="Q244" s="86" t="s">
        <v>414</v>
      </c>
      <c r="R244" s="88" t="s">
        <v>764</v>
      </c>
    </row>
    <row r="245" spans="1:18">
      <c r="A245" s="86" t="s">
        <v>135</v>
      </c>
      <c r="B245" s="86" t="s">
        <v>765</v>
      </c>
      <c r="C245" s="87">
        <v>150000</v>
      </c>
      <c r="D245" s="87">
        <v>2</v>
      </c>
      <c r="E245" s="87">
        <v>300000</v>
      </c>
      <c r="F245" s="86">
        <v>1997.7</v>
      </c>
      <c r="G245" s="86" t="s">
        <v>692</v>
      </c>
      <c r="H245" s="86" t="s">
        <v>38</v>
      </c>
      <c r="I245" s="86" t="s">
        <v>468</v>
      </c>
      <c r="J245" s="86" t="s">
        <v>693</v>
      </c>
      <c r="K245" s="86" t="s">
        <v>693</v>
      </c>
      <c r="L245" s="86" t="s">
        <v>410</v>
      </c>
      <c r="M245" s="86" t="s">
        <v>695</v>
      </c>
      <c r="N245" s="86" t="s">
        <v>412</v>
      </c>
      <c r="O245" s="86" t="s">
        <v>413</v>
      </c>
      <c r="P245" s="86" t="s">
        <v>403</v>
      </c>
      <c r="Q245" s="86" t="s">
        <v>414</v>
      </c>
      <c r="R245" s="88" t="s">
        <v>764</v>
      </c>
    </row>
    <row r="246" spans="1:18">
      <c r="A246" s="86" t="s">
        <v>135</v>
      </c>
      <c r="B246" s="86" t="s">
        <v>766</v>
      </c>
      <c r="C246" s="87">
        <v>150000</v>
      </c>
      <c r="D246" s="87">
        <v>4</v>
      </c>
      <c r="E246" s="87">
        <v>600000</v>
      </c>
      <c r="F246" s="86">
        <v>1996.6</v>
      </c>
      <c r="G246" s="86" t="s">
        <v>692</v>
      </c>
      <c r="H246" s="86" t="s">
        <v>38</v>
      </c>
      <c r="I246" s="86" t="s">
        <v>107</v>
      </c>
      <c r="J246" s="86" t="s">
        <v>693</v>
      </c>
      <c r="K246" s="86" t="s">
        <v>693</v>
      </c>
      <c r="L246" s="86" t="s">
        <v>410</v>
      </c>
      <c r="M246" s="86" t="s">
        <v>695</v>
      </c>
      <c r="N246" s="86" t="s">
        <v>412</v>
      </c>
      <c r="O246" s="86" t="s">
        <v>413</v>
      </c>
      <c r="P246" s="86" t="s">
        <v>403</v>
      </c>
      <c r="Q246" s="86" t="s">
        <v>414</v>
      </c>
      <c r="R246" s="88" t="s">
        <v>764</v>
      </c>
    </row>
    <row r="247" spans="1:18">
      <c r="A247" s="86" t="s">
        <v>135</v>
      </c>
      <c r="B247" s="86" t="s">
        <v>767</v>
      </c>
      <c r="C247" s="87">
        <v>150000</v>
      </c>
      <c r="D247" s="87">
        <v>2</v>
      </c>
      <c r="E247" s="87">
        <v>300000</v>
      </c>
      <c r="F247" s="86">
        <v>1997.7</v>
      </c>
      <c r="G247" s="86" t="s">
        <v>692</v>
      </c>
      <c r="H247" s="86" t="s">
        <v>38</v>
      </c>
      <c r="I247" s="86" t="s">
        <v>468</v>
      </c>
      <c r="J247" s="86" t="s">
        <v>693</v>
      </c>
      <c r="K247" s="86" t="s">
        <v>693</v>
      </c>
      <c r="L247" s="86" t="s">
        <v>410</v>
      </c>
      <c r="M247" s="86" t="s">
        <v>695</v>
      </c>
      <c r="N247" s="86" t="s">
        <v>412</v>
      </c>
      <c r="O247" s="86" t="s">
        <v>413</v>
      </c>
      <c r="P247" s="86" t="s">
        <v>403</v>
      </c>
      <c r="Q247" s="86" t="s">
        <v>414</v>
      </c>
      <c r="R247" s="88" t="s">
        <v>764</v>
      </c>
    </row>
    <row r="248" spans="1:18">
      <c r="A248" s="86" t="s">
        <v>135</v>
      </c>
      <c r="B248" s="86" t="s">
        <v>768</v>
      </c>
      <c r="C248" s="87">
        <v>290200</v>
      </c>
      <c r="D248" s="87">
        <v>2</v>
      </c>
      <c r="E248" s="87">
        <v>580400</v>
      </c>
      <c r="F248" s="86">
        <v>2019.1</v>
      </c>
      <c r="G248" s="86" t="s">
        <v>692</v>
      </c>
      <c r="H248" s="86" t="s">
        <v>38</v>
      </c>
      <c r="I248" s="86" t="s">
        <v>693</v>
      </c>
      <c r="J248" s="86" t="s">
        <v>423</v>
      </c>
      <c r="K248" s="86" t="s">
        <v>769</v>
      </c>
      <c r="L248" s="86" t="s">
        <v>770</v>
      </c>
      <c r="M248" s="86" t="s">
        <v>436</v>
      </c>
      <c r="N248" s="86" t="s">
        <v>412</v>
      </c>
      <c r="O248" s="86" t="s">
        <v>413</v>
      </c>
      <c r="P248" s="86" t="s">
        <v>403</v>
      </c>
      <c r="Q248" s="86" t="s">
        <v>414</v>
      </c>
      <c r="R248" s="88" t="s">
        <v>771</v>
      </c>
    </row>
    <row r="249" spans="1:18">
      <c r="A249" s="86" t="s">
        <v>135</v>
      </c>
      <c r="B249" s="86" t="s">
        <v>772</v>
      </c>
      <c r="C249" s="87">
        <v>282900</v>
      </c>
      <c r="D249" s="87">
        <v>1</v>
      </c>
      <c r="E249" s="87">
        <v>282900</v>
      </c>
      <c r="F249" s="86">
        <v>2019.1</v>
      </c>
      <c r="G249" s="86" t="s">
        <v>692</v>
      </c>
      <c r="H249" s="86" t="s">
        <v>38</v>
      </c>
      <c r="I249" s="86" t="s">
        <v>107</v>
      </c>
      <c r="J249" s="86" t="s">
        <v>423</v>
      </c>
      <c r="K249" s="86" t="s">
        <v>769</v>
      </c>
      <c r="L249" s="86" t="s">
        <v>770</v>
      </c>
      <c r="M249" s="86" t="s">
        <v>436</v>
      </c>
      <c r="N249" s="86" t="s">
        <v>412</v>
      </c>
      <c r="O249" s="86" t="s">
        <v>413</v>
      </c>
      <c r="P249" s="86" t="s">
        <v>403</v>
      </c>
      <c r="Q249" s="86" t="s">
        <v>414</v>
      </c>
      <c r="R249" s="88" t="s">
        <v>771</v>
      </c>
    </row>
    <row r="250" spans="1:18">
      <c r="A250" s="86" t="s">
        <v>135</v>
      </c>
      <c r="B250" s="86" t="s">
        <v>773</v>
      </c>
      <c r="C250" s="87">
        <v>234500</v>
      </c>
      <c r="D250" s="87">
        <v>1</v>
      </c>
      <c r="E250" s="87">
        <v>234500</v>
      </c>
      <c r="F250" s="86">
        <v>2014.3</v>
      </c>
      <c r="G250" s="86" t="s">
        <v>692</v>
      </c>
      <c r="H250" s="86" t="s">
        <v>38</v>
      </c>
      <c r="I250" s="86" t="s">
        <v>107</v>
      </c>
      <c r="J250" s="86" t="s">
        <v>706</v>
      </c>
      <c r="K250" s="86" t="s">
        <v>706</v>
      </c>
      <c r="L250" s="86" t="s">
        <v>410</v>
      </c>
      <c r="M250" s="86" t="s">
        <v>716</v>
      </c>
      <c r="N250" s="86" t="s">
        <v>412</v>
      </c>
      <c r="O250" s="86" t="s">
        <v>413</v>
      </c>
      <c r="P250" s="86" t="s">
        <v>403</v>
      </c>
      <c r="Q250" s="86" t="s">
        <v>414</v>
      </c>
      <c r="R250" s="88" t="s">
        <v>774</v>
      </c>
    </row>
    <row r="251" spans="1:18">
      <c r="A251" s="86" t="s">
        <v>135</v>
      </c>
      <c r="B251" s="86" t="s">
        <v>775</v>
      </c>
      <c r="C251" s="87">
        <v>127100</v>
      </c>
      <c r="D251" s="87">
        <v>1</v>
      </c>
      <c r="E251" s="87">
        <v>127100</v>
      </c>
      <c r="F251" s="86">
        <v>2014.3</v>
      </c>
      <c r="G251" s="86" t="s">
        <v>692</v>
      </c>
      <c r="H251" s="86" t="s">
        <v>38</v>
      </c>
      <c r="I251" s="86" t="s">
        <v>706</v>
      </c>
      <c r="J251" s="86" t="s">
        <v>706</v>
      </c>
      <c r="K251" s="86" t="s">
        <v>706</v>
      </c>
      <c r="L251" s="86" t="s">
        <v>410</v>
      </c>
      <c r="M251" s="86" t="s">
        <v>716</v>
      </c>
      <c r="N251" s="86" t="s">
        <v>412</v>
      </c>
      <c r="O251" s="86" t="s">
        <v>413</v>
      </c>
      <c r="P251" s="86" t="s">
        <v>403</v>
      </c>
      <c r="Q251" s="86" t="s">
        <v>414</v>
      </c>
      <c r="R251" s="88" t="s">
        <v>774</v>
      </c>
    </row>
    <row r="252" spans="1:18">
      <c r="A252" s="86" t="s">
        <v>135</v>
      </c>
      <c r="B252" s="86" t="s">
        <v>776</v>
      </c>
      <c r="C252" s="87">
        <v>242900</v>
      </c>
      <c r="D252" s="87">
        <v>2</v>
      </c>
      <c r="E252" s="87">
        <v>485800</v>
      </c>
      <c r="F252" s="86">
        <v>2014.11</v>
      </c>
      <c r="G252" s="86" t="s">
        <v>692</v>
      </c>
      <c r="H252" s="86" t="s">
        <v>38</v>
      </c>
      <c r="I252" s="86" t="s">
        <v>107</v>
      </c>
      <c r="J252" s="86" t="s">
        <v>706</v>
      </c>
      <c r="K252" s="86" t="s">
        <v>706</v>
      </c>
      <c r="L252" s="86" t="s">
        <v>777</v>
      </c>
      <c r="M252" s="86" t="s">
        <v>499</v>
      </c>
      <c r="N252" s="86" t="s">
        <v>412</v>
      </c>
      <c r="O252" s="86" t="s">
        <v>413</v>
      </c>
      <c r="P252" s="86" t="s">
        <v>403</v>
      </c>
      <c r="Q252" s="86" t="s">
        <v>414</v>
      </c>
      <c r="R252" s="88" t="s">
        <v>778</v>
      </c>
    </row>
    <row r="253" spans="1:18">
      <c r="A253" s="86" t="s">
        <v>135</v>
      </c>
      <c r="B253" s="86" t="s">
        <v>779</v>
      </c>
      <c r="C253" s="87">
        <v>265400</v>
      </c>
      <c r="D253" s="87">
        <v>1</v>
      </c>
      <c r="E253" s="87">
        <v>265400</v>
      </c>
      <c r="F253" s="86">
        <v>2014.11</v>
      </c>
      <c r="G253" s="86" t="s">
        <v>692</v>
      </c>
      <c r="H253" s="86" t="s">
        <v>38</v>
      </c>
      <c r="I253" s="86" t="s">
        <v>706</v>
      </c>
      <c r="J253" s="86" t="s">
        <v>706</v>
      </c>
      <c r="K253" s="86" t="s">
        <v>706</v>
      </c>
      <c r="L253" s="86" t="s">
        <v>777</v>
      </c>
      <c r="M253" s="86" t="s">
        <v>499</v>
      </c>
      <c r="N253" s="86" t="s">
        <v>412</v>
      </c>
      <c r="O253" s="86" t="s">
        <v>413</v>
      </c>
      <c r="P253" s="86" t="s">
        <v>403</v>
      </c>
      <c r="Q253" s="86" t="s">
        <v>414</v>
      </c>
      <c r="R253" s="88" t="s">
        <v>778</v>
      </c>
    </row>
    <row r="254" spans="1:18">
      <c r="A254" s="86" t="s">
        <v>135</v>
      </c>
      <c r="B254" s="86" t="s">
        <v>1503</v>
      </c>
      <c r="C254" s="87">
        <v>336022</v>
      </c>
      <c r="D254" s="87">
        <v>1</v>
      </c>
      <c r="E254" s="87">
        <v>336022</v>
      </c>
      <c r="F254" s="86">
        <v>2023.07</v>
      </c>
      <c r="G254" s="86" t="s">
        <v>692</v>
      </c>
      <c r="H254" s="86" t="s">
        <v>38</v>
      </c>
      <c r="I254" s="86" t="s">
        <v>1504</v>
      </c>
      <c r="J254" s="86" t="s">
        <v>1504</v>
      </c>
      <c r="K254" s="86" t="s">
        <v>1504</v>
      </c>
      <c r="L254" s="86" t="s">
        <v>1505</v>
      </c>
      <c r="M254" s="86" t="s">
        <v>695</v>
      </c>
      <c r="N254" s="86" t="s">
        <v>1298</v>
      </c>
      <c r="O254" s="86" t="s">
        <v>413</v>
      </c>
      <c r="P254" s="86" t="s">
        <v>403</v>
      </c>
      <c r="Q254" s="86" t="s">
        <v>414</v>
      </c>
      <c r="R254" s="88" t="s">
        <v>1506</v>
      </c>
    </row>
    <row r="255" spans="1:18">
      <c r="A255" s="86" t="s">
        <v>135</v>
      </c>
      <c r="B255" s="86" t="s">
        <v>1507</v>
      </c>
      <c r="C255" s="87">
        <v>336022</v>
      </c>
      <c r="D255" s="87">
        <v>1</v>
      </c>
      <c r="E255" s="87">
        <v>336022</v>
      </c>
      <c r="F255" s="86">
        <v>2023.07</v>
      </c>
      <c r="G255" s="86" t="s">
        <v>692</v>
      </c>
      <c r="H255" s="86" t="s">
        <v>38</v>
      </c>
      <c r="I255" s="86" t="s">
        <v>1504</v>
      </c>
      <c r="J255" s="86" t="s">
        <v>1504</v>
      </c>
      <c r="K255" s="86" t="s">
        <v>1504</v>
      </c>
      <c r="L255" s="86" t="s">
        <v>1505</v>
      </c>
      <c r="M255" s="86" t="s">
        <v>1508</v>
      </c>
      <c r="N255" s="86" t="s">
        <v>1298</v>
      </c>
      <c r="O255" s="86" t="s">
        <v>413</v>
      </c>
      <c r="P255" s="86" t="s">
        <v>403</v>
      </c>
      <c r="Q255" s="86" t="s">
        <v>414</v>
      </c>
      <c r="R255" s="88" t="s">
        <v>1506</v>
      </c>
    </row>
    <row r="256" spans="1:18">
      <c r="A256" s="86" t="s">
        <v>135</v>
      </c>
      <c r="B256" s="86" t="s">
        <v>1509</v>
      </c>
      <c r="C256" s="87">
        <v>353356</v>
      </c>
      <c r="D256" s="87">
        <v>1</v>
      </c>
      <c r="E256" s="87">
        <v>353356</v>
      </c>
      <c r="F256" s="86">
        <v>2023.07</v>
      </c>
      <c r="G256" s="86" t="s">
        <v>692</v>
      </c>
      <c r="H256" s="86" t="s">
        <v>38</v>
      </c>
      <c r="I256" s="86" t="s">
        <v>1504</v>
      </c>
      <c r="J256" s="86" t="s">
        <v>1504</v>
      </c>
      <c r="K256" s="86" t="s">
        <v>1504</v>
      </c>
      <c r="L256" s="86" t="s">
        <v>1505</v>
      </c>
      <c r="M256" s="86" t="s">
        <v>1508</v>
      </c>
      <c r="N256" s="86" t="s">
        <v>1298</v>
      </c>
      <c r="O256" s="86" t="s">
        <v>413</v>
      </c>
      <c r="P256" s="86" t="s">
        <v>403</v>
      </c>
      <c r="Q256" s="86" t="s">
        <v>414</v>
      </c>
      <c r="R256" s="88" t="s">
        <v>1506</v>
      </c>
    </row>
    <row r="257" spans="1:18">
      <c r="A257" s="86" t="s">
        <v>135</v>
      </c>
      <c r="B257" s="86" t="s">
        <v>780</v>
      </c>
      <c r="C257" s="87">
        <v>292000</v>
      </c>
      <c r="D257" s="87">
        <v>1</v>
      </c>
      <c r="E257" s="87">
        <v>292000</v>
      </c>
      <c r="F257" s="86">
        <v>2017.1</v>
      </c>
      <c r="G257" s="86" t="s">
        <v>692</v>
      </c>
      <c r="H257" s="86" t="s">
        <v>38</v>
      </c>
      <c r="I257" s="86" t="s">
        <v>107</v>
      </c>
      <c r="J257" s="86" t="s">
        <v>423</v>
      </c>
      <c r="K257" s="86" t="s">
        <v>769</v>
      </c>
      <c r="L257" s="86" t="s">
        <v>781</v>
      </c>
      <c r="M257" s="86" t="s">
        <v>107</v>
      </c>
      <c r="N257" s="86" t="s">
        <v>412</v>
      </c>
      <c r="O257" s="86" t="s">
        <v>413</v>
      </c>
      <c r="P257" s="86" t="s">
        <v>403</v>
      </c>
      <c r="Q257" s="86" t="s">
        <v>414</v>
      </c>
      <c r="R257" s="88" t="s">
        <v>782</v>
      </c>
    </row>
    <row r="258" spans="1:18">
      <c r="A258" s="86" t="s">
        <v>135</v>
      </c>
      <c r="B258" s="86" t="s">
        <v>783</v>
      </c>
      <c r="C258" s="87">
        <v>150800</v>
      </c>
      <c r="D258" s="87">
        <v>1</v>
      </c>
      <c r="E258" s="87">
        <v>150800</v>
      </c>
      <c r="F258" s="86">
        <v>2017.1</v>
      </c>
      <c r="G258" s="86" t="s">
        <v>692</v>
      </c>
      <c r="H258" s="86" t="s">
        <v>38</v>
      </c>
      <c r="I258" s="86" t="s">
        <v>704</v>
      </c>
      <c r="J258" s="86" t="s">
        <v>423</v>
      </c>
      <c r="K258" s="86" t="s">
        <v>769</v>
      </c>
      <c r="L258" s="86" t="s">
        <v>781</v>
      </c>
      <c r="M258" s="86" t="s">
        <v>107</v>
      </c>
      <c r="N258" s="86" t="s">
        <v>412</v>
      </c>
      <c r="O258" s="86" t="s">
        <v>413</v>
      </c>
      <c r="P258" s="86" t="s">
        <v>403</v>
      </c>
      <c r="Q258" s="86" t="s">
        <v>414</v>
      </c>
      <c r="R258" s="88" t="s">
        <v>782</v>
      </c>
    </row>
    <row r="259" spans="1:18">
      <c r="A259" s="86" t="s">
        <v>135</v>
      </c>
      <c r="B259" s="86" t="s">
        <v>784</v>
      </c>
      <c r="C259" s="87">
        <v>183000</v>
      </c>
      <c r="D259" s="87">
        <v>3</v>
      </c>
      <c r="E259" s="87">
        <v>549000</v>
      </c>
      <c r="F259" s="86">
        <v>2010.1</v>
      </c>
      <c r="G259" s="86" t="s">
        <v>692</v>
      </c>
      <c r="H259" s="86" t="s">
        <v>38</v>
      </c>
      <c r="I259" s="86" t="s">
        <v>107</v>
      </c>
      <c r="J259" s="86" t="s">
        <v>408</v>
      </c>
      <c r="K259" s="86" t="s">
        <v>408</v>
      </c>
      <c r="L259" s="86" t="s">
        <v>410</v>
      </c>
      <c r="M259" s="86" t="s">
        <v>695</v>
      </c>
      <c r="N259" s="86" t="s">
        <v>412</v>
      </c>
      <c r="O259" s="86" t="s">
        <v>413</v>
      </c>
      <c r="P259" s="86" t="s">
        <v>403</v>
      </c>
      <c r="Q259" s="86" t="s">
        <v>414</v>
      </c>
      <c r="R259" s="88" t="s">
        <v>785</v>
      </c>
    </row>
    <row r="260" spans="1:18">
      <c r="A260" s="86" t="s">
        <v>135</v>
      </c>
      <c r="B260" s="86" t="s">
        <v>786</v>
      </c>
      <c r="C260" s="87">
        <v>299000</v>
      </c>
      <c r="D260" s="87">
        <v>1</v>
      </c>
      <c r="E260" s="87">
        <v>299000</v>
      </c>
      <c r="F260" s="86">
        <v>2010.1</v>
      </c>
      <c r="G260" s="86" t="s">
        <v>692</v>
      </c>
      <c r="H260" s="86" t="s">
        <v>38</v>
      </c>
      <c r="I260" s="86" t="s">
        <v>408</v>
      </c>
      <c r="J260" s="86" t="s">
        <v>408</v>
      </c>
      <c r="K260" s="86" t="s">
        <v>408</v>
      </c>
      <c r="L260" s="86" t="s">
        <v>410</v>
      </c>
      <c r="M260" s="86" t="s">
        <v>695</v>
      </c>
      <c r="N260" s="86" t="s">
        <v>412</v>
      </c>
      <c r="O260" s="86" t="s">
        <v>413</v>
      </c>
      <c r="P260" s="86" t="s">
        <v>403</v>
      </c>
      <c r="Q260" s="86" t="s">
        <v>414</v>
      </c>
      <c r="R260" s="88" t="s">
        <v>785</v>
      </c>
    </row>
    <row r="261" spans="1:18">
      <c r="A261" s="86" t="s">
        <v>135</v>
      </c>
      <c r="B261" s="86" t="s">
        <v>787</v>
      </c>
      <c r="C261" s="87">
        <v>165680</v>
      </c>
      <c r="D261" s="87">
        <v>3</v>
      </c>
      <c r="E261" s="87">
        <v>497040</v>
      </c>
      <c r="F261" s="86">
        <v>2013.3</v>
      </c>
      <c r="G261" s="86" t="s">
        <v>692</v>
      </c>
      <c r="H261" s="86" t="s">
        <v>38</v>
      </c>
      <c r="I261" s="86" t="s">
        <v>107</v>
      </c>
      <c r="J261" s="86" t="s">
        <v>693</v>
      </c>
      <c r="K261" s="86" t="s">
        <v>693</v>
      </c>
      <c r="L261" s="86" t="s">
        <v>788</v>
      </c>
      <c r="M261" s="86" t="s">
        <v>695</v>
      </c>
      <c r="N261" s="86" t="s">
        <v>412</v>
      </c>
      <c r="O261" s="86" t="s">
        <v>413</v>
      </c>
      <c r="P261" s="86" t="s">
        <v>403</v>
      </c>
      <c r="Q261" s="86" t="s">
        <v>414</v>
      </c>
      <c r="R261" s="88" t="s">
        <v>789</v>
      </c>
    </row>
    <row r="262" spans="1:18">
      <c r="A262" s="86" t="s">
        <v>135</v>
      </c>
      <c r="B262" s="86" t="s">
        <v>790</v>
      </c>
      <c r="C262" s="87">
        <v>272790</v>
      </c>
      <c r="D262" s="87">
        <v>1</v>
      </c>
      <c r="E262" s="87">
        <v>272790</v>
      </c>
      <c r="F262" s="86">
        <v>2013.3</v>
      </c>
      <c r="G262" s="86" t="s">
        <v>692</v>
      </c>
      <c r="H262" s="86" t="s">
        <v>38</v>
      </c>
      <c r="I262" s="86" t="s">
        <v>408</v>
      </c>
      <c r="J262" s="86" t="s">
        <v>693</v>
      </c>
      <c r="K262" s="86" t="s">
        <v>693</v>
      </c>
      <c r="L262" s="86" t="s">
        <v>788</v>
      </c>
      <c r="M262" s="86" t="s">
        <v>695</v>
      </c>
      <c r="N262" s="86" t="s">
        <v>412</v>
      </c>
      <c r="O262" s="86" t="s">
        <v>413</v>
      </c>
      <c r="P262" s="86" t="s">
        <v>403</v>
      </c>
      <c r="Q262" s="86" t="s">
        <v>414</v>
      </c>
      <c r="R262" s="88" t="s">
        <v>789</v>
      </c>
    </row>
    <row r="263" spans="1:18">
      <c r="A263" s="86" t="s">
        <v>135</v>
      </c>
      <c r="B263" s="86" t="s">
        <v>791</v>
      </c>
      <c r="C263" s="87">
        <v>100000</v>
      </c>
      <c r="D263" s="87">
        <v>2</v>
      </c>
      <c r="E263" s="87">
        <v>200000</v>
      </c>
      <c r="F263" s="86">
        <v>1995.6</v>
      </c>
      <c r="G263" s="86" t="s">
        <v>692</v>
      </c>
      <c r="H263" s="86" t="s">
        <v>38</v>
      </c>
      <c r="I263" s="86" t="s">
        <v>107</v>
      </c>
      <c r="J263" s="86" t="s">
        <v>792</v>
      </c>
      <c r="K263" s="86" t="s">
        <v>792</v>
      </c>
      <c r="L263" s="86" t="s">
        <v>419</v>
      </c>
      <c r="M263" s="86" t="s">
        <v>484</v>
      </c>
      <c r="N263" s="86" t="s">
        <v>412</v>
      </c>
      <c r="O263" s="86" t="s">
        <v>413</v>
      </c>
      <c r="P263" s="86" t="s">
        <v>403</v>
      </c>
      <c r="Q263" s="86" t="s">
        <v>414</v>
      </c>
      <c r="R263" s="88" t="s">
        <v>500</v>
      </c>
    </row>
    <row r="264" spans="1:18">
      <c r="A264" s="86" t="s">
        <v>135</v>
      </c>
      <c r="B264" s="86" t="s">
        <v>793</v>
      </c>
      <c r="C264" s="87">
        <v>100000</v>
      </c>
      <c r="D264" s="87">
        <v>1</v>
      </c>
      <c r="E264" s="87">
        <v>100000</v>
      </c>
      <c r="F264" s="86">
        <v>1979.1</v>
      </c>
      <c r="G264" s="86" t="s">
        <v>692</v>
      </c>
      <c r="H264" s="86" t="s">
        <v>38</v>
      </c>
      <c r="I264" s="86" t="s">
        <v>794</v>
      </c>
      <c r="J264" s="86" t="s">
        <v>441</v>
      </c>
      <c r="K264" s="86" t="s">
        <v>441</v>
      </c>
      <c r="L264" s="86" t="s">
        <v>419</v>
      </c>
      <c r="M264" s="86" t="s">
        <v>484</v>
      </c>
      <c r="N264" s="86" t="s">
        <v>412</v>
      </c>
      <c r="O264" s="86" t="s">
        <v>413</v>
      </c>
      <c r="P264" s="86" t="s">
        <v>403</v>
      </c>
      <c r="Q264" s="86" t="s">
        <v>414</v>
      </c>
      <c r="R264" s="88" t="s">
        <v>500</v>
      </c>
    </row>
    <row r="265" spans="1:18">
      <c r="A265" s="86" t="s">
        <v>135</v>
      </c>
      <c r="B265" s="86" t="s">
        <v>793</v>
      </c>
      <c r="C265" s="87">
        <v>0</v>
      </c>
      <c r="D265" s="87">
        <v>0</v>
      </c>
      <c r="E265" s="87">
        <v>0</v>
      </c>
      <c r="F265" s="86">
        <v>1987</v>
      </c>
      <c r="G265" s="86" t="s">
        <v>692</v>
      </c>
      <c r="H265" s="86" t="s">
        <v>38</v>
      </c>
      <c r="I265" s="86" t="s">
        <v>107</v>
      </c>
      <c r="J265" s="86" t="s">
        <v>107</v>
      </c>
      <c r="K265" s="86" t="s">
        <v>107</v>
      </c>
      <c r="L265" s="86" t="s">
        <v>107</v>
      </c>
      <c r="M265" s="86" t="s">
        <v>107</v>
      </c>
      <c r="N265" s="86" t="s">
        <v>107</v>
      </c>
      <c r="O265" s="86" t="s">
        <v>107</v>
      </c>
      <c r="P265" s="86" t="s">
        <v>107</v>
      </c>
      <c r="Q265" s="86" t="s">
        <v>107</v>
      </c>
      <c r="R265" s="88" t="s">
        <v>107</v>
      </c>
    </row>
    <row r="266" spans="1:18">
      <c r="A266" s="86" t="s">
        <v>135</v>
      </c>
      <c r="B266" s="86" t="s">
        <v>795</v>
      </c>
      <c r="C266" s="87">
        <v>150000</v>
      </c>
      <c r="D266" s="87">
        <v>2</v>
      </c>
      <c r="E266" s="87">
        <v>300000</v>
      </c>
      <c r="F266" s="86">
        <v>1996.7</v>
      </c>
      <c r="G266" s="86" t="s">
        <v>692</v>
      </c>
      <c r="H266" s="86" t="s">
        <v>38</v>
      </c>
      <c r="I266" s="86" t="s">
        <v>107</v>
      </c>
      <c r="J266" s="86" t="s">
        <v>792</v>
      </c>
      <c r="K266" s="86" t="s">
        <v>792</v>
      </c>
      <c r="L266" s="86" t="s">
        <v>419</v>
      </c>
      <c r="M266" s="86" t="s">
        <v>484</v>
      </c>
      <c r="N266" s="86" t="s">
        <v>412</v>
      </c>
      <c r="O266" s="86" t="s">
        <v>413</v>
      </c>
      <c r="P266" s="86" t="s">
        <v>403</v>
      </c>
      <c r="Q266" s="86" t="s">
        <v>414</v>
      </c>
      <c r="R266" s="88" t="s">
        <v>500</v>
      </c>
    </row>
    <row r="267" spans="1:18">
      <c r="A267" s="86" t="s">
        <v>135</v>
      </c>
      <c r="B267" s="86" t="s">
        <v>796</v>
      </c>
      <c r="C267" s="87">
        <v>150000</v>
      </c>
      <c r="D267" s="87">
        <v>1</v>
      </c>
      <c r="E267" s="87">
        <v>150000</v>
      </c>
      <c r="F267" s="86">
        <v>1997.6</v>
      </c>
      <c r="G267" s="86" t="s">
        <v>692</v>
      </c>
      <c r="H267" s="86" t="s">
        <v>38</v>
      </c>
      <c r="I267" s="86" t="s">
        <v>701</v>
      </c>
      <c r="J267" s="86" t="s">
        <v>701</v>
      </c>
      <c r="K267" s="86" t="s">
        <v>792</v>
      </c>
      <c r="L267" s="86" t="s">
        <v>419</v>
      </c>
      <c r="M267" s="86" t="s">
        <v>484</v>
      </c>
      <c r="N267" s="86" t="s">
        <v>412</v>
      </c>
      <c r="O267" s="86" t="s">
        <v>413</v>
      </c>
      <c r="P267" s="86" t="s">
        <v>403</v>
      </c>
      <c r="Q267" s="86" t="s">
        <v>414</v>
      </c>
      <c r="R267" s="88" t="s">
        <v>500</v>
      </c>
    </row>
    <row r="268" spans="1:18">
      <c r="A268" s="86" t="s">
        <v>135</v>
      </c>
      <c r="B268" s="86" t="s">
        <v>797</v>
      </c>
      <c r="C268" s="87">
        <v>150000</v>
      </c>
      <c r="D268" s="87">
        <v>2</v>
      </c>
      <c r="E268" s="87">
        <v>300000</v>
      </c>
      <c r="F268" s="86">
        <v>1996.7</v>
      </c>
      <c r="G268" s="86" t="s">
        <v>692</v>
      </c>
      <c r="H268" s="86" t="s">
        <v>38</v>
      </c>
      <c r="I268" s="86" t="s">
        <v>107</v>
      </c>
      <c r="J268" s="86" t="s">
        <v>792</v>
      </c>
      <c r="K268" s="86" t="s">
        <v>792</v>
      </c>
      <c r="L268" s="86" t="s">
        <v>419</v>
      </c>
      <c r="M268" s="86" t="s">
        <v>484</v>
      </c>
      <c r="N268" s="86" t="s">
        <v>412</v>
      </c>
      <c r="O268" s="86" t="s">
        <v>413</v>
      </c>
      <c r="P268" s="86" t="s">
        <v>403</v>
      </c>
      <c r="Q268" s="86" t="s">
        <v>414</v>
      </c>
      <c r="R268" s="88" t="s">
        <v>500</v>
      </c>
    </row>
    <row r="269" spans="1:18">
      <c r="A269" s="86" t="s">
        <v>135</v>
      </c>
      <c r="B269" s="86" t="s">
        <v>798</v>
      </c>
      <c r="C269" s="87">
        <v>150000</v>
      </c>
      <c r="D269" s="87">
        <v>1</v>
      </c>
      <c r="E269" s="87">
        <v>150000</v>
      </c>
      <c r="F269" s="86">
        <v>1997.8</v>
      </c>
      <c r="G269" s="86" t="s">
        <v>692</v>
      </c>
      <c r="H269" s="86" t="s">
        <v>38</v>
      </c>
      <c r="I269" s="86" t="s">
        <v>701</v>
      </c>
      <c r="J269" s="86" t="s">
        <v>701</v>
      </c>
      <c r="K269" s="86" t="s">
        <v>792</v>
      </c>
      <c r="L269" s="86" t="s">
        <v>419</v>
      </c>
      <c r="M269" s="86" t="s">
        <v>484</v>
      </c>
      <c r="N269" s="86" t="s">
        <v>412</v>
      </c>
      <c r="O269" s="86" t="s">
        <v>413</v>
      </c>
      <c r="P269" s="86" t="s">
        <v>403</v>
      </c>
      <c r="Q269" s="86" t="s">
        <v>414</v>
      </c>
      <c r="R269" s="88" t="s">
        <v>500</v>
      </c>
    </row>
    <row r="270" spans="1:18">
      <c r="A270" s="86" t="s">
        <v>135</v>
      </c>
      <c r="B270" s="86" t="s">
        <v>799</v>
      </c>
      <c r="C270" s="87">
        <v>286600</v>
      </c>
      <c r="D270" s="87">
        <v>2</v>
      </c>
      <c r="E270" s="87">
        <v>573200</v>
      </c>
      <c r="F270" s="86">
        <v>2013.7</v>
      </c>
      <c r="G270" s="86" t="s">
        <v>692</v>
      </c>
      <c r="H270" s="86" t="s">
        <v>38</v>
      </c>
      <c r="I270" s="86" t="s">
        <v>107</v>
      </c>
      <c r="J270" s="86" t="s">
        <v>701</v>
      </c>
      <c r="K270" s="86" t="s">
        <v>701</v>
      </c>
      <c r="L270" s="86" t="s">
        <v>419</v>
      </c>
      <c r="M270" s="86" t="s">
        <v>436</v>
      </c>
      <c r="N270" s="86" t="s">
        <v>412</v>
      </c>
      <c r="O270" s="86" t="s">
        <v>413</v>
      </c>
      <c r="P270" s="86" t="s">
        <v>403</v>
      </c>
      <c r="Q270" s="86" t="s">
        <v>414</v>
      </c>
      <c r="R270" s="88" t="s">
        <v>500</v>
      </c>
    </row>
    <row r="271" spans="1:18">
      <c r="A271" s="86" t="s">
        <v>135</v>
      </c>
      <c r="B271" s="86" t="s">
        <v>800</v>
      </c>
      <c r="C271" s="87">
        <v>298700</v>
      </c>
      <c r="D271" s="87">
        <v>1</v>
      </c>
      <c r="E271" s="87">
        <v>298700</v>
      </c>
      <c r="F271" s="86">
        <v>2014.7</v>
      </c>
      <c r="G271" s="86" t="s">
        <v>692</v>
      </c>
      <c r="H271" s="86" t="s">
        <v>38</v>
      </c>
      <c r="I271" s="86" t="s">
        <v>801</v>
      </c>
      <c r="J271" s="86" t="s">
        <v>701</v>
      </c>
      <c r="K271" s="86" t="s">
        <v>701</v>
      </c>
      <c r="L271" s="86" t="s">
        <v>419</v>
      </c>
      <c r="M271" s="86" t="s">
        <v>436</v>
      </c>
      <c r="N271" s="86" t="s">
        <v>412</v>
      </c>
      <c r="O271" s="86" t="s">
        <v>413</v>
      </c>
      <c r="P271" s="86" t="s">
        <v>403</v>
      </c>
      <c r="Q271" s="86" t="s">
        <v>414</v>
      </c>
      <c r="R271" s="88" t="s">
        <v>500</v>
      </c>
    </row>
    <row r="272" spans="1:18">
      <c r="A272" s="86" t="s">
        <v>135</v>
      </c>
      <c r="B272" s="86" t="s">
        <v>802</v>
      </c>
      <c r="C272" s="87">
        <v>163800</v>
      </c>
      <c r="D272" s="87">
        <v>2</v>
      </c>
      <c r="E272" s="87">
        <v>327600</v>
      </c>
      <c r="F272" s="86">
        <v>2004.7</v>
      </c>
      <c r="G272" s="86" t="s">
        <v>692</v>
      </c>
      <c r="H272" s="86" t="s">
        <v>38</v>
      </c>
      <c r="I272" s="86" t="s">
        <v>107</v>
      </c>
      <c r="J272" s="86" t="s">
        <v>706</v>
      </c>
      <c r="K272" s="86" t="s">
        <v>792</v>
      </c>
      <c r="L272" s="86" t="s">
        <v>803</v>
      </c>
      <c r="M272" s="86" t="s">
        <v>761</v>
      </c>
      <c r="N272" s="86" t="s">
        <v>412</v>
      </c>
      <c r="O272" s="86" t="s">
        <v>709</v>
      </c>
      <c r="P272" s="86" t="s">
        <v>403</v>
      </c>
      <c r="Q272" s="86" t="s">
        <v>414</v>
      </c>
      <c r="R272" s="88" t="s">
        <v>804</v>
      </c>
    </row>
    <row r="273" spans="1:18">
      <c r="A273" s="86" t="s">
        <v>135</v>
      </c>
      <c r="B273" s="86" t="s">
        <v>805</v>
      </c>
      <c r="C273" s="87">
        <v>197900</v>
      </c>
      <c r="D273" s="87">
        <v>1</v>
      </c>
      <c r="E273" s="87">
        <v>197900</v>
      </c>
      <c r="F273" s="86">
        <v>2005.7</v>
      </c>
      <c r="G273" s="86" t="s">
        <v>692</v>
      </c>
      <c r="H273" s="86" t="s">
        <v>38</v>
      </c>
      <c r="I273" s="86" t="s">
        <v>706</v>
      </c>
      <c r="J273" s="86" t="s">
        <v>706</v>
      </c>
      <c r="K273" s="86" t="s">
        <v>706</v>
      </c>
      <c r="L273" s="86" t="s">
        <v>803</v>
      </c>
      <c r="M273" s="86" t="s">
        <v>695</v>
      </c>
      <c r="N273" s="86" t="s">
        <v>412</v>
      </c>
      <c r="O273" s="86" t="s">
        <v>709</v>
      </c>
      <c r="P273" s="86" t="s">
        <v>403</v>
      </c>
      <c r="Q273" s="86" t="s">
        <v>414</v>
      </c>
      <c r="R273" s="88" t="s">
        <v>804</v>
      </c>
    </row>
    <row r="274" spans="1:18">
      <c r="A274" s="86" t="s">
        <v>135</v>
      </c>
      <c r="B274" s="86" t="s">
        <v>806</v>
      </c>
      <c r="C274" s="87">
        <v>285800</v>
      </c>
      <c r="D274" s="87">
        <v>2</v>
      </c>
      <c r="E274" s="87">
        <v>571600</v>
      </c>
      <c r="F274" s="86">
        <v>2013.6</v>
      </c>
      <c r="G274" s="86" t="s">
        <v>692</v>
      </c>
      <c r="H274" s="86" t="s">
        <v>38</v>
      </c>
      <c r="I274" s="86" t="s">
        <v>107</v>
      </c>
      <c r="J274" s="86" t="s">
        <v>701</v>
      </c>
      <c r="K274" s="86" t="s">
        <v>701</v>
      </c>
      <c r="L274" s="86" t="s">
        <v>803</v>
      </c>
      <c r="M274" s="86" t="s">
        <v>436</v>
      </c>
      <c r="N274" s="86" t="s">
        <v>412</v>
      </c>
      <c r="O274" s="86" t="s">
        <v>413</v>
      </c>
      <c r="P274" s="86" t="s">
        <v>403</v>
      </c>
      <c r="Q274" s="86" t="s">
        <v>414</v>
      </c>
      <c r="R274" s="88" t="s">
        <v>804</v>
      </c>
    </row>
    <row r="275" spans="1:18">
      <c r="A275" s="86" t="s">
        <v>135</v>
      </c>
      <c r="B275" s="86" t="s">
        <v>807</v>
      </c>
      <c r="C275" s="87">
        <v>292600</v>
      </c>
      <c r="D275" s="87">
        <v>1</v>
      </c>
      <c r="E275" s="87">
        <v>292600</v>
      </c>
      <c r="F275" s="86">
        <v>2014.4</v>
      </c>
      <c r="G275" s="86" t="s">
        <v>692</v>
      </c>
      <c r="H275" s="86" t="s">
        <v>38</v>
      </c>
      <c r="I275" s="86" t="s">
        <v>423</v>
      </c>
      <c r="J275" s="86" t="s">
        <v>423</v>
      </c>
      <c r="K275" s="86" t="s">
        <v>423</v>
      </c>
      <c r="L275" s="86" t="s">
        <v>803</v>
      </c>
      <c r="M275" s="86" t="s">
        <v>436</v>
      </c>
      <c r="N275" s="86" t="s">
        <v>412</v>
      </c>
      <c r="O275" s="86" t="s">
        <v>413</v>
      </c>
      <c r="P275" s="86" t="s">
        <v>403</v>
      </c>
      <c r="Q275" s="86" t="s">
        <v>414</v>
      </c>
      <c r="R275" s="88" t="s">
        <v>804</v>
      </c>
    </row>
    <row r="276" spans="1:18">
      <c r="A276" s="86" t="s">
        <v>135</v>
      </c>
      <c r="B276" s="86" t="s">
        <v>808</v>
      </c>
      <c r="C276" s="87">
        <v>160729</v>
      </c>
      <c r="D276" s="87">
        <v>2</v>
      </c>
      <c r="E276" s="87">
        <v>321458</v>
      </c>
      <c r="F276" s="86">
        <v>2005.6</v>
      </c>
      <c r="G276" s="86" t="s">
        <v>692</v>
      </c>
      <c r="H276" s="86" t="s">
        <v>38</v>
      </c>
      <c r="I276" s="86" t="s">
        <v>107</v>
      </c>
      <c r="J276" s="86" t="s">
        <v>706</v>
      </c>
      <c r="K276" s="86" t="s">
        <v>706</v>
      </c>
      <c r="L276" s="86" t="s">
        <v>442</v>
      </c>
      <c r="M276" s="86" t="s">
        <v>708</v>
      </c>
      <c r="N276" s="86" t="s">
        <v>412</v>
      </c>
      <c r="O276" s="86" t="s">
        <v>413</v>
      </c>
      <c r="P276" s="86" t="s">
        <v>403</v>
      </c>
      <c r="Q276" s="86" t="s">
        <v>414</v>
      </c>
      <c r="R276" s="88" t="s">
        <v>809</v>
      </c>
    </row>
    <row r="277" spans="1:18">
      <c r="A277" s="86" t="s">
        <v>135</v>
      </c>
      <c r="B277" s="86" t="s">
        <v>810</v>
      </c>
      <c r="C277" s="87">
        <v>182081</v>
      </c>
      <c r="D277" s="87">
        <v>1</v>
      </c>
      <c r="E277" s="87">
        <v>182081</v>
      </c>
      <c r="F277" s="86">
        <v>2005.6</v>
      </c>
      <c r="G277" s="86" t="s">
        <v>692</v>
      </c>
      <c r="H277" s="86" t="s">
        <v>38</v>
      </c>
      <c r="I277" s="86" t="s">
        <v>408</v>
      </c>
      <c r="J277" s="86" t="s">
        <v>706</v>
      </c>
      <c r="K277" s="86" t="s">
        <v>706</v>
      </c>
      <c r="L277" s="86" t="s">
        <v>442</v>
      </c>
      <c r="M277" s="86" t="s">
        <v>708</v>
      </c>
      <c r="N277" s="86" t="s">
        <v>412</v>
      </c>
      <c r="O277" s="86" t="s">
        <v>413</v>
      </c>
      <c r="P277" s="86" t="s">
        <v>403</v>
      </c>
      <c r="Q277" s="86" t="s">
        <v>414</v>
      </c>
      <c r="R277" s="88" t="s">
        <v>809</v>
      </c>
    </row>
    <row r="278" spans="1:18">
      <c r="A278" s="86" t="s">
        <v>135</v>
      </c>
      <c r="B278" s="86" t="s">
        <v>811</v>
      </c>
      <c r="C278" s="87">
        <v>163979</v>
      </c>
      <c r="D278" s="87">
        <v>2</v>
      </c>
      <c r="E278" s="87">
        <v>327958</v>
      </c>
      <c r="F278" s="86">
        <v>2009.6</v>
      </c>
      <c r="G278" s="86" t="s">
        <v>692</v>
      </c>
      <c r="H278" s="86" t="s">
        <v>38</v>
      </c>
      <c r="I278" s="86" t="s">
        <v>107</v>
      </c>
      <c r="J278" s="86" t="s">
        <v>706</v>
      </c>
      <c r="K278" s="86" t="s">
        <v>706</v>
      </c>
      <c r="L278" s="86" t="s">
        <v>442</v>
      </c>
      <c r="M278" s="86" t="s">
        <v>708</v>
      </c>
      <c r="N278" s="86" t="s">
        <v>412</v>
      </c>
      <c r="O278" s="86" t="s">
        <v>413</v>
      </c>
      <c r="P278" s="86" t="s">
        <v>403</v>
      </c>
      <c r="Q278" s="86" t="s">
        <v>414</v>
      </c>
      <c r="R278" s="88" t="s">
        <v>809</v>
      </c>
    </row>
    <row r="279" spans="1:18">
      <c r="A279" s="86" t="s">
        <v>135</v>
      </c>
      <c r="B279" s="86" t="s">
        <v>812</v>
      </c>
      <c r="C279" s="87">
        <v>180950</v>
      </c>
      <c r="D279" s="87">
        <v>1</v>
      </c>
      <c r="E279" s="87">
        <v>180950</v>
      </c>
      <c r="F279" s="86">
        <v>2009.6</v>
      </c>
      <c r="G279" s="86" t="s">
        <v>692</v>
      </c>
      <c r="H279" s="86" t="s">
        <v>38</v>
      </c>
      <c r="I279" s="86" t="s">
        <v>813</v>
      </c>
      <c r="J279" s="86" t="s">
        <v>706</v>
      </c>
      <c r="K279" s="86" t="s">
        <v>706</v>
      </c>
      <c r="L279" s="86" t="s">
        <v>442</v>
      </c>
      <c r="M279" s="86" t="s">
        <v>708</v>
      </c>
      <c r="N279" s="86" t="s">
        <v>412</v>
      </c>
      <c r="O279" s="86" t="s">
        <v>413</v>
      </c>
      <c r="P279" s="86" t="s">
        <v>403</v>
      </c>
      <c r="Q279" s="86" t="s">
        <v>414</v>
      </c>
      <c r="R279" s="88" t="s">
        <v>809</v>
      </c>
    </row>
    <row r="280" spans="1:18">
      <c r="A280" s="86" t="s">
        <v>135</v>
      </c>
      <c r="B280" s="86" t="s">
        <v>814</v>
      </c>
      <c r="C280" s="87">
        <v>150000</v>
      </c>
      <c r="D280" s="87">
        <v>2</v>
      </c>
      <c r="E280" s="87">
        <v>300000</v>
      </c>
      <c r="F280" s="86">
        <v>2012.12</v>
      </c>
      <c r="G280" s="86" t="s">
        <v>692</v>
      </c>
      <c r="H280" s="86" t="s">
        <v>38</v>
      </c>
      <c r="I280" s="86" t="s">
        <v>107</v>
      </c>
      <c r="J280" s="86" t="s">
        <v>815</v>
      </c>
      <c r="K280" s="86" t="s">
        <v>815</v>
      </c>
      <c r="L280" s="86" t="s">
        <v>442</v>
      </c>
      <c r="M280" s="86" t="s">
        <v>695</v>
      </c>
      <c r="N280" s="86" t="s">
        <v>412</v>
      </c>
      <c r="O280" s="86" t="s">
        <v>413</v>
      </c>
      <c r="P280" s="86" t="s">
        <v>403</v>
      </c>
      <c r="Q280" s="86" t="s">
        <v>414</v>
      </c>
      <c r="R280" s="88" t="s">
        <v>809</v>
      </c>
    </row>
    <row r="281" spans="1:18">
      <c r="A281" s="86" t="s">
        <v>135</v>
      </c>
      <c r="B281" s="86" t="s">
        <v>816</v>
      </c>
      <c r="C281" s="87">
        <v>150000</v>
      </c>
      <c r="D281" s="87">
        <v>1</v>
      </c>
      <c r="E281" s="87">
        <v>150000</v>
      </c>
      <c r="F281" s="86">
        <v>2012.12</v>
      </c>
      <c r="G281" s="86" t="s">
        <v>692</v>
      </c>
      <c r="H281" s="86" t="s">
        <v>38</v>
      </c>
      <c r="I281" s="86" t="s">
        <v>408</v>
      </c>
      <c r="J281" s="86" t="s">
        <v>408</v>
      </c>
      <c r="K281" s="86" t="s">
        <v>408</v>
      </c>
      <c r="L281" s="86" t="s">
        <v>442</v>
      </c>
      <c r="M281" s="86" t="s">
        <v>695</v>
      </c>
      <c r="N281" s="86" t="s">
        <v>412</v>
      </c>
      <c r="O281" s="86" t="s">
        <v>413</v>
      </c>
      <c r="P281" s="86" t="s">
        <v>403</v>
      </c>
      <c r="Q281" s="86" t="s">
        <v>414</v>
      </c>
      <c r="R281" s="88" t="s">
        <v>809</v>
      </c>
    </row>
    <row r="282" spans="1:18">
      <c r="A282" s="86" t="s">
        <v>135</v>
      </c>
      <c r="B282" s="86" t="s">
        <v>817</v>
      </c>
      <c r="C282" s="87">
        <v>100000</v>
      </c>
      <c r="D282" s="87">
        <v>2</v>
      </c>
      <c r="E282" s="87">
        <v>200000</v>
      </c>
      <c r="F282" s="86">
        <v>1993.2</v>
      </c>
      <c r="G282" s="86" t="s">
        <v>692</v>
      </c>
      <c r="H282" s="86" t="s">
        <v>38</v>
      </c>
      <c r="I282" s="86" t="s">
        <v>107</v>
      </c>
      <c r="J282" s="86" t="s">
        <v>792</v>
      </c>
      <c r="K282" s="86" t="s">
        <v>670</v>
      </c>
      <c r="L282" s="86" t="s">
        <v>419</v>
      </c>
      <c r="M282" s="86" t="s">
        <v>411</v>
      </c>
      <c r="N282" s="86" t="s">
        <v>412</v>
      </c>
      <c r="O282" s="86" t="s">
        <v>413</v>
      </c>
      <c r="P282" s="86" t="s">
        <v>403</v>
      </c>
      <c r="Q282" s="86" t="s">
        <v>414</v>
      </c>
      <c r="R282" s="88" t="s">
        <v>818</v>
      </c>
    </row>
    <row r="283" spans="1:18">
      <c r="A283" s="86" t="s">
        <v>135</v>
      </c>
      <c r="B283" s="86" t="s">
        <v>817</v>
      </c>
      <c r="C283" s="87">
        <v>100000</v>
      </c>
      <c r="D283" s="87">
        <v>2</v>
      </c>
      <c r="E283" s="87">
        <v>200000</v>
      </c>
      <c r="F283" s="86">
        <v>1993.2</v>
      </c>
      <c r="G283" s="86" t="s">
        <v>692</v>
      </c>
      <c r="H283" s="86" t="s">
        <v>38</v>
      </c>
      <c r="I283" s="86" t="s">
        <v>107</v>
      </c>
      <c r="J283" s="86" t="s">
        <v>792</v>
      </c>
      <c r="K283" s="86" t="s">
        <v>670</v>
      </c>
      <c r="L283" s="86" t="s">
        <v>419</v>
      </c>
      <c r="M283" s="86" t="s">
        <v>411</v>
      </c>
      <c r="N283" s="86" t="s">
        <v>412</v>
      </c>
      <c r="O283" s="86" t="s">
        <v>413</v>
      </c>
      <c r="P283" s="86" t="s">
        <v>403</v>
      </c>
      <c r="Q283" s="86" t="s">
        <v>414</v>
      </c>
      <c r="R283" s="88" t="s">
        <v>818</v>
      </c>
    </row>
    <row r="284" spans="1:18">
      <c r="A284" s="86" t="s">
        <v>135</v>
      </c>
      <c r="B284" s="86" t="s">
        <v>819</v>
      </c>
      <c r="C284" s="87">
        <v>200000</v>
      </c>
      <c r="D284" s="87">
        <v>1</v>
      </c>
      <c r="E284" s="87">
        <v>200000</v>
      </c>
      <c r="F284" s="86">
        <v>1993.12</v>
      </c>
      <c r="G284" s="86" t="s">
        <v>692</v>
      </c>
      <c r="H284" s="86" t="s">
        <v>38</v>
      </c>
      <c r="I284" s="86" t="s">
        <v>701</v>
      </c>
      <c r="J284" s="86" t="s">
        <v>792</v>
      </c>
      <c r="K284" s="86" t="s">
        <v>701</v>
      </c>
      <c r="L284" s="86" t="s">
        <v>419</v>
      </c>
      <c r="M284" s="86" t="s">
        <v>436</v>
      </c>
      <c r="N284" s="86" t="s">
        <v>412</v>
      </c>
      <c r="O284" s="86" t="s">
        <v>413</v>
      </c>
      <c r="P284" s="86" t="s">
        <v>403</v>
      </c>
      <c r="Q284" s="86" t="s">
        <v>414</v>
      </c>
      <c r="R284" s="88" t="s">
        <v>818</v>
      </c>
    </row>
    <row r="285" spans="1:18">
      <c r="A285" s="86" t="s">
        <v>135</v>
      </c>
      <c r="B285" s="86" t="s">
        <v>820</v>
      </c>
      <c r="C285" s="87">
        <v>100000</v>
      </c>
      <c r="D285" s="87">
        <v>2</v>
      </c>
      <c r="E285" s="87">
        <v>200000</v>
      </c>
      <c r="F285" s="86">
        <v>1995.6</v>
      </c>
      <c r="G285" s="86" t="s">
        <v>692</v>
      </c>
      <c r="H285" s="86" t="s">
        <v>38</v>
      </c>
      <c r="I285" s="86" t="s">
        <v>107</v>
      </c>
      <c r="J285" s="86" t="s">
        <v>792</v>
      </c>
      <c r="K285" s="86" t="s">
        <v>701</v>
      </c>
      <c r="L285" s="86" t="s">
        <v>419</v>
      </c>
      <c r="M285" s="86" t="s">
        <v>411</v>
      </c>
      <c r="N285" s="86" t="s">
        <v>412</v>
      </c>
      <c r="O285" s="86" t="s">
        <v>413</v>
      </c>
      <c r="P285" s="86" t="s">
        <v>403</v>
      </c>
      <c r="Q285" s="86" t="s">
        <v>414</v>
      </c>
      <c r="R285" s="88" t="s">
        <v>818</v>
      </c>
    </row>
    <row r="286" spans="1:18">
      <c r="A286" s="86" t="s">
        <v>135</v>
      </c>
      <c r="B286" s="86" t="s">
        <v>821</v>
      </c>
      <c r="C286" s="87">
        <v>100000</v>
      </c>
      <c r="D286" s="87">
        <v>1</v>
      </c>
      <c r="E286" s="87">
        <v>100000</v>
      </c>
      <c r="F286" s="86">
        <v>1996.3</v>
      </c>
      <c r="G286" s="86" t="s">
        <v>692</v>
      </c>
      <c r="H286" s="86" t="s">
        <v>38</v>
      </c>
      <c r="I286" s="86" t="s">
        <v>701</v>
      </c>
      <c r="J286" s="86" t="s">
        <v>792</v>
      </c>
      <c r="K286" s="86" t="s">
        <v>701</v>
      </c>
      <c r="L286" s="86" t="s">
        <v>419</v>
      </c>
      <c r="M286" s="86" t="s">
        <v>411</v>
      </c>
      <c r="N286" s="86" t="s">
        <v>412</v>
      </c>
      <c r="O286" s="86" t="s">
        <v>413</v>
      </c>
      <c r="P286" s="86" t="s">
        <v>403</v>
      </c>
      <c r="Q286" s="86" t="s">
        <v>414</v>
      </c>
      <c r="R286" s="88" t="s">
        <v>818</v>
      </c>
    </row>
    <row r="287" spans="1:18">
      <c r="A287" s="86" t="s">
        <v>135</v>
      </c>
      <c r="B287" s="86" t="s">
        <v>822</v>
      </c>
      <c r="C287" s="87">
        <v>71893</v>
      </c>
      <c r="D287" s="87">
        <v>1</v>
      </c>
      <c r="E287" s="87">
        <v>71893</v>
      </c>
      <c r="F287" s="86" t="s">
        <v>1510</v>
      </c>
      <c r="G287" s="86" t="s">
        <v>692</v>
      </c>
      <c r="H287" s="86" t="s">
        <v>37</v>
      </c>
      <c r="I287" s="86" t="s">
        <v>693</v>
      </c>
      <c r="J287" s="86" t="s">
        <v>693</v>
      </c>
      <c r="K287" s="86" t="s">
        <v>693</v>
      </c>
      <c r="L287" s="86" t="s">
        <v>442</v>
      </c>
      <c r="M287" s="86" t="s">
        <v>411</v>
      </c>
      <c r="N287" s="86" t="s">
        <v>412</v>
      </c>
      <c r="O287" s="86" t="s">
        <v>413</v>
      </c>
      <c r="P287" s="86" t="s">
        <v>403</v>
      </c>
      <c r="Q287" s="86" t="s">
        <v>414</v>
      </c>
      <c r="R287" s="88" t="s">
        <v>823</v>
      </c>
    </row>
    <row r="288" spans="1:18">
      <c r="A288" s="86" t="s">
        <v>135</v>
      </c>
      <c r="B288" s="86" t="s">
        <v>824</v>
      </c>
      <c r="C288" s="87">
        <v>42474</v>
      </c>
      <c r="D288" s="87">
        <v>1</v>
      </c>
      <c r="E288" s="87">
        <v>42474</v>
      </c>
      <c r="F288" s="86" t="s">
        <v>1510</v>
      </c>
      <c r="G288" s="86" t="s">
        <v>692</v>
      </c>
      <c r="H288" s="86" t="s">
        <v>37</v>
      </c>
      <c r="I288" s="86" t="s">
        <v>693</v>
      </c>
      <c r="J288" s="86" t="s">
        <v>693</v>
      </c>
      <c r="K288" s="86" t="s">
        <v>693</v>
      </c>
      <c r="L288" s="86" t="s">
        <v>442</v>
      </c>
      <c r="M288" s="86" t="s">
        <v>411</v>
      </c>
      <c r="N288" s="86" t="s">
        <v>412</v>
      </c>
      <c r="O288" s="86" t="s">
        <v>413</v>
      </c>
      <c r="P288" s="86" t="s">
        <v>403</v>
      </c>
      <c r="Q288" s="86" t="s">
        <v>414</v>
      </c>
      <c r="R288" s="88" t="s">
        <v>823</v>
      </c>
    </row>
    <row r="289" spans="1:18">
      <c r="A289" s="86" t="s">
        <v>135</v>
      </c>
      <c r="B289" s="86" t="s">
        <v>825</v>
      </c>
      <c r="C289" s="87">
        <v>58947</v>
      </c>
      <c r="D289" s="87">
        <v>1</v>
      </c>
      <c r="E289" s="87">
        <v>58947</v>
      </c>
      <c r="F289" s="86" t="s">
        <v>1511</v>
      </c>
      <c r="G289" s="86" t="s">
        <v>692</v>
      </c>
      <c r="H289" s="86" t="s">
        <v>38</v>
      </c>
      <c r="I289" s="86" t="s">
        <v>693</v>
      </c>
      <c r="J289" s="86" t="s">
        <v>693</v>
      </c>
      <c r="K289" s="86" t="s">
        <v>693</v>
      </c>
      <c r="L289" s="86" t="s">
        <v>442</v>
      </c>
      <c r="M289" s="86" t="s">
        <v>411</v>
      </c>
      <c r="N289" s="86" t="s">
        <v>412</v>
      </c>
      <c r="O289" s="86" t="s">
        <v>413</v>
      </c>
      <c r="P289" s="86" t="s">
        <v>403</v>
      </c>
      <c r="Q289" s="86" t="s">
        <v>414</v>
      </c>
      <c r="R289" s="88" t="s">
        <v>823</v>
      </c>
    </row>
    <row r="290" spans="1:18">
      <c r="A290" s="86" t="s">
        <v>135</v>
      </c>
      <c r="B290" s="86" t="s">
        <v>826</v>
      </c>
      <c r="C290" s="87">
        <v>34776</v>
      </c>
      <c r="D290" s="87">
        <v>1</v>
      </c>
      <c r="E290" s="87">
        <v>34776</v>
      </c>
      <c r="F290" s="86" t="s">
        <v>1511</v>
      </c>
      <c r="G290" s="86" t="s">
        <v>692</v>
      </c>
      <c r="H290" s="86" t="s">
        <v>38</v>
      </c>
      <c r="I290" s="86" t="s">
        <v>693</v>
      </c>
      <c r="J290" s="86" t="s">
        <v>693</v>
      </c>
      <c r="K290" s="86" t="s">
        <v>693</v>
      </c>
      <c r="L290" s="86" t="s">
        <v>442</v>
      </c>
      <c r="M290" s="86" t="s">
        <v>411</v>
      </c>
      <c r="N290" s="86" t="s">
        <v>412</v>
      </c>
      <c r="O290" s="86" t="s">
        <v>413</v>
      </c>
      <c r="P290" s="86" t="s">
        <v>403</v>
      </c>
      <c r="Q290" s="86" t="s">
        <v>414</v>
      </c>
      <c r="R290" s="88" t="s">
        <v>823</v>
      </c>
    </row>
    <row r="291" spans="1:18">
      <c r="A291" s="86" t="s">
        <v>135</v>
      </c>
      <c r="B291" s="86" t="s">
        <v>827</v>
      </c>
      <c r="C291" s="87">
        <v>275500</v>
      </c>
      <c r="D291" s="87">
        <v>2</v>
      </c>
      <c r="E291" s="87">
        <v>551000</v>
      </c>
      <c r="F291" s="86">
        <v>2017.2</v>
      </c>
      <c r="G291" s="86" t="s">
        <v>692</v>
      </c>
      <c r="H291" s="86" t="s">
        <v>38</v>
      </c>
      <c r="I291" s="86" t="s">
        <v>107</v>
      </c>
      <c r="J291" s="86" t="s">
        <v>706</v>
      </c>
      <c r="K291" s="86" t="s">
        <v>706</v>
      </c>
      <c r="L291" s="86" t="s">
        <v>828</v>
      </c>
      <c r="M291" s="86" t="s">
        <v>499</v>
      </c>
      <c r="N291" s="86" t="s">
        <v>412</v>
      </c>
      <c r="O291" s="86" t="s">
        <v>413</v>
      </c>
      <c r="P291" s="86" t="s">
        <v>403</v>
      </c>
      <c r="Q291" s="86" t="s">
        <v>414</v>
      </c>
      <c r="R291" s="88" t="s">
        <v>829</v>
      </c>
    </row>
    <row r="292" spans="1:18">
      <c r="A292" s="86" t="s">
        <v>135</v>
      </c>
      <c r="B292" s="86" t="s">
        <v>830</v>
      </c>
      <c r="C292" s="87">
        <v>296600</v>
      </c>
      <c r="D292" s="87">
        <v>1</v>
      </c>
      <c r="E292" s="87">
        <v>296600</v>
      </c>
      <c r="F292" s="86">
        <v>2017.2</v>
      </c>
      <c r="G292" s="86" t="s">
        <v>692</v>
      </c>
      <c r="H292" s="86" t="s">
        <v>38</v>
      </c>
      <c r="I292" s="86" t="s">
        <v>706</v>
      </c>
      <c r="J292" s="86" t="s">
        <v>706</v>
      </c>
      <c r="K292" s="86" t="s">
        <v>706</v>
      </c>
      <c r="L292" s="86" t="s">
        <v>828</v>
      </c>
      <c r="M292" s="86" t="s">
        <v>499</v>
      </c>
      <c r="N292" s="86" t="s">
        <v>412</v>
      </c>
      <c r="O292" s="86" t="s">
        <v>413</v>
      </c>
      <c r="P292" s="86" t="s">
        <v>403</v>
      </c>
      <c r="Q292" s="86" t="s">
        <v>414</v>
      </c>
      <c r="R292" s="88" t="s">
        <v>829</v>
      </c>
    </row>
    <row r="293" spans="1:18">
      <c r="A293" s="86" t="s">
        <v>135</v>
      </c>
      <c r="B293" s="86" t="s">
        <v>831</v>
      </c>
      <c r="C293" s="87">
        <v>275500</v>
      </c>
      <c r="D293" s="87">
        <v>2</v>
      </c>
      <c r="E293" s="87">
        <v>551000</v>
      </c>
      <c r="F293" s="86">
        <v>2017.3</v>
      </c>
      <c r="G293" s="86" t="s">
        <v>692</v>
      </c>
      <c r="H293" s="86" t="s">
        <v>38</v>
      </c>
      <c r="I293" s="86" t="s">
        <v>107</v>
      </c>
      <c r="J293" s="86" t="s">
        <v>706</v>
      </c>
      <c r="K293" s="86" t="s">
        <v>706</v>
      </c>
      <c r="L293" s="86" t="s">
        <v>828</v>
      </c>
      <c r="M293" s="86" t="s">
        <v>499</v>
      </c>
      <c r="N293" s="86" t="s">
        <v>412</v>
      </c>
      <c r="O293" s="86" t="s">
        <v>413</v>
      </c>
      <c r="P293" s="86" t="s">
        <v>403</v>
      </c>
      <c r="Q293" s="86" t="s">
        <v>414</v>
      </c>
      <c r="R293" s="88" t="s">
        <v>829</v>
      </c>
    </row>
    <row r="294" spans="1:18">
      <c r="A294" s="86" t="s">
        <v>135</v>
      </c>
      <c r="B294" s="86" t="s">
        <v>832</v>
      </c>
      <c r="C294" s="87">
        <v>296600</v>
      </c>
      <c r="D294" s="87">
        <v>1</v>
      </c>
      <c r="E294" s="87">
        <v>296600</v>
      </c>
      <c r="F294" s="86">
        <v>2017.3</v>
      </c>
      <c r="G294" s="86" t="s">
        <v>692</v>
      </c>
      <c r="H294" s="86" t="s">
        <v>38</v>
      </c>
      <c r="I294" s="86" t="s">
        <v>706</v>
      </c>
      <c r="J294" s="86" t="s">
        <v>706</v>
      </c>
      <c r="K294" s="86" t="s">
        <v>706</v>
      </c>
      <c r="L294" s="86" t="s">
        <v>828</v>
      </c>
      <c r="M294" s="86" t="s">
        <v>499</v>
      </c>
      <c r="N294" s="86" t="s">
        <v>412</v>
      </c>
      <c r="O294" s="86" t="s">
        <v>413</v>
      </c>
      <c r="P294" s="86" t="s">
        <v>403</v>
      </c>
      <c r="Q294" s="86" t="s">
        <v>414</v>
      </c>
      <c r="R294" s="88" t="s">
        <v>829</v>
      </c>
    </row>
    <row r="295" spans="1:18">
      <c r="A295" s="86" t="s">
        <v>135</v>
      </c>
      <c r="B295" s="86" t="s">
        <v>833</v>
      </c>
      <c r="C295" s="87">
        <v>286300</v>
      </c>
      <c r="D295" s="87">
        <v>2</v>
      </c>
      <c r="E295" s="87">
        <v>572600</v>
      </c>
      <c r="F295" s="86">
        <v>2013.7</v>
      </c>
      <c r="G295" s="86" t="s">
        <v>692</v>
      </c>
      <c r="H295" s="86" t="s">
        <v>38</v>
      </c>
      <c r="I295" s="86" t="s">
        <v>107</v>
      </c>
      <c r="J295" s="86" t="s">
        <v>701</v>
      </c>
      <c r="K295" s="86" t="s">
        <v>701</v>
      </c>
      <c r="L295" s="86" t="s">
        <v>508</v>
      </c>
      <c r="M295" s="86" t="s">
        <v>436</v>
      </c>
      <c r="N295" s="86" t="s">
        <v>412</v>
      </c>
      <c r="O295" s="86" t="s">
        <v>413</v>
      </c>
      <c r="P295" s="86" t="s">
        <v>403</v>
      </c>
      <c r="Q295" s="86" t="s">
        <v>414</v>
      </c>
      <c r="R295" s="88" t="s">
        <v>523</v>
      </c>
    </row>
    <row r="296" spans="1:18">
      <c r="A296" s="86" t="s">
        <v>135</v>
      </c>
      <c r="B296" s="86" t="s">
        <v>834</v>
      </c>
      <c r="C296" s="87">
        <v>295900</v>
      </c>
      <c r="D296" s="87">
        <v>1</v>
      </c>
      <c r="E296" s="87">
        <v>295900</v>
      </c>
      <c r="F296" s="86">
        <v>2014.9</v>
      </c>
      <c r="G296" s="86" t="s">
        <v>692</v>
      </c>
      <c r="H296" s="86" t="s">
        <v>38</v>
      </c>
      <c r="I296" s="86" t="s">
        <v>813</v>
      </c>
      <c r="J296" s="86" t="s">
        <v>701</v>
      </c>
      <c r="K296" s="86" t="s">
        <v>769</v>
      </c>
      <c r="L296" s="86" t="s">
        <v>508</v>
      </c>
      <c r="M296" s="86" t="s">
        <v>436</v>
      </c>
      <c r="N296" s="86" t="s">
        <v>412</v>
      </c>
      <c r="O296" s="86" t="s">
        <v>413</v>
      </c>
      <c r="P296" s="86" t="s">
        <v>403</v>
      </c>
      <c r="Q296" s="86" t="s">
        <v>414</v>
      </c>
      <c r="R296" s="88" t="s">
        <v>523</v>
      </c>
    </row>
    <row r="297" spans="1:18">
      <c r="A297" s="86" t="s">
        <v>135</v>
      </c>
      <c r="B297" s="86" t="s">
        <v>835</v>
      </c>
      <c r="C297" s="87">
        <v>100000</v>
      </c>
      <c r="D297" s="87">
        <v>3</v>
      </c>
      <c r="E297" s="87">
        <v>300000</v>
      </c>
      <c r="F297" s="86">
        <v>1996.7</v>
      </c>
      <c r="G297" s="86" t="s">
        <v>692</v>
      </c>
      <c r="H297" s="86" t="s">
        <v>38</v>
      </c>
      <c r="I297" s="86" t="s">
        <v>107</v>
      </c>
      <c r="J297" s="86" t="s">
        <v>792</v>
      </c>
      <c r="K297" s="86" t="s">
        <v>792</v>
      </c>
      <c r="L297" s="86" t="s">
        <v>836</v>
      </c>
      <c r="M297" s="86" t="s">
        <v>411</v>
      </c>
      <c r="N297" s="86" t="s">
        <v>412</v>
      </c>
      <c r="O297" s="86" t="s">
        <v>413</v>
      </c>
      <c r="P297" s="86" t="s">
        <v>403</v>
      </c>
      <c r="Q297" s="86" t="s">
        <v>414</v>
      </c>
      <c r="R297" s="88" t="s">
        <v>809</v>
      </c>
    </row>
    <row r="298" spans="1:18">
      <c r="A298" s="86" t="s">
        <v>135</v>
      </c>
      <c r="B298" s="86" t="s">
        <v>837</v>
      </c>
      <c r="C298" s="87">
        <v>150000</v>
      </c>
      <c r="D298" s="87">
        <v>1</v>
      </c>
      <c r="E298" s="87">
        <v>150000</v>
      </c>
      <c r="F298" s="86">
        <v>1999.11</v>
      </c>
      <c r="G298" s="86" t="s">
        <v>692</v>
      </c>
      <c r="H298" s="86" t="s">
        <v>38</v>
      </c>
      <c r="I298" s="86" t="s">
        <v>408</v>
      </c>
      <c r="J298" s="86" t="s">
        <v>483</v>
      </c>
      <c r="K298" s="86" t="s">
        <v>483</v>
      </c>
      <c r="L298" s="86" t="s">
        <v>836</v>
      </c>
      <c r="M298" s="86" t="s">
        <v>754</v>
      </c>
      <c r="N298" s="86" t="s">
        <v>412</v>
      </c>
      <c r="O298" s="86" t="s">
        <v>413</v>
      </c>
      <c r="P298" s="86" t="s">
        <v>403</v>
      </c>
      <c r="Q298" s="86" t="s">
        <v>414</v>
      </c>
      <c r="R298" s="88" t="s">
        <v>809</v>
      </c>
    </row>
    <row r="299" spans="1:18">
      <c r="A299" s="86" t="s">
        <v>135</v>
      </c>
      <c r="B299" s="86" t="s">
        <v>838</v>
      </c>
      <c r="C299" s="87">
        <v>100000</v>
      </c>
      <c r="D299" s="87">
        <v>3</v>
      </c>
      <c r="E299" s="87">
        <v>300000</v>
      </c>
      <c r="F299" s="86">
        <v>1997.7</v>
      </c>
      <c r="G299" s="86" t="s">
        <v>692</v>
      </c>
      <c r="H299" s="86" t="s">
        <v>38</v>
      </c>
      <c r="I299" s="86" t="s">
        <v>107</v>
      </c>
      <c r="J299" s="86" t="s">
        <v>792</v>
      </c>
      <c r="K299" s="86" t="s">
        <v>792</v>
      </c>
      <c r="L299" s="86" t="s">
        <v>836</v>
      </c>
      <c r="M299" s="86" t="s">
        <v>411</v>
      </c>
      <c r="N299" s="86" t="s">
        <v>412</v>
      </c>
      <c r="O299" s="86" t="s">
        <v>413</v>
      </c>
      <c r="P299" s="86" t="s">
        <v>403</v>
      </c>
      <c r="Q299" s="86" t="s">
        <v>414</v>
      </c>
      <c r="R299" s="88" t="s">
        <v>809</v>
      </c>
    </row>
    <row r="300" spans="1:18">
      <c r="A300" s="86" t="s">
        <v>135</v>
      </c>
      <c r="B300" s="86" t="s">
        <v>839</v>
      </c>
      <c r="C300" s="87">
        <v>150000</v>
      </c>
      <c r="D300" s="87">
        <v>1</v>
      </c>
      <c r="E300" s="87">
        <v>150000</v>
      </c>
      <c r="F300" s="86">
        <v>2001.09</v>
      </c>
      <c r="G300" s="86" t="s">
        <v>692</v>
      </c>
      <c r="H300" s="86" t="s">
        <v>38</v>
      </c>
      <c r="I300" s="86" t="s">
        <v>408</v>
      </c>
      <c r="J300" s="86" t="s">
        <v>483</v>
      </c>
      <c r="K300" s="86" t="s">
        <v>483</v>
      </c>
      <c r="L300" s="86" t="s">
        <v>836</v>
      </c>
      <c r="M300" s="86" t="s">
        <v>754</v>
      </c>
      <c r="N300" s="86" t="s">
        <v>412</v>
      </c>
      <c r="O300" s="86" t="s">
        <v>413</v>
      </c>
      <c r="P300" s="86" t="s">
        <v>403</v>
      </c>
      <c r="Q300" s="86" t="s">
        <v>414</v>
      </c>
      <c r="R300" s="88" t="s">
        <v>809</v>
      </c>
    </row>
    <row r="301" spans="1:18">
      <c r="A301" s="86" t="s">
        <v>135</v>
      </c>
      <c r="B301" s="86" t="s">
        <v>840</v>
      </c>
      <c r="C301" s="87">
        <v>183200</v>
      </c>
      <c r="D301" s="87">
        <v>2</v>
      </c>
      <c r="E301" s="87">
        <v>366400</v>
      </c>
      <c r="F301" s="86">
        <v>2011.2</v>
      </c>
      <c r="G301" s="86" t="s">
        <v>692</v>
      </c>
      <c r="H301" s="86" t="s">
        <v>38</v>
      </c>
      <c r="I301" s="86" t="s">
        <v>107</v>
      </c>
      <c r="J301" s="86" t="s">
        <v>706</v>
      </c>
      <c r="K301" s="86" t="s">
        <v>706</v>
      </c>
      <c r="L301" s="86" t="s">
        <v>836</v>
      </c>
      <c r="M301" s="86" t="s">
        <v>761</v>
      </c>
      <c r="N301" s="86" t="s">
        <v>412</v>
      </c>
      <c r="O301" s="86" t="s">
        <v>413</v>
      </c>
      <c r="P301" s="86" t="s">
        <v>403</v>
      </c>
      <c r="Q301" s="86" t="s">
        <v>414</v>
      </c>
      <c r="R301" s="88" t="s">
        <v>809</v>
      </c>
    </row>
    <row r="302" spans="1:18">
      <c r="A302" s="86" t="s">
        <v>135</v>
      </c>
      <c r="B302" s="86" t="s">
        <v>841</v>
      </c>
      <c r="C302" s="87">
        <v>208200</v>
      </c>
      <c r="D302" s="87">
        <v>1</v>
      </c>
      <c r="E302" s="87">
        <v>208200</v>
      </c>
      <c r="F302" s="86">
        <v>2011.2</v>
      </c>
      <c r="G302" s="86" t="s">
        <v>692</v>
      </c>
      <c r="H302" s="86" t="s">
        <v>38</v>
      </c>
      <c r="I302" s="86" t="s">
        <v>842</v>
      </c>
      <c r="J302" s="86" t="s">
        <v>706</v>
      </c>
      <c r="K302" s="86" t="s">
        <v>706</v>
      </c>
      <c r="L302" s="86" t="s">
        <v>836</v>
      </c>
      <c r="M302" s="86" t="s">
        <v>761</v>
      </c>
      <c r="N302" s="86" t="s">
        <v>412</v>
      </c>
      <c r="O302" s="86" t="s">
        <v>413</v>
      </c>
      <c r="P302" s="86" t="s">
        <v>403</v>
      </c>
      <c r="Q302" s="86" t="s">
        <v>414</v>
      </c>
      <c r="R302" s="88" t="s">
        <v>809</v>
      </c>
    </row>
    <row r="303" spans="1:18">
      <c r="A303" s="86" t="s">
        <v>135</v>
      </c>
      <c r="B303" s="86" t="s">
        <v>843</v>
      </c>
      <c r="C303" s="87">
        <v>183200</v>
      </c>
      <c r="D303" s="87">
        <v>2</v>
      </c>
      <c r="E303" s="87">
        <v>366400</v>
      </c>
      <c r="F303" s="86">
        <v>2011.6</v>
      </c>
      <c r="G303" s="86" t="s">
        <v>692</v>
      </c>
      <c r="H303" s="86" t="s">
        <v>38</v>
      </c>
      <c r="I303" s="86" t="s">
        <v>107</v>
      </c>
      <c r="J303" s="86" t="s">
        <v>706</v>
      </c>
      <c r="K303" s="86" t="s">
        <v>706</v>
      </c>
      <c r="L303" s="86" t="s">
        <v>836</v>
      </c>
      <c r="M303" s="86" t="s">
        <v>761</v>
      </c>
      <c r="N303" s="86" t="s">
        <v>412</v>
      </c>
      <c r="O303" s="86" t="s">
        <v>413</v>
      </c>
      <c r="P303" s="86" t="s">
        <v>403</v>
      </c>
      <c r="Q303" s="86" t="s">
        <v>414</v>
      </c>
      <c r="R303" s="88" t="s">
        <v>809</v>
      </c>
    </row>
    <row r="304" spans="1:18">
      <c r="A304" s="86" t="s">
        <v>135</v>
      </c>
      <c r="B304" s="86" t="s">
        <v>844</v>
      </c>
      <c r="C304" s="87">
        <v>208200</v>
      </c>
      <c r="D304" s="87">
        <v>1</v>
      </c>
      <c r="E304" s="87">
        <v>208200</v>
      </c>
      <c r="F304" s="86">
        <v>2011.6</v>
      </c>
      <c r="G304" s="86" t="s">
        <v>692</v>
      </c>
      <c r="H304" s="86" t="s">
        <v>38</v>
      </c>
      <c r="I304" s="86" t="s">
        <v>842</v>
      </c>
      <c r="J304" s="86" t="s">
        <v>706</v>
      </c>
      <c r="K304" s="86" t="s">
        <v>706</v>
      </c>
      <c r="L304" s="86" t="s">
        <v>836</v>
      </c>
      <c r="M304" s="86" t="s">
        <v>761</v>
      </c>
      <c r="N304" s="86" t="s">
        <v>412</v>
      </c>
      <c r="O304" s="86" t="s">
        <v>413</v>
      </c>
      <c r="P304" s="86" t="s">
        <v>403</v>
      </c>
      <c r="Q304" s="86" t="s">
        <v>414</v>
      </c>
      <c r="R304" s="88" t="s">
        <v>809</v>
      </c>
    </row>
    <row r="305" spans="1:18">
      <c r="A305" s="86" t="s">
        <v>135</v>
      </c>
      <c r="B305" s="86" t="s">
        <v>845</v>
      </c>
      <c r="C305" s="87">
        <v>242700</v>
      </c>
      <c r="D305" s="87">
        <v>1</v>
      </c>
      <c r="E305" s="87">
        <v>242700</v>
      </c>
      <c r="F305" s="86">
        <v>2014.7</v>
      </c>
      <c r="G305" s="86" t="s">
        <v>692</v>
      </c>
      <c r="H305" s="86" t="s">
        <v>38</v>
      </c>
      <c r="I305" s="86" t="s">
        <v>107</v>
      </c>
      <c r="J305" s="86" t="s">
        <v>706</v>
      </c>
      <c r="K305" s="86" t="s">
        <v>706</v>
      </c>
      <c r="L305" s="86" t="s">
        <v>836</v>
      </c>
      <c r="M305" s="86" t="s">
        <v>716</v>
      </c>
      <c r="N305" s="86" t="s">
        <v>412</v>
      </c>
      <c r="O305" s="86" t="s">
        <v>413</v>
      </c>
      <c r="P305" s="86" t="s">
        <v>403</v>
      </c>
      <c r="Q305" s="86" t="s">
        <v>414</v>
      </c>
      <c r="R305" s="88" t="s">
        <v>809</v>
      </c>
    </row>
    <row r="306" spans="1:18">
      <c r="A306" s="86" t="s">
        <v>135</v>
      </c>
      <c r="B306" s="86" t="s">
        <v>846</v>
      </c>
      <c r="C306" s="87">
        <v>132900</v>
      </c>
      <c r="D306" s="87">
        <v>1</v>
      </c>
      <c r="E306" s="87">
        <v>132900</v>
      </c>
      <c r="F306" s="86">
        <v>2014.7</v>
      </c>
      <c r="G306" s="86" t="s">
        <v>692</v>
      </c>
      <c r="H306" s="86" t="s">
        <v>38</v>
      </c>
      <c r="I306" s="86" t="s">
        <v>842</v>
      </c>
      <c r="J306" s="86" t="s">
        <v>706</v>
      </c>
      <c r="K306" s="86" t="s">
        <v>706</v>
      </c>
      <c r="L306" s="86" t="s">
        <v>836</v>
      </c>
      <c r="M306" s="86" t="s">
        <v>716</v>
      </c>
      <c r="N306" s="86" t="s">
        <v>412</v>
      </c>
      <c r="O306" s="86" t="s">
        <v>413</v>
      </c>
      <c r="P306" s="86" t="s">
        <v>403</v>
      </c>
      <c r="Q306" s="86" t="s">
        <v>414</v>
      </c>
      <c r="R306" s="88" t="s">
        <v>809</v>
      </c>
    </row>
    <row r="307" spans="1:18">
      <c r="A307" s="86" t="s">
        <v>135</v>
      </c>
      <c r="B307" s="86" t="s">
        <v>847</v>
      </c>
      <c r="C307" s="87">
        <v>242700</v>
      </c>
      <c r="D307" s="87">
        <v>1</v>
      </c>
      <c r="E307" s="87">
        <v>242700</v>
      </c>
      <c r="F307" s="86">
        <v>2014.1</v>
      </c>
      <c r="G307" s="86" t="s">
        <v>692</v>
      </c>
      <c r="H307" s="86" t="s">
        <v>38</v>
      </c>
      <c r="I307" s="86" t="s">
        <v>107</v>
      </c>
      <c r="J307" s="86" t="s">
        <v>706</v>
      </c>
      <c r="K307" s="86" t="s">
        <v>706</v>
      </c>
      <c r="L307" s="86" t="s">
        <v>836</v>
      </c>
      <c r="M307" s="86" t="s">
        <v>716</v>
      </c>
      <c r="N307" s="86" t="s">
        <v>412</v>
      </c>
      <c r="O307" s="86" t="s">
        <v>413</v>
      </c>
      <c r="P307" s="86" t="s">
        <v>403</v>
      </c>
      <c r="Q307" s="86" t="s">
        <v>414</v>
      </c>
      <c r="R307" s="88" t="s">
        <v>809</v>
      </c>
    </row>
    <row r="308" spans="1:18">
      <c r="A308" s="86" t="s">
        <v>135</v>
      </c>
      <c r="B308" s="86" t="s">
        <v>848</v>
      </c>
      <c r="C308" s="87">
        <v>132900</v>
      </c>
      <c r="D308" s="87">
        <v>1</v>
      </c>
      <c r="E308" s="87">
        <v>132900</v>
      </c>
      <c r="F308" s="86">
        <v>2014.1</v>
      </c>
      <c r="G308" s="86" t="s">
        <v>692</v>
      </c>
      <c r="H308" s="86" t="s">
        <v>38</v>
      </c>
      <c r="I308" s="86" t="s">
        <v>842</v>
      </c>
      <c r="J308" s="86" t="s">
        <v>706</v>
      </c>
      <c r="K308" s="86" t="s">
        <v>706</v>
      </c>
      <c r="L308" s="86" t="s">
        <v>836</v>
      </c>
      <c r="M308" s="86" t="s">
        <v>716</v>
      </c>
      <c r="N308" s="86" t="s">
        <v>412</v>
      </c>
      <c r="O308" s="86" t="s">
        <v>413</v>
      </c>
      <c r="P308" s="86" t="s">
        <v>403</v>
      </c>
      <c r="Q308" s="86" t="s">
        <v>414</v>
      </c>
      <c r="R308" s="88" t="s">
        <v>809</v>
      </c>
    </row>
    <row r="309" spans="1:18">
      <c r="A309" s="86" t="s">
        <v>135</v>
      </c>
      <c r="B309" s="86" t="s">
        <v>849</v>
      </c>
      <c r="C309" s="87">
        <v>242700</v>
      </c>
      <c r="D309" s="87">
        <v>1</v>
      </c>
      <c r="E309" s="87">
        <v>242700</v>
      </c>
      <c r="F309" s="86">
        <v>2015.1</v>
      </c>
      <c r="G309" s="86" t="s">
        <v>692</v>
      </c>
      <c r="H309" s="86" t="s">
        <v>38</v>
      </c>
      <c r="I309" s="86" t="s">
        <v>107</v>
      </c>
      <c r="J309" s="86" t="s">
        <v>706</v>
      </c>
      <c r="K309" s="86" t="s">
        <v>706</v>
      </c>
      <c r="L309" s="86" t="s">
        <v>836</v>
      </c>
      <c r="M309" s="86" t="s">
        <v>716</v>
      </c>
      <c r="N309" s="86" t="s">
        <v>412</v>
      </c>
      <c r="O309" s="86" t="s">
        <v>413</v>
      </c>
      <c r="P309" s="86" t="s">
        <v>403</v>
      </c>
      <c r="Q309" s="86" t="s">
        <v>414</v>
      </c>
      <c r="R309" s="88" t="s">
        <v>809</v>
      </c>
    </row>
    <row r="310" spans="1:18">
      <c r="A310" s="86" t="s">
        <v>135</v>
      </c>
      <c r="B310" s="86" t="s">
        <v>850</v>
      </c>
      <c r="C310" s="87">
        <v>132900</v>
      </c>
      <c r="D310" s="87">
        <v>1</v>
      </c>
      <c r="E310" s="87">
        <v>132900</v>
      </c>
      <c r="F310" s="86">
        <v>2015.1</v>
      </c>
      <c r="G310" s="86" t="s">
        <v>692</v>
      </c>
      <c r="H310" s="86" t="s">
        <v>38</v>
      </c>
      <c r="I310" s="86" t="s">
        <v>842</v>
      </c>
      <c r="J310" s="86" t="s">
        <v>706</v>
      </c>
      <c r="K310" s="86" t="s">
        <v>706</v>
      </c>
      <c r="L310" s="86" t="s">
        <v>836</v>
      </c>
      <c r="M310" s="86" t="s">
        <v>716</v>
      </c>
      <c r="N310" s="86" t="s">
        <v>412</v>
      </c>
      <c r="O310" s="86" t="s">
        <v>413</v>
      </c>
      <c r="P310" s="86" t="s">
        <v>403</v>
      </c>
      <c r="Q310" s="86" t="s">
        <v>414</v>
      </c>
      <c r="R310" s="88" t="s">
        <v>809</v>
      </c>
    </row>
    <row r="311" spans="1:18">
      <c r="A311" s="86" t="s">
        <v>135</v>
      </c>
      <c r="B311" s="86" t="s">
        <v>851</v>
      </c>
      <c r="C311" s="87">
        <v>240500</v>
      </c>
      <c r="D311" s="87">
        <v>2</v>
      </c>
      <c r="E311" s="87">
        <v>481000</v>
      </c>
      <c r="F311" s="86">
        <v>2014.6</v>
      </c>
      <c r="G311" s="86" t="s">
        <v>692</v>
      </c>
      <c r="H311" s="86" t="s">
        <v>38</v>
      </c>
      <c r="I311" s="86" t="s">
        <v>107</v>
      </c>
      <c r="J311" s="86" t="s">
        <v>701</v>
      </c>
      <c r="K311" s="86" t="s">
        <v>852</v>
      </c>
      <c r="L311" s="86" t="s">
        <v>853</v>
      </c>
      <c r="M311" s="86" t="s">
        <v>484</v>
      </c>
      <c r="N311" s="86" t="s">
        <v>412</v>
      </c>
      <c r="O311" s="86" t="s">
        <v>413</v>
      </c>
      <c r="P311" s="86" t="s">
        <v>403</v>
      </c>
      <c r="Q311" s="86" t="s">
        <v>414</v>
      </c>
      <c r="R311" s="88" t="s">
        <v>854</v>
      </c>
    </row>
    <row r="312" spans="1:18">
      <c r="A312" s="86" t="s">
        <v>135</v>
      </c>
      <c r="B312" s="86" t="s">
        <v>855</v>
      </c>
      <c r="C312" s="87">
        <v>244000</v>
      </c>
      <c r="D312" s="87">
        <v>1</v>
      </c>
      <c r="E312" s="87">
        <v>244000</v>
      </c>
      <c r="F312" s="86">
        <v>2014.6</v>
      </c>
      <c r="G312" s="86" t="s">
        <v>692</v>
      </c>
      <c r="H312" s="86" t="s">
        <v>38</v>
      </c>
      <c r="I312" s="86" t="s">
        <v>408</v>
      </c>
      <c r="J312" s="86" t="s">
        <v>701</v>
      </c>
      <c r="K312" s="86" t="s">
        <v>408</v>
      </c>
      <c r="L312" s="86" t="s">
        <v>853</v>
      </c>
      <c r="M312" s="86" t="s">
        <v>695</v>
      </c>
      <c r="N312" s="86" t="s">
        <v>412</v>
      </c>
      <c r="O312" s="86" t="s">
        <v>413</v>
      </c>
      <c r="P312" s="86" t="s">
        <v>403</v>
      </c>
      <c r="Q312" s="86" t="s">
        <v>414</v>
      </c>
      <c r="R312" s="88" t="s">
        <v>854</v>
      </c>
    </row>
    <row r="313" spans="1:18">
      <c r="A313" s="86" t="s">
        <v>135</v>
      </c>
      <c r="B313" s="86" t="s">
        <v>856</v>
      </c>
      <c r="C313" s="87">
        <v>240500</v>
      </c>
      <c r="D313" s="87">
        <v>2</v>
      </c>
      <c r="E313" s="87">
        <v>481000</v>
      </c>
      <c r="F313" s="86">
        <v>2014.8</v>
      </c>
      <c r="G313" s="86" t="s">
        <v>692</v>
      </c>
      <c r="H313" s="86" t="s">
        <v>38</v>
      </c>
      <c r="I313" s="86" t="s">
        <v>107</v>
      </c>
      <c r="J313" s="86" t="s">
        <v>701</v>
      </c>
      <c r="K313" s="86" t="s">
        <v>852</v>
      </c>
      <c r="L313" s="86" t="s">
        <v>853</v>
      </c>
      <c r="M313" s="86" t="s">
        <v>484</v>
      </c>
      <c r="N313" s="86" t="s">
        <v>412</v>
      </c>
      <c r="O313" s="86" t="s">
        <v>413</v>
      </c>
      <c r="P313" s="86" t="s">
        <v>403</v>
      </c>
      <c r="Q313" s="86" t="s">
        <v>414</v>
      </c>
      <c r="R313" s="88" t="s">
        <v>854</v>
      </c>
    </row>
    <row r="314" spans="1:18">
      <c r="A314" s="86" t="s">
        <v>135</v>
      </c>
      <c r="B314" s="86" t="s">
        <v>857</v>
      </c>
      <c r="C314" s="87">
        <v>244000</v>
      </c>
      <c r="D314" s="87">
        <v>1</v>
      </c>
      <c r="E314" s="87">
        <v>244000</v>
      </c>
      <c r="F314" s="86">
        <v>2014.8</v>
      </c>
      <c r="G314" s="86" t="s">
        <v>692</v>
      </c>
      <c r="H314" s="86" t="s">
        <v>38</v>
      </c>
      <c r="I314" s="86" t="s">
        <v>408</v>
      </c>
      <c r="J314" s="86" t="s">
        <v>701</v>
      </c>
      <c r="K314" s="86" t="s">
        <v>408</v>
      </c>
      <c r="L314" s="86" t="s">
        <v>853</v>
      </c>
      <c r="M314" s="86" t="s">
        <v>695</v>
      </c>
      <c r="N314" s="86" t="s">
        <v>412</v>
      </c>
      <c r="O314" s="86" t="s">
        <v>413</v>
      </c>
      <c r="P314" s="86" t="s">
        <v>403</v>
      </c>
      <c r="Q314" s="86" t="s">
        <v>414</v>
      </c>
      <c r="R314" s="88" t="s">
        <v>854</v>
      </c>
    </row>
    <row r="315" spans="1:18">
      <c r="A315" s="86" t="s">
        <v>135</v>
      </c>
      <c r="B315" s="86" t="s">
        <v>858</v>
      </c>
      <c r="C315" s="87">
        <v>287700</v>
      </c>
      <c r="D315" s="87">
        <v>2</v>
      </c>
      <c r="E315" s="87">
        <v>575400</v>
      </c>
      <c r="F315" s="86">
        <v>2017.3</v>
      </c>
      <c r="G315" s="86" t="s">
        <v>692</v>
      </c>
      <c r="H315" s="86" t="s">
        <v>38</v>
      </c>
      <c r="I315" s="86" t="s">
        <v>107</v>
      </c>
      <c r="J315" s="86" t="s">
        <v>423</v>
      </c>
      <c r="K315" s="86" t="s">
        <v>769</v>
      </c>
      <c r="L315" s="86" t="s">
        <v>859</v>
      </c>
      <c r="M315" s="86" t="s">
        <v>436</v>
      </c>
      <c r="N315" s="86" t="s">
        <v>412</v>
      </c>
      <c r="O315" s="86" t="s">
        <v>413</v>
      </c>
      <c r="P315" s="86" t="s">
        <v>403</v>
      </c>
      <c r="Q315" s="86" t="s">
        <v>414</v>
      </c>
      <c r="R315" s="88" t="s">
        <v>860</v>
      </c>
    </row>
    <row r="316" spans="1:18">
      <c r="A316" s="86" t="s">
        <v>135</v>
      </c>
      <c r="B316" s="86" t="s">
        <v>861</v>
      </c>
      <c r="C316" s="87">
        <v>298800</v>
      </c>
      <c r="D316" s="87">
        <v>1</v>
      </c>
      <c r="E316" s="87">
        <v>298800</v>
      </c>
      <c r="F316" s="86">
        <v>2017.3</v>
      </c>
      <c r="G316" s="86" t="s">
        <v>692</v>
      </c>
      <c r="H316" s="86" t="s">
        <v>38</v>
      </c>
      <c r="I316" s="86" t="s">
        <v>453</v>
      </c>
      <c r="J316" s="86" t="s">
        <v>423</v>
      </c>
      <c r="K316" s="86" t="s">
        <v>769</v>
      </c>
      <c r="L316" s="86" t="s">
        <v>859</v>
      </c>
      <c r="M316" s="86" t="s">
        <v>436</v>
      </c>
      <c r="N316" s="86" t="s">
        <v>412</v>
      </c>
      <c r="O316" s="86" t="s">
        <v>413</v>
      </c>
      <c r="P316" s="86" t="s">
        <v>403</v>
      </c>
      <c r="Q316" s="86" t="s">
        <v>414</v>
      </c>
      <c r="R316" s="88" t="s">
        <v>860</v>
      </c>
    </row>
    <row r="317" spans="1:18">
      <c r="A317" s="86" t="s">
        <v>135</v>
      </c>
      <c r="B317" s="86" t="s">
        <v>862</v>
      </c>
      <c r="C317" s="87">
        <v>35000</v>
      </c>
      <c r="D317" s="87">
        <v>1</v>
      </c>
      <c r="E317" s="87">
        <v>35000</v>
      </c>
      <c r="F317" s="86">
        <v>1995.6</v>
      </c>
      <c r="G317" s="86" t="s">
        <v>692</v>
      </c>
      <c r="H317" s="86" t="s">
        <v>38</v>
      </c>
      <c r="I317" s="86" t="s">
        <v>107</v>
      </c>
      <c r="J317" s="86" t="s">
        <v>435</v>
      </c>
      <c r="K317" s="86" t="s">
        <v>435</v>
      </c>
      <c r="L317" s="86" t="s">
        <v>410</v>
      </c>
      <c r="M317" s="86" t="s">
        <v>411</v>
      </c>
      <c r="N317" s="86" t="s">
        <v>412</v>
      </c>
      <c r="O317" s="86" t="s">
        <v>413</v>
      </c>
      <c r="P317" s="86" t="s">
        <v>403</v>
      </c>
      <c r="Q317" s="86" t="s">
        <v>414</v>
      </c>
      <c r="R317" s="88" t="s">
        <v>863</v>
      </c>
    </row>
    <row r="318" spans="1:18">
      <c r="A318" s="86" t="s">
        <v>135</v>
      </c>
      <c r="B318" s="86" t="s">
        <v>862</v>
      </c>
      <c r="C318" s="87">
        <v>35000</v>
      </c>
      <c r="D318" s="87">
        <v>1</v>
      </c>
      <c r="E318" s="87">
        <v>35000</v>
      </c>
      <c r="F318" s="86">
        <v>1996.6</v>
      </c>
      <c r="G318" s="86" t="s">
        <v>692</v>
      </c>
      <c r="H318" s="86" t="s">
        <v>38</v>
      </c>
      <c r="I318" s="86" t="s">
        <v>107</v>
      </c>
      <c r="J318" s="86" t="s">
        <v>435</v>
      </c>
      <c r="K318" s="86" t="s">
        <v>435</v>
      </c>
      <c r="L318" s="86" t="s">
        <v>410</v>
      </c>
      <c r="M318" s="86" t="s">
        <v>411</v>
      </c>
      <c r="N318" s="86" t="s">
        <v>412</v>
      </c>
      <c r="O318" s="86" t="s">
        <v>413</v>
      </c>
      <c r="P318" s="86" t="s">
        <v>403</v>
      </c>
      <c r="Q318" s="86" t="s">
        <v>414</v>
      </c>
      <c r="R318" s="88" t="s">
        <v>863</v>
      </c>
    </row>
    <row r="319" spans="1:18">
      <c r="A319" s="86" t="s">
        <v>135</v>
      </c>
      <c r="B319" s="86" t="s">
        <v>864</v>
      </c>
      <c r="C319" s="87">
        <v>35000</v>
      </c>
      <c r="D319" s="87">
        <v>1</v>
      </c>
      <c r="E319" s="87">
        <v>35000</v>
      </c>
      <c r="F319" s="86">
        <v>1997.7</v>
      </c>
      <c r="G319" s="86" t="s">
        <v>692</v>
      </c>
      <c r="H319" s="86" t="s">
        <v>38</v>
      </c>
      <c r="I319" s="86" t="s">
        <v>468</v>
      </c>
      <c r="J319" s="86" t="s">
        <v>435</v>
      </c>
      <c r="K319" s="86" t="s">
        <v>435</v>
      </c>
      <c r="L319" s="86" t="s">
        <v>410</v>
      </c>
      <c r="M319" s="86" t="s">
        <v>411</v>
      </c>
      <c r="N319" s="86" t="s">
        <v>412</v>
      </c>
      <c r="O319" s="86" t="s">
        <v>413</v>
      </c>
      <c r="P319" s="86" t="s">
        <v>403</v>
      </c>
      <c r="Q319" s="86" t="s">
        <v>414</v>
      </c>
      <c r="R319" s="88" t="s">
        <v>863</v>
      </c>
    </row>
    <row r="320" spans="1:18">
      <c r="A320" s="86" t="s">
        <v>45</v>
      </c>
      <c r="B320" s="86" t="s">
        <v>865</v>
      </c>
      <c r="C320" s="87">
        <v>400</v>
      </c>
      <c r="D320" s="87">
        <v>1</v>
      </c>
      <c r="E320" s="87">
        <v>400</v>
      </c>
      <c r="F320" s="86">
        <v>2013.5</v>
      </c>
      <c r="G320" s="86" t="s">
        <v>866</v>
      </c>
      <c r="H320" s="86" t="s">
        <v>866</v>
      </c>
      <c r="I320" s="86" t="s">
        <v>107</v>
      </c>
      <c r="J320" s="86" t="s">
        <v>867</v>
      </c>
      <c r="K320" s="86" t="s">
        <v>867</v>
      </c>
      <c r="L320" s="86" t="s">
        <v>868</v>
      </c>
      <c r="M320" s="86" t="s">
        <v>107</v>
      </c>
      <c r="N320" s="86" t="s">
        <v>40</v>
      </c>
      <c r="O320" s="86" t="s">
        <v>413</v>
      </c>
      <c r="P320" s="86" t="s">
        <v>403</v>
      </c>
      <c r="Q320" s="86" t="s">
        <v>550</v>
      </c>
      <c r="R320" s="88" t="s">
        <v>869</v>
      </c>
    </row>
    <row r="321" spans="1:18">
      <c r="A321" s="86" t="s">
        <v>45</v>
      </c>
      <c r="B321" s="86" t="s">
        <v>870</v>
      </c>
      <c r="C321" s="87">
        <v>650</v>
      </c>
      <c r="D321" s="87">
        <v>1</v>
      </c>
      <c r="E321" s="87">
        <v>650</v>
      </c>
      <c r="F321" s="86">
        <v>2014.4</v>
      </c>
      <c r="G321" s="86" t="s">
        <v>866</v>
      </c>
      <c r="H321" s="86" t="s">
        <v>866</v>
      </c>
      <c r="I321" s="86" t="s">
        <v>107</v>
      </c>
      <c r="J321" s="86" t="s">
        <v>871</v>
      </c>
      <c r="K321" s="86" t="s">
        <v>872</v>
      </c>
      <c r="L321" s="86" t="s">
        <v>873</v>
      </c>
      <c r="M321" s="86" t="s">
        <v>107</v>
      </c>
      <c r="N321" s="86" t="s">
        <v>40</v>
      </c>
      <c r="O321" s="86" t="s">
        <v>413</v>
      </c>
      <c r="P321" s="86" t="s">
        <v>403</v>
      </c>
      <c r="Q321" s="86" t="s">
        <v>550</v>
      </c>
      <c r="R321" s="88" t="s">
        <v>874</v>
      </c>
    </row>
    <row r="322" spans="1:18">
      <c r="A322" s="86" t="s">
        <v>45</v>
      </c>
      <c r="B322" s="86" t="s">
        <v>875</v>
      </c>
      <c r="C322" s="87">
        <v>41000</v>
      </c>
      <c r="D322" s="87">
        <v>1</v>
      </c>
      <c r="E322" s="87">
        <v>41000</v>
      </c>
      <c r="F322" s="86">
        <v>1990.12</v>
      </c>
      <c r="G322" s="86" t="s">
        <v>45</v>
      </c>
      <c r="H322" s="86" t="s">
        <v>45</v>
      </c>
      <c r="I322" s="86" t="s">
        <v>107</v>
      </c>
      <c r="J322" s="86" t="s">
        <v>504</v>
      </c>
      <c r="K322" s="86" t="s">
        <v>468</v>
      </c>
      <c r="L322" s="86" t="s">
        <v>876</v>
      </c>
      <c r="M322" s="86" t="s">
        <v>107</v>
      </c>
      <c r="N322" s="86" t="s">
        <v>412</v>
      </c>
      <c r="O322" s="86" t="s">
        <v>413</v>
      </c>
      <c r="P322" s="86" t="s">
        <v>403</v>
      </c>
      <c r="Q322" s="86" t="s">
        <v>414</v>
      </c>
      <c r="R322" s="88" t="s">
        <v>877</v>
      </c>
    </row>
    <row r="323" spans="1:18">
      <c r="A323" s="86" t="s">
        <v>45</v>
      </c>
      <c r="B323" s="86" t="s">
        <v>875</v>
      </c>
      <c r="C323" s="87">
        <v>41000</v>
      </c>
      <c r="D323" s="87">
        <v>1</v>
      </c>
      <c r="E323" s="87">
        <v>41000</v>
      </c>
      <c r="F323" s="86">
        <v>1991.1</v>
      </c>
      <c r="G323" s="86" t="s">
        <v>45</v>
      </c>
      <c r="H323" s="86" t="s">
        <v>45</v>
      </c>
      <c r="I323" s="86" t="s">
        <v>107</v>
      </c>
      <c r="J323" s="86" t="s">
        <v>504</v>
      </c>
      <c r="K323" s="86" t="s">
        <v>468</v>
      </c>
      <c r="L323" s="86" t="s">
        <v>876</v>
      </c>
      <c r="M323" s="86" t="s">
        <v>107</v>
      </c>
      <c r="N323" s="86" t="s">
        <v>412</v>
      </c>
      <c r="O323" s="86" t="s">
        <v>413</v>
      </c>
      <c r="P323" s="86" t="s">
        <v>403</v>
      </c>
      <c r="Q323" s="86" t="s">
        <v>414</v>
      </c>
      <c r="R323" s="88" t="s">
        <v>877</v>
      </c>
    </row>
    <row r="324" spans="1:18">
      <c r="A324" s="86" t="s">
        <v>45</v>
      </c>
      <c r="B324" s="86" t="s">
        <v>1512</v>
      </c>
      <c r="C324" s="87">
        <v>450</v>
      </c>
      <c r="D324" s="87">
        <v>1</v>
      </c>
      <c r="E324" s="87">
        <v>450</v>
      </c>
      <c r="F324" s="86">
        <v>1978.5</v>
      </c>
      <c r="G324" s="86" t="s">
        <v>866</v>
      </c>
      <c r="H324" s="86" t="s">
        <v>866</v>
      </c>
      <c r="I324" s="86" t="s">
        <v>107</v>
      </c>
      <c r="J324" s="86" t="s">
        <v>569</v>
      </c>
      <c r="K324" s="86" t="s">
        <v>569</v>
      </c>
      <c r="L324" s="86" t="s">
        <v>876</v>
      </c>
      <c r="M324" s="86" t="s">
        <v>107</v>
      </c>
      <c r="N324" s="86" t="s">
        <v>40</v>
      </c>
      <c r="O324" s="86" t="s">
        <v>413</v>
      </c>
      <c r="P324" s="86" t="s">
        <v>403</v>
      </c>
      <c r="Q324" s="86" t="s">
        <v>550</v>
      </c>
      <c r="R324" s="88" t="s">
        <v>1106</v>
      </c>
    </row>
    <row r="325" spans="1:18">
      <c r="A325" s="86" t="s">
        <v>45</v>
      </c>
      <c r="B325" s="86" t="s">
        <v>878</v>
      </c>
      <c r="C325" s="87">
        <v>3000</v>
      </c>
      <c r="D325" s="87">
        <v>1</v>
      </c>
      <c r="E325" s="87">
        <v>3000</v>
      </c>
      <c r="F325" s="86">
        <v>2011.12</v>
      </c>
      <c r="G325" s="86" t="s">
        <v>866</v>
      </c>
      <c r="H325" s="86" t="s">
        <v>866</v>
      </c>
      <c r="I325" s="86" t="s">
        <v>107</v>
      </c>
      <c r="J325" s="86" t="s">
        <v>879</v>
      </c>
      <c r="K325" s="86" t="s">
        <v>569</v>
      </c>
      <c r="L325" s="86" t="s">
        <v>880</v>
      </c>
      <c r="M325" s="86" t="s">
        <v>107</v>
      </c>
      <c r="N325" s="86" t="s">
        <v>40</v>
      </c>
      <c r="O325" s="86" t="s">
        <v>413</v>
      </c>
      <c r="P325" s="86" t="s">
        <v>403</v>
      </c>
      <c r="Q325" s="86" t="s">
        <v>550</v>
      </c>
      <c r="R325" s="88" t="s">
        <v>881</v>
      </c>
    </row>
    <row r="326" spans="1:18">
      <c r="A326" s="86" t="s">
        <v>45</v>
      </c>
      <c r="B326" s="86" t="s">
        <v>882</v>
      </c>
      <c r="C326" s="87">
        <v>4950</v>
      </c>
      <c r="D326" s="87">
        <v>1</v>
      </c>
      <c r="E326" s="87">
        <v>4950</v>
      </c>
      <c r="F326" s="86">
        <v>2011.12</v>
      </c>
      <c r="G326" s="86" t="s">
        <v>866</v>
      </c>
      <c r="H326" s="86" t="s">
        <v>866</v>
      </c>
      <c r="I326" s="86" t="s">
        <v>107</v>
      </c>
      <c r="J326" s="86" t="s">
        <v>883</v>
      </c>
      <c r="K326" s="86" t="s">
        <v>569</v>
      </c>
      <c r="L326" s="86" t="s">
        <v>880</v>
      </c>
      <c r="M326" s="86" t="s">
        <v>107</v>
      </c>
      <c r="N326" s="86" t="s">
        <v>40</v>
      </c>
      <c r="O326" s="86" t="s">
        <v>413</v>
      </c>
      <c r="P326" s="86" t="s">
        <v>403</v>
      </c>
      <c r="Q326" s="86" t="s">
        <v>550</v>
      </c>
      <c r="R326" s="88" t="s">
        <v>884</v>
      </c>
    </row>
    <row r="327" spans="1:18">
      <c r="A327" s="86" t="s">
        <v>45</v>
      </c>
      <c r="B327" s="86" t="s">
        <v>885</v>
      </c>
      <c r="C327" s="87">
        <v>420</v>
      </c>
      <c r="D327" s="87">
        <v>1</v>
      </c>
      <c r="E327" s="87">
        <v>420</v>
      </c>
      <c r="F327" s="86">
        <v>2013.8</v>
      </c>
      <c r="G327" s="86" t="s">
        <v>866</v>
      </c>
      <c r="H327" s="86" t="s">
        <v>866</v>
      </c>
      <c r="I327" s="86" t="s">
        <v>107</v>
      </c>
      <c r="J327" s="86" t="s">
        <v>871</v>
      </c>
      <c r="K327" s="86" t="s">
        <v>871</v>
      </c>
      <c r="L327" s="86" t="s">
        <v>886</v>
      </c>
      <c r="M327" s="86" t="s">
        <v>107</v>
      </c>
      <c r="N327" s="86" t="s">
        <v>40</v>
      </c>
      <c r="O327" s="86" t="s">
        <v>413</v>
      </c>
      <c r="P327" s="86" t="s">
        <v>403</v>
      </c>
      <c r="Q327" s="86" t="s">
        <v>550</v>
      </c>
      <c r="R327" s="88" t="s">
        <v>887</v>
      </c>
    </row>
    <row r="328" spans="1:18">
      <c r="A328" s="86" t="s">
        <v>45</v>
      </c>
      <c r="B328" s="86" t="s">
        <v>888</v>
      </c>
      <c r="C328" s="87">
        <v>800</v>
      </c>
      <c r="D328" s="87">
        <v>1</v>
      </c>
      <c r="E328" s="87">
        <v>800</v>
      </c>
      <c r="F328" s="86">
        <v>1995.6</v>
      </c>
      <c r="G328" s="86" t="s">
        <v>866</v>
      </c>
      <c r="H328" s="86" t="s">
        <v>866</v>
      </c>
      <c r="I328" s="86" t="s">
        <v>107</v>
      </c>
      <c r="J328" s="86" t="s">
        <v>889</v>
      </c>
      <c r="K328" s="86" t="s">
        <v>889</v>
      </c>
      <c r="L328" s="86" t="s">
        <v>873</v>
      </c>
      <c r="M328" s="86" t="s">
        <v>107</v>
      </c>
      <c r="N328" s="86" t="s">
        <v>40</v>
      </c>
      <c r="O328" s="86" t="s">
        <v>413</v>
      </c>
      <c r="P328" s="86" t="s">
        <v>403</v>
      </c>
      <c r="Q328" s="86" t="s">
        <v>550</v>
      </c>
      <c r="R328" s="88" t="s">
        <v>890</v>
      </c>
    </row>
    <row r="329" spans="1:18">
      <c r="A329" s="86" t="s">
        <v>45</v>
      </c>
      <c r="B329" s="86" t="s">
        <v>891</v>
      </c>
      <c r="C329" s="87">
        <v>2100</v>
      </c>
      <c r="D329" s="87">
        <v>1</v>
      </c>
      <c r="E329" s="87">
        <v>2100</v>
      </c>
      <c r="F329" s="86">
        <v>2010.1</v>
      </c>
      <c r="G329" s="86" t="s">
        <v>866</v>
      </c>
      <c r="H329" s="86" t="s">
        <v>866</v>
      </c>
      <c r="I329" s="86" t="s">
        <v>107</v>
      </c>
      <c r="J329" s="86" t="s">
        <v>107</v>
      </c>
      <c r="K329" s="86" t="s">
        <v>107</v>
      </c>
      <c r="L329" s="86" t="s">
        <v>892</v>
      </c>
      <c r="M329" s="86" t="s">
        <v>107</v>
      </c>
      <c r="N329" s="86" t="s">
        <v>40</v>
      </c>
      <c r="O329" s="86" t="s">
        <v>413</v>
      </c>
      <c r="P329" s="86" t="s">
        <v>403</v>
      </c>
      <c r="Q329" s="86" t="s">
        <v>550</v>
      </c>
      <c r="R329" s="88" t="s">
        <v>890</v>
      </c>
    </row>
    <row r="330" spans="1:18">
      <c r="A330" s="86" t="s">
        <v>45</v>
      </c>
      <c r="B330" s="86" t="s">
        <v>893</v>
      </c>
      <c r="C330" s="87">
        <v>440</v>
      </c>
      <c r="D330" s="87">
        <v>1</v>
      </c>
      <c r="E330" s="87">
        <v>440</v>
      </c>
      <c r="F330" s="86">
        <v>2008.12</v>
      </c>
      <c r="G330" s="86" t="s">
        <v>866</v>
      </c>
      <c r="H330" s="86" t="s">
        <v>866</v>
      </c>
      <c r="I330" s="86" t="s">
        <v>107</v>
      </c>
      <c r="J330" s="86" t="s">
        <v>107</v>
      </c>
      <c r="K330" s="86" t="s">
        <v>107</v>
      </c>
      <c r="L330" s="86" t="s">
        <v>873</v>
      </c>
      <c r="M330" s="86" t="s">
        <v>107</v>
      </c>
      <c r="N330" s="86" t="s">
        <v>40</v>
      </c>
      <c r="O330" s="86" t="s">
        <v>413</v>
      </c>
      <c r="P330" s="86" t="s">
        <v>403</v>
      </c>
      <c r="Q330" s="86" t="s">
        <v>550</v>
      </c>
      <c r="R330" s="88" t="s">
        <v>894</v>
      </c>
    </row>
    <row r="331" spans="1:18">
      <c r="A331" s="86" t="s">
        <v>45</v>
      </c>
      <c r="B331" s="86" t="s">
        <v>895</v>
      </c>
      <c r="C331" s="87">
        <v>1500</v>
      </c>
      <c r="D331" s="87">
        <v>1</v>
      </c>
      <c r="E331" s="87">
        <v>1500</v>
      </c>
      <c r="F331" s="86">
        <v>2007.8</v>
      </c>
      <c r="G331" s="86" t="s">
        <v>866</v>
      </c>
      <c r="H331" s="86" t="s">
        <v>866</v>
      </c>
      <c r="I331" s="86" t="s">
        <v>107</v>
      </c>
      <c r="J331" s="86" t="s">
        <v>889</v>
      </c>
      <c r="K331" s="86" t="s">
        <v>889</v>
      </c>
      <c r="L331" s="86" t="s">
        <v>896</v>
      </c>
      <c r="M331" s="86" t="s">
        <v>107</v>
      </c>
      <c r="N331" s="86" t="s">
        <v>40</v>
      </c>
      <c r="O331" s="86" t="s">
        <v>413</v>
      </c>
      <c r="P331" s="86" t="s">
        <v>403</v>
      </c>
      <c r="Q331" s="86" t="s">
        <v>550</v>
      </c>
      <c r="R331" s="88" t="s">
        <v>897</v>
      </c>
    </row>
    <row r="332" spans="1:18">
      <c r="A332" s="86" t="s">
        <v>45</v>
      </c>
      <c r="B332" s="86" t="s">
        <v>898</v>
      </c>
      <c r="C332" s="87">
        <v>560</v>
      </c>
      <c r="D332" s="87">
        <v>1</v>
      </c>
      <c r="E332" s="87">
        <v>560</v>
      </c>
      <c r="F332" s="86">
        <v>2009.12</v>
      </c>
      <c r="G332" s="86" t="s">
        <v>866</v>
      </c>
      <c r="H332" s="86" t="s">
        <v>866</v>
      </c>
      <c r="I332" s="86" t="s">
        <v>107</v>
      </c>
      <c r="J332" s="86" t="s">
        <v>889</v>
      </c>
      <c r="K332" s="86" t="s">
        <v>889</v>
      </c>
      <c r="L332" s="86" t="s">
        <v>880</v>
      </c>
      <c r="M332" s="86" t="s">
        <v>107</v>
      </c>
      <c r="N332" s="86" t="s">
        <v>40</v>
      </c>
      <c r="O332" s="86" t="s">
        <v>413</v>
      </c>
      <c r="P332" s="86" t="s">
        <v>403</v>
      </c>
      <c r="Q332" s="86" t="s">
        <v>550</v>
      </c>
      <c r="R332" s="88" t="s">
        <v>899</v>
      </c>
    </row>
    <row r="333" spans="1:18">
      <c r="A333" s="86" t="s">
        <v>45</v>
      </c>
      <c r="B333" s="86" t="s">
        <v>900</v>
      </c>
      <c r="C333" s="87">
        <v>99</v>
      </c>
      <c r="D333" s="87">
        <v>1</v>
      </c>
      <c r="E333" s="87">
        <v>99</v>
      </c>
      <c r="F333" s="86">
        <v>2018.1</v>
      </c>
      <c r="G333" s="86" t="s">
        <v>866</v>
      </c>
      <c r="H333" s="86" t="s">
        <v>866</v>
      </c>
      <c r="I333" s="86" t="s">
        <v>107</v>
      </c>
      <c r="J333" s="86" t="s">
        <v>107</v>
      </c>
      <c r="K333" s="86" t="s">
        <v>107</v>
      </c>
      <c r="L333" s="86" t="s">
        <v>873</v>
      </c>
      <c r="M333" s="86" t="s">
        <v>107</v>
      </c>
      <c r="N333" s="86" t="s">
        <v>40</v>
      </c>
      <c r="O333" s="86" t="s">
        <v>413</v>
      </c>
      <c r="P333" s="86" t="s">
        <v>403</v>
      </c>
      <c r="Q333" s="86" t="s">
        <v>550</v>
      </c>
      <c r="R333" s="88" t="s">
        <v>903</v>
      </c>
    </row>
    <row r="334" spans="1:18">
      <c r="A334" s="86" t="s">
        <v>45</v>
      </c>
      <c r="B334" s="86" t="s">
        <v>904</v>
      </c>
      <c r="C334" s="87">
        <v>3000</v>
      </c>
      <c r="D334" s="87">
        <v>1</v>
      </c>
      <c r="E334" s="87">
        <v>3000</v>
      </c>
      <c r="F334" s="86">
        <v>2011.12</v>
      </c>
      <c r="G334" s="86" t="s">
        <v>866</v>
      </c>
      <c r="H334" s="86" t="s">
        <v>866</v>
      </c>
      <c r="I334" s="86" t="s">
        <v>107</v>
      </c>
      <c r="J334" s="86" t="s">
        <v>883</v>
      </c>
      <c r="K334" s="86" t="s">
        <v>582</v>
      </c>
      <c r="L334" s="86" t="s">
        <v>880</v>
      </c>
      <c r="M334" s="86" t="s">
        <v>107</v>
      </c>
      <c r="N334" s="86" t="s">
        <v>40</v>
      </c>
      <c r="O334" s="86" t="s">
        <v>413</v>
      </c>
      <c r="P334" s="86" t="s">
        <v>403</v>
      </c>
      <c r="Q334" s="86" t="s">
        <v>550</v>
      </c>
      <c r="R334" s="88" t="s">
        <v>905</v>
      </c>
    </row>
    <row r="335" spans="1:18">
      <c r="A335" s="86" t="s">
        <v>45</v>
      </c>
      <c r="B335" s="86" t="s">
        <v>906</v>
      </c>
      <c r="C335" s="87">
        <v>240</v>
      </c>
      <c r="D335" s="87">
        <v>1</v>
      </c>
      <c r="E335" s="87">
        <v>240</v>
      </c>
      <c r="F335" s="86">
        <v>2013.1</v>
      </c>
      <c r="G335" s="86" t="s">
        <v>866</v>
      </c>
      <c r="H335" s="86" t="s">
        <v>866</v>
      </c>
      <c r="I335" s="86" t="s">
        <v>107</v>
      </c>
      <c r="J335" s="86" t="s">
        <v>871</v>
      </c>
      <c r="K335" s="86" t="s">
        <v>871</v>
      </c>
      <c r="L335" s="86" t="s">
        <v>873</v>
      </c>
      <c r="M335" s="86" t="s">
        <v>107</v>
      </c>
      <c r="N335" s="86" t="s">
        <v>40</v>
      </c>
      <c r="O335" s="86" t="s">
        <v>413</v>
      </c>
      <c r="P335" s="86" t="s">
        <v>403</v>
      </c>
      <c r="Q335" s="86" t="s">
        <v>550</v>
      </c>
      <c r="R335" s="88" t="s">
        <v>907</v>
      </c>
    </row>
    <row r="336" spans="1:18">
      <c r="A336" s="86" t="s">
        <v>45</v>
      </c>
      <c r="B336" s="86" t="s">
        <v>908</v>
      </c>
      <c r="C336" s="87">
        <v>450</v>
      </c>
      <c r="D336" s="87">
        <v>1</v>
      </c>
      <c r="E336" s="87">
        <v>450</v>
      </c>
      <c r="F336" s="86">
        <v>1992.1</v>
      </c>
      <c r="G336" s="86" t="s">
        <v>866</v>
      </c>
      <c r="H336" s="86" t="s">
        <v>866</v>
      </c>
      <c r="I336" s="86" t="s">
        <v>107</v>
      </c>
      <c r="J336" s="86" t="s">
        <v>909</v>
      </c>
      <c r="K336" s="86" t="s">
        <v>909</v>
      </c>
      <c r="L336" s="86" t="s">
        <v>880</v>
      </c>
      <c r="M336" s="86" t="s">
        <v>107</v>
      </c>
      <c r="N336" s="86" t="s">
        <v>40</v>
      </c>
      <c r="O336" s="86" t="s">
        <v>413</v>
      </c>
      <c r="P336" s="86" t="s">
        <v>403</v>
      </c>
      <c r="Q336" s="86" t="s">
        <v>550</v>
      </c>
      <c r="R336" s="88" t="s">
        <v>910</v>
      </c>
    </row>
    <row r="337" spans="1:18">
      <c r="A337" s="86" t="s">
        <v>45</v>
      </c>
      <c r="B337" s="86" t="s">
        <v>911</v>
      </c>
      <c r="C337" s="87">
        <v>2600</v>
      </c>
      <c r="D337" s="87">
        <v>1</v>
      </c>
      <c r="E337" s="87">
        <v>2600</v>
      </c>
      <c r="F337" s="86">
        <v>1957.2</v>
      </c>
      <c r="G337" s="86" t="s">
        <v>866</v>
      </c>
      <c r="H337" s="86" t="s">
        <v>866</v>
      </c>
      <c r="I337" s="86" t="s">
        <v>107</v>
      </c>
      <c r="J337" s="86" t="s">
        <v>912</v>
      </c>
      <c r="K337" s="86" t="s">
        <v>693</v>
      </c>
      <c r="L337" s="86" t="s">
        <v>876</v>
      </c>
      <c r="M337" s="86" t="s">
        <v>107</v>
      </c>
      <c r="N337" s="86" t="s">
        <v>40</v>
      </c>
      <c r="O337" s="86" t="s">
        <v>413</v>
      </c>
      <c r="P337" s="86" t="s">
        <v>403</v>
      </c>
      <c r="Q337" s="86" t="s">
        <v>550</v>
      </c>
      <c r="R337" s="88" t="s">
        <v>913</v>
      </c>
    </row>
    <row r="338" spans="1:18">
      <c r="A338" s="86" t="s">
        <v>45</v>
      </c>
      <c r="B338" s="86" t="s">
        <v>914</v>
      </c>
      <c r="C338" s="87">
        <v>170</v>
      </c>
      <c r="D338" s="87">
        <v>1</v>
      </c>
      <c r="E338" s="87">
        <v>170</v>
      </c>
      <c r="F338" s="86">
        <v>2014.5</v>
      </c>
      <c r="G338" s="86" t="s">
        <v>866</v>
      </c>
      <c r="H338" s="86" t="s">
        <v>866</v>
      </c>
      <c r="I338" s="86" t="s">
        <v>107</v>
      </c>
      <c r="J338" s="86" t="s">
        <v>871</v>
      </c>
      <c r="K338" s="86" t="s">
        <v>871</v>
      </c>
      <c r="L338" s="86" t="s">
        <v>873</v>
      </c>
      <c r="M338" s="86" t="s">
        <v>107</v>
      </c>
      <c r="N338" s="86" t="s">
        <v>40</v>
      </c>
      <c r="O338" s="86" t="s">
        <v>413</v>
      </c>
      <c r="P338" s="86" t="s">
        <v>403</v>
      </c>
      <c r="Q338" s="86" t="s">
        <v>550</v>
      </c>
      <c r="R338" s="88" t="s">
        <v>915</v>
      </c>
    </row>
    <row r="339" spans="1:18">
      <c r="A339" s="86" t="s">
        <v>45</v>
      </c>
      <c r="B339" s="86" t="s">
        <v>916</v>
      </c>
      <c r="C339" s="87">
        <v>3000</v>
      </c>
      <c r="D339" s="87">
        <v>1</v>
      </c>
      <c r="E339" s="87">
        <v>3000</v>
      </c>
      <c r="F339" s="86">
        <v>2011.12</v>
      </c>
      <c r="G339" s="86" t="s">
        <v>866</v>
      </c>
      <c r="H339" s="86" t="s">
        <v>866</v>
      </c>
      <c r="I339" s="86" t="s">
        <v>107</v>
      </c>
      <c r="J339" s="86" t="s">
        <v>883</v>
      </c>
      <c r="K339" s="86" t="s">
        <v>569</v>
      </c>
      <c r="L339" s="86" t="s">
        <v>880</v>
      </c>
      <c r="M339" s="86" t="s">
        <v>107</v>
      </c>
      <c r="N339" s="86" t="s">
        <v>40</v>
      </c>
      <c r="O339" s="86" t="s">
        <v>413</v>
      </c>
      <c r="P339" s="86" t="s">
        <v>403</v>
      </c>
      <c r="Q339" s="86" t="s">
        <v>550</v>
      </c>
      <c r="R339" s="88" t="s">
        <v>917</v>
      </c>
    </row>
    <row r="340" spans="1:18">
      <c r="A340" s="86" t="s">
        <v>45</v>
      </c>
      <c r="B340" s="86" t="s">
        <v>918</v>
      </c>
      <c r="C340" s="87">
        <v>500</v>
      </c>
      <c r="D340" s="87">
        <v>1</v>
      </c>
      <c r="E340" s="87">
        <v>500</v>
      </c>
      <c r="F340" s="86">
        <v>2010.1</v>
      </c>
      <c r="G340" s="86" t="s">
        <v>866</v>
      </c>
      <c r="H340" s="86" t="s">
        <v>866</v>
      </c>
      <c r="I340" s="86" t="s">
        <v>107</v>
      </c>
      <c r="J340" s="86" t="s">
        <v>889</v>
      </c>
      <c r="K340" s="86" t="s">
        <v>889</v>
      </c>
      <c r="L340" s="86" t="s">
        <v>880</v>
      </c>
      <c r="M340" s="86" t="s">
        <v>107</v>
      </c>
      <c r="N340" s="86" t="s">
        <v>40</v>
      </c>
      <c r="O340" s="86" t="s">
        <v>413</v>
      </c>
      <c r="P340" s="86" t="s">
        <v>403</v>
      </c>
      <c r="Q340" s="86" t="s">
        <v>550</v>
      </c>
      <c r="R340" s="88" t="s">
        <v>919</v>
      </c>
    </row>
    <row r="341" spans="1:18">
      <c r="A341" s="86" t="s">
        <v>45</v>
      </c>
      <c r="B341" s="86" t="s">
        <v>920</v>
      </c>
      <c r="C341" s="87">
        <v>180</v>
      </c>
      <c r="D341" s="87">
        <v>1</v>
      </c>
      <c r="E341" s="87">
        <v>180</v>
      </c>
      <c r="F341" s="86">
        <v>2012.1</v>
      </c>
      <c r="G341" s="86" t="s">
        <v>866</v>
      </c>
      <c r="H341" s="86" t="s">
        <v>866</v>
      </c>
      <c r="I341" s="86" t="s">
        <v>107</v>
      </c>
      <c r="J341" s="86" t="s">
        <v>107</v>
      </c>
      <c r="K341" s="86" t="s">
        <v>107</v>
      </c>
      <c r="L341" s="86" t="s">
        <v>107</v>
      </c>
      <c r="M341" s="86" t="s">
        <v>107</v>
      </c>
      <c r="N341" s="86" t="s">
        <v>40</v>
      </c>
      <c r="O341" s="86" t="s">
        <v>548</v>
      </c>
      <c r="P341" s="86" t="s">
        <v>549</v>
      </c>
      <c r="Q341" s="86" t="s">
        <v>550</v>
      </c>
      <c r="R341" s="88" t="s">
        <v>921</v>
      </c>
    </row>
    <row r="342" spans="1:18">
      <c r="A342" s="86" t="s">
        <v>45</v>
      </c>
      <c r="B342" s="86" t="s">
        <v>922</v>
      </c>
      <c r="C342" s="87">
        <v>1500</v>
      </c>
      <c r="D342" s="87">
        <v>1</v>
      </c>
      <c r="E342" s="87">
        <v>1500</v>
      </c>
      <c r="F342" s="86">
        <v>2011.8</v>
      </c>
      <c r="G342" s="86" t="s">
        <v>866</v>
      </c>
      <c r="H342" s="86" t="s">
        <v>866</v>
      </c>
      <c r="I342" s="86" t="s">
        <v>107</v>
      </c>
      <c r="J342" s="86" t="s">
        <v>923</v>
      </c>
      <c r="K342" s="86" t="s">
        <v>923</v>
      </c>
      <c r="L342" s="86" t="s">
        <v>924</v>
      </c>
      <c r="M342" s="86" t="s">
        <v>107</v>
      </c>
      <c r="N342" s="86" t="s">
        <v>40</v>
      </c>
      <c r="O342" s="86" t="s">
        <v>413</v>
      </c>
      <c r="P342" s="86" t="s">
        <v>403</v>
      </c>
      <c r="Q342" s="86" t="s">
        <v>550</v>
      </c>
      <c r="R342" s="88" t="s">
        <v>925</v>
      </c>
    </row>
    <row r="343" spans="1:18">
      <c r="A343" s="86" t="s">
        <v>45</v>
      </c>
      <c r="B343" s="86" t="s">
        <v>926</v>
      </c>
      <c r="C343" s="87">
        <v>750</v>
      </c>
      <c r="D343" s="87">
        <v>1</v>
      </c>
      <c r="E343" s="87">
        <v>750</v>
      </c>
      <c r="F343" s="86">
        <v>2013.4</v>
      </c>
      <c r="G343" s="86" t="s">
        <v>866</v>
      </c>
      <c r="H343" s="86" t="s">
        <v>866</v>
      </c>
      <c r="I343" s="86" t="s">
        <v>107</v>
      </c>
      <c r="J343" s="86" t="s">
        <v>927</v>
      </c>
      <c r="K343" s="86" t="s">
        <v>928</v>
      </c>
      <c r="L343" s="86" t="s">
        <v>929</v>
      </c>
      <c r="M343" s="86" t="s">
        <v>107</v>
      </c>
      <c r="N343" s="86" t="s">
        <v>40</v>
      </c>
      <c r="O343" s="86" t="s">
        <v>413</v>
      </c>
      <c r="P343" s="86" t="s">
        <v>403</v>
      </c>
      <c r="Q343" s="86" t="s">
        <v>550</v>
      </c>
      <c r="R343" s="88" t="s">
        <v>925</v>
      </c>
    </row>
    <row r="344" spans="1:18">
      <c r="A344" s="86" t="s">
        <v>45</v>
      </c>
      <c r="B344" s="86" t="s">
        <v>930</v>
      </c>
      <c r="C344" s="87">
        <v>1350</v>
      </c>
      <c r="D344" s="87">
        <v>1</v>
      </c>
      <c r="E344" s="87">
        <v>1350</v>
      </c>
      <c r="F344" s="86">
        <v>1988.3</v>
      </c>
      <c r="G344" s="86" t="s">
        <v>866</v>
      </c>
      <c r="H344" s="86" t="s">
        <v>866</v>
      </c>
      <c r="I344" s="86" t="s">
        <v>107</v>
      </c>
      <c r="J344" s="86" t="s">
        <v>931</v>
      </c>
      <c r="K344" s="86" t="s">
        <v>582</v>
      </c>
      <c r="L344" s="86" t="s">
        <v>932</v>
      </c>
      <c r="M344" s="86" t="s">
        <v>107</v>
      </c>
      <c r="N344" s="86" t="s">
        <v>40</v>
      </c>
      <c r="O344" s="86" t="s">
        <v>413</v>
      </c>
      <c r="P344" s="86" t="s">
        <v>403</v>
      </c>
      <c r="Q344" s="86" t="s">
        <v>550</v>
      </c>
      <c r="R344" s="88" t="s">
        <v>933</v>
      </c>
    </row>
    <row r="345" spans="1:18">
      <c r="A345" s="86" t="s">
        <v>45</v>
      </c>
      <c r="B345" s="86" t="s">
        <v>934</v>
      </c>
      <c r="C345" s="87">
        <v>280</v>
      </c>
      <c r="D345" s="87">
        <v>1</v>
      </c>
      <c r="E345" s="87">
        <v>280</v>
      </c>
      <c r="F345" s="86">
        <v>2014.4</v>
      </c>
      <c r="G345" s="86" t="s">
        <v>866</v>
      </c>
      <c r="H345" s="86" t="s">
        <v>866</v>
      </c>
      <c r="I345" s="86" t="s">
        <v>107</v>
      </c>
      <c r="J345" s="86" t="s">
        <v>871</v>
      </c>
      <c r="K345" s="86" t="s">
        <v>871</v>
      </c>
      <c r="L345" s="86" t="s">
        <v>873</v>
      </c>
      <c r="M345" s="86" t="s">
        <v>107</v>
      </c>
      <c r="N345" s="86" t="s">
        <v>40</v>
      </c>
      <c r="O345" s="86" t="s">
        <v>548</v>
      </c>
      <c r="P345" s="86" t="s">
        <v>549</v>
      </c>
      <c r="Q345" s="86" t="s">
        <v>550</v>
      </c>
      <c r="R345" s="88" t="s">
        <v>935</v>
      </c>
    </row>
    <row r="346" spans="1:18">
      <c r="A346" s="86" t="s">
        <v>45</v>
      </c>
      <c r="B346" s="86" t="s">
        <v>936</v>
      </c>
      <c r="C346" s="87">
        <v>3000</v>
      </c>
      <c r="D346" s="87">
        <v>1</v>
      </c>
      <c r="E346" s="87">
        <v>3000</v>
      </c>
      <c r="F346" s="86">
        <v>2012.6</v>
      </c>
      <c r="G346" s="86" t="s">
        <v>866</v>
      </c>
      <c r="H346" s="86" t="s">
        <v>866</v>
      </c>
      <c r="I346" s="86" t="s">
        <v>107</v>
      </c>
      <c r="J346" s="86" t="s">
        <v>879</v>
      </c>
      <c r="K346" s="86" t="s">
        <v>569</v>
      </c>
      <c r="L346" s="86" t="s">
        <v>880</v>
      </c>
      <c r="M346" s="86" t="s">
        <v>107</v>
      </c>
      <c r="N346" s="86" t="s">
        <v>40</v>
      </c>
      <c r="O346" s="86" t="s">
        <v>413</v>
      </c>
      <c r="P346" s="86" t="s">
        <v>403</v>
      </c>
      <c r="Q346" s="86" t="s">
        <v>550</v>
      </c>
      <c r="R346" s="88" t="s">
        <v>937</v>
      </c>
    </row>
    <row r="347" spans="1:18">
      <c r="A347" s="86" t="s">
        <v>45</v>
      </c>
      <c r="B347" s="86" t="s">
        <v>938</v>
      </c>
      <c r="C347" s="87">
        <v>60</v>
      </c>
      <c r="D347" s="87">
        <v>1</v>
      </c>
      <c r="E347" s="87">
        <v>60</v>
      </c>
      <c r="F347" s="86">
        <v>2014.4</v>
      </c>
      <c r="G347" s="86" t="s">
        <v>866</v>
      </c>
      <c r="H347" s="86" t="s">
        <v>866</v>
      </c>
      <c r="I347" s="86" t="s">
        <v>107</v>
      </c>
      <c r="J347" s="86" t="s">
        <v>889</v>
      </c>
      <c r="K347" s="86" t="s">
        <v>889</v>
      </c>
      <c r="L347" s="86" t="s">
        <v>873</v>
      </c>
      <c r="M347" s="86" t="s">
        <v>107</v>
      </c>
      <c r="N347" s="86" t="s">
        <v>40</v>
      </c>
      <c r="O347" s="86" t="s">
        <v>548</v>
      </c>
      <c r="P347" s="86" t="s">
        <v>549</v>
      </c>
      <c r="Q347" s="86" t="s">
        <v>550</v>
      </c>
      <c r="R347" s="88" t="s">
        <v>939</v>
      </c>
    </row>
    <row r="348" spans="1:18">
      <c r="A348" s="86" t="s">
        <v>45</v>
      </c>
      <c r="B348" s="86" t="s">
        <v>940</v>
      </c>
      <c r="C348" s="87">
        <v>18000</v>
      </c>
      <c r="D348" s="87">
        <v>1</v>
      </c>
      <c r="E348" s="87">
        <v>18000</v>
      </c>
      <c r="F348" s="86">
        <v>1998.1</v>
      </c>
      <c r="G348" s="86" t="s">
        <v>866</v>
      </c>
      <c r="H348" s="86" t="s">
        <v>866</v>
      </c>
      <c r="I348" s="86" t="s">
        <v>107</v>
      </c>
      <c r="J348" s="86" t="s">
        <v>538</v>
      </c>
      <c r="K348" s="86" t="s">
        <v>538</v>
      </c>
      <c r="L348" s="86" t="s">
        <v>880</v>
      </c>
      <c r="M348" s="86" t="s">
        <v>107</v>
      </c>
      <c r="N348" s="86" t="s">
        <v>412</v>
      </c>
      <c r="O348" s="86" t="s">
        <v>413</v>
      </c>
      <c r="P348" s="86" t="s">
        <v>403</v>
      </c>
      <c r="Q348" s="86" t="s">
        <v>550</v>
      </c>
      <c r="R348" s="88" t="s">
        <v>941</v>
      </c>
    </row>
    <row r="349" spans="1:18">
      <c r="A349" s="86" t="s">
        <v>45</v>
      </c>
      <c r="B349" s="86" t="s">
        <v>942</v>
      </c>
      <c r="C349" s="87">
        <v>9000</v>
      </c>
      <c r="D349" s="87">
        <v>1</v>
      </c>
      <c r="E349" s="87">
        <v>9000</v>
      </c>
      <c r="F349" s="86">
        <v>2019.11</v>
      </c>
      <c r="G349" s="86" t="s">
        <v>866</v>
      </c>
      <c r="H349" s="86" t="s">
        <v>866</v>
      </c>
      <c r="I349" s="86" t="s">
        <v>107</v>
      </c>
      <c r="J349" s="86" t="s">
        <v>943</v>
      </c>
      <c r="K349" s="86" t="s">
        <v>943</v>
      </c>
      <c r="L349" s="86" t="s">
        <v>880</v>
      </c>
      <c r="M349" s="86" t="s">
        <v>107</v>
      </c>
      <c r="N349" s="86" t="s">
        <v>40</v>
      </c>
      <c r="O349" s="86" t="s">
        <v>413</v>
      </c>
      <c r="P349" s="86" t="s">
        <v>403</v>
      </c>
      <c r="Q349" s="86" t="s">
        <v>550</v>
      </c>
      <c r="R349" s="88" t="s">
        <v>944</v>
      </c>
    </row>
    <row r="350" spans="1:18">
      <c r="A350" s="86" t="s">
        <v>45</v>
      </c>
      <c r="B350" s="86" t="s">
        <v>945</v>
      </c>
      <c r="C350" s="87">
        <v>300</v>
      </c>
      <c r="D350" s="87">
        <v>1</v>
      </c>
      <c r="E350" s="87">
        <v>300</v>
      </c>
      <c r="F350" s="86">
        <v>2013.12</v>
      </c>
      <c r="G350" s="86" t="s">
        <v>866</v>
      </c>
      <c r="H350" s="86" t="s">
        <v>866</v>
      </c>
      <c r="I350" s="86" t="s">
        <v>107</v>
      </c>
      <c r="J350" s="86" t="s">
        <v>946</v>
      </c>
      <c r="K350" s="86" t="s">
        <v>947</v>
      </c>
      <c r="L350" s="86" t="s">
        <v>948</v>
      </c>
      <c r="M350" s="86" t="s">
        <v>107</v>
      </c>
      <c r="N350" s="86" t="s">
        <v>40</v>
      </c>
      <c r="O350" s="86" t="s">
        <v>548</v>
      </c>
      <c r="P350" s="86" t="s">
        <v>549</v>
      </c>
      <c r="Q350" s="86" t="s">
        <v>550</v>
      </c>
      <c r="R350" s="88" t="s">
        <v>949</v>
      </c>
    </row>
    <row r="351" spans="1:18">
      <c r="A351" s="86" t="s">
        <v>45</v>
      </c>
      <c r="B351" s="86" t="s">
        <v>873</v>
      </c>
      <c r="C351" s="87">
        <v>490</v>
      </c>
      <c r="D351" s="87">
        <v>1</v>
      </c>
      <c r="E351" s="87">
        <v>490</v>
      </c>
      <c r="F351" s="86">
        <v>2010.1</v>
      </c>
      <c r="G351" s="86" t="s">
        <v>866</v>
      </c>
      <c r="H351" s="86" t="s">
        <v>866</v>
      </c>
      <c r="I351" s="86" t="s">
        <v>107</v>
      </c>
      <c r="J351" s="86" t="s">
        <v>107</v>
      </c>
      <c r="K351" s="86" t="s">
        <v>107</v>
      </c>
      <c r="L351" s="86" t="s">
        <v>873</v>
      </c>
      <c r="M351" s="86" t="s">
        <v>107</v>
      </c>
      <c r="N351" s="86" t="s">
        <v>40</v>
      </c>
      <c r="O351" s="86" t="s">
        <v>548</v>
      </c>
      <c r="P351" s="86" t="s">
        <v>549</v>
      </c>
      <c r="Q351" s="86" t="s">
        <v>550</v>
      </c>
      <c r="R351" s="88" t="s">
        <v>950</v>
      </c>
    </row>
    <row r="352" spans="1:18">
      <c r="A352" s="86" t="s">
        <v>45</v>
      </c>
      <c r="B352" s="86" t="s">
        <v>951</v>
      </c>
      <c r="C352" s="87">
        <v>2400</v>
      </c>
      <c r="D352" s="87">
        <v>1</v>
      </c>
      <c r="E352" s="87">
        <v>2400</v>
      </c>
      <c r="F352" s="86">
        <v>2019.6</v>
      </c>
      <c r="G352" s="86" t="s">
        <v>866</v>
      </c>
      <c r="H352" s="86" t="s">
        <v>866</v>
      </c>
      <c r="I352" s="86" t="s">
        <v>107</v>
      </c>
      <c r="J352" s="86" t="s">
        <v>871</v>
      </c>
      <c r="K352" s="86" t="s">
        <v>871</v>
      </c>
      <c r="L352" s="86" t="s">
        <v>880</v>
      </c>
      <c r="M352" s="86" t="s">
        <v>107</v>
      </c>
      <c r="N352" s="86" t="s">
        <v>40</v>
      </c>
      <c r="O352" s="86" t="s">
        <v>413</v>
      </c>
      <c r="P352" s="86" t="s">
        <v>403</v>
      </c>
      <c r="Q352" s="86" t="s">
        <v>550</v>
      </c>
      <c r="R352" s="88" t="s">
        <v>952</v>
      </c>
    </row>
    <row r="353" spans="1:18">
      <c r="A353" s="86" t="s">
        <v>45</v>
      </c>
      <c r="B353" s="86" t="s">
        <v>953</v>
      </c>
      <c r="C353" s="87">
        <v>170</v>
      </c>
      <c r="D353" s="87">
        <v>1</v>
      </c>
      <c r="E353" s="87">
        <v>170</v>
      </c>
      <c r="F353" s="86">
        <v>2007.2</v>
      </c>
      <c r="G353" s="86" t="s">
        <v>866</v>
      </c>
      <c r="H353" s="86" t="s">
        <v>866</v>
      </c>
      <c r="I353" s="86" t="s">
        <v>107</v>
      </c>
      <c r="J353" s="86" t="s">
        <v>889</v>
      </c>
      <c r="K353" s="86" t="s">
        <v>889</v>
      </c>
      <c r="L353" s="86" t="s">
        <v>880</v>
      </c>
      <c r="M353" s="86" t="s">
        <v>107</v>
      </c>
      <c r="N353" s="86" t="s">
        <v>40</v>
      </c>
      <c r="O353" s="86" t="s">
        <v>413</v>
      </c>
      <c r="P353" s="86" t="s">
        <v>403</v>
      </c>
      <c r="Q353" s="86" t="s">
        <v>550</v>
      </c>
      <c r="R353" s="88" t="s">
        <v>954</v>
      </c>
    </row>
    <row r="354" spans="1:18">
      <c r="A354" s="86" t="s">
        <v>45</v>
      </c>
      <c r="B354" s="86" t="s">
        <v>955</v>
      </c>
      <c r="C354" s="87">
        <v>2856</v>
      </c>
      <c r="D354" s="87">
        <v>1</v>
      </c>
      <c r="E354" s="87">
        <v>2856</v>
      </c>
      <c r="F354" s="86">
        <v>2012.6</v>
      </c>
      <c r="G354" s="86" t="s">
        <v>866</v>
      </c>
      <c r="H354" s="86" t="s">
        <v>866</v>
      </c>
      <c r="I354" s="86" t="s">
        <v>107</v>
      </c>
      <c r="J354" s="86" t="s">
        <v>943</v>
      </c>
      <c r="K354" s="86" t="s">
        <v>943</v>
      </c>
      <c r="L354" s="86" t="s">
        <v>880</v>
      </c>
      <c r="M354" s="86" t="s">
        <v>107</v>
      </c>
      <c r="N354" s="86" t="s">
        <v>40</v>
      </c>
      <c r="O354" s="86" t="s">
        <v>413</v>
      </c>
      <c r="P354" s="86" t="s">
        <v>403</v>
      </c>
      <c r="Q354" s="86" t="s">
        <v>550</v>
      </c>
      <c r="R354" s="88" t="s">
        <v>956</v>
      </c>
    </row>
    <row r="355" spans="1:18">
      <c r="A355" s="86" t="s">
        <v>45</v>
      </c>
      <c r="B355" s="86" t="s">
        <v>957</v>
      </c>
      <c r="C355" s="87">
        <v>1274</v>
      </c>
      <c r="D355" s="87">
        <v>1</v>
      </c>
      <c r="E355" s="87">
        <v>1274</v>
      </c>
      <c r="F355" s="86">
        <v>2007.5</v>
      </c>
      <c r="G355" s="86" t="s">
        <v>866</v>
      </c>
      <c r="H355" s="86" t="s">
        <v>866</v>
      </c>
      <c r="I355" s="86" t="s">
        <v>107</v>
      </c>
      <c r="J355" s="86" t="s">
        <v>889</v>
      </c>
      <c r="K355" s="86" t="s">
        <v>889</v>
      </c>
      <c r="L355" s="86" t="s">
        <v>873</v>
      </c>
      <c r="M355" s="86" t="s">
        <v>107</v>
      </c>
      <c r="N355" s="86" t="s">
        <v>40</v>
      </c>
      <c r="O355" s="86" t="s">
        <v>413</v>
      </c>
      <c r="P355" s="86" t="s">
        <v>403</v>
      </c>
      <c r="Q355" s="86" t="s">
        <v>550</v>
      </c>
      <c r="R355" s="88" t="s">
        <v>958</v>
      </c>
    </row>
    <row r="356" spans="1:18">
      <c r="A356" s="86" t="s">
        <v>45</v>
      </c>
      <c r="B356" s="86" t="s">
        <v>959</v>
      </c>
      <c r="C356" s="87">
        <v>4998</v>
      </c>
      <c r="D356" s="87">
        <v>1</v>
      </c>
      <c r="E356" s="87">
        <v>4998</v>
      </c>
      <c r="F356" s="86">
        <v>2010.5</v>
      </c>
      <c r="G356" s="86" t="s">
        <v>866</v>
      </c>
      <c r="H356" s="86" t="s">
        <v>866</v>
      </c>
      <c r="I356" s="86" t="s">
        <v>107</v>
      </c>
      <c r="J356" s="86" t="s">
        <v>889</v>
      </c>
      <c r="K356" s="86" t="s">
        <v>889</v>
      </c>
      <c r="L356" s="86" t="s">
        <v>960</v>
      </c>
      <c r="M356" s="86" t="s">
        <v>107</v>
      </c>
      <c r="N356" s="86" t="s">
        <v>40</v>
      </c>
      <c r="O356" s="86" t="s">
        <v>413</v>
      </c>
      <c r="P356" s="86" t="s">
        <v>403</v>
      </c>
      <c r="Q356" s="86" t="s">
        <v>550</v>
      </c>
      <c r="R356" s="88" t="s">
        <v>421</v>
      </c>
    </row>
    <row r="357" spans="1:18">
      <c r="A357" s="86" t="s">
        <v>45</v>
      </c>
      <c r="B357" s="86" t="s">
        <v>961</v>
      </c>
      <c r="C357" s="87">
        <v>3200</v>
      </c>
      <c r="D357" s="87">
        <v>1</v>
      </c>
      <c r="E357" s="87">
        <v>3200</v>
      </c>
      <c r="F357" s="86">
        <v>2014.8</v>
      </c>
      <c r="G357" s="86" t="s">
        <v>866</v>
      </c>
      <c r="H357" s="86" t="s">
        <v>866</v>
      </c>
      <c r="I357" s="86" t="s">
        <v>107</v>
      </c>
      <c r="J357" s="86" t="s">
        <v>962</v>
      </c>
      <c r="K357" s="86" t="s">
        <v>962</v>
      </c>
      <c r="L357" s="86" t="s">
        <v>960</v>
      </c>
      <c r="M357" s="86" t="s">
        <v>107</v>
      </c>
      <c r="N357" s="86" t="s">
        <v>40</v>
      </c>
      <c r="O357" s="86" t="s">
        <v>413</v>
      </c>
      <c r="P357" s="86" t="s">
        <v>403</v>
      </c>
      <c r="Q357" s="86" t="s">
        <v>550</v>
      </c>
      <c r="R357" s="88" t="s">
        <v>421</v>
      </c>
    </row>
    <row r="358" spans="1:18">
      <c r="A358" s="86" t="s">
        <v>45</v>
      </c>
      <c r="B358" s="86" t="s">
        <v>963</v>
      </c>
      <c r="C358" s="87">
        <v>300</v>
      </c>
      <c r="D358" s="87">
        <v>1</v>
      </c>
      <c r="E358" s="87">
        <v>300</v>
      </c>
      <c r="F358" s="86">
        <v>2005.6</v>
      </c>
      <c r="G358" s="86" t="s">
        <v>866</v>
      </c>
      <c r="H358" s="86" t="s">
        <v>866</v>
      </c>
      <c r="I358" s="86" t="s">
        <v>107</v>
      </c>
      <c r="J358" s="86" t="s">
        <v>889</v>
      </c>
      <c r="K358" s="86" t="s">
        <v>889</v>
      </c>
      <c r="L358" s="86" t="s">
        <v>880</v>
      </c>
      <c r="M358" s="86" t="s">
        <v>107</v>
      </c>
      <c r="N358" s="86" t="s">
        <v>40</v>
      </c>
      <c r="O358" s="86" t="s">
        <v>413</v>
      </c>
      <c r="P358" s="86" t="s">
        <v>403</v>
      </c>
      <c r="Q358" s="86" t="s">
        <v>550</v>
      </c>
      <c r="R358" s="88" t="s">
        <v>964</v>
      </c>
    </row>
    <row r="359" spans="1:18">
      <c r="A359" s="86" t="s">
        <v>45</v>
      </c>
      <c r="B359" s="86" t="s">
        <v>965</v>
      </c>
      <c r="C359" s="87">
        <v>3000</v>
      </c>
      <c r="D359" s="87">
        <v>1</v>
      </c>
      <c r="E359" s="87">
        <v>3000</v>
      </c>
      <c r="F359" s="86">
        <v>1993.6</v>
      </c>
      <c r="G359" s="86" t="s">
        <v>866</v>
      </c>
      <c r="H359" s="86" t="s">
        <v>866</v>
      </c>
      <c r="I359" s="86" t="s">
        <v>107</v>
      </c>
      <c r="J359" s="86" t="s">
        <v>889</v>
      </c>
      <c r="K359" s="86" t="s">
        <v>889</v>
      </c>
      <c r="L359" s="86" t="s">
        <v>873</v>
      </c>
      <c r="M359" s="86" t="s">
        <v>107</v>
      </c>
      <c r="N359" s="86" t="s">
        <v>40</v>
      </c>
      <c r="O359" s="86" t="s">
        <v>413</v>
      </c>
      <c r="P359" s="86" t="s">
        <v>403</v>
      </c>
      <c r="Q359" s="86" t="s">
        <v>550</v>
      </c>
      <c r="R359" s="88" t="s">
        <v>966</v>
      </c>
    </row>
    <row r="360" spans="1:18">
      <c r="A360" s="86" t="s">
        <v>45</v>
      </c>
      <c r="B360" s="86" t="s">
        <v>965</v>
      </c>
      <c r="C360" s="87">
        <v>0</v>
      </c>
      <c r="D360" s="87">
        <v>0</v>
      </c>
      <c r="E360" s="87">
        <v>0</v>
      </c>
      <c r="F360" s="86">
        <v>1994.5</v>
      </c>
      <c r="G360" s="86" t="s">
        <v>866</v>
      </c>
      <c r="H360" s="86" t="s">
        <v>866</v>
      </c>
      <c r="I360" s="86" t="s">
        <v>107</v>
      </c>
      <c r="J360" s="86" t="s">
        <v>107</v>
      </c>
      <c r="K360" s="86" t="s">
        <v>107</v>
      </c>
      <c r="L360" s="86" t="s">
        <v>107</v>
      </c>
      <c r="M360" s="86" t="s">
        <v>107</v>
      </c>
      <c r="N360" s="86" t="s">
        <v>107</v>
      </c>
      <c r="O360" s="86" t="s">
        <v>107</v>
      </c>
      <c r="P360" s="86" t="s">
        <v>107</v>
      </c>
      <c r="Q360" s="86" t="s">
        <v>107</v>
      </c>
      <c r="R360" s="88" t="s">
        <v>107</v>
      </c>
    </row>
    <row r="361" spans="1:18">
      <c r="A361" s="86" t="s">
        <v>45</v>
      </c>
      <c r="B361" s="86" t="s">
        <v>967</v>
      </c>
      <c r="C361" s="87">
        <v>45000</v>
      </c>
      <c r="D361" s="87">
        <v>1</v>
      </c>
      <c r="E361" s="87">
        <v>45000</v>
      </c>
      <c r="F361" s="86">
        <v>1980.11</v>
      </c>
      <c r="G361" s="86" t="s">
        <v>45</v>
      </c>
      <c r="H361" s="86" t="s">
        <v>45</v>
      </c>
      <c r="I361" s="86" t="s">
        <v>107</v>
      </c>
      <c r="J361" s="86" t="s">
        <v>441</v>
      </c>
      <c r="K361" s="86" t="s">
        <v>441</v>
      </c>
      <c r="L361" s="86" t="s">
        <v>880</v>
      </c>
      <c r="M361" s="86" t="s">
        <v>968</v>
      </c>
      <c r="N361" s="86" t="s">
        <v>412</v>
      </c>
      <c r="O361" s="86" t="s">
        <v>413</v>
      </c>
      <c r="P361" s="86" t="s">
        <v>403</v>
      </c>
      <c r="Q361" s="86" t="s">
        <v>414</v>
      </c>
      <c r="R361" s="88" t="s">
        <v>969</v>
      </c>
    </row>
    <row r="362" spans="1:18">
      <c r="A362" s="86" t="s">
        <v>45</v>
      </c>
      <c r="B362" s="86" t="s">
        <v>967</v>
      </c>
      <c r="C362" s="87">
        <v>45000</v>
      </c>
      <c r="D362" s="87">
        <v>1</v>
      </c>
      <c r="E362" s="87">
        <v>45000</v>
      </c>
      <c r="F362" s="86">
        <v>1980.11</v>
      </c>
      <c r="G362" s="86" t="s">
        <v>45</v>
      </c>
      <c r="H362" s="86" t="s">
        <v>45</v>
      </c>
      <c r="I362" s="86" t="s">
        <v>107</v>
      </c>
      <c r="J362" s="86" t="s">
        <v>441</v>
      </c>
      <c r="K362" s="86" t="s">
        <v>441</v>
      </c>
      <c r="L362" s="86" t="s">
        <v>880</v>
      </c>
      <c r="M362" s="86" t="s">
        <v>968</v>
      </c>
      <c r="N362" s="86" t="s">
        <v>412</v>
      </c>
      <c r="O362" s="86" t="s">
        <v>413</v>
      </c>
      <c r="P362" s="86" t="s">
        <v>403</v>
      </c>
      <c r="Q362" s="86" t="s">
        <v>414</v>
      </c>
      <c r="R362" s="88" t="s">
        <v>969</v>
      </c>
    </row>
    <row r="363" spans="1:18">
      <c r="A363" s="86" t="s">
        <v>45</v>
      </c>
      <c r="B363" s="86" t="s">
        <v>970</v>
      </c>
      <c r="C363" s="87">
        <v>800</v>
      </c>
      <c r="D363" s="87">
        <v>1</v>
      </c>
      <c r="E363" s="87">
        <v>800</v>
      </c>
      <c r="F363" s="86">
        <v>2008.6</v>
      </c>
      <c r="G363" s="86" t="s">
        <v>866</v>
      </c>
      <c r="H363" s="86" t="s">
        <v>866</v>
      </c>
      <c r="I363" s="86" t="s">
        <v>107</v>
      </c>
      <c r="J363" s="86" t="s">
        <v>889</v>
      </c>
      <c r="K363" s="86" t="s">
        <v>889</v>
      </c>
      <c r="L363" s="86" t="s">
        <v>880</v>
      </c>
      <c r="M363" s="86" t="s">
        <v>107</v>
      </c>
      <c r="N363" s="86" t="s">
        <v>40</v>
      </c>
      <c r="O363" s="86" t="s">
        <v>413</v>
      </c>
      <c r="P363" s="86" t="s">
        <v>403</v>
      </c>
      <c r="Q363" s="86" t="s">
        <v>550</v>
      </c>
      <c r="R363" s="88" t="s">
        <v>971</v>
      </c>
    </row>
    <row r="364" spans="1:18">
      <c r="A364" s="86" t="s">
        <v>45</v>
      </c>
      <c r="B364" s="86" t="s">
        <v>972</v>
      </c>
      <c r="C364" s="87">
        <v>900</v>
      </c>
      <c r="D364" s="87">
        <v>1</v>
      </c>
      <c r="E364" s="87">
        <v>900</v>
      </c>
      <c r="F364" s="86">
        <v>2017.12</v>
      </c>
      <c r="G364" s="86" t="s">
        <v>866</v>
      </c>
      <c r="H364" s="86" t="s">
        <v>866</v>
      </c>
      <c r="I364" s="86" t="s">
        <v>107</v>
      </c>
      <c r="J364" s="86" t="s">
        <v>107</v>
      </c>
      <c r="K364" s="86" t="s">
        <v>107</v>
      </c>
      <c r="L364" s="86" t="s">
        <v>880</v>
      </c>
      <c r="M364" s="86" t="s">
        <v>107</v>
      </c>
      <c r="N364" s="86" t="s">
        <v>40</v>
      </c>
      <c r="O364" s="86" t="s">
        <v>413</v>
      </c>
      <c r="P364" s="86" t="s">
        <v>403</v>
      </c>
      <c r="Q364" s="86" t="s">
        <v>550</v>
      </c>
      <c r="R364" s="88" t="s">
        <v>973</v>
      </c>
    </row>
    <row r="365" spans="1:18">
      <c r="A365" s="86" t="s">
        <v>45</v>
      </c>
      <c r="B365" s="86" t="s">
        <v>976</v>
      </c>
      <c r="C365" s="87">
        <v>270</v>
      </c>
      <c r="D365" s="87">
        <v>1</v>
      </c>
      <c r="E365" s="87">
        <v>270</v>
      </c>
      <c r="F365" s="86">
        <v>2014.5</v>
      </c>
      <c r="G365" s="86" t="s">
        <v>866</v>
      </c>
      <c r="H365" s="86" t="s">
        <v>866</v>
      </c>
      <c r="I365" s="86" t="s">
        <v>107</v>
      </c>
      <c r="J365" s="86" t="s">
        <v>871</v>
      </c>
      <c r="K365" s="86" t="s">
        <v>569</v>
      </c>
      <c r="L365" s="86" t="s">
        <v>977</v>
      </c>
      <c r="M365" s="86" t="s">
        <v>107</v>
      </c>
      <c r="N365" s="86" t="s">
        <v>40</v>
      </c>
      <c r="O365" s="86" t="s">
        <v>413</v>
      </c>
      <c r="P365" s="86" t="s">
        <v>403</v>
      </c>
      <c r="Q365" s="86" t="s">
        <v>550</v>
      </c>
      <c r="R365" s="88" t="s">
        <v>978</v>
      </c>
    </row>
    <row r="366" spans="1:18">
      <c r="A366" s="86" t="s">
        <v>45</v>
      </c>
      <c r="B366" s="86" t="s">
        <v>979</v>
      </c>
      <c r="C366" s="87">
        <v>590</v>
      </c>
      <c r="D366" s="87">
        <v>1</v>
      </c>
      <c r="E366" s="87">
        <v>590</v>
      </c>
      <c r="F366" s="86">
        <v>2012.1</v>
      </c>
      <c r="G366" s="86" t="s">
        <v>866</v>
      </c>
      <c r="H366" s="86" t="s">
        <v>866</v>
      </c>
      <c r="I366" s="86" t="s">
        <v>107</v>
      </c>
      <c r="J366" s="86" t="s">
        <v>107</v>
      </c>
      <c r="K366" s="86" t="s">
        <v>107</v>
      </c>
      <c r="L366" s="86" t="s">
        <v>873</v>
      </c>
      <c r="M366" s="86" t="s">
        <v>107</v>
      </c>
      <c r="N366" s="86" t="s">
        <v>40</v>
      </c>
      <c r="O366" s="86" t="s">
        <v>413</v>
      </c>
      <c r="P366" s="86" t="s">
        <v>403</v>
      </c>
      <c r="Q366" s="86" t="s">
        <v>550</v>
      </c>
      <c r="R366" s="88" t="s">
        <v>980</v>
      </c>
    </row>
    <row r="367" spans="1:18">
      <c r="A367" s="86" t="s">
        <v>45</v>
      </c>
      <c r="B367" s="86" t="s">
        <v>981</v>
      </c>
      <c r="C367" s="87">
        <v>1000</v>
      </c>
      <c r="D367" s="87">
        <v>1</v>
      </c>
      <c r="E367" s="87">
        <v>1000</v>
      </c>
      <c r="F367" s="86">
        <v>2005.5</v>
      </c>
      <c r="G367" s="86" t="s">
        <v>866</v>
      </c>
      <c r="H367" s="86" t="s">
        <v>866</v>
      </c>
      <c r="I367" s="86" t="s">
        <v>107</v>
      </c>
      <c r="J367" s="86" t="s">
        <v>889</v>
      </c>
      <c r="K367" s="86" t="s">
        <v>889</v>
      </c>
      <c r="L367" s="86" t="s">
        <v>873</v>
      </c>
      <c r="M367" s="86" t="s">
        <v>107</v>
      </c>
      <c r="N367" s="86" t="s">
        <v>40</v>
      </c>
      <c r="O367" s="86" t="s">
        <v>413</v>
      </c>
      <c r="P367" s="86" t="s">
        <v>403</v>
      </c>
      <c r="Q367" s="86" t="s">
        <v>550</v>
      </c>
      <c r="R367" s="88" t="s">
        <v>982</v>
      </c>
    </row>
    <row r="368" spans="1:18">
      <c r="A368" s="86" t="s">
        <v>45</v>
      </c>
      <c r="B368" s="86" t="s">
        <v>983</v>
      </c>
      <c r="C368" s="87">
        <v>120</v>
      </c>
      <c r="D368" s="87">
        <v>1</v>
      </c>
      <c r="E368" s="87">
        <v>120</v>
      </c>
      <c r="F368" s="86">
        <v>2015.1</v>
      </c>
      <c r="G368" s="86" t="s">
        <v>866</v>
      </c>
      <c r="H368" s="86" t="s">
        <v>866</v>
      </c>
      <c r="I368" s="86" t="s">
        <v>107</v>
      </c>
      <c r="J368" s="86" t="s">
        <v>871</v>
      </c>
      <c r="K368" s="86" t="s">
        <v>871</v>
      </c>
      <c r="L368" s="86" t="s">
        <v>880</v>
      </c>
      <c r="M368" s="86" t="s">
        <v>107</v>
      </c>
      <c r="N368" s="86" t="s">
        <v>40</v>
      </c>
      <c r="O368" s="86" t="s">
        <v>413</v>
      </c>
      <c r="P368" s="86" t="s">
        <v>403</v>
      </c>
      <c r="Q368" s="86" t="s">
        <v>550</v>
      </c>
      <c r="R368" s="88" t="s">
        <v>984</v>
      </c>
    </row>
    <row r="369" spans="1:18">
      <c r="A369" s="86" t="s">
        <v>45</v>
      </c>
      <c r="B369" s="86" t="s">
        <v>985</v>
      </c>
      <c r="C369" s="87">
        <v>360</v>
      </c>
      <c r="D369" s="87">
        <v>1</v>
      </c>
      <c r="E369" s="87">
        <v>360</v>
      </c>
      <c r="F369" s="86">
        <v>2016.4</v>
      </c>
      <c r="G369" s="86" t="s">
        <v>866</v>
      </c>
      <c r="H369" s="86" t="s">
        <v>866</v>
      </c>
      <c r="I369" s="86" t="s">
        <v>107</v>
      </c>
      <c r="J369" s="86" t="s">
        <v>986</v>
      </c>
      <c r="K369" s="86" t="s">
        <v>986</v>
      </c>
      <c r="L369" s="86" t="s">
        <v>987</v>
      </c>
      <c r="M369" s="86" t="s">
        <v>107</v>
      </c>
      <c r="N369" s="86" t="s">
        <v>40</v>
      </c>
      <c r="O369" s="86" t="s">
        <v>413</v>
      </c>
      <c r="P369" s="86" t="s">
        <v>403</v>
      </c>
      <c r="Q369" s="86" t="s">
        <v>550</v>
      </c>
      <c r="R369" s="88" t="s">
        <v>988</v>
      </c>
    </row>
    <row r="370" spans="1:18">
      <c r="A370" s="86" t="s">
        <v>45</v>
      </c>
      <c r="B370" s="86" t="s">
        <v>989</v>
      </c>
      <c r="C370" s="87">
        <v>400</v>
      </c>
      <c r="D370" s="87">
        <v>1</v>
      </c>
      <c r="E370" s="87">
        <v>400</v>
      </c>
      <c r="F370" s="86">
        <v>2003.4</v>
      </c>
      <c r="G370" s="86" t="s">
        <v>866</v>
      </c>
      <c r="H370" s="86" t="s">
        <v>866</v>
      </c>
      <c r="I370" s="86" t="s">
        <v>107</v>
      </c>
      <c r="J370" s="86" t="s">
        <v>889</v>
      </c>
      <c r="K370" s="86" t="s">
        <v>889</v>
      </c>
      <c r="L370" s="86" t="s">
        <v>876</v>
      </c>
      <c r="M370" s="86" t="s">
        <v>107</v>
      </c>
      <c r="N370" s="86" t="s">
        <v>40</v>
      </c>
      <c r="O370" s="86" t="s">
        <v>413</v>
      </c>
      <c r="P370" s="86" t="s">
        <v>403</v>
      </c>
      <c r="Q370" s="86" t="s">
        <v>550</v>
      </c>
      <c r="R370" s="88" t="s">
        <v>990</v>
      </c>
    </row>
    <row r="371" spans="1:18">
      <c r="A371" s="86" t="s">
        <v>45</v>
      </c>
      <c r="B371" s="86" t="s">
        <v>991</v>
      </c>
      <c r="C371" s="87">
        <v>300000</v>
      </c>
      <c r="D371" s="87">
        <v>1</v>
      </c>
      <c r="E371" s="87">
        <v>300000</v>
      </c>
      <c r="F371" s="86">
        <v>1995.2</v>
      </c>
      <c r="G371" s="86" t="s">
        <v>39</v>
      </c>
      <c r="H371" s="86" t="s">
        <v>39</v>
      </c>
      <c r="I371" s="86" t="s">
        <v>107</v>
      </c>
      <c r="J371" s="86" t="s">
        <v>992</v>
      </c>
      <c r="K371" s="86" t="s">
        <v>993</v>
      </c>
      <c r="L371" s="86" t="s">
        <v>876</v>
      </c>
      <c r="M371" s="86">
        <v>13.8</v>
      </c>
      <c r="N371" s="86" t="s">
        <v>412</v>
      </c>
      <c r="O371" s="86" t="s">
        <v>413</v>
      </c>
      <c r="P371" s="86" t="s">
        <v>403</v>
      </c>
      <c r="Q371" s="86" t="s">
        <v>414</v>
      </c>
      <c r="R371" s="88" t="s">
        <v>990</v>
      </c>
    </row>
    <row r="372" spans="1:18">
      <c r="A372" s="86" t="s">
        <v>45</v>
      </c>
      <c r="B372" s="86" t="s">
        <v>991</v>
      </c>
      <c r="C372" s="87">
        <v>300000</v>
      </c>
      <c r="D372" s="87">
        <v>1</v>
      </c>
      <c r="E372" s="87">
        <v>300000</v>
      </c>
      <c r="F372" s="86">
        <v>1995.4</v>
      </c>
      <c r="G372" s="86" t="s">
        <v>39</v>
      </c>
      <c r="H372" s="86" t="s">
        <v>39</v>
      </c>
      <c r="I372" s="86" t="s">
        <v>107</v>
      </c>
      <c r="J372" s="86" t="s">
        <v>992</v>
      </c>
      <c r="K372" s="86" t="s">
        <v>993</v>
      </c>
      <c r="L372" s="86" t="s">
        <v>876</v>
      </c>
      <c r="M372" s="86" t="s">
        <v>695</v>
      </c>
      <c r="N372" s="86" t="s">
        <v>412</v>
      </c>
      <c r="O372" s="86" t="s">
        <v>413</v>
      </c>
      <c r="P372" s="86" t="s">
        <v>403</v>
      </c>
      <c r="Q372" s="86" t="s">
        <v>414</v>
      </c>
      <c r="R372" s="88" t="s">
        <v>990</v>
      </c>
    </row>
    <row r="373" spans="1:18">
      <c r="A373" s="86" t="s">
        <v>45</v>
      </c>
      <c r="B373" s="86" t="s">
        <v>994</v>
      </c>
      <c r="C373" s="87">
        <v>410</v>
      </c>
      <c r="D373" s="87">
        <v>1</v>
      </c>
      <c r="E373" s="87">
        <v>410</v>
      </c>
      <c r="F373" s="86">
        <v>2011.12</v>
      </c>
      <c r="G373" s="86" t="s">
        <v>866</v>
      </c>
      <c r="H373" s="86" t="s">
        <v>866</v>
      </c>
      <c r="I373" s="86" t="s">
        <v>107</v>
      </c>
      <c r="J373" s="86" t="s">
        <v>107</v>
      </c>
      <c r="K373" s="86" t="s">
        <v>107</v>
      </c>
      <c r="L373" s="86" t="s">
        <v>107</v>
      </c>
      <c r="M373" s="86" t="s">
        <v>107</v>
      </c>
      <c r="N373" s="86" t="s">
        <v>40</v>
      </c>
      <c r="O373" s="86" t="s">
        <v>548</v>
      </c>
      <c r="P373" s="86" t="s">
        <v>549</v>
      </c>
      <c r="Q373" s="86" t="s">
        <v>550</v>
      </c>
      <c r="R373" s="88" t="s">
        <v>995</v>
      </c>
    </row>
    <row r="374" spans="1:18">
      <c r="A374" s="86" t="s">
        <v>45</v>
      </c>
      <c r="B374" s="86" t="s">
        <v>996</v>
      </c>
      <c r="C374" s="87">
        <v>1300</v>
      </c>
      <c r="D374" s="87">
        <v>1</v>
      </c>
      <c r="E374" s="87">
        <v>1300</v>
      </c>
      <c r="F374" s="86">
        <v>2001.1</v>
      </c>
      <c r="G374" s="86" t="s">
        <v>866</v>
      </c>
      <c r="H374" s="86" t="s">
        <v>866</v>
      </c>
      <c r="I374" s="86" t="s">
        <v>107</v>
      </c>
      <c r="J374" s="86" t="s">
        <v>889</v>
      </c>
      <c r="K374" s="86" t="s">
        <v>889</v>
      </c>
      <c r="L374" s="86" t="s">
        <v>880</v>
      </c>
      <c r="M374" s="86" t="s">
        <v>107</v>
      </c>
      <c r="N374" s="86" t="s">
        <v>40</v>
      </c>
      <c r="O374" s="86" t="s">
        <v>413</v>
      </c>
      <c r="P374" s="86" t="s">
        <v>403</v>
      </c>
      <c r="Q374" s="86" t="s">
        <v>550</v>
      </c>
      <c r="R374" s="88" t="s">
        <v>997</v>
      </c>
    </row>
    <row r="375" spans="1:18">
      <c r="A375" s="86" t="s">
        <v>45</v>
      </c>
      <c r="B375" s="86" t="s">
        <v>998</v>
      </c>
      <c r="C375" s="87">
        <v>1060</v>
      </c>
      <c r="D375" s="87">
        <v>1</v>
      </c>
      <c r="E375" s="87">
        <v>1060</v>
      </c>
      <c r="F375" s="86">
        <v>1996.1</v>
      </c>
      <c r="G375" s="86" t="s">
        <v>866</v>
      </c>
      <c r="H375" s="86" t="s">
        <v>866</v>
      </c>
      <c r="I375" s="86" t="s">
        <v>107</v>
      </c>
      <c r="J375" s="86" t="s">
        <v>999</v>
      </c>
      <c r="K375" s="86" t="s">
        <v>999</v>
      </c>
      <c r="L375" s="86" t="s">
        <v>880</v>
      </c>
      <c r="M375" s="86" t="s">
        <v>107</v>
      </c>
      <c r="N375" s="86" t="s">
        <v>40</v>
      </c>
      <c r="O375" s="86" t="s">
        <v>413</v>
      </c>
      <c r="P375" s="86" t="s">
        <v>403</v>
      </c>
      <c r="Q375" s="86" t="s">
        <v>550</v>
      </c>
      <c r="R375" s="88" t="s">
        <v>1000</v>
      </c>
    </row>
    <row r="376" spans="1:18">
      <c r="A376" s="86" t="s">
        <v>45</v>
      </c>
      <c r="B376" s="86" t="s">
        <v>1001</v>
      </c>
      <c r="C376" s="87">
        <v>2120</v>
      </c>
      <c r="D376" s="87">
        <v>1</v>
      </c>
      <c r="E376" s="87">
        <v>2120</v>
      </c>
      <c r="F376" s="86">
        <v>1987.3</v>
      </c>
      <c r="G376" s="86" t="s">
        <v>866</v>
      </c>
      <c r="H376" s="86" t="s">
        <v>866</v>
      </c>
      <c r="I376" s="86" t="s">
        <v>107</v>
      </c>
      <c r="J376" s="86" t="s">
        <v>999</v>
      </c>
      <c r="K376" s="86" t="s">
        <v>999</v>
      </c>
      <c r="L376" s="86" t="s">
        <v>1002</v>
      </c>
      <c r="M376" s="86" t="s">
        <v>107</v>
      </c>
      <c r="N376" s="86" t="s">
        <v>40</v>
      </c>
      <c r="O376" s="86" t="s">
        <v>413</v>
      </c>
      <c r="P376" s="86" t="s">
        <v>403</v>
      </c>
      <c r="Q376" s="86" t="s">
        <v>550</v>
      </c>
      <c r="R376" s="88" t="s">
        <v>1003</v>
      </c>
    </row>
    <row r="377" spans="1:18">
      <c r="A377" s="86" t="s">
        <v>45</v>
      </c>
      <c r="B377" s="86" t="s">
        <v>1004</v>
      </c>
      <c r="C377" s="87">
        <v>430</v>
      </c>
      <c r="D377" s="87">
        <v>1</v>
      </c>
      <c r="E377" s="87">
        <v>430</v>
      </c>
      <c r="F377" s="86">
        <v>2007.5</v>
      </c>
      <c r="G377" s="86" t="s">
        <v>866</v>
      </c>
      <c r="H377" s="86" t="s">
        <v>866</v>
      </c>
      <c r="I377" s="86" t="s">
        <v>107</v>
      </c>
      <c r="J377" s="86" t="s">
        <v>889</v>
      </c>
      <c r="K377" s="86" t="s">
        <v>889</v>
      </c>
      <c r="L377" s="86" t="s">
        <v>873</v>
      </c>
      <c r="M377" s="86" t="s">
        <v>107</v>
      </c>
      <c r="N377" s="86" t="s">
        <v>40</v>
      </c>
      <c r="O377" s="86" t="s">
        <v>413</v>
      </c>
      <c r="P377" s="86" t="s">
        <v>403</v>
      </c>
      <c r="Q377" s="86" t="s">
        <v>550</v>
      </c>
      <c r="R377" s="88" t="s">
        <v>1005</v>
      </c>
    </row>
    <row r="378" spans="1:18">
      <c r="A378" s="86" t="s">
        <v>45</v>
      </c>
      <c r="B378" s="86" t="s">
        <v>1006</v>
      </c>
      <c r="C378" s="87">
        <v>160</v>
      </c>
      <c r="D378" s="87">
        <v>1</v>
      </c>
      <c r="E378" s="87">
        <v>160</v>
      </c>
      <c r="F378" s="86">
        <v>2014.5</v>
      </c>
      <c r="G378" s="86" t="s">
        <v>866</v>
      </c>
      <c r="H378" s="86" t="s">
        <v>866</v>
      </c>
      <c r="I378" s="86" t="s">
        <v>107</v>
      </c>
      <c r="J378" s="86" t="s">
        <v>871</v>
      </c>
      <c r="K378" s="86" t="s">
        <v>871</v>
      </c>
      <c r="L378" s="86" t="s">
        <v>873</v>
      </c>
      <c r="M378" s="86" t="s">
        <v>107</v>
      </c>
      <c r="N378" s="86" t="s">
        <v>40</v>
      </c>
      <c r="O378" s="86" t="s">
        <v>413</v>
      </c>
      <c r="P378" s="86" t="s">
        <v>403</v>
      </c>
      <c r="Q378" s="86" t="s">
        <v>550</v>
      </c>
      <c r="R378" s="88" t="s">
        <v>1007</v>
      </c>
    </row>
    <row r="379" spans="1:18">
      <c r="A379" s="86" t="s">
        <v>45</v>
      </c>
      <c r="B379" s="86" t="s">
        <v>1008</v>
      </c>
      <c r="C379" s="87">
        <v>2640</v>
      </c>
      <c r="D379" s="87">
        <v>1</v>
      </c>
      <c r="E379" s="87">
        <v>2640</v>
      </c>
      <c r="F379" s="86">
        <v>2011.12</v>
      </c>
      <c r="G379" s="86" t="s">
        <v>866</v>
      </c>
      <c r="H379" s="86" t="s">
        <v>866</v>
      </c>
      <c r="I379" s="86" t="s">
        <v>107</v>
      </c>
      <c r="J379" s="86" t="s">
        <v>883</v>
      </c>
      <c r="K379" s="86" t="s">
        <v>582</v>
      </c>
      <c r="L379" s="86" t="s">
        <v>880</v>
      </c>
      <c r="M379" s="86" t="s">
        <v>107</v>
      </c>
      <c r="N379" s="86" t="s">
        <v>40</v>
      </c>
      <c r="O379" s="86" t="s">
        <v>413</v>
      </c>
      <c r="P379" s="86" t="s">
        <v>403</v>
      </c>
      <c r="Q379" s="86" t="s">
        <v>550</v>
      </c>
      <c r="R379" s="88" t="s">
        <v>1009</v>
      </c>
    </row>
    <row r="380" spans="1:18">
      <c r="A380" s="86" t="s">
        <v>45</v>
      </c>
      <c r="B380" s="86" t="s">
        <v>1010</v>
      </c>
      <c r="C380" s="87">
        <v>145</v>
      </c>
      <c r="D380" s="87">
        <v>1</v>
      </c>
      <c r="E380" s="87">
        <v>145</v>
      </c>
      <c r="F380" s="86">
        <v>1997.12</v>
      </c>
      <c r="G380" s="86" t="s">
        <v>866</v>
      </c>
      <c r="H380" s="86" t="s">
        <v>866</v>
      </c>
      <c r="I380" s="86" t="s">
        <v>107</v>
      </c>
      <c r="J380" s="86" t="s">
        <v>909</v>
      </c>
      <c r="K380" s="86" t="s">
        <v>1011</v>
      </c>
      <c r="L380" s="86" t="s">
        <v>880</v>
      </c>
      <c r="M380" s="86" t="s">
        <v>107</v>
      </c>
      <c r="N380" s="86" t="s">
        <v>40</v>
      </c>
      <c r="O380" s="86" t="s">
        <v>413</v>
      </c>
      <c r="P380" s="86" t="s">
        <v>403</v>
      </c>
      <c r="Q380" s="86" t="s">
        <v>550</v>
      </c>
      <c r="R380" s="88" t="s">
        <v>1012</v>
      </c>
    </row>
    <row r="381" spans="1:18">
      <c r="A381" s="86" t="s">
        <v>45</v>
      </c>
      <c r="B381" s="86" t="s">
        <v>1010</v>
      </c>
      <c r="C381" s="87">
        <v>556</v>
      </c>
      <c r="D381" s="87">
        <v>1</v>
      </c>
      <c r="E381" s="87">
        <v>556</v>
      </c>
      <c r="F381" s="86">
        <v>1999.3</v>
      </c>
      <c r="G381" s="86" t="s">
        <v>866</v>
      </c>
      <c r="H381" s="86" t="s">
        <v>866</v>
      </c>
      <c r="I381" s="86" t="s">
        <v>107</v>
      </c>
      <c r="J381" s="86" t="s">
        <v>751</v>
      </c>
      <c r="K381" s="86" t="s">
        <v>751</v>
      </c>
      <c r="L381" s="86" t="s">
        <v>880</v>
      </c>
      <c r="M381" s="86" t="s">
        <v>107</v>
      </c>
      <c r="N381" s="86" t="s">
        <v>40</v>
      </c>
      <c r="O381" s="86" t="s">
        <v>413</v>
      </c>
      <c r="P381" s="86" t="s">
        <v>403</v>
      </c>
      <c r="Q381" s="86" t="s">
        <v>550</v>
      </c>
      <c r="R381" s="88" t="s">
        <v>1012</v>
      </c>
    </row>
    <row r="382" spans="1:18">
      <c r="A382" s="86" t="s">
        <v>45</v>
      </c>
      <c r="B382" s="86" t="s">
        <v>1013</v>
      </c>
      <c r="C382" s="87">
        <v>5000</v>
      </c>
      <c r="D382" s="87">
        <v>1</v>
      </c>
      <c r="E382" s="87">
        <v>5000</v>
      </c>
      <c r="F382" s="86">
        <v>2009.7</v>
      </c>
      <c r="G382" s="86" t="s">
        <v>866</v>
      </c>
      <c r="H382" s="86" t="s">
        <v>866</v>
      </c>
      <c r="I382" s="86" t="s">
        <v>107</v>
      </c>
      <c r="J382" s="86" t="s">
        <v>889</v>
      </c>
      <c r="K382" s="86" t="s">
        <v>889</v>
      </c>
      <c r="L382" s="86" t="s">
        <v>1014</v>
      </c>
      <c r="M382" s="86" t="s">
        <v>107</v>
      </c>
      <c r="N382" s="86" t="s">
        <v>40</v>
      </c>
      <c r="O382" s="86" t="s">
        <v>413</v>
      </c>
      <c r="P382" s="86" t="s">
        <v>403</v>
      </c>
      <c r="Q382" s="86" t="s">
        <v>550</v>
      </c>
      <c r="R382" s="88" t="s">
        <v>474</v>
      </c>
    </row>
    <row r="383" spans="1:18">
      <c r="A383" s="86" t="s">
        <v>45</v>
      </c>
      <c r="B383" s="86" t="s">
        <v>1015</v>
      </c>
      <c r="C383" s="87">
        <v>2500</v>
      </c>
      <c r="D383" s="87">
        <v>1</v>
      </c>
      <c r="E383" s="87">
        <v>2500</v>
      </c>
      <c r="F383" s="86">
        <v>2008.6</v>
      </c>
      <c r="G383" s="86" t="s">
        <v>866</v>
      </c>
      <c r="H383" s="86" t="s">
        <v>866</v>
      </c>
      <c r="I383" s="86" t="s">
        <v>107</v>
      </c>
      <c r="J383" s="86" t="s">
        <v>889</v>
      </c>
      <c r="K383" s="86" t="s">
        <v>889</v>
      </c>
      <c r="L383" s="86" t="s">
        <v>1014</v>
      </c>
      <c r="M383" s="86" t="s">
        <v>107</v>
      </c>
      <c r="N383" s="86" t="s">
        <v>40</v>
      </c>
      <c r="O383" s="86" t="s">
        <v>413</v>
      </c>
      <c r="P383" s="86" t="s">
        <v>403</v>
      </c>
      <c r="Q383" s="86" t="s">
        <v>550</v>
      </c>
      <c r="R383" s="88" t="s">
        <v>443</v>
      </c>
    </row>
    <row r="384" spans="1:18">
      <c r="A384" s="86" t="s">
        <v>45</v>
      </c>
      <c r="B384" s="86" t="s">
        <v>1513</v>
      </c>
      <c r="C384" s="87">
        <v>1100</v>
      </c>
      <c r="D384" s="87">
        <v>1</v>
      </c>
      <c r="E384" s="87">
        <v>1100</v>
      </c>
      <c r="F384" s="86">
        <v>2009.5</v>
      </c>
      <c r="G384" s="86" t="s">
        <v>866</v>
      </c>
      <c r="H384" s="86" t="s">
        <v>866</v>
      </c>
      <c r="I384" s="86" t="s">
        <v>107</v>
      </c>
      <c r="J384" s="86" t="s">
        <v>107</v>
      </c>
      <c r="K384" s="86" t="s">
        <v>107</v>
      </c>
      <c r="L384" s="86" t="s">
        <v>974</v>
      </c>
      <c r="M384" s="86" t="s">
        <v>107</v>
      </c>
      <c r="N384" s="86" t="s">
        <v>40</v>
      </c>
      <c r="O384" s="86" t="s">
        <v>413</v>
      </c>
      <c r="P384" s="86" t="s">
        <v>403</v>
      </c>
      <c r="Q384" s="86" t="s">
        <v>550</v>
      </c>
      <c r="R384" s="88" t="s">
        <v>975</v>
      </c>
    </row>
    <row r="385" spans="1:18">
      <c r="A385" s="86" t="s">
        <v>45</v>
      </c>
      <c r="B385" s="86" t="s">
        <v>1016</v>
      </c>
      <c r="C385" s="87">
        <v>4500</v>
      </c>
      <c r="D385" s="87">
        <v>1</v>
      </c>
      <c r="E385" s="87">
        <v>4500</v>
      </c>
      <c r="F385" s="86">
        <v>1990.5</v>
      </c>
      <c r="G385" s="86" t="s">
        <v>866</v>
      </c>
      <c r="H385" s="86" t="s">
        <v>866</v>
      </c>
      <c r="I385" s="86" t="s">
        <v>107</v>
      </c>
      <c r="J385" s="86" t="s">
        <v>504</v>
      </c>
      <c r="K385" s="86" t="s">
        <v>468</v>
      </c>
      <c r="L385" s="86" t="s">
        <v>876</v>
      </c>
      <c r="M385" s="86" t="s">
        <v>107</v>
      </c>
      <c r="N385" s="86" t="s">
        <v>40</v>
      </c>
      <c r="O385" s="86" t="s">
        <v>413</v>
      </c>
      <c r="P385" s="86" t="s">
        <v>403</v>
      </c>
      <c r="Q385" s="86" t="s">
        <v>550</v>
      </c>
      <c r="R385" s="88" t="s">
        <v>1017</v>
      </c>
    </row>
    <row r="386" spans="1:18">
      <c r="A386" s="86" t="s">
        <v>45</v>
      </c>
      <c r="B386" s="86" t="s">
        <v>1018</v>
      </c>
      <c r="C386" s="87">
        <v>350</v>
      </c>
      <c r="D386" s="87">
        <v>1</v>
      </c>
      <c r="E386" s="87">
        <v>350</v>
      </c>
      <c r="F386" s="86">
        <v>2016.5</v>
      </c>
      <c r="G386" s="86" t="s">
        <v>866</v>
      </c>
      <c r="H386" s="86" t="s">
        <v>866</v>
      </c>
      <c r="I386" s="86" t="s">
        <v>107</v>
      </c>
      <c r="J386" s="86" t="s">
        <v>1019</v>
      </c>
      <c r="K386" s="86" t="s">
        <v>1020</v>
      </c>
      <c r="L386" s="86" t="s">
        <v>1021</v>
      </c>
      <c r="M386" s="86" t="s">
        <v>107</v>
      </c>
      <c r="N386" s="86" t="s">
        <v>40</v>
      </c>
      <c r="O386" s="86" t="s">
        <v>413</v>
      </c>
      <c r="P386" s="86" t="s">
        <v>403</v>
      </c>
      <c r="Q386" s="86" t="s">
        <v>550</v>
      </c>
      <c r="R386" s="88" t="s">
        <v>1022</v>
      </c>
    </row>
    <row r="387" spans="1:18">
      <c r="A387" s="86" t="s">
        <v>45</v>
      </c>
      <c r="B387" s="86" t="s">
        <v>1023</v>
      </c>
      <c r="C387" s="87">
        <v>170</v>
      </c>
      <c r="D387" s="87">
        <v>1</v>
      </c>
      <c r="E387" s="87">
        <v>170</v>
      </c>
      <c r="F387" s="86">
        <v>2017.5</v>
      </c>
      <c r="G387" s="86" t="s">
        <v>866</v>
      </c>
      <c r="H387" s="86" t="s">
        <v>866</v>
      </c>
      <c r="I387" s="86" t="s">
        <v>107</v>
      </c>
      <c r="J387" s="86" t="s">
        <v>107</v>
      </c>
      <c r="K387" s="86" t="s">
        <v>107</v>
      </c>
      <c r="L387" s="86" t="s">
        <v>880</v>
      </c>
      <c r="M387" s="86" t="s">
        <v>107</v>
      </c>
      <c r="N387" s="86" t="s">
        <v>40</v>
      </c>
      <c r="O387" s="86" t="s">
        <v>413</v>
      </c>
      <c r="P387" s="86" t="s">
        <v>403</v>
      </c>
      <c r="Q387" s="86" t="s">
        <v>550</v>
      </c>
      <c r="R387" s="88" t="s">
        <v>1024</v>
      </c>
    </row>
    <row r="388" spans="1:18">
      <c r="A388" s="86" t="s">
        <v>45</v>
      </c>
      <c r="B388" s="86" t="s">
        <v>1025</v>
      </c>
      <c r="C388" s="87">
        <v>2100</v>
      </c>
      <c r="D388" s="87">
        <v>1</v>
      </c>
      <c r="E388" s="87">
        <v>2100</v>
      </c>
      <c r="F388" s="86">
        <v>1988.9</v>
      </c>
      <c r="G388" s="86" t="s">
        <v>866</v>
      </c>
      <c r="H388" s="86" t="s">
        <v>866</v>
      </c>
      <c r="I388" s="86" t="s">
        <v>107</v>
      </c>
      <c r="J388" s="86" t="s">
        <v>1026</v>
      </c>
      <c r="K388" s="86" t="s">
        <v>553</v>
      </c>
      <c r="L388" s="86" t="s">
        <v>932</v>
      </c>
      <c r="M388" s="86" t="s">
        <v>107</v>
      </c>
      <c r="N388" s="86" t="s">
        <v>40</v>
      </c>
      <c r="O388" s="86" t="s">
        <v>413</v>
      </c>
      <c r="P388" s="86" t="s">
        <v>403</v>
      </c>
      <c r="Q388" s="86" t="s">
        <v>550</v>
      </c>
      <c r="R388" s="88" t="s">
        <v>1027</v>
      </c>
    </row>
    <row r="389" spans="1:18">
      <c r="A389" s="86" t="s">
        <v>45</v>
      </c>
      <c r="B389" s="86" t="s">
        <v>1025</v>
      </c>
      <c r="C389" s="87">
        <v>0</v>
      </c>
      <c r="D389" s="87">
        <v>0</v>
      </c>
      <c r="E389" s="87">
        <v>0</v>
      </c>
      <c r="F389" s="86">
        <v>2011.1</v>
      </c>
      <c r="G389" s="86" t="s">
        <v>866</v>
      </c>
      <c r="H389" s="86" t="s">
        <v>866</v>
      </c>
      <c r="I389" s="86" t="s">
        <v>107</v>
      </c>
      <c r="J389" s="86" t="s">
        <v>107</v>
      </c>
      <c r="K389" s="86" t="s">
        <v>107</v>
      </c>
      <c r="L389" s="86" t="s">
        <v>107</v>
      </c>
      <c r="M389" s="86" t="s">
        <v>107</v>
      </c>
      <c r="N389" s="86" t="s">
        <v>107</v>
      </c>
      <c r="O389" s="86" t="s">
        <v>107</v>
      </c>
      <c r="P389" s="86" t="s">
        <v>107</v>
      </c>
      <c r="Q389" s="86" t="s">
        <v>107</v>
      </c>
      <c r="R389" s="88" t="s">
        <v>107</v>
      </c>
    </row>
    <row r="390" spans="1:18">
      <c r="A390" s="86" t="s">
        <v>45</v>
      </c>
      <c r="B390" s="86" t="s">
        <v>1028</v>
      </c>
      <c r="C390" s="87">
        <v>193</v>
      </c>
      <c r="D390" s="87">
        <v>1</v>
      </c>
      <c r="E390" s="87">
        <v>193</v>
      </c>
      <c r="F390" s="86">
        <v>1998.6</v>
      </c>
      <c r="G390" s="86" t="s">
        <v>866</v>
      </c>
      <c r="H390" s="86" t="s">
        <v>866</v>
      </c>
      <c r="I390" s="86" t="s">
        <v>107</v>
      </c>
      <c r="J390" s="86" t="s">
        <v>909</v>
      </c>
      <c r="K390" s="86" t="s">
        <v>1011</v>
      </c>
      <c r="L390" s="86" t="s">
        <v>880</v>
      </c>
      <c r="M390" s="86" t="s">
        <v>107</v>
      </c>
      <c r="N390" s="86" t="s">
        <v>40</v>
      </c>
      <c r="O390" s="86" t="s">
        <v>413</v>
      </c>
      <c r="P390" s="86" t="s">
        <v>403</v>
      </c>
      <c r="Q390" s="86" t="s">
        <v>550</v>
      </c>
      <c r="R390" s="88" t="s">
        <v>1029</v>
      </c>
    </row>
    <row r="391" spans="1:18">
      <c r="A391" s="86" t="s">
        <v>45</v>
      </c>
      <c r="B391" s="86" t="s">
        <v>1030</v>
      </c>
      <c r="C391" s="87">
        <v>600</v>
      </c>
      <c r="D391" s="87">
        <v>1</v>
      </c>
      <c r="E391" s="87">
        <v>600</v>
      </c>
      <c r="F391" s="86">
        <v>2013.1</v>
      </c>
      <c r="G391" s="86" t="s">
        <v>866</v>
      </c>
      <c r="H391" s="86" t="s">
        <v>866</v>
      </c>
      <c r="I391" s="86" t="s">
        <v>107</v>
      </c>
      <c r="J391" s="86" t="s">
        <v>871</v>
      </c>
      <c r="K391" s="86" t="s">
        <v>871</v>
      </c>
      <c r="L391" s="86" t="s">
        <v>880</v>
      </c>
      <c r="M391" s="86" t="s">
        <v>107</v>
      </c>
      <c r="N391" s="86" t="s">
        <v>40</v>
      </c>
      <c r="O391" s="86" t="s">
        <v>413</v>
      </c>
      <c r="P391" s="86" t="s">
        <v>403</v>
      </c>
      <c r="Q391" s="86" t="s">
        <v>550</v>
      </c>
      <c r="R391" s="88" t="s">
        <v>1031</v>
      </c>
    </row>
    <row r="392" spans="1:18">
      <c r="A392" s="86" t="s">
        <v>45</v>
      </c>
      <c r="B392" s="86" t="s">
        <v>1032</v>
      </c>
      <c r="C392" s="87">
        <v>5000</v>
      </c>
      <c r="D392" s="87">
        <v>1</v>
      </c>
      <c r="E392" s="87">
        <v>5000</v>
      </c>
      <c r="F392" s="86">
        <v>2016.1</v>
      </c>
      <c r="G392" s="86" t="s">
        <v>866</v>
      </c>
      <c r="H392" s="86" t="s">
        <v>866</v>
      </c>
      <c r="I392" s="86" t="s">
        <v>107</v>
      </c>
      <c r="J392" s="86" t="s">
        <v>1033</v>
      </c>
      <c r="K392" s="86" t="s">
        <v>664</v>
      </c>
      <c r="L392" s="86" t="s">
        <v>1034</v>
      </c>
      <c r="M392" s="86" t="s">
        <v>107</v>
      </c>
      <c r="N392" s="86" t="s">
        <v>40</v>
      </c>
      <c r="O392" s="86" t="s">
        <v>413</v>
      </c>
      <c r="P392" s="86" t="s">
        <v>403</v>
      </c>
      <c r="Q392" s="86" t="s">
        <v>550</v>
      </c>
      <c r="R392" s="88" t="s">
        <v>455</v>
      </c>
    </row>
    <row r="393" spans="1:18">
      <c r="A393" s="86" t="s">
        <v>45</v>
      </c>
      <c r="B393" s="86" t="s">
        <v>1035</v>
      </c>
      <c r="C393" s="87">
        <v>820</v>
      </c>
      <c r="D393" s="87">
        <v>1</v>
      </c>
      <c r="E393" s="87">
        <v>820</v>
      </c>
      <c r="F393" s="86">
        <v>1989.9</v>
      </c>
      <c r="G393" s="86" t="s">
        <v>866</v>
      </c>
      <c r="H393" s="86" t="s">
        <v>866</v>
      </c>
      <c r="I393" s="86" t="s">
        <v>107</v>
      </c>
      <c r="J393" s="86" t="s">
        <v>1036</v>
      </c>
      <c r="K393" s="86" t="s">
        <v>1037</v>
      </c>
      <c r="L393" s="86" t="s">
        <v>1038</v>
      </c>
      <c r="M393" s="86" t="s">
        <v>107</v>
      </c>
      <c r="N393" s="86" t="s">
        <v>40</v>
      </c>
      <c r="O393" s="86" t="s">
        <v>413</v>
      </c>
      <c r="P393" s="86" t="s">
        <v>403</v>
      </c>
      <c r="Q393" s="86" t="s">
        <v>550</v>
      </c>
      <c r="R393" s="88" t="s">
        <v>1039</v>
      </c>
    </row>
    <row r="394" spans="1:18">
      <c r="A394" s="86" t="s">
        <v>45</v>
      </c>
      <c r="B394" s="86" t="s">
        <v>1040</v>
      </c>
      <c r="C394" s="87">
        <v>400</v>
      </c>
      <c r="D394" s="87">
        <v>1</v>
      </c>
      <c r="E394" s="87">
        <v>995</v>
      </c>
      <c r="F394" s="86">
        <v>2001.12</v>
      </c>
      <c r="G394" s="86" t="s">
        <v>866</v>
      </c>
      <c r="H394" s="86" t="s">
        <v>866</v>
      </c>
      <c r="I394" s="86" t="s">
        <v>107</v>
      </c>
      <c r="J394" s="86" t="s">
        <v>408</v>
      </c>
      <c r="K394" s="86" t="s">
        <v>408</v>
      </c>
      <c r="L394" s="86" t="s">
        <v>876</v>
      </c>
      <c r="M394" s="86" t="s">
        <v>107</v>
      </c>
      <c r="N394" s="86" t="s">
        <v>40</v>
      </c>
      <c r="O394" s="86" t="s">
        <v>413</v>
      </c>
      <c r="P394" s="86" t="s">
        <v>403</v>
      </c>
      <c r="Q394" s="86" t="s">
        <v>550</v>
      </c>
      <c r="R394" s="88" t="s">
        <v>1041</v>
      </c>
    </row>
    <row r="395" spans="1:18">
      <c r="A395" s="86" t="s">
        <v>45</v>
      </c>
      <c r="B395" s="86" t="s">
        <v>1040</v>
      </c>
      <c r="C395" s="87">
        <v>595</v>
      </c>
      <c r="D395" s="87">
        <v>1</v>
      </c>
      <c r="E395" s="87">
        <v>0</v>
      </c>
      <c r="F395" s="86">
        <v>2010.11</v>
      </c>
      <c r="G395" s="86" t="s">
        <v>866</v>
      </c>
      <c r="H395" s="86" t="s">
        <v>866</v>
      </c>
      <c r="I395" s="86" t="s">
        <v>107</v>
      </c>
      <c r="J395" s="86" t="s">
        <v>1042</v>
      </c>
      <c r="K395" s="86" t="s">
        <v>1042</v>
      </c>
      <c r="L395" s="86" t="s">
        <v>876</v>
      </c>
      <c r="M395" s="86" t="s">
        <v>107</v>
      </c>
      <c r="N395" s="86" t="s">
        <v>40</v>
      </c>
      <c r="O395" s="86" t="s">
        <v>413</v>
      </c>
      <c r="P395" s="86" t="s">
        <v>403</v>
      </c>
      <c r="Q395" s="86" t="s">
        <v>550</v>
      </c>
      <c r="R395" s="88" t="s">
        <v>1041</v>
      </c>
    </row>
    <row r="396" spans="1:18">
      <c r="A396" s="86" t="s">
        <v>45</v>
      </c>
      <c r="B396" s="86" t="s">
        <v>1043</v>
      </c>
      <c r="C396" s="87">
        <v>350000</v>
      </c>
      <c r="D396" s="87">
        <v>1</v>
      </c>
      <c r="E396" s="87">
        <v>350000</v>
      </c>
      <c r="F396" s="86">
        <v>2001.9</v>
      </c>
      <c r="G396" s="86" t="s">
        <v>39</v>
      </c>
      <c r="H396" s="86" t="s">
        <v>39</v>
      </c>
      <c r="I396" s="86" t="s">
        <v>107</v>
      </c>
      <c r="J396" s="86" t="s">
        <v>408</v>
      </c>
      <c r="K396" s="86" t="s">
        <v>408</v>
      </c>
      <c r="L396" s="86" t="s">
        <v>876</v>
      </c>
      <c r="M396" s="86" t="s">
        <v>695</v>
      </c>
      <c r="N396" s="86" t="s">
        <v>412</v>
      </c>
      <c r="O396" s="86" t="s">
        <v>413</v>
      </c>
      <c r="P396" s="86" t="s">
        <v>403</v>
      </c>
      <c r="Q396" s="86" t="s">
        <v>414</v>
      </c>
      <c r="R396" s="88" t="s">
        <v>1041</v>
      </c>
    </row>
    <row r="397" spans="1:18">
      <c r="A397" s="86" t="s">
        <v>45</v>
      </c>
      <c r="B397" s="86" t="s">
        <v>1043</v>
      </c>
      <c r="C397" s="87">
        <v>350000</v>
      </c>
      <c r="D397" s="87">
        <v>1</v>
      </c>
      <c r="E397" s="87">
        <v>350000</v>
      </c>
      <c r="F397" s="86">
        <v>2001.11</v>
      </c>
      <c r="G397" s="86" t="s">
        <v>39</v>
      </c>
      <c r="H397" s="86" t="s">
        <v>39</v>
      </c>
      <c r="I397" s="86" t="s">
        <v>107</v>
      </c>
      <c r="J397" s="86" t="s">
        <v>408</v>
      </c>
      <c r="K397" s="86" t="s">
        <v>408</v>
      </c>
      <c r="L397" s="86" t="s">
        <v>876</v>
      </c>
      <c r="M397" s="86" t="s">
        <v>695</v>
      </c>
      <c r="N397" s="86" t="s">
        <v>412</v>
      </c>
      <c r="O397" s="86" t="s">
        <v>413</v>
      </c>
      <c r="P397" s="86" t="s">
        <v>403</v>
      </c>
      <c r="Q397" s="86" t="s">
        <v>414</v>
      </c>
      <c r="R397" s="88" t="s">
        <v>1041</v>
      </c>
    </row>
    <row r="398" spans="1:18">
      <c r="A398" s="86" t="s">
        <v>45</v>
      </c>
      <c r="B398" s="86" t="s">
        <v>1044</v>
      </c>
      <c r="C398" s="87">
        <v>300000</v>
      </c>
      <c r="D398" s="87">
        <v>1</v>
      </c>
      <c r="E398" s="87">
        <v>300000</v>
      </c>
      <c r="F398" s="86">
        <v>1985.11</v>
      </c>
      <c r="G398" s="86" t="s">
        <v>39</v>
      </c>
      <c r="H398" s="86" t="s">
        <v>39</v>
      </c>
      <c r="I398" s="86" t="s">
        <v>107</v>
      </c>
      <c r="J398" s="86" t="s">
        <v>1045</v>
      </c>
      <c r="K398" s="86" t="s">
        <v>1046</v>
      </c>
      <c r="L398" s="86" t="s">
        <v>876</v>
      </c>
      <c r="M398" s="86" t="s">
        <v>695</v>
      </c>
      <c r="N398" s="86" t="s">
        <v>412</v>
      </c>
      <c r="O398" s="86" t="s">
        <v>413</v>
      </c>
      <c r="P398" s="86" t="s">
        <v>403</v>
      </c>
      <c r="Q398" s="86" t="s">
        <v>414</v>
      </c>
      <c r="R398" s="88" t="s">
        <v>1047</v>
      </c>
    </row>
    <row r="399" spans="1:18">
      <c r="A399" s="86" t="s">
        <v>45</v>
      </c>
      <c r="B399" s="86" t="s">
        <v>1044</v>
      </c>
      <c r="C399" s="87">
        <v>300000</v>
      </c>
      <c r="D399" s="87">
        <v>1</v>
      </c>
      <c r="E399" s="87">
        <v>300000</v>
      </c>
      <c r="F399" s="86">
        <v>1985.12</v>
      </c>
      <c r="G399" s="86" t="s">
        <v>39</v>
      </c>
      <c r="H399" s="86" t="s">
        <v>39</v>
      </c>
      <c r="I399" s="86" t="s">
        <v>107</v>
      </c>
      <c r="J399" s="86" t="s">
        <v>1045</v>
      </c>
      <c r="K399" s="86" t="s">
        <v>1046</v>
      </c>
      <c r="L399" s="86" t="s">
        <v>876</v>
      </c>
      <c r="M399" s="86" t="s">
        <v>695</v>
      </c>
      <c r="N399" s="86" t="s">
        <v>412</v>
      </c>
      <c r="O399" s="86" t="s">
        <v>413</v>
      </c>
      <c r="P399" s="86" t="s">
        <v>403</v>
      </c>
      <c r="Q399" s="86" t="s">
        <v>414</v>
      </c>
      <c r="R399" s="88" t="s">
        <v>1047</v>
      </c>
    </row>
    <row r="400" spans="1:18">
      <c r="A400" s="86" t="s">
        <v>45</v>
      </c>
      <c r="B400" s="86" t="s">
        <v>1048</v>
      </c>
      <c r="C400" s="87">
        <v>2750</v>
      </c>
      <c r="D400" s="87">
        <v>1</v>
      </c>
      <c r="E400" s="87">
        <v>2750</v>
      </c>
      <c r="F400" s="86">
        <v>2017.8</v>
      </c>
      <c r="G400" s="86" t="s">
        <v>866</v>
      </c>
      <c r="H400" s="86" t="s">
        <v>866</v>
      </c>
      <c r="I400" s="86" t="s">
        <v>107</v>
      </c>
      <c r="J400" s="86" t="s">
        <v>871</v>
      </c>
      <c r="K400" s="86" t="s">
        <v>1049</v>
      </c>
      <c r="L400" s="86" t="s">
        <v>1050</v>
      </c>
      <c r="M400" s="86" t="s">
        <v>107</v>
      </c>
      <c r="N400" s="86" t="s">
        <v>40</v>
      </c>
      <c r="O400" s="86" t="s">
        <v>413</v>
      </c>
      <c r="P400" s="86" t="s">
        <v>403</v>
      </c>
      <c r="Q400" s="86" t="s">
        <v>550</v>
      </c>
      <c r="R400" s="88" t="s">
        <v>460</v>
      </c>
    </row>
    <row r="401" spans="1:18">
      <c r="A401" s="86" t="s">
        <v>45</v>
      </c>
      <c r="B401" s="86" t="s">
        <v>1051</v>
      </c>
      <c r="C401" s="87">
        <v>1000</v>
      </c>
      <c r="D401" s="87">
        <v>6</v>
      </c>
      <c r="E401" s="87">
        <v>6000</v>
      </c>
      <c r="F401" s="86">
        <v>2007.2</v>
      </c>
      <c r="G401" s="86" t="s">
        <v>866</v>
      </c>
      <c r="H401" s="86" t="s">
        <v>866</v>
      </c>
      <c r="I401" s="86" t="s">
        <v>107</v>
      </c>
      <c r="J401" s="86" t="s">
        <v>1052</v>
      </c>
      <c r="K401" s="86" t="s">
        <v>1053</v>
      </c>
      <c r="L401" s="86" t="s">
        <v>1054</v>
      </c>
      <c r="M401" s="86" t="s">
        <v>107</v>
      </c>
      <c r="N401" s="86" t="s">
        <v>40</v>
      </c>
      <c r="O401" s="86" t="s">
        <v>413</v>
      </c>
      <c r="P401" s="86" t="s">
        <v>403</v>
      </c>
      <c r="Q401" s="86" t="s">
        <v>550</v>
      </c>
      <c r="R401" s="88" t="s">
        <v>1055</v>
      </c>
    </row>
    <row r="402" spans="1:18">
      <c r="A402" s="86" t="s">
        <v>45</v>
      </c>
      <c r="B402" s="86" t="s">
        <v>1056</v>
      </c>
      <c r="C402" s="87">
        <v>2800</v>
      </c>
      <c r="D402" s="87">
        <v>1</v>
      </c>
      <c r="E402" s="87">
        <v>2800</v>
      </c>
      <c r="F402" s="86">
        <v>2014.9</v>
      </c>
      <c r="G402" s="86" t="s">
        <v>866</v>
      </c>
      <c r="H402" s="86" t="s">
        <v>866</v>
      </c>
      <c r="I402" s="86" t="s">
        <v>107</v>
      </c>
      <c r="J402" s="86" t="s">
        <v>107</v>
      </c>
      <c r="K402" s="86" t="s">
        <v>107</v>
      </c>
      <c r="L402" s="86" t="s">
        <v>1057</v>
      </c>
      <c r="M402" s="86" t="s">
        <v>107</v>
      </c>
      <c r="N402" s="86" t="s">
        <v>40</v>
      </c>
      <c r="O402" s="86" t="s">
        <v>413</v>
      </c>
      <c r="P402" s="86" t="s">
        <v>403</v>
      </c>
      <c r="Q402" s="86" t="s">
        <v>550</v>
      </c>
      <c r="R402" s="88" t="s">
        <v>1058</v>
      </c>
    </row>
    <row r="403" spans="1:18">
      <c r="A403" s="86" t="s">
        <v>45</v>
      </c>
      <c r="B403" s="86" t="s">
        <v>1059</v>
      </c>
      <c r="C403" s="87">
        <v>400</v>
      </c>
      <c r="D403" s="87">
        <v>1</v>
      </c>
      <c r="E403" s="87">
        <v>400</v>
      </c>
      <c r="F403" s="86">
        <v>2011.8</v>
      </c>
      <c r="G403" s="86" t="s">
        <v>866</v>
      </c>
      <c r="H403" s="86" t="s">
        <v>866</v>
      </c>
      <c r="I403" s="86" t="s">
        <v>107</v>
      </c>
      <c r="J403" s="86" t="s">
        <v>871</v>
      </c>
      <c r="K403" s="86" t="s">
        <v>871</v>
      </c>
      <c r="L403" s="86" t="s">
        <v>873</v>
      </c>
      <c r="M403" s="86" t="s">
        <v>107</v>
      </c>
      <c r="N403" s="86" t="s">
        <v>40</v>
      </c>
      <c r="O403" s="86" t="s">
        <v>413</v>
      </c>
      <c r="P403" s="86" t="s">
        <v>403</v>
      </c>
      <c r="Q403" s="86" t="s">
        <v>550</v>
      </c>
      <c r="R403" s="88" t="s">
        <v>1060</v>
      </c>
    </row>
    <row r="404" spans="1:18">
      <c r="A404" s="86" t="s">
        <v>45</v>
      </c>
      <c r="B404" s="86" t="s">
        <v>1061</v>
      </c>
      <c r="C404" s="87">
        <v>3000</v>
      </c>
      <c r="D404" s="87">
        <v>1</v>
      </c>
      <c r="E404" s="87">
        <v>3000</v>
      </c>
      <c r="F404" s="86">
        <v>2012.6</v>
      </c>
      <c r="G404" s="86" t="s">
        <v>866</v>
      </c>
      <c r="H404" s="86" t="s">
        <v>866</v>
      </c>
      <c r="I404" s="86" t="s">
        <v>107</v>
      </c>
      <c r="J404" s="86" t="s">
        <v>943</v>
      </c>
      <c r="K404" s="86" t="s">
        <v>943</v>
      </c>
      <c r="L404" s="86" t="s">
        <v>880</v>
      </c>
      <c r="M404" s="86" t="s">
        <v>107</v>
      </c>
      <c r="N404" s="86" t="s">
        <v>40</v>
      </c>
      <c r="O404" s="86" t="s">
        <v>413</v>
      </c>
      <c r="P404" s="86" t="s">
        <v>403</v>
      </c>
      <c r="Q404" s="86" t="s">
        <v>550</v>
      </c>
      <c r="R404" s="88" t="s">
        <v>1062</v>
      </c>
    </row>
    <row r="405" spans="1:18">
      <c r="A405" s="86" t="s">
        <v>45</v>
      </c>
      <c r="B405" s="86" t="s">
        <v>1063</v>
      </c>
      <c r="C405" s="87">
        <v>1500</v>
      </c>
      <c r="D405" s="87">
        <v>1</v>
      </c>
      <c r="E405" s="87">
        <v>1500</v>
      </c>
      <c r="F405" s="86">
        <v>2010.1</v>
      </c>
      <c r="G405" s="86" t="s">
        <v>866</v>
      </c>
      <c r="H405" s="86" t="s">
        <v>866</v>
      </c>
      <c r="I405" s="86" t="s">
        <v>107</v>
      </c>
      <c r="J405" s="86" t="s">
        <v>889</v>
      </c>
      <c r="K405" s="86" t="s">
        <v>889</v>
      </c>
      <c r="L405" s="86" t="s">
        <v>1064</v>
      </c>
      <c r="M405" s="86" t="s">
        <v>107</v>
      </c>
      <c r="N405" s="86" t="s">
        <v>40</v>
      </c>
      <c r="O405" s="86" t="s">
        <v>413</v>
      </c>
      <c r="P405" s="86" t="s">
        <v>403</v>
      </c>
      <c r="Q405" s="86" t="s">
        <v>550</v>
      </c>
      <c r="R405" s="88" t="s">
        <v>1065</v>
      </c>
    </row>
    <row r="406" spans="1:18">
      <c r="A406" s="86" t="s">
        <v>45</v>
      </c>
      <c r="B406" s="86" t="s">
        <v>1066</v>
      </c>
      <c r="C406" s="87">
        <v>350</v>
      </c>
      <c r="D406" s="87">
        <v>1</v>
      </c>
      <c r="E406" s="87">
        <v>350</v>
      </c>
      <c r="F406" s="86">
        <v>2014.9</v>
      </c>
      <c r="G406" s="86" t="s">
        <v>866</v>
      </c>
      <c r="H406" s="86" t="s">
        <v>866</v>
      </c>
      <c r="I406" s="86" t="s">
        <v>107</v>
      </c>
      <c r="J406" s="86" t="s">
        <v>901</v>
      </c>
      <c r="K406" s="86" t="s">
        <v>902</v>
      </c>
      <c r="L406" s="86" t="s">
        <v>873</v>
      </c>
      <c r="M406" s="86" t="s">
        <v>107</v>
      </c>
      <c r="N406" s="86" t="s">
        <v>40</v>
      </c>
      <c r="O406" s="86" t="s">
        <v>413</v>
      </c>
      <c r="P406" s="86" t="s">
        <v>403</v>
      </c>
      <c r="Q406" s="86" t="s">
        <v>550</v>
      </c>
      <c r="R406" s="88" t="s">
        <v>1067</v>
      </c>
    </row>
    <row r="407" spans="1:18">
      <c r="A407" s="86" t="s">
        <v>45</v>
      </c>
      <c r="B407" s="86" t="s">
        <v>1068</v>
      </c>
      <c r="C407" s="87">
        <v>1650</v>
      </c>
      <c r="D407" s="87">
        <v>1</v>
      </c>
      <c r="E407" s="87">
        <v>1650</v>
      </c>
      <c r="F407" s="86">
        <v>2016.7</v>
      </c>
      <c r="G407" s="86" t="s">
        <v>866</v>
      </c>
      <c r="H407" s="86" t="s">
        <v>866</v>
      </c>
      <c r="I407" s="86" t="s">
        <v>107</v>
      </c>
      <c r="J407" s="86" t="s">
        <v>1069</v>
      </c>
      <c r="K407" s="86" t="s">
        <v>664</v>
      </c>
      <c r="L407" s="86" t="s">
        <v>880</v>
      </c>
      <c r="M407" s="86" t="s">
        <v>107</v>
      </c>
      <c r="N407" s="86" t="s">
        <v>40</v>
      </c>
      <c r="O407" s="86" t="s">
        <v>413</v>
      </c>
      <c r="P407" s="86" t="s">
        <v>403</v>
      </c>
      <c r="Q407" s="86" t="s">
        <v>550</v>
      </c>
      <c r="R407" s="88" t="s">
        <v>1070</v>
      </c>
    </row>
    <row r="408" spans="1:18">
      <c r="A408" s="86" t="s">
        <v>45</v>
      </c>
      <c r="B408" s="86" t="s">
        <v>1071</v>
      </c>
      <c r="C408" s="87">
        <v>340</v>
      </c>
      <c r="D408" s="87">
        <v>1</v>
      </c>
      <c r="E408" s="87">
        <v>340</v>
      </c>
      <c r="F408" s="86">
        <v>2004.2</v>
      </c>
      <c r="G408" s="86" t="s">
        <v>866</v>
      </c>
      <c r="H408" s="86" t="s">
        <v>866</v>
      </c>
      <c r="I408" s="86" t="s">
        <v>107</v>
      </c>
      <c r="J408" s="86" t="s">
        <v>889</v>
      </c>
      <c r="K408" s="86" t="s">
        <v>889</v>
      </c>
      <c r="L408" s="86" t="s">
        <v>880</v>
      </c>
      <c r="M408" s="86" t="s">
        <v>107</v>
      </c>
      <c r="N408" s="86" t="s">
        <v>40</v>
      </c>
      <c r="O408" s="86" t="s">
        <v>413</v>
      </c>
      <c r="P408" s="86" t="s">
        <v>403</v>
      </c>
      <c r="Q408" s="86" t="s">
        <v>550</v>
      </c>
      <c r="R408" s="88" t="s">
        <v>1072</v>
      </c>
    </row>
    <row r="409" spans="1:18">
      <c r="A409" s="86" t="s">
        <v>45</v>
      </c>
      <c r="B409" s="86" t="s">
        <v>1073</v>
      </c>
      <c r="C409" s="87">
        <v>360</v>
      </c>
      <c r="D409" s="87">
        <v>1</v>
      </c>
      <c r="E409" s="87">
        <v>360</v>
      </c>
      <c r="F409" s="86">
        <v>2008.12</v>
      </c>
      <c r="G409" s="86" t="s">
        <v>866</v>
      </c>
      <c r="H409" s="86" t="s">
        <v>866</v>
      </c>
      <c r="I409" s="86" t="s">
        <v>107</v>
      </c>
      <c r="J409" s="86" t="s">
        <v>1074</v>
      </c>
      <c r="K409" s="86" t="s">
        <v>569</v>
      </c>
      <c r="L409" s="86" t="s">
        <v>880</v>
      </c>
      <c r="M409" s="86" t="s">
        <v>107</v>
      </c>
      <c r="N409" s="86" t="s">
        <v>40</v>
      </c>
      <c r="O409" s="86" t="s">
        <v>413</v>
      </c>
      <c r="P409" s="86" t="s">
        <v>403</v>
      </c>
      <c r="Q409" s="86" t="s">
        <v>550</v>
      </c>
      <c r="R409" s="88" t="s">
        <v>1072</v>
      </c>
    </row>
    <row r="410" spans="1:18">
      <c r="A410" s="86" t="s">
        <v>45</v>
      </c>
      <c r="B410" s="86" t="s">
        <v>1075</v>
      </c>
      <c r="C410" s="87">
        <v>230</v>
      </c>
      <c r="D410" s="87">
        <v>1</v>
      </c>
      <c r="E410" s="87">
        <v>230</v>
      </c>
      <c r="F410" s="86">
        <v>2014.9</v>
      </c>
      <c r="G410" s="86" t="s">
        <v>866</v>
      </c>
      <c r="H410" s="86" t="s">
        <v>866</v>
      </c>
      <c r="I410" s="86" t="s">
        <v>107</v>
      </c>
      <c r="J410" s="86" t="s">
        <v>1069</v>
      </c>
      <c r="K410" s="86" t="s">
        <v>1076</v>
      </c>
      <c r="L410" s="86" t="s">
        <v>880</v>
      </c>
      <c r="M410" s="86" t="s">
        <v>107</v>
      </c>
      <c r="N410" s="86" t="s">
        <v>40</v>
      </c>
      <c r="O410" s="86" t="s">
        <v>413</v>
      </c>
      <c r="P410" s="86" t="s">
        <v>403</v>
      </c>
      <c r="Q410" s="86" t="s">
        <v>550</v>
      </c>
      <c r="R410" s="88" t="s">
        <v>1077</v>
      </c>
    </row>
    <row r="411" spans="1:18">
      <c r="A411" s="86" t="s">
        <v>45</v>
      </c>
      <c r="B411" s="86" t="s">
        <v>1078</v>
      </c>
      <c r="C411" s="87">
        <v>1800</v>
      </c>
      <c r="D411" s="87">
        <v>1</v>
      </c>
      <c r="E411" s="87">
        <v>1800</v>
      </c>
      <c r="F411" s="86">
        <v>1999.9</v>
      </c>
      <c r="G411" s="86" t="s">
        <v>866</v>
      </c>
      <c r="H411" s="86" t="s">
        <v>866</v>
      </c>
      <c r="I411" s="86" t="s">
        <v>107</v>
      </c>
      <c r="J411" s="86" t="s">
        <v>889</v>
      </c>
      <c r="K411" s="86" t="s">
        <v>889</v>
      </c>
      <c r="L411" s="86" t="s">
        <v>1079</v>
      </c>
      <c r="M411" s="86" t="s">
        <v>107</v>
      </c>
      <c r="N411" s="86" t="s">
        <v>40</v>
      </c>
      <c r="O411" s="86" t="s">
        <v>413</v>
      </c>
      <c r="P411" s="86" t="s">
        <v>403</v>
      </c>
      <c r="Q411" s="86" t="s">
        <v>550</v>
      </c>
      <c r="R411" s="88" t="s">
        <v>1080</v>
      </c>
    </row>
    <row r="412" spans="1:18">
      <c r="A412" s="86" t="s">
        <v>45</v>
      </c>
      <c r="B412" s="86" t="s">
        <v>1081</v>
      </c>
      <c r="C412" s="87">
        <v>2310</v>
      </c>
      <c r="D412" s="87">
        <v>1</v>
      </c>
      <c r="E412" s="87">
        <v>2310</v>
      </c>
      <c r="F412" s="86">
        <v>2011.8</v>
      </c>
      <c r="G412" s="86" t="s">
        <v>866</v>
      </c>
      <c r="H412" s="86" t="s">
        <v>866</v>
      </c>
      <c r="I412" s="86" t="s">
        <v>107</v>
      </c>
      <c r="J412" s="86" t="s">
        <v>883</v>
      </c>
      <c r="K412" s="86" t="s">
        <v>582</v>
      </c>
      <c r="L412" s="86" t="s">
        <v>880</v>
      </c>
      <c r="M412" s="86" t="s">
        <v>107</v>
      </c>
      <c r="N412" s="86" t="s">
        <v>40</v>
      </c>
      <c r="O412" s="86" t="s">
        <v>413</v>
      </c>
      <c r="P412" s="86" t="s">
        <v>403</v>
      </c>
      <c r="Q412" s="86" t="s">
        <v>550</v>
      </c>
      <c r="R412" s="88" t="s">
        <v>1082</v>
      </c>
    </row>
    <row r="413" spans="1:18">
      <c r="A413" s="86" t="s">
        <v>45</v>
      </c>
      <c r="B413" s="86" t="s">
        <v>1083</v>
      </c>
      <c r="C413" s="87">
        <v>100000</v>
      </c>
      <c r="D413" s="87">
        <v>2</v>
      </c>
      <c r="E413" s="87">
        <v>200000</v>
      </c>
      <c r="F413" s="86">
        <v>1973.1</v>
      </c>
      <c r="G413" s="86" t="s">
        <v>45</v>
      </c>
      <c r="H413" s="86" t="s">
        <v>45</v>
      </c>
      <c r="I413" s="86" t="s">
        <v>107</v>
      </c>
      <c r="J413" s="86" t="s">
        <v>504</v>
      </c>
      <c r="K413" s="86" t="s">
        <v>504</v>
      </c>
      <c r="L413" s="86" t="s">
        <v>880</v>
      </c>
      <c r="M413" s="86" t="s">
        <v>1084</v>
      </c>
      <c r="N413" s="86" t="s">
        <v>412</v>
      </c>
      <c r="O413" s="86" t="s">
        <v>413</v>
      </c>
      <c r="P413" s="86" t="s">
        <v>403</v>
      </c>
      <c r="Q413" s="86" t="s">
        <v>414</v>
      </c>
      <c r="R413" s="88" t="s">
        <v>1085</v>
      </c>
    </row>
    <row r="414" spans="1:18">
      <c r="A414" s="86" t="s">
        <v>45</v>
      </c>
      <c r="B414" s="86" t="s">
        <v>1083</v>
      </c>
      <c r="C414" s="87">
        <v>100000</v>
      </c>
      <c r="D414" s="87">
        <v>2</v>
      </c>
      <c r="E414" s="87">
        <v>200000</v>
      </c>
      <c r="F414" s="86">
        <v>1973.1</v>
      </c>
      <c r="G414" s="86" t="s">
        <v>45</v>
      </c>
      <c r="H414" s="86" t="s">
        <v>45</v>
      </c>
      <c r="I414" s="86" t="s">
        <v>107</v>
      </c>
      <c r="J414" s="86" t="s">
        <v>504</v>
      </c>
      <c r="K414" s="86" t="s">
        <v>504</v>
      </c>
      <c r="L414" s="86" t="s">
        <v>880</v>
      </c>
      <c r="M414" s="86" t="s">
        <v>1084</v>
      </c>
      <c r="N414" s="86" t="s">
        <v>412</v>
      </c>
      <c r="O414" s="86" t="s">
        <v>413</v>
      </c>
      <c r="P414" s="86" t="s">
        <v>403</v>
      </c>
      <c r="Q414" s="86" t="s">
        <v>414</v>
      </c>
      <c r="R414" s="88" t="s">
        <v>1085</v>
      </c>
    </row>
    <row r="415" spans="1:18">
      <c r="A415" s="86" t="s">
        <v>45</v>
      </c>
      <c r="B415" s="86" t="s">
        <v>1086</v>
      </c>
      <c r="C415" s="87">
        <v>2400</v>
      </c>
      <c r="D415" s="87">
        <v>1</v>
      </c>
      <c r="E415" s="87">
        <v>2400</v>
      </c>
      <c r="F415" s="86">
        <v>1987.7</v>
      </c>
      <c r="G415" s="86" t="s">
        <v>866</v>
      </c>
      <c r="H415" s="86" t="s">
        <v>866</v>
      </c>
      <c r="I415" s="86" t="s">
        <v>107</v>
      </c>
      <c r="J415" s="86" t="s">
        <v>999</v>
      </c>
      <c r="K415" s="86" t="s">
        <v>999</v>
      </c>
      <c r="L415" s="86" t="s">
        <v>1087</v>
      </c>
      <c r="M415" s="86" t="s">
        <v>107</v>
      </c>
      <c r="N415" s="86" t="s">
        <v>40</v>
      </c>
      <c r="O415" s="86" t="s">
        <v>413</v>
      </c>
      <c r="P415" s="86" t="s">
        <v>403</v>
      </c>
      <c r="Q415" s="86" t="s">
        <v>550</v>
      </c>
      <c r="R415" s="88" t="s">
        <v>1088</v>
      </c>
    </row>
    <row r="416" spans="1:18">
      <c r="A416" s="86" t="s">
        <v>45</v>
      </c>
      <c r="B416" s="86" t="s">
        <v>1089</v>
      </c>
      <c r="C416" s="87">
        <v>3000</v>
      </c>
      <c r="D416" s="87">
        <v>1</v>
      </c>
      <c r="E416" s="87">
        <v>3000</v>
      </c>
      <c r="F416" s="86">
        <v>2018.12</v>
      </c>
      <c r="G416" s="86" t="s">
        <v>866</v>
      </c>
      <c r="H416" s="86" t="s">
        <v>866</v>
      </c>
      <c r="I416" s="86" t="s">
        <v>107</v>
      </c>
      <c r="J416" s="86" t="s">
        <v>107</v>
      </c>
      <c r="K416" s="86" t="s">
        <v>107</v>
      </c>
      <c r="L416" s="86" t="s">
        <v>873</v>
      </c>
      <c r="M416" s="86" t="s">
        <v>107</v>
      </c>
      <c r="N416" s="86" t="s">
        <v>40</v>
      </c>
      <c r="O416" s="86" t="s">
        <v>413</v>
      </c>
      <c r="P416" s="86" t="s">
        <v>403</v>
      </c>
      <c r="Q416" s="86" t="s">
        <v>550</v>
      </c>
      <c r="R416" s="88" t="s">
        <v>1090</v>
      </c>
    </row>
    <row r="417" spans="1:18">
      <c r="A417" s="86" t="s">
        <v>45</v>
      </c>
      <c r="B417" s="86" t="s">
        <v>1091</v>
      </c>
      <c r="C417" s="87">
        <v>340</v>
      </c>
      <c r="D417" s="87">
        <v>1</v>
      </c>
      <c r="E417" s="87">
        <v>340</v>
      </c>
      <c r="F417" s="86">
        <v>2011.12</v>
      </c>
      <c r="G417" s="86" t="s">
        <v>866</v>
      </c>
      <c r="H417" s="86" t="s">
        <v>866</v>
      </c>
      <c r="I417" s="86" t="s">
        <v>107</v>
      </c>
      <c r="J417" s="86" t="s">
        <v>107</v>
      </c>
      <c r="K417" s="86" t="s">
        <v>107</v>
      </c>
      <c r="L417" s="86" t="s">
        <v>107</v>
      </c>
      <c r="M417" s="86" t="s">
        <v>107</v>
      </c>
      <c r="N417" s="86" t="s">
        <v>40</v>
      </c>
      <c r="O417" s="86" t="s">
        <v>548</v>
      </c>
      <c r="P417" s="86" t="s">
        <v>549</v>
      </c>
      <c r="Q417" s="86" t="s">
        <v>550</v>
      </c>
      <c r="R417" s="88" t="s">
        <v>1092</v>
      </c>
    </row>
    <row r="418" spans="1:18">
      <c r="A418" s="86" t="s">
        <v>45</v>
      </c>
      <c r="B418" s="86" t="s">
        <v>1093</v>
      </c>
      <c r="C418" s="87">
        <v>800</v>
      </c>
      <c r="D418" s="87">
        <v>1</v>
      </c>
      <c r="E418" s="87">
        <v>800</v>
      </c>
      <c r="F418" s="86">
        <v>2011.12</v>
      </c>
      <c r="G418" s="86" t="s">
        <v>866</v>
      </c>
      <c r="H418" s="86" t="s">
        <v>866</v>
      </c>
      <c r="I418" s="86" t="s">
        <v>107</v>
      </c>
      <c r="J418" s="86" t="s">
        <v>879</v>
      </c>
      <c r="K418" s="86" t="s">
        <v>569</v>
      </c>
      <c r="L418" s="86" t="s">
        <v>880</v>
      </c>
      <c r="M418" s="86" t="s">
        <v>107</v>
      </c>
      <c r="N418" s="86" t="s">
        <v>40</v>
      </c>
      <c r="O418" s="86" t="s">
        <v>413</v>
      </c>
      <c r="P418" s="86" t="s">
        <v>403</v>
      </c>
      <c r="Q418" s="86" t="s">
        <v>550</v>
      </c>
      <c r="R418" s="88" t="s">
        <v>1094</v>
      </c>
    </row>
    <row r="419" spans="1:18">
      <c r="A419" s="86" t="s">
        <v>45</v>
      </c>
      <c r="B419" s="86" t="s">
        <v>1095</v>
      </c>
      <c r="C419" s="87">
        <v>5000</v>
      </c>
      <c r="D419" s="87">
        <v>1</v>
      </c>
      <c r="E419" s="87">
        <v>5000</v>
      </c>
      <c r="F419" s="86">
        <v>2016.1</v>
      </c>
      <c r="G419" s="86" t="s">
        <v>866</v>
      </c>
      <c r="H419" s="86" t="s">
        <v>866</v>
      </c>
      <c r="I419" s="86" t="s">
        <v>107</v>
      </c>
      <c r="J419" s="86" t="s">
        <v>871</v>
      </c>
      <c r="K419" s="86" t="s">
        <v>871</v>
      </c>
      <c r="L419" s="86" t="s">
        <v>1014</v>
      </c>
      <c r="M419" s="86" t="s">
        <v>107</v>
      </c>
      <c r="N419" s="86" t="s">
        <v>40</v>
      </c>
      <c r="O419" s="86" t="s">
        <v>413</v>
      </c>
      <c r="P419" s="86" t="s">
        <v>403</v>
      </c>
      <c r="Q419" s="86" t="s">
        <v>550</v>
      </c>
      <c r="R419" s="88" t="s">
        <v>1096</v>
      </c>
    </row>
    <row r="420" spans="1:18">
      <c r="A420" s="86" t="s">
        <v>45</v>
      </c>
      <c r="B420" s="86" t="s">
        <v>1097</v>
      </c>
      <c r="C420" s="87">
        <v>990</v>
      </c>
      <c r="D420" s="87">
        <v>1</v>
      </c>
      <c r="E420" s="87">
        <v>990</v>
      </c>
      <c r="F420" s="86">
        <v>2013.2</v>
      </c>
      <c r="G420" s="86" t="s">
        <v>866</v>
      </c>
      <c r="H420" s="86" t="s">
        <v>866</v>
      </c>
      <c r="I420" s="86" t="s">
        <v>107</v>
      </c>
      <c r="J420" s="86" t="s">
        <v>1098</v>
      </c>
      <c r="K420" s="86" t="s">
        <v>569</v>
      </c>
      <c r="L420" s="86" t="s">
        <v>880</v>
      </c>
      <c r="M420" s="86" t="s">
        <v>107</v>
      </c>
      <c r="N420" s="86" t="s">
        <v>40</v>
      </c>
      <c r="O420" s="86" t="s">
        <v>413</v>
      </c>
      <c r="P420" s="86" t="s">
        <v>403</v>
      </c>
      <c r="Q420" s="86" t="s">
        <v>550</v>
      </c>
      <c r="R420" s="88" t="s">
        <v>1099</v>
      </c>
    </row>
    <row r="421" spans="1:18">
      <c r="A421" s="86" t="s">
        <v>45</v>
      </c>
      <c r="B421" s="86" t="s">
        <v>1100</v>
      </c>
      <c r="C421" s="87">
        <v>45000</v>
      </c>
      <c r="D421" s="87">
        <v>2</v>
      </c>
      <c r="E421" s="87">
        <v>90000</v>
      </c>
      <c r="F421" s="86">
        <v>1976.1</v>
      </c>
      <c r="G421" s="86" t="s">
        <v>45</v>
      </c>
      <c r="H421" s="86" t="s">
        <v>45</v>
      </c>
      <c r="I421" s="86" t="s">
        <v>107</v>
      </c>
      <c r="J421" s="86" t="s">
        <v>1101</v>
      </c>
      <c r="K421" s="86" t="s">
        <v>504</v>
      </c>
      <c r="L421" s="86" t="s">
        <v>880</v>
      </c>
      <c r="M421" s="86" t="s">
        <v>1102</v>
      </c>
      <c r="N421" s="86" t="s">
        <v>412</v>
      </c>
      <c r="O421" s="86" t="s">
        <v>413</v>
      </c>
      <c r="P421" s="86" t="s">
        <v>403</v>
      </c>
      <c r="Q421" s="86" t="s">
        <v>414</v>
      </c>
      <c r="R421" s="88" t="s">
        <v>1103</v>
      </c>
    </row>
    <row r="422" spans="1:18">
      <c r="A422" s="86" t="s">
        <v>45</v>
      </c>
      <c r="B422" s="86" t="s">
        <v>1104</v>
      </c>
      <c r="C422" s="87">
        <v>1500</v>
      </c>
      <c r="D422" s="87">
        <v>1</v>
      </c>
      <c r="E422" s="87">
        <v>1500</v>
      </c>
      <c r="F422" s="86">
        <v>2003.9</v>
      </c>
      <c r="G422" s="86" t="s">
        <v>866</v>
      </c>
      <c r="H422" s="86" t="s">
        <v>866</v>
      </c>
      <c r="I422" s="86" t="s">
        <v>107</v>
      </c>
      <c r="J422" s="86" t="s">
        <v>889</v>
      </c>
      <c r="K422" s="86" t="s">
        <v>889</v>
      </c>
      <c r="L422" s="86" t="s">
        <v>880</v>
      </c>
      <c r="M422" s="86" t="s">
        <v>107</v>
      </c>
      <c r="N422" s="86" t="s">
        <v>40</v>
      </c>
      <c r="O422" s="86" t="s">
        <v>413</v>
      </c>
      <c r="P422" s="86" t="s">
        <v>403</v>
      </c>
      <c r="Q422" s="86" t="s">
        <v>550</v>
      </c>
      <c r="R422" s="88" t="s">
        <v>1105</v>
      </c>
    </row>
    <row r="423" spans="1:18">
      <c r="A423" s="86" t="s">
        <v>45</v>
      </c>
      <c r="B423" s="86" t="s">
        <v>1109</v>
      </c>
      <c r="C423" s="87">
        <v>1400</v>
      </c>
      <c r="D423" s="87">
        <v>1</v>
      </c>
      <c r="E423" s="87">
        <v>1400</v>
      </c>
      <c r="F423" s="86">
        <v>2005.8</v>
      </c>
      <c r="G423" s="86" t="s">
        <v>866</v>
      </c>
      <c r="H423" s="86" t="s">
        <v>866</v>
      </c>
      <c r="I423" s="86" t="s">
        <v>107</v>
      </c>
      <c r="J423" s="86" t="s">
        <v>889</v>
      </c>
      <c r="K423" s="86" t="s">
        <v>889</v>
      </c>
      <c r="L423" s="86" t="s">
        <v>876</v>
      </c>
      <c r="M423" s="86" t="s">
        <v>107</v>
      </c>
      <c r="N423" s="86" t="s">
        <v>40</v>
      </c>
      <c r="O423" s="86" t="s">
        <v>413</v>
      </c>
      <c r="P423" s="86" t="s">
        <v>403</v>
      </c>
      <c r="Q423" s="86" t="s">
        <v>550</v>
      </c>
      <c r="R423" s="88" t="s">
        <v>1110</v>
      </c>
    </row>
    <row r="424" spans="1:18">
      <c r="A424" s="86" t="s">
        <v>45</v>
      </c>
      <c r="B424" s="86" t="s">
        <v>1111</v>
      </c>
      <c r="C424" s="87">
        <v>250000</v>
      </c>
      <c r="D424" s="87">
        <v>1</v>
      </c>
      <c r="E424" s="87">
        <v>250000</v>
      </c>
      <c r="F424" s="86">
        <v>2006.2</v>
      </c>
      <c r="G424" s="86" t="s">
        <v>39</v>
      </c>
      <c r="H424" s="86" t="s">
        <v>39</v>
      </c>
      <c r="I424" s="86" t="s">
        <v>107</v>
      </c>
      <c r="J424" s="86" t="s">
        <v>408</v>
      </c>
      <c r="K424" s="86" t="s">
        <v>408</v>
      </c>
      <c r="L424" s="86" t="s">
        <v>876</v>
      </c>
      <c r="M424" s="86" t="s">
        <v>695</v>
      </c>
      <c r="N424" s="86" t="s">
        <v>412</v>
      </c>
      <c r="O424" s="86" t="s">
        <v>413</v>
      </c>
      <c r="P424" s="86" t="s">
        <v>403</v>
      </c>
      <c r="Q424" s="86" t="s">
        <v>414</v>
      </c>
      <c r="R424" s="88" t="s">
        <v>1110</v>
      </c>
    </row>
    <row r="425" spans="1:18">
      <c r="A425" s="86" t="s">
        <v>45</v>
      </c>
      <c r="B425" s="86" t="s">
        <v>1111</v>
      </c>
      <c r="C425" s="87">
        <v>250000</v>
      </c>
      <c r="D425" s="87">
        <v>1</v>
      </c>
      <c r="E425" s="87">
        <v>250000</v>
      </c>
      <c r="F425" s="86">
        <v>2006.4</v>
      </c>
      <c r="G425" s="86" t="s">
        <v>39</v>
      </c>
      <c r="H425" s="86" t="s">
        <v>39</v>
      </c>
      <c r="I425" s="86" t="s">
        <v>107</v>
      </c>
      <c r="J425" s="86" t="s">
        <v>408</v>
      </c>
      <c r="K425" s="86" t="s">
        <v>408</v>
      </c>
      <c r="L425" s="86" t="s">
        <v>876</v>
      </c>
      <c r="M425" s="86" t="s">
        <v>695</v>
      </c>
      <c r="N425" s="86" t="s">
        <v>412</v>
      </c>
      <c r="O425" s="86" t="s">
        <v>413</v>
      </c>
      <c r="P425" s="86" t="s">
        <v>403</v>
      </c>
      <c r="Q425" s="86" t="s">
        <v>414</v>
      </c>
      <c r="R425" s="88" t="s">
        <v>1110</v>
      </c>
    </row>
    <row r="426" spans="1:18">
      <c r="A426" s="86" t="s">
        <v>45</v>
      </c>
      <c r="B426" s="86" t="s">
        <v>1111</v>
      </c>
      <c r="C426" s="87">
        <v>250000</v>
      </c>
      <c r="D426" s="87">
        <v>1</v>
      </c>
      <c r="E426" s="87">
        <v>250000</v>
      </c>
      <c r="F426" s="86">
        <v>2006.6</v>
      </c>
      <c r="G426" s="86" t="s">
        <v>39</v>
      </c>
      <c r="H426" s="86" t="s">
        <v>39</v>
      </c>
      <c r="I426" s="86" t="s">
        <v>107</v>
      </c>
      <c r="J426" s="86" t="s">
        <v>408</v>
      </c>
      <c r="K426" s="86" t="s">
        <v>408</v>
      </c>
      <c r="L426" s="86" t="s">
        <v>876</v>
      </c>
      <c r="M426" s="86" t="s">
        <v>695</v>
      </c>
      <c r="N426" s="86" t="s">
        <v>412</v>
      </c>
      <c r="O426" s="86" t="s">
        <v>413</v>
      </c>
      <c r="P426" s="86" t="s">
        <v>403</v>
      </c>
      <c r="Q426" s="86" t="s">
        <v>414</v>
      </c>
      <c r="R426" s="88" t="s">
        <v>1110</v>
      </c>
    </row>
    <row r="427" spans="1:18">
      <c r="A427" s="86" t="s">
        <v>45</v>
      </c>
      <c r="B427" s="86" t="s">
        <v>1111</v>
      </c>
      <c r="C427" s="87">
        <v>250000</v>
      </c>
      <c r="D427" s="87">
        <v>1</v>
      </c>
      <c r="E427" s="87">
        <v>250000</v>
      </c>
      <c r="F427" s="86">
        <v>2006.8</v>
      </c>
      <c r="G427" s="86" t="s">
        <v>39</v>
      </c>
      <c r="H427" s="86" t="s">
        <v>39</v>
      </c>
      <c r="I427" s="86" t="s">
        <v>107</v>
      </c>
      <c r="J427" s="86" t="s">
        <v>408</v>
      </c>
      <c r="K427" s="86" t="s">
        <v>408</v>
      </c>
      <c r="L427" s="86" t="s">
        <v>876</v>
      </c>
      <c r="M427" s="86" t="s">
        <v>695</v>
      </c>
      <c r="N427" s="86" t="s">
        <v>412</v>
      </c>
      <c r="O427" s="86" t="s">
        <v>413</v>
      </c>
      <c r="P427" s="86" t="s">
        <v>403</v>
      </c>
      <c r="Q427" s="86" t="s">
        <v>414</v>
      </c>
      <c r="R427" s="88" t="s">
        <v>1110</v>
      </c>
    </row>
    <row r="428" spans="1:18">
      <c r="A428" s="86" t="s">
        <v>45</v>
      </c>
      <c r="B428" s="86" t="s">
        <v>1514</v>
      </c>
      <c r="C428" s="87">
        <v>150</v>
      </c>
      <c r="D428" s="87">
        <v>1</v>
      </c>
      <c r="E428" s="87">
        <v>150</v>
      </c>
      <c r="F428" s="86">
        <v>2020.12</v>
      </c>
      <c r="G428" s="86" t="s">
        <v>866</v>
      </c>
      <c r="H428" s="86" t="s">
        <v>866</v>
      </c>
      <c r="I428" s="86" t="s">
        <v>107</v>
      </c>
      <c r="J428" s="86" t="s">
        <v>901</v>
      </c>
      <c r="K428" s="86" t="s">
        <v>901</v>
      </c>
      <c r="L428" s="86" t="s">
        <v>876</v>
      </c>
      <c r="M428" s="86" t="s">
        <v>107</v>
      </c>
      <c r="N428" s="86" t="s">
        <v>40</v>
      </c>
      <c r="O428" s="86" t="s">
        <v>413</v>
      </c>
      <c r="P428" s="86" t="s">
        <v>403</v>
      </c>
      <c r="Q428" s="86" t="s">
        <v>550</v>
      </c>
      <c r="R428" s="88" t="s">
        <v>952</v>
      </c>
    </row>
    <row r="429" spans="1:18">
      <c r="A429" s="86" t="s">
        <v>45</v>
      </c>
      <c r="B429" s="86" t="s">
        <v>1515</v>
      </c>
      <c r="C429" s="87">
        <v>287</v>
      </c>
      <c r="D429" s="87">
        <v>1</v>
      </c>
      <c r="E429" s="87">
        <v>287</v>
      </c>
      <c r="F429" s="86">
        <v>2020.8</v>
      </c>
      <c r="G429" s="86" t="s">
        <v>866</v>
      </c>
      <c r="H429" s="86" t="s">
        <v>866</v>
      </c>
      <c r="I429" s="86" t="s">
        <v>107</v>
      </c>
      <c r="J429" s="86" t="s">
        <v>107</v>
      </c>
      <c r="K429" s="86" t="s">
        <v>107</v>
      </c>
      <c r="L429" s="86" t="s">
        <v>1516</v>
      </c>
      <c r="M429" s="86" t="s">
        <v>107</v>
      </c>
      <c r="N429" s="86" t="s">
        <v>40</v>
      </c>
      <c r="O429" s="86" t="s">
        <v>413</v>
      </c>
      <c r="P429" s="86" t="s">
        <v>403</v>
      </c>
      <c r="Q429" s="86" t="s">
        <v>550</v>
      </c>
      <c r="R429" s="88" t="s">
        <v>1517</v>
      </c>
    </row>
    <row r="430" spans="1:18">
      <c r="A430" s="86" t="s">
        <v>45</v>
      </c>
      <c r="B430" s="86" t="s">
        <v>1112</v>
      </c>
      <c r="C430" s="87">
        <v>4950</v>
      </c>
      <c r="D430" s="87">
        <v>1</v>
      </c>
      <c r="E430" s="87">
        <v>4950</v>
      </c>
      <c r="F430" s="86">
        <v>2012.3</v>
      </c>
      <c r="G430" s="86" t="s">
        <v>866</v>
      </c>
      <c r="H430" s="86" t="s">
        <v>866</v>
      </c>
      <c r="I430" s="86" t="s">
        <v>107</v>
      </c>
      <c r="J430" s="86" t="s">
        <v>943</v>
      </c>
      <c r="K430" s="86" t="s">
        <v>943</v>
      </c>
      <c r="L430" s="86" t="s">
        <v>880</v>
      </c>
      <c r="M430" s="86" t="s">
        <v>107</v>
      </c>
      <c r="N430" s="86" t="s">
        <v>40</v>
      </c>
      <c r="O430" s="86" t="s">
        <v>413</v>
      </c>
      <c r="P430" s="86" t="s">
        <v>403</v>
      </c>
      <c r="Q430" s="86" t="s">
        <v>550</v>
      </c>
      <c r="R430" s="88" t="s">
        <v>1113</v>
      </c>
    </row>
    <row r="431" spans="1:18">
      <c r="A431" s="86" t="s">
        <v>45</v>
      </c>
      <c r="B431" s="86" t="s">
        <v>1114</v>
      </c>
      <c r="C431" s="87">
        <v>5000</v>
      </c>
      <c r="D431" s="87">
        <v>1</v>
      </c>
      <c r="E431" s="87">
        <v>5000</v>
      </c>
      <c r="F431" s="86">
        <v>2016.8</v>
      </c>
      <c r="G431" s="86" t="s">
        <v>866</v>
      </c>
      <c r="H431" s="86" t="s">
        <v>866</v>
      </c>
      <c r="I431" s="86" t="s">
        <v>107</v>
      </c>
      <c r="J431" s="86" t="s">
        <v>871</v>
      </c>
      <c r="K431" s="86" t="s">
        <v>871</v>
      </c>
      <c r="L431" s="86" t="s">
        <v>880</v>
      </c>
      <c r="M431" s="86" t="s">
        <v>107</v>
      </c>
      <c r="N431" s="86" t="s">
        <v>40</v>
      </c>
      <c r="O431" s="86" t="s">
        <v>413</v>
      </c>
      <c r="P431" s="86" t="s">
        <v>403</v>
      </c>
      <c r="Q431" s="86" t="s">
        <v>550</v>
      </c>
      <c r="R431" s="88" t="s">
        <v>1115</v>
      </c>
    </row>
    <row r="432" spans="1:18">
      <c r="A432" s="86" t="s">
        <v>45</v>
      </c>
      <c r="B432" s="86" t="s">
        <v>1116</v>
      </c>
      <c r="C432" s="87">
        <v>1000</v>
      </c>
      <c r="D432" s="87">
        <v>1</v>
      </c>
      <c r="E432" s="87">
        <v>1000</v>
      </c>
      <c r="F432" s="86">
        <v>2001.8</v>
      </c>
      <c r="G432" s="86" t="s">
        <v>866</v>
      </c>
      <c r="H432" s="86" t="s">
        <v>866</v>
      </c>
      <c r="I432" s="86" t="s">
        <v>107</v>
      </c>
      <c r="J432" s="86" t="s">
        <v>889</v>
      </c>
      <c r="K432" s="86" t="s">
        <v>889</v>
      </c>
      <c r="L432" s="86" t="s">
        <v>880</v>
      </c>
      <c r="M432" s="86" t="s">
        <v>107</v>
      </c>
      <c r="N432" s="86" t="s">
        <v>40</v>
      </c>
      <c r="O432" s="86" t="s">
        <v>413</v>
      </c>
      <c r="P432" s="86" t="s">
        <v>403</v>
      </c>
      <c r="Q432" s="86" t="s">
        <v>550</v>
      </c>
      <c r="R432" s="88" t="s">
        <v>1117</v>
      </c>
    </row>
    <row r="433" spans="1:18">
      <c r="A433" s="86" t="s">
        <v>45</v>
      </c>
      <c r="B433" s="86" t="s">
        <v>1118</v>
      </c>
      <c r="C433" s="87">
        <v>3000</v>
      </c>
      <c r="D433" s="87">
        <v>1</v>
      </c>
      <c r="E433" s="87">
        <v>3000</v>
      </c>
      <c r="F433" s="86">
        <v>2008.3</v>
      </c>
      <c r="G433" s="86" t="s">
        <v>866</v>
      </c>
      <c r="H433" s="86" t="s">
        <v>866</v>
      </c>
      <c r="I433" s="86" t="s">
        <v>107</v>
      </c>
      <c r="J433" s="86" t="s">
        <v>1119</v>
      </c>
      <c r="K433" s="86" t="s">
        <v>1120</v>
      </c>
      <c r="L433" s="86" t="s">
        <v>1054</v>
      </c>
      <c r="M433" s="86" t="s">
        <v>107</v>
      </c>
      <c r="N433" s="86" t="s">
        <v>40</v>
      </c>
      <c r="O433" s="86" t="s">
        <v>413</v>
      </c>
      <c r="P433" s="86" t="s">
        <v>403</v>
      </c>
      <c r="Q433" s="86" t="s">
        <v>550</v>
      </c>
      <c r="R433" s="88" t="s">
        <v>490</v>
      </c>
    </row>
    <row r="434" spans="1:18">
      <c r="A434" s="86" t="s">
        <v>45</v>
      </c>
      <c r="B434" s="86" t="s">
        <v>1121</v>
      </c>
      <c r="C434" s="87">
        <v>4599</v>
      </c>
      <c r="D434" s="87">
        <v>1</v>
      </c>
      <c r="E434" s="87">
        <v>4599</v>
      </c>
      <c r="F434" s="86">
        <v>2011.9</v>
      </c>
      <c r="G434" s="86" t="s">
        <v>866</v>
      </c>
      <c r="H434" s="86" t="s">
        <v>866</v>
      </c>
      <c r="I434" s="86" t="s">
        <v>107</v>
      </c>
      <c r="J434" s="86" t="s">
        <v>1122</v>
      </c>
      <c r="K434" s="86" t="s">
        <v>582</v>
      </c>
      <c r="L434" s="86" t="s">
        <v>1054</v>
      </c>
      <c r="M434" s="86" t="s">
        <v>107</v>
      </c>
      <c r="N434" s="86" t="s">
        <v>40</v>
      </c>
      <c r="O434" s="86" t="s">
        <v>413</v>
      </c>
      <c r="P434" s="86" t="s">
        <v>403</v>
      </c>
      <c r="Q434" s="86" t="s">
        <v>550</v>
      </c>
      <c r="R434" s="88" t="s">
        <v>1123</v>
      </c>
    </row>
    <row r="435" spans="1:18">
      <c r="A435" s="86" t="s">
        <v>45</v>
      </c>
      <c r="B435" s="86" t="s">
        <v>1124</v>
      </c>
      <c r="C435" s="87">
        <v>5000</v>
      </c>
      <c r="D435" s="87">
        <v>1</v>
      </c>
      <c r="E435" s="87">
        <v>5000</v>
      </c>
      <c r="F435" s="86">
        <v>2014.5</v>
      </c>
      <c r="G435" s="86" t="s">
        <v>866</v>
      </c>
      <c r="H435" s="86" t="s">
        <v>866</v>
      </c>
      <c r="I435" s="86" t="s">
        <v>107</v>
      </c>
      <c r="J435" s="86" t="s">
        <v>1125</v>
      </c>
      <c r="K435" s="86" t="s">
        <v>569</v>
      </c>
      <c r="L435" s="86" t="s">
        <v>1054</v>
      </c>
      <c r="M435" s="86" t="s">
        <v>107</v>
      </c>
      <c r="N435" s="86" t="s">
        <v>40</v>
      </c>
      <c r="O435" s="86" t="s">
        <v>413</v>
      </c>
      <c r="P435" s="86" t="s">
        <v>403</v>
      </c>
      <c r="Q435" s="86" t="s">
        <v>550</v>
      </c>
      <c r="R435" s="88" t="s">
        <v>490</v>
      </c>
    </row>
    <row r="436" spans="1:18">
      <c r="A436" s="86" t="s">
        <v>45</v>
      </c>
      <c r="B436" s="86" t="s">
        <v>1126</v>
      </c>
      <c r="C436" s="87">
        <v>480</v>
      </c>
      <c r="D436" s="87">
        <v>1</v>
      </c>
      <c r="E436" s="87">
        <v>480</v>
      </c>
      <c r="F436" s="86">
        <v>2012.1</v>
      </c>
      <c r="G436" s="86" t="s">
        <v>866</v>
      </c>
      <c r="H436" s="86" t="s">
        <v>866</v>
      </c>
      <c r="I436" s="86" t="s">
        <v>107</v>
      </c>
      <c r="J436" s="86" t="s">
        <v>107</v>
      </c>
      <c r="K436" s="86" t="s">
        <v>107</v>
      </c>
      <c r="L436" s="86" t="s">
        <v>107</v>
      </c>
      <c r="M436" s="86" t="s">
        <v>107</v>
      </c>
      <c r="N436" s="86" t="s">
        <v>40</v>
      </c>
      <c r="O436" s="86" t="s">
        <v>548</v>
      </c>
      <c r="P436" s="86" t="s">
        <v>549</v>
      </c>
      <c r="Q436" s="86" t="s">
        <v>550</v>
      </c>
      <c r="R436" s="88" t="s">
        <v>1127</v>
      </c>
    </row>
    <row r="437" spans="1:18">
      <c r="A437" s="86" t="s">
        <v>45</v>
      </c>
      <c r="B437" s="86" t="s">
        <v>1128</v>
      </c>
      <c r="C437" s="87">
        <v>900</v>
      </c>
      <c r="D437" s="87">
        <v>1</v>
      </c>
      <c r="E437" s="87">
        <v>900</v>
      </c>
      <c r="F437" s="86">
        <v>2011.12</v>
      </c>
      <c r="G437" s="86" t="s">
        <v>866</v>
      </c>
      <c r="H437" s="86" t="s">
        <v>866</v>
      </c>
      <c r="I437" s="86" t="s">
        <v>107</v>
      </c>
      <c r="J437" s="86" t="s">
        <v>107</v>
      </c>
      <c r="K437" s="86" t="s">
        <v>107</v>
      </c>
      <c r="L437" s="86" t="s">
        <v>876</v>
      </c>
      <c r="M437" s="86" t="s">
        <v>107</v>
      </c>
      <c r="N437" s="86" t="s">
        <v>40</v>
      </c>
      <c r="O437" s="86" t="s">
        <v>413</v>
      </c>
      <c r="P437" s="86" t="s">
        <v>403</v>
      </c>
      <c r="Q437" s="86" t="s">
        <v>550</v>
      </c>
      <c r="R437" s="88" t="s">
        <v>1129</v>
      </c>
    </row>
    <row r="438" spans="1:18">
      <c r="A438" s="86" t="s">
        <v>45</v>
      </c>
      <c r="B438" s="86" t="s">
        <v>1518</v>
      </c>
      <c r="C438" s="87">
        <v>25</v>
      </c>
      <c r="D438" s="87">
        <v>1</v>
      </c>
      <c r="E438" s="87">
        <v>25</v>
      </c>
      <c r="F438" s="86">
        <v>2018.8</v>
      </c>
      <c r="G438" s="86" t="s">
        <v>866</v>
      </c>
      <c r="H438" s="86" t="s">
        <v>866</v>
      </c>
      <c r="I438" s="86" t="s">
        <v>107</v>
      </c>
      <c r="J438" s="86" t="s">
        <v>107</v>
      </c>
      <c r="K438" s="86" t="s">
        <v>107</v>
      </c>
      <c r="L438" s="86" t="s">
        <v>876</v>
      </c>
      <c r="M438" s="86" t="s">
        <v>107</v>
      </c>
      <c r="N438" s="86" t="s">
        <v>40</v>
      </c>
      <c r="O438" s="86" t="s">
        <v>548</v>
      </c>
      <c r="P438" s="86" t="s">
        <v>549</v>
      </c>
      <c r="Q438" s="86" t="s">
        <v>550</v>
      </c>
      <c r="R438" s="88" t="s">
        <v>1519</v>
      </c>
    </row>
    <row r="439" spans="1:18">
      <c r="A439" s="86" t="s">
        <v>45</v>
      </c>
      <c r="B439" s="86" t="s">
        <v>1520</v>
      </c>
      <c r="C439" s="87">
        <v>400000</v>
      </c>
      <c r="D439" s="87">
        <v>1</v>
      </c>
      <c r="E439" s="87">
        <v>400000</v>
      </c>
      <c r="F439" s="86">
        <v>2011.8</v>
      </c>
      <c r="G439" s="86" t="s">
        <v>39</v>
      </c>
      <c r="H439" s="86" t="s">
        <v>39</v>
      </c>
      <c r="I439" s="86" t="s">
        <v>107</v>
      </c>
      <c r="J439" s="86" t="s">
        <v>1107</v>
      </c>
      <c r="K439" s="86" t="s">
        <v>1107</v>
      </c>
      <c r="L439" s="86" t="s">
        <v>876</v>
      </c>
      <c r="M439" s="86" t="s">
        <v>695</v>
      </c>
      <c r="N439" s="86" t="s">
        <v>412</v>
      </c>
      <c r="O439" s="86" t="s">
        <v>413</v>
      </c>
      <c r="P439" s="86" t="s">
        <v>403</v>
      </c>
      <c r="Q439" s="86" t="s">
        <v>414</v>
      </c>
      <c r="R439" s="88" t="s">
        <v>1108</v>
      </c>
    </row>
    <row r="440" spans="1:18">
      <c r="A440" s="86" t="s">
        <v>45</v>
      </c>
      <c r="B440" s="86" t="s">
        <v>1521</v>
      </c>
      <c r="C440" s="87">
        <v>400000</v>
      </c>
      <c r="D440" s="87">
        <v>1</v>
      </c>
      <c r="E440" s="87">
        <v>400000</v>
      </c>
      <c r="F440" s="86">
        <v>2011.1</v>
      </c>
      <c r="G440" s="86" t="s">
        <v>39</v>
      </c>
      <c r="H440" s="86" t="s">
        <v>39</v>
      </c>
      <c r="I440" s="86" t="s">
        <v>107</v>
      </c>
      <c r="J440" s="86" t="s">
        <v>1107</v>
      </c>
      <c r="K440" s="86" t="s">
        <v>1107</v>
      </c>
      <c r="L440" s="86" t="s">
        <v>876</v>
      </c>
      <c r="M440" s="86" t="s">
        <v>695</v>
      </c>
      <c r="N440" s="86" t="s">
        <v>412</v>
      </c>
      <c r="O440" s="86" t="s">
        <v>413</v>
      </c>
      <c r="P440" s="86" t="s">
        <v>403</v>
      </c>
      <c r="Q440" s="86" t="s">
        <v>414</v>
      </c>
      <c r="R440" s="88" t="s">
        <v>1108</v>
      </c>
    </row>
    <row r="441" spans="1:18">
      <c r="A441" s="86" t="s">
        <v>45</v>
      </c>
      <c r="B441" s="86" t="s">
        <v>1130</v>
      </c>
      <c r="C441" s="87">
        <v>530</v>
      </c>
      <c r="D441" s="87">
        <v>1</v>
      </c>
      <c r="E441" s="87">
        <v>530</v>
      </c>
      <c r="F441" s="86">
        <v>2012.6</v>
      </c>
      <c r="G441" s="86" t="s">
        <v>866</v>
      </c>
      <c r="H441" s="86" t="s">
        <v>866</v>
      </c>
      <c r="I441" s="86" t="s">
        <v>107</v>
      </c>
      <c r="J441" s="86" t="s">
        <v>107</v>
      </c>
      <c r="K441" s="86" t="s">
        <v>107</v>
      </c>
      <c r="L441" s="86" t="s">
        <v>107</v>
      </c>
      <c r="M441" s="86" t="s">
        <v>107</v>
      </c>
      <c r="N441" s="86" t="s">
        <v>40</v>
      </c>
      <c r="O441" s="86" t="s">
        <v>548</v>
      </c>
      <c r="P441" s="86" t="s">
        <v>549</v>
      </c>
      <c r="Q441" s="86" t="s">
        <v>550</v>
      </c>
      <c r="R441" s="88" t="s">
        <v>1131</v>
      </c>
    </row>
    <row r="442" spans="1:18">
      <c r="A442" s="86" t="s">
        <v>45</v>
      </c>
      <c r="B442" s="86" t="s">
        <v>1132</v>
      </c>
      <c r="C442" s="87">
        <v>2300</v>
      </c>
      <c r="D442" s="87">
        <v>1</v>
      </c>
      <c r="E442" s="87">
        <v>2300</v>
      </c>
      <c r="F442" s="86">
        <v>2001.9</v>
      </c>
      <c r="G442" s="86" t="s">
        <v>866</v>
      </c>
      <c r="H442" s="86" t="s">
        <v>866</v>
      </c>
      <c r="I442" s="86" t="s">
        <v>107</v>
      </c>
      <c r="J442" s="86" t="s">
        <v>504</v>
      </c>
      <c r="K442" s="86" t="s">
        <v>504</v>
      </c>
      <c r="L442" s="86" t="s">
        <v>880</v>
      </c>
      <c r="M442" s="86" t="s">
        <v>107</v>
      </c>
      <c r="N442" s="86" t="s">
        <v>40</v>
      </c>
      <c r="O442" s="86" t="s">
        <v>413</v>
      </c>
      <c r="P442" s="86" t="s">
        <v>403</v>
      </c>
      <c r="Q442" s="86" t="s">
        <v>550</v>
      </c>
      <c r="R442" s="88" t="s">
        <v>1133</v>
      </c>
    </row>
    <row r="443" spans="1:18">
      <c r="A443" s="86" t="s">
        <v>45</v>
      </c>
      <c r="B443" s="86" t="s">
        <v>1132</v>
      </c>
      <c r="C443" s="87">
        <v>2130</v>
      </c>
      <c r="D443" s="87">
        <v>1</v>
      </c>
      <c r="E443" s="87">
        <v>2130</v>
      </c>
      <c r="F443" s="86">
        <v>2020.4</v>
      </c>
      <c r="G443" s="86" t="s">
        <v>866</v>
      </c>
      <c r="H443" s="86" t="s">
        <v>866</v>
      </c>
      <c r="I443" s="86" t="s">
        <v>107</v>
      </c>
      <c r="J443" s="86" t="s">
        <v>107</v>
      </c>
      <c r="K443" s="86" t="s">
        <v>107</v>
      </c>
      <c r="L443" s="86" t="s">
        <v>880</v>
      </c>
      <c r="M443" s="86" t="s">
        <v>107</v>
      </c>
      <c r="N443" s="86" t="s">
        <v>40</v>
      </c>
      <c r="O443" s="86" t="s">
        <v>413</v>
      </c>
      <c r="P443" s="86" t="s">
        <v>403</v>
      </c>
      <c r="Q443" s="86" t="s">
        <v>550</v>
      </c>
      <c r="R443" s="88" t="s">
        <v>1522</v>
      </c>
    </row>
    <row r="444" spans="1:18">
      <c r="A444" s="86" t="s">
        <v>45</v>
      </c>
      <c r="B444" s="86" t="s">
        <v>1132</v>
      </c>
      <c r="C444" s="87">
        <v>1800</v>
      </c>
      <c r="D444" s="87">
        <v>1</v>
      </c>
      <c r="E444" s="87">
        <v>1800</v>
      </c>
      <c r="F444" s="86">
        <v>2004.12</v>
      </c>
      <c r="G444" s="86" t="s">
        <v>866</v>
      </c>
      <c r="H444" s="86" t="s">
        <v>866</v>
      </c>
      <c r="I444" s="86" t="s">
        <v>107</v>
      </c>
      <c r="J444" s="86" t="s">
        <v>504</v>
      </c>
      <c r="K444" s="86" t="s">
        <v>582</v>
      </c>
      <c r="L444" s="86" t="s">
        <v>880</v>
      </c>
      <c r="M444" s="86" t="s">
        <v>107</v>
      </c>
      <c r="N444" s="86" t="s">
        <v>40</v>
      </c>
      <c r="O444" s="86" t="s">
        <v>413</v>
      </c>
      <c r="P444" s="86" t="s">
        <v>403</v>
      </c>
      <c r="Q444" s="86" t="s">
        <v>550</v>
      </c>
      <c r="R444" s="88" t="s">
        <v>1133</v>
      </c>
    </row>
    <row r="445" spans="1:18">
      <c r="A445" s="86" t="s">
        <v>45</v>
      </c>
      <c r="B445" s="86" t="s">
        <v>1134</v>
      </c>
      <c r="C445" s="87">
        <v>11050</v>
      </c>
      <c r="D445" s="87">
        <v>2</v>
      </c>
      <c r="E445" s="87">
        <v>22100</v>
      </c>
      <c r="F445" s="86">
        <v>2001.9</v>
      </c>
      <c r="G445" s="86" t="s">
        <v>45</v>
      </c>
      <c r="H445" s="86" t="s">
        <v>45</v>
      </c>
      <c r="I445" s="86" t="s">
        <v>107</v>
      </c>
      <c r="J445" s="86" t="s">
        <v>504</v>
      </c>
      <c r="K445" s="86" t="s">
        <v>504</v>
      </c>
      <c r="L445" s="86" t="s">
        <v>880</v>
      </c>
      <c r="M445" s="86" t="s">
        <v>411</v>
      </c>
      <c r="N445" s="86" t="s">
        <v>412</v>
      </c>
      <c r="O445" s="86" t="s">
        <v>413</v>
      </c>
      <c r="P445" s="86" t="s">
        <v>403</v>
      </c>
      <c r="Q445" s="86" t="s">
        <v>414</v>
      </c>
      <c r="R445" s="88" t="s">
        <v>1133</v>
      </c>
    </row>
    <row r="446" spans="1:18">
      <c r="A446" s="86" t="s">
        <v>45</v>
      </c>
      <c r="B446" s="86" t="s">
        <v>1135</v>
      </c>
      <c r="C446" s="87">
        <v>800</v>
      </c>
      <c r="D446" s="87">
        <v>1</v>
      </c>
      <c r="E446" s="87">
        <v>800</v>
      </c>
      <c r="F446" s="86">
        <v>2016.7</v>
      </c>
      <c r="G446" s="86" t="s">
        <v>866</v>
      </c>
      <c r="H446" s="86" t="s">
        <v>866</v>
      </c>
      <c r="I446" s="86" t="s">
        <v>107</v>
      </c>
      <c r="J446" s="86" t="s">
        <v>1136</v>
      </c>
      <c r="K446" s="86" t="s">
        <v>902</v>
      </c>
      <c r="L446" s="86" t="s">
        <v>880</v>
      </c>
      <c r="M446" s="86" t="s">
        <v>107</v>
      </c>
      <c r="N446" s="86" t="s">
        <v>40</v>
      </c>
      <c r="O446" s="86" t="s">
        <v>413</v>
      </c>
      <c r="P446" s="86" t="s">
        <v>403</v>
      </c>
      <c r="Q446" s="86" t="s">
        <v>550</v>
      </c>
      <c r="R446" s="88" t="s">
        <v>1137</v>
      </c>
    </row>
    <row r="447" spans="1:18">
      <c r="A447" s="86" t="s">
        <v>45</v>
      </c>
      <c r="B447" s="86" t="s">
        <v>1138</v>
      </c>
      <c r="C447" s="87">
        <v>600</v>
      </c>
      <c r="D447" s="87">
        <v>1</v>
      </c>
      <c r="E447" s="87">
        <v>600</v>
      </c>
      <c r="F447" s="86">
        <v>2011.12</v>
      </c>
      <c r="G447" s="86" t="s">
        <v>866</v>
      </c>
      <c r="H447" s="86" t="s">
        <v>866</v>
      </c>
      <c r="I447" s="86" t="s">
        <v>107</v>
      </c>
      <c r="J447" s="86" t="s">
        <v>871</v>
      </c>
      <c r="K447" s="86" t="s">
        <v>871</v>
      </c>
      <c r="L447" s="86" t="s">
        <v>873</v>
      </c>
      <c r="M447" s="86" t="s">
        <v>107</v>
      </c>
      <c r="N447" s="86" t="s">
        <v>40</v>
      </c>
      <c r="O447" s="86" t="s">
        <v>413</v>
      </c>
      <c r="P447" s="86" t="s">
        <v>403</v>
      </c>
      <c r="Q447" s="86" t="s">
        <v>550</v>
      </c>
      <c r="R447" s="88" t="s">
        <v>1139</v>
      </c>
    </row>
    <row r="448" spans="1:18">
      <c r="A448" s="86" t="s">
        <v>45</v>
      </c>
      <c r="B448" s="86" t="s">
        <v>1140</v>
      </c>
      <c r="C448" s="87">
        <v>760</v>
      </c>
      <c r="D448" s="87">
        <v>1</v>
      </c>
      <c r="E448" s="87">
        <v>760</v>
      </c>
      <c r="F448" s="86">
        <v>2016.6</v>
      </c>
      <c r="G448" s="86" t="s">
        <v>866</v>
      </c>
      <c r="H448" s="86" t="s">
        <v>866</v>
      </c>
      <c r="I448" s="86" t="s">
        <v>107</v>
      </c>
      <c r="J448" s="86" t="s">
        <v>871</v>
      </c>
      <c r="K448" s="86" t="s">
        <v>871</v>
      </c>
      <c r="L448" s="86" t="s">
        <v>977</v>
      </c>
      <c r="M448" s="86" t="s">
        <v>107</v>
      </c>
      <c r="N448" s="86" t="s">
        <v>40</v>
      </c>
      <c r="O448" s="86" t="s">
        <v>413</v>
      </c>
      <c r="P448" s="86" t="s">
        <v>403</v>
      </c>
      <c r="Q448" s="86" t="s">
        <v>550</v>
      </c>
      <c r="R448" s="88" t="s">
        <v>1141</v>
      </c>
    </row>
    <row r="449" spans="1:18">
      <c r="A449" s="86" t="s">
        <v>45</v>
      </c>
      <c r="B449" s="86" t="s">
        <v>1142</v>
      </c>
      <c r="C449" s="87">
        <v>360</v>
      </c>
      <c r="D449" s="87">
        <v>1</v>
      </c>
      <c r="E449" s="87">
        <v>360</v>
      </c>
      <c r="F449" s="86">
        <v>1998.1</v>
      </c>
      <c r="G449" s="86" t="s">
        <v>866</v>
      </c>
      <c r="H449" s="86" t="s">
        <v>866</v>
      </c>
      <c r="I449" s="86" t="s">
        <v>107</v>
      </c>
      <c r="J449" s="86" t="s">
        <v>889</v>
      </c>
      <c r="K449" s="86" t="s">
        <v>889</v>
      </c>
      <c r="L449" s="86" t="s">
        <v>880</v>
      </c>
      <c r="M449" s="86" t="s">
        <v>107</v>
      </c>
      <c r="N449" s="86" t="s">
        <v>40</v>
      </c>
      <c r="O449" s="86" t="s">
        <v>413</v>
      </c>
      <c r="P449" s="86" t="s">
        <v>403</v>
      </c>
      <c r="Q449" s="86" t="s">
        <v>550</v>
      </c>
      <c r="R449" s="88" t="s">
        <v>1143</v>
      </c>
    </row>
    <row r="450" spans="1:18">
      <c r="A450" s="86" t="s">
        <v>45</v>
      </c>
      <c r="B450" s="86" t="s">
        <v>1144</v>
      </c>
      <c r="C450" s="87">
        <v>400</v>
      </c>
      <c r="D450" s="87">
        <v>1</v>
      </c>
      <c r="E450" s="87">
        <v>400</v>
      </c>
      <c r="F450" s="86">
        <v>2014.9</v>
      </c>
      <c r="G450" s="86" t="s">
        <v>866</v>
      </c>
      <c r="H450" s="86" t="s">
        <v>866</v>
      </c>
      <c r="I450" s="86" t="s">
        <v>107</v>
      </c>
      <c r="J450" s="86" t="s">
        <v>1145</v>
      </c>
      <c r="K450" s="86" t="s">
        <v>1146</v>
      </c>
      <c r="L450" s="86" t="s">
        <v>1147</v>
      </c>
      <c r="M450" s="86" t="s">
        <v>107</v>
      </c>
      <c r="N450" s="86" t="s">
        <v>40</v>
      </c>
      <c r="O450" s="86" t="s">
        <v>413</v>
      </c>
      <c r="P450" s="86" t="s">
        <v>403</v>
      </c>
      <c r="Q450" s="86" t="s">
        <v>550</v>
      </c>
      <c r="R450" s="88" t="s">
        <v>1148</v>
      </c>
    </row>
    <row r="451" spans="1:18">
      <c r="A451" s="86" t="s">
        <v>45</v>
      </c>
      <c r="B451" s="86" t="s">
        <v>1149</v>
      </c>
      <c r="C451" s="87">
        <v>600</v>
      </c>
      <c r="D451" s="87">
        <v>1</v>
      </c>
      <c r="E451" s="87">
        <v>600</v>
      </c>
      <c r="F451" s="86">
        <v>2007.5</v>
      </c>
      <c r="G451" s="86" t="s">
        <v>866</v>
      </c>
      <c r="H451" s="86" t="s">
        <v>866</v>
      </c>
      <c r="I451" s="86" t="s">
        <v>107</v>
      </c>
      <c r="J451" s="86" t="s">
        <v>889</v>
      </c>
      <c r="K451" s="86" t="s">
        <v>889</v>
      </c>
      <c r="L451" s="86" t="s">
        <v>1150</v>
      </c>
      <c r="M451" s="86" t="s">
        <v>107</v>
      </c>
      <c r="N451" s="86" t="s">
        <v>40</v>
      </c>
      <c r="O451" s="86" t="s">
        <v>413</v>
      </c>
      <c r="P451" s="86" t="s">
        <v>403</v>
      </c>
      <c r="Q451" s="86" t="s">
        <v>550</v>
      </c>
      <c r="R451" s="88" t="s">
        <v>696</v>
      </c>
    </row>
    <row r="452" spans="1:18">
      <c r="A452" s="86" t="s">
        <v>45</v>
      </c>
      <c r="B452" s="86" t="s">
        <v>1151</v>
      </c>
      <c r="C452" s="87">
        <v>200</v>
      </c>
      <c r="D452" s="87">
        <v>1</v>
      </c>
      <c r="E452" s="87">
        <v>200</v>
      </c>
      <c r="F452" s="86">
        <v>2011.8</v>
      </c>
      <c r="G452" s="86" t="s">
        <v>866</v>
      </c>
      <c r="H452" s="86" t="s">
        <v>866</v>
      </c>
      <c r="I452" s="86" t="s">
        <v>107</v>
      </c>
      <c r="J452" s="86" t="s">
        <v>871</v>
      </c>
      <c r="K452" s="86" t="s">
        <v>871</v>
      </c>
      <c r="L452" s="86" t="s">
        <v>1064</v>
      </c>
      <c r="M452" s="86" t="s">
        <v>107</v>
      </c>
      <c r="N452" s="86" t="s">
        <v>40</v>
      </c>
      <c r="O452" s="86" t="s">
        <v>413</v>
      </c>
      <c r="P452" s="86" t="s">
        <v>403</v>
      </c>
      <c r="Q452" s="86" t="s">
        <v>550</v>
      </c>
      <c r="R452" s="88" t="s">
        <v>1152</v>
      </c>
    </row>
    <row r="453" spans="1:18">
      <c r="A453" s="86" t="s">
        <v>45</v>
      </c>
      <c r="B453" s="86" t="s">
        <v>1153</v>
      </c>
      <c r="C453" s="87">
        <v>560</v>
      </c>
      <c r="D453" s="87">
        <v>1</v>
      </c>
      <c r="E453" s="87">
        <v>560</v>
      </c>
      <c r="F453" s="86">
        <v>2008.1</v>
      </c>
      <c r="G453" s="86" t="s">
        <v>866</v>
      </c>
      <c r="H453" s="86" t="s">
        <v>866</v>
      </c>
      <c r="I453" s="86" t="s">
        <v>107</v>
      </c>
      <c r="J453" s="86" t="s">
        <v>107</v>
      </c>
      <c r="K453" s="86" t="s">
        <v>107</v>
      </c>
      <c r="L453" s="86" t="s">
        <v>873</v>
      </c>
      <c r="M453" s="86" t="s">
        <v>107</v>
      </c>
      <c r="N453" s="86" t="s">
        <v>40</v>
      </c>
      <c r="O453" s="86" t="s">
        <v>413</v>
      </c>
      <c r="P453" s="86" t="s">
        <v>403</v>
      </c>
      <c r="Q453" s="86" t="s">
        <v>550</v>
      </c>
      <c r="R453" s="88" t="s">
        <v>1154</v>
      </c>
    </row>
    <row r="454" spans="1:18">
      <c r="A454" s="86" t="s">
        <v>45</v>
      </c>
      <c r="B454" s="86" t="s">
        <v>1523</v>
      </c>
      <c r="C454" s="87">
        <v>177</v>
      </c>
      <c r="D454" s="87">
        <v>1</v>
      </c>
      <c r="E454" s="87">
        <v>177</v>
      </c>
      <c r="F454" s="86">
        <v>2020.12</v>
      </c>
      <c r="G454" s="86" t="s">
        <v>866</v>
      </c>
      <c r="H454" s="86" t="s">
        <v>866</v>
      </c>
      <c r="I454" s="86" t="s">
        <v>107</v>
      </c>
      <c r="J454" s="86" t="s">
        <v>107</v>
      </c>
      <c r="K454" s="86" t="s">
        <v>107</v>
      </c>
      <c r="L454" s="86" t="s">
        <v>880</v>
      </c>
      <c r="M454" s="86" t="s">
        <v>107</v>
      </c>
      <c r="N454" s="86" t="s">
        <v>40</v>
      </c>
      <c r="O454" s="86" t="s">
        <v>413</v>
      </c>
      <c r="P454" s="86" t="s">
        <v>403</v>
      </c>
      <c r="Q454" s="86" t="s">
        <v>550</v>
      </c>
      <c r="R454" s="88" t="s">
        <v>952</v>
      </c>
    </row>
    <row r="455" spans="1:18">
      <c r="A455" s="86" t="s">
        <v>45</v>
      </c>
      <c r="B455" s="86" t="s">
        <v>1155</v>
      </c>
      <c r="C455" s="87">
        <v>24000</v>
      </c>
      <c r="D455" s="87">
        <v>2</v>
      </c>
      <c r="E455" s="87">
        <v>48000</v>
      </c>
      <c r="F455" s="86">
        <v>1967.8</v>
      </c>
      <c r="G455" s="86" t="s">
        <v>45</v>
      </c>
      <c r="H455" s="86" t="s">
        <v>45</v>
      </c>
      <c r="I455" s="86" t="s">
        <v>107</v>
      </c>
      <c r="J455" s="86" t="s">
        <v>441</v>
      </c>
      <c r="K455" s="86" t="s">
        <v>441</v>
      </c>
      <c r="L455" s="86" t="s">
        <v>876</v>
      </c>
      <c r="M455" s="86" t="s">
        <v>1102</v>
      </c>
      <c r="N455" s="86" t="s">
        <v>412</v>
      </c>
      <c r="O455" s="86" t="s">
        <v>413</v>
      </c>
      <c r="P455" s="86" t="s">
        <v>403</v>
      </c>
      <c r="Q455" s="86" t="s">
        <v>414</v>
      </c>
      <c r="R455" s="88" t="s">
        <v>1156</v>
      </c>
    </row>
    <row r="456" spans="1:18">
      <c r="A456" s="86" t="s">
        <v>45</v>
      </c>
      <c r="B456" s="86" t="s">
        <v>1157</v>
      </c>
      <c r="C456" s="87">
        <v>3000</v>
      </c>
      <c r="D456" s="87">
        <v>1</v>
      </c>
      <c r="E456" s="87">
        <v>3000</v>
      </c>
      <c r="F456" s="86">
        <v>2011.12</v>
      </c>
      <c r="G456" s="86" t="s">
        <v>866</v>
      </c>
      <c r="H456" s="86" t="s">
        <v>866</v>
      </c>
      <c r="I456" s="86" t="s">
        <v>107</v>
      </c>
      <c r="J456" s="86" t="s">
        <v>879</v>
      </c>
      <c r="K456" s="86" t="s">
        <v>582</v>
      </c>
      <c r="L456" s="86" t="s">
        <v>880</v>
      </c>
      <c r="M456" s="86" t="s">
        <v>107</v>
      </c>
      <c r="N456" s="86" t="s">
        <v>40</v>
      </c>
      <c r="O456" s="86" t="s">
        <v>413</v>
      </c>
      <c r="P456" s="86" t="s">
        <v>403</v>
      </c>
      <c r="Q456" s="86" t="s">
        <v>550</v>
      </c>
      <c r="R456" s="88" t="s">
        <v>1158</v>
      </c>
    </row>
    <row r="457" spans="1:18">
      <c r="A457" s="86" t="s">
        <v>45</v>
      </c>
      <c r="B457" s="86" t="s">
        <v>1159</v>
      </c>
      <c r="C457" s="87">
        <v>250</v>
      </c>
      <c r="D457" s="87">
        <v>1</v>
      </c>
      <c r="E457" s="87">
        <v>250</v>
      </c>
      <c r="F457" s="86">
        <v>2017.6</v>
      </c>
      <c r="G457" s="86" t="s">
        <v>866</v>
      </c>
      <c r="H457" s="86" t="s">
        <v>866</v>
      </c>
      <c r="I457" s="86" t="s">
        <v>107</v>
      </c>
      <c r="J457" s="86" t="s">
        <v>1160</v>
      </c>
      <c r="K457" s="86" t="s">
        <v>664</v>
      </c>
      <c r="L457" s="86" t="s">
        <v>880</v>
      </c>
      <c r="M457" s="86" t="s">
        <v>107</v>
      </c>
      <c r="N457" s="86" t="s">
        <v>40</v>
      </c>
      <c r="O457" s="86" t="s">
        <v>413</v>
      </c>
      <c r="P457" s="86" t="s">
        <v>403</v>
      </c>
      <c r="Q457" s="86" t="s">
        <v>550</v>
      </c>
      <c r="R457" s="88" t="s">
        <v>1161</v>
      </c>
    </row>
    <row r="458" spans="1:18">
      <c r="A458" s="86" t="s">
        <v>45</v>
      </c>
      <c r="B458" s="86" t="s">
        <v>1162</v>
      </c>
      <c r="C458" s="87">
        <v>1200</v>
      </c>
      <c r="D458" s="87">
        <v>1</v>
      </c>
      <c r="E458" s="87">
        <v>1200</v>
      </c>
      <c r="F458" s="86">
        <v>1986.8</v>
      </c>
      <c r="G458" s="86" t="s">
        <v>866</v>
      </c>
      <c r="H458" s="86" t="s">
        <v>866</v>
      </c>
      <c r="I458" s="86" t="s">
        <v>107</v>
      </c>
      <c r="J458" s="86" t="s">
        <v>889</v>
      </c>
      <c r="K458" s="86" t="s">
        <v>889</v>
      </c>
      <c r="L458" s="86" t="s">
        <v>1163</v>
      </c>
      <c r="M458" s="86" t="s">
        <v>107</v>
      </c>
      <c r="N458" s="86" t="s">
        <v>40</v>
      </c>
      <c r="O458" s="86" t="s">
        <v>413</v>
      </c>
      <c r="P458" s="86" t="s">
        <v>403</v>
      </c>
      <c r="Q458" s="86" t="s">
        <v>550</v>
      </c>
      <c r="R458" s="88" t="s">
        <v>1088</v>
      </c>
    </row>
    <row r="459" spans="1:18">
      <c r="A459" s="86" t="s">
        <v>45</v>
      </c>
      <c r="B459" s="86" t="s">
        <v>1164</v>
      </c>
      <c r="C459" s="87">
        <v>25000</v>
      </c>
      <c r="D459" s="87">
        <v>2</v>
      </c>
      <c r="E459" s="87">
        <v>50000</v>
      </c>
      <c r="F459" s="86">
        <v>1992.7</v>
      </c>
      <c r="G459" s="86" t="s">
        <v>45</v>
      </c>
      <c r="H459" s="86" t="s">
        <v>45</v>
      </c>
      <c r="I459" s="86" t="s">
        <v>107</v>
      </c>
      <c r="J459" s="86" t="s">
        <v>1165</v>
      </c>
      <c r="K459" s="86" t="s">
        <v>1166</v>
      </c>
      <c r="L459" s="86" t="s">
        <v>880</v>
      </c>
      <c r="M459" s="86" t="s">
        <v>1102</v>
      </c>
      <c r="N459" s="86" t="s">
        <v>412</v>
      </c>
      <c r="O459" s="86" t="s">
        <v>413</v>
      </c>
      <c r="P459" s="86" t="s">
        <v>403</v>
      </c>
      <c r="Q459" s="86" t="s">
        <v>414</v>
      </c>
      <c r="R459" s="88" t="s">
        <v>1167</v>
      </c>
    </row>
    <row r="460" spans="1:18">
      <c r="A460" s="86" t="s">
        <v>45</v>
      </c>
      <c r="B460" s="86" t="s">
        <v>1168</v>
      </c>
      <c r="C460" s="87">
        <v>65</v>
      </c>
      <c r="D460" s="87">
        <v>1</v>
      </c>
      <c r="E460" s="87">
        <v>65</v>
      </c>
      <c r="F460" s="86">
        <v>2012.12</v>
      </c>
      <c r="G460" s="86" t="s">
        <v>866</v>
      </c>
      <c r="H460" s="86" t="s">
        <v>866</v>
      </c>
      <c r="I460" s="86" t="s">
        <v>107</v>
      </c>
      <c r="J460" s="86" t="s">
        <v>871</v>
      </c>
      <c r="K460" s="86" t="s">
        <v>569</v>
      </c>
      <c r="L460" s="86" t="s">
        <v>880</v>
      </c>
      <c r="M460" s="86" t="s">
        <v>107</v>
      </c>
      <c r="N460" s="86" t="s">
        <v>40</v>
      </c>
      <c r="O460" s="86" t="s">
        <v>413</v>
      </c>
      <c r="P460" s="86" t="s">
        <v>403</v>
      </c>
      <c r="Q460" s="86" t="s">
        <v>550</v>
      </c>
      <c r="R460" s="88" t="s">
        <v>1169</v>
      </c>
    </row>
    <row r="461" spans="1:18">
      <c r="A461" s="86" t="s">
        <v>45</v>
      </c>
      <c r="B461" s="86" t="s">
        <v>1170</v>
      </c>
      <c r="C461" s="87">
        <v>1392</v>
      </c>
      <c r="D461" s="87">
        <v>1</v>
      </c>
      <c r="E461" s="87">
        <v>1392</v>
      </c>
      <c r="F461" s="86">
        <v>2013.7</v>
      </c>
      <c r="G461" s="86" t="s">
        <v>866</v>
      </c>
      <c r="H461" s="86" t="s">
        <v>866</v>
      </c>
      <c r="I461" s="86" t="s">
        <v>107</v>
      </c>
      <c r="J461" s="86" t="s">
        <v>1171</v>
      </c>
      <c r="K461" s="86" t="s">
        <v>872</v>
      </c>
      <c r="L461" s="86" t="s">
        <v>873</v>
      </c>
      <c r="M461" s="86" t="s">
        <v>107</v>
      </c>
      <c r="N461" s="86" t="s">
        <v>40</v>
      </c>
      <c r="O461" s="86" t="s">
        <v>413</v>
      </c>
      <c r="P461" s="86" t="s">
        <v>403</v>
      </c>
      <c r="Q461" s="86" t="s">
        <v>550</v>
      </c>
      <c r="R461" s="88" t="s">
        <v>1172</v>
      </c>
    </row>
    <row r="462" spans="1:18">
      <c r="A462" s="86" t="s">
        <v>45</v>
      </c>
      <c r="B462" s="86" t="s">
        <v>1173</v>
      </c>
      <c r="C462" s="87">
        <v>800</v>
      </c>
      <c r="D462" s="87">
        <v>1</v>
      </c>
      <c r="E462" s="87">
        <v>800</v>
      </c>
      <c r="F462" s="86">
        <v>2005.2</v>
      </c>
      <c r="G462" s="86" t="s">
        <v>866</v>
      </c>
      <c r="H462" s="86" t="s">
        <v>866</v>
      </c>
      <c r="I462" s="86" t="s">
        <v>107</v>
      </c>
      <c r="J462" s="86" t="s">
        <v>889</v>
      </c>
      <c r="K462" s="86" t="s">
        <v>889</v>
      </c>
      <c r="L462" s="86" t="s">
        <v>880</v>
      </c>
      <c r="M462" s="86" t="s">
        <v>107</v>
      </c>
      <c r="N462" s="86" t="s">
        <v>40</v>
      </c>
      <c r="O462" s="86" t="s">
        <v>413</v>
      </c>
      <c r="P462" s="86" t="s">
        <v>403</v>
      </c>
      <c r="Q462" s="86" t="s">
        <v>550</v>
      </c>
      <c r="R462" s="88" t="s">
        <v>1174</v>
      </c>
    </row>
    <row r="463" spans="1:18">
      <c r="A463" s="86" t="s">
        <v>45</v>
      </c>
      <c r="B463" s="86" t="s">
        <v>1175</v>
      </c>
      <c r="C463" s="87">
        <v>1920</v>
      </c>
      <c r="D463" s="87">
        <v>1</v>
      </c>
      <c r="E463" s="87">
        <v>1920</v>
      </c>
      <c r="F463" s="86">
        <v>1993.5</v>
      </c>
      <c r="G463" s="86" t="s">
        <v>866</v>
      </c>
      <c r="H463" s="86" t="s">
        <v>866</v>
      </c>
      <c r="I463" s="86" t="s">
        <v>107</v>
      </c>
      <c r="J463" s="86" t="s">
        <v>999</v>
      </c>
      <c r="K463" s="86" t="s">
        <v>999</v>
      </c>
      <c r="L463" s="86" t="s">
        <v>1176</v>
      </c>
      <c r="M463" s="86" t="s">
        <v>107</v>
      </c>
      <c r="N463" s="86" t="s">
        <v>40</v>
      </c>
      <c r="O463" s="86" t="s">
        <v>413</v>
      </c>
      <c r="P463" s="86" t="s">
        <v>403</v>
      </c>
      <c r="Q463" s="86" t="s">
        <v>550</v>
      </c>
      <c r="R463" s="88" t="s">
        <v>1177</v>
      </c>
    </row>
    <row r="464" spans="1:18">
      <c r="A464" s="86" t="s">
        <v>45</v>
      </c>
      <c r="B464" s="86" t="s">
        <v>1178</v>
      </c>
      <c r="C464" s="87">
        <v>75</v>
      </c>
      <c r="D464" s="87">
        <v>1</v>
      </c>
      <c r="E464" s="87">
        <v>75</v>
      </c>
      <c r="F464" s="86">
        <v>2013.7</v>
      </c>
      <c r="G464" s="86" t="s">
        <v>866</v>
      </c>
      <c r="H464" s="86" t="s">
        <v>866</v>
      </c>
      <c r="I464" s="86" t="s">
        <v>107</v>
      </c>
      <c r="J464" s="86" t="s">
        <v>901</v>
      </c>
      <c r="K464" s="86" t="s">
        <v>872</v>
      </c>
      <c r="L464" s="86" t="s">
        <v>873</v>
      </c>
      <c r="M464" s="86" t="s">
        <v>107</v>
      </c>
      <c r="N464" s="86" t="s">
        <v>40</v>
      </c>
      <c r="O464" s="86" t="s">
        <v>413</v>
      </c>
      <c r="P464" s="86" t="s">
        <v>403</v>
      </c>
      <c r="Q464" s="86" t="s">
        <v>550</v>
      </c>
      <c r="R464" s="88" t="s">
        <v>1179</v>
      </c>
    </row>
    <row r="465" spans="1:18">
      <c r="A465" s="86" t="s">
        <v>45</v>
      </c>
      <c r="B465" s="86" t="s">
        <v>1180</v>
      </c>
      <c r="C465" s="87">
        <v>11250</v>
      </c>
      <c r="D465" s="87">
        <v>2</v>
      </c>
      <c r="E465" s="87">
        <v>22500</v>
      </c>
      <c r="F465" s="86">
        <v>1991.4</v>
      </c>
      <c r="G465" s="86" t="s">
        <v>45</v>
      </c>
      <c r="H465" s="86" t="s">
        <v>45</v>
      </c>
      <c r="I465" s="86" t="s">
        <v>107</v>
      </c>
      <c r="J465" s="86" t="s">
        <v>1181</v>
      </c>
      <c r="K465" s="86" t="s">
        <v>441</v>
      </c>
      <c r="L465" s="86" t="s">
        <v>880</v>
      </c>
      <c r="M465" s="86" t="s">
        <v>1182</v>
      </c>
      <c r="N465" s="86" t="s">
        <v>412</v>
      </c>
      <c r="O465" s="86" t="s">
        <v>413</v>
      </c>
      <c r="P465" s="86" t="s">
        <v>403</v>
      </c>
      <c r="Q465" s="86" t="s">
        <v>414</v>
      </c>
      <c r="R465" s="88" t="s">
        <v>1183</v>
      </c>
    </row>
    <row r="466" spans="1:18">
      <c r="A466" s="86" t="s">
        <v>45</v>
      </c>
      <c r="B466" s="86" t="s">
        <v>1180</v>
      </c>
      <c r="C466" s="87">
        <v>1000</v>
      </c>
      <c r="D466" s="87">
        <v>1</v>
      </c>
      <c r="E466" s="87">
        <v>1000</v>
      </c>
      <c r="F466" s="86">
        <v>2007.5</v>
      </c>
      <c r="G466" s="86" t="s">
        <v>866</v>
      </c>
      <c r="H466" s="86" t="s">
        <v>866</v>
      </c>
      <c r="I466" s="86" t="s">
        <v>107</v>
      </c>
      <c r="J466" s="86" t="s">
        <v>889</v>
      </c>
      <c r="K466" s="86" t="s">
        <v>889</v>
      </c>
      <c r="L466" s="86" t="s">
        <v>880</v>
      </c>
      <c r="M466" s="86" t="s">
        <v>107</v>
      </c>
      <c r="N466" s="86" t="s">
        <v>40</v>
      </c>
      <c r="O466" s="86" t="s">
        <v>413</v>
      </c>
      <c r="P466" s="86" t="s">
        <v>403</v>
      </c>
      <c r="Q466" s="86" t="s">
        <v>550</v>
      </c>
      <c r="R466" s="88" t="s">
        <v>910</v>
      </c>
    </row>
    <row r="467" spans="1:18">
      <c r="A467" s="86" t="s">
        <v>45</v>
      </c>
      <c r="B467" s="86" t="s">
        <v>1184</v>
      </c>
      <c r="C467" s="87">
        <v>55</v>
      </c>
      <c r="D467" s="87">
        <v>1</v>
      </c>
      <c r="E467" s="87">
        <v>55</v>
      </c>
      <c r="F467" s="86">
        <v>2012.11</v>
      </c>
      <c r="G467" s="86" t="s">
        <v>866</v>
      </c>
      <c r="H467" s="86" t="s">
        <v>866</v>
      </c>
      <c r="I467" s="86" t="s">
        <v>107</v>
      </c>
      <c r="J467" s="86" t="s">
        <v>901</v>
      </c>
      <c r="K467" s="86" t="s">
        <v>582</v>
      </c>
      <c r="L467" s="86" t="s">
        <v>880</v>
      </c>
      <c r="M467" s="86" t="s">
        <v>107</v>
      </c>
      <c r="N467" s="86" t="s">
        <v>40</v>
      </c>
      <c r="O467" s="86" t="s">
        <v>413</v>
      </c>
      <c r="P467" s="86" t="s">
        <v>403</v>
      </c>
      <c r="Q467" s="86" t="s">
        <v>550</v>
      </c>
      <c r="R467" s="88" t="s">
        <v>1185</v>
      </c>
    </row>
    <row r="468" spans="1:18">
      <c r="A468" s="86" t="s">
        <v>45</v>
      </c>
      <c r="B468" s="86" t="s">
        <v>1186</v>
      </c>
      <c r="C468" s="87">
        <v>1220</v>
      </c>
      <c r="D468" s="87">
        <v>1</v>
      </c>
      <c r="E468" s="87">
        <v>1220</v>
      </c>
      <c r="F468" s="86">
        <v>2011.12</v>
      </c>
      <c r="G468" s="86" t="s">
        <v>866</v>
      </c>
      <c r="H468" s="86" t="s">
        <v>866</v>
      </c>
      <c r="I468" s="86" t="s">
        <v>107</v>
      </c>
      <c r="J468" s="86" t="s">
        <v>883</v>
      </c>
      <c r="K468" s="86" t="s">
        <v>582</v>
      </c>
      <c r="L468" s="86" t="s">
        <v>880</v>
      </c>
      <c r="M468" s="86" t="s">
        <v>107</v>
      </c>
      <c r="N468" s="86" t="s">
        <v>40</v>
      </c>
      <c r="O468" s="86" t="s">
        <v>413</v>
      </c>
      <c r="P468" s="86" t="s">
        <v>403</v>
      </c>
      <c r="Q468" s="86" t="s">
        <v>550</v>
      </c>
      <c r="R468" s="88" t="s">
        <v>1187</v>
      </c>
    </row>
    <row r="469" spans="1:18">
      <c r="A469" s="86" t="s">
        <v>45</v>
      </c>
      <c r="B469" s="86" t="s">
        <v>1188</v>
      </c>
      <c r="C469" s="87">
        <v>190</v>
      </c>
      <c r="D469" s="87">
        <v>1</v>
      </c>
      <c r="E469" s="87">
        <v>190</v>
      </c>
      <c r="F469" s="86">
        <v>2014.6</v>
      </c>
      <c r="G469" s="86" t="s">
        <v>866</v>
      </c>
      <c r="H469" s="86" t="s">
        <v>866</v>
      </c>
      <c r="I469" s="86" t="s">
        <v>107</v>
      </c>
      <c r="J469" s="86" t="s">
        <v>871</v>
      </c>
      <c r="K469" s="86" t="s">
        <v>871</v>
      </c>
      <c r="L469" s="86" t="s">
        <v>873</v>
      </c>
      <c r="M469" s="86" t="s">
        <v>107</v>
      </c>
      <c r="N469" s="86" t="s">
        <v>40</v>
      </c>
      <c r="O469" s="86" t="s">
        <v>413</v>
      </c>
      <c r="P469" s="86" t="s">
        <v>403</v>
      </c>
      <c r="Q469" s="86" t="s">
        <v>550</v>
      </c>
      <c r="R469" s="88" t="s">
        <v>1189</v>
      </c>
    </row>
    <row r="470" spans="1:18">
      <c r="A470" s="86" t="s">
        <v>45</v>
      </c>
      <c r="B470" s="86" t="s">
        <v>1190</v>
      </c>
      <c r="C470" s="87">
        <v>300000</v>
      </c>
      <c r="D470" s="87">
        <v>1</v>
      </c>
      <c r="E470" s="87">
        <v>300000</v>
      </c>
      <c r="F470" s="86">
        <v>2006.9</v>
      </c>
      <c r="G470" s="86" t="s">
        <v>39</v>
      </c>
      <c r="H470" s="86" t="s">
        <v>39</v>
      </c>
      <c r="I470" s="86" t="s">
        <v>107</v>
      </c>
      <c r="J470" s="86" t="s">
        <v>693</v>
      </c>
      <c r="K470" s="86" t="s">
        <v>693</v>
      </c>
      <c r="L470" s="86" t="s">
        <v>876</v>
      </c>
      <c r="M470" s="86" t="s">
        <v>695</v>
      </c>
      <c r="N470" s="86" t="s">
        <v>412</v>
      </c>
      <c r="O470" s="86" t="s">
        <v>413</v>
      </c>
      <c r="P470" s="86" t="s">
        <v>403</v>
      </c>
      <c r="Q470" s="86" t="s">
        <v>414</v>
      </c>
      <c r="R470" s="88" t="s">
        <v>1191</v>
      </c>
    </row>
    <row r="471" spans="1:18">
      <c r="A471" s="86" t="s">
        <v>45</v>
      </c>
      <c r="B471" s="86" t="s">
        <v>1190</v>
      </c>
      <c r="C471" s="87">
        <v>300000</v>
      </c>
      <c r="D471" s="87">
        <v>1</v>
      </c>
      <c r="E471" s="87">
        <v>300000</v>
      </c>
      <c r="F471" s="86">
        <v>2006.12</v>
      </c>
      <c r="G471" s="86" t="s">
        <v>39</v>
      </c>
      <c r="H471" s="86" t="s">
        <v>39</v>
      </c>
      <c r="I471" s="86" t="s">
        <v>107</v>
      </c>
      <c r="J471" s="86" t="s">
        <v>693</v>
      </c>
      <c r="K471" s="86" t="s">
        <v>693</v>
      </c>
      <c r="L471" s="86" t="s">
        <v>876</v>
      </c>
      <c r="M471" s="86" t="s">
        <v>695</v>
      </c>
      <c r="N471" s="86" t="s">
        <v>412</v>
      </c>
      <c r="O471" s="86" t="s">
        <v>413</v>
      </c>
      <c r="P471" s="86" t="s">
        <v>403</v>
      </c>
      <c r="Q471" s="86" t="s">
        <v>414</v>
      </c>
      <c r="R471" s="88" t="s">
        <v>1191</v>
      </c>
    </row>
    <row r="472" spans="1:18">
      <c r="A472" s="86" t="s">
        <v>45</v>
      </c>
      <c r="B472" s="86" t="s">
        <v>1192</v>
      </c>
      <c r="C472" s="87">
        <v>19800</v>
      </c>
      <c r="D472" s="87">
        <v>2</v>
      </c>
      <c r="E472" s="87">
        <v>39600</v>
      </c>
      <c r="F472" s="86">
        <v>1943.1</v>
      </c>
      <c r="G472" s="86" t="s">
        <v>45</v>
      </c>
      <c r="H472" s="86" t="s">
        <v>45</v>
      </c>
      <c r="I472" s="86" t="s">
        <v>107</v>
      </c>
      <c r="J472" s="86" t="s">
        <v>483</v>
      </c>
      <c r="K472" s="86" t="s">
        <v>483</v>
      </c>
      <c r="L472" s="86" t="s">
        <v>876</v>
      </c>
      <c r="M472" s="86" t="s">
        <v>1102</v>
      </c>
      <c r="N472" s="86" t="s">
        <v>412</v>
      </c>
      <c r="O472" s="86" t="s">
        <v>413</v>
      </c>
      <c r="P472" s="86" t="s">
        <v>403</v>
      </c>
      <c r="Q472" s="86" t="s">
        <v>414</v>
      </c>
      <c r="R472" s="88" t="s">
        <v>1193</v>
      </c>
    </row>
    <row r="473" spans="1:18">
      <c r="A473" s="86" t="s">
        <v>45</v>
      </c>
      <c r="B473" s="86" t="s">
        <v>1192</v>
      </c>
      <c r="C473" s="87">
        <v>40500</v>
      </c>
      <c r="D473" s="87">
        <v>1</v>
      </c>
      <c r="E473" s="87">
        <v>40500</v>
      </c>
      <c r="F473" s="86">
        <v>1968.4</v>
      </c>
      <c r="G473" s="86" t="s">
        <v>45</v>
      </c>
      <c r="H473" s="86" t="s">
        <v>45</v>
      </c>
      <c r="I473" s="86" t="s">
        <v>107</v>
      </c>
      <c r="J473" s="86" t="s">
        <v>504</v>
      </c>
      <c r="K473" s="86" t="s">
        <v>504</v>
      </c>
      <c r="L473" s="86" t="s">
        <v>876</v>
      </c>
      <c r="M473" s="86" t="s">
        <v>1102</v>
      </c>
      <c r="N473" s="86" t="s">
        <v>412</v>
      </c>
      <c r="O473" s="86" t="s">
        <v>413</v>
      </c>
      <c r="P473" s="86" t="s">
        <v>403</v>
      </c>
      <c r="Q473" s="86" t="s">
        <v>414</v>
      </c>
      <c r="R473" s="88" t="s">
        <v>1193</v>
      </c>
    </row>
    <row r="474" spans="1:18">
      <c r="A474" s="86" t="s">
        <v>45</v>
      </c>
      <c r="B474" s="86" t="s">
        <v>1192</v>
      </c>
      <c r="C474" s="87">
        <v>60000</v>
      </c>
      <c r="D474" s="87">
        <v>1</v>
      </c>
      <c r="E474" s="87">
        <v>60000</v>
      </c>
      <c r="F474" s="86">
        <v>2011.12</v>
      </c>
      <c r="G474" s="86" t="s">
        <v>45</v>
      </c>
      <c r="H474" s="86" t="s">
        <v>45</v>
      </c>
      <c r="I474" s="86" t="s">
        <v>107</v>
      </c>
      <c r="J474" s="86" t="s">
        <v>504</v>
      </c>
      <c r="K474" s="86" t="s">
        <v>504</v>
      </c>
      <c r="L474" s="86" t="s">
        <v>876</v>
      </c>
      <c r="M474" s="86" t="s">
        <v>411</v>
      </c>
      <c r="N474" s="86" t="s">
        <v>412</v>
      </c>
      <c r="O474" s="86" t="s">
        <v>413</v>
      </c>
      <c r="P474" s="86" t="s">
        <v>403</v>
      </c>
      <c r="Q474" s="86" t="s">
        <v>414</v>
      </c>
      <c r="R474" s="88" t="s">
        <v>1193</v>
      </c>
    </row>
    <row r="475" spans="1:18">
      <c r="A475" s="86" t="s">
        <v>45</v>
      </c>
      <c r="B475" s="86" t="s">
        <v>1194</v>
      </c>
      <c r="C475" s="87">
        <v>200000</v>
      </c>
      <c r="D475" s="87">
        <v>1</v>
      </c>
      <c r="E475" s="87">
        <v>200000</v>
      </c>
      <c r="F475" s="86">
        <v>1979.11</v>
      </c>
      <c r="G475" s="86" t="s">
        <v>39</v>
      </c>
      <c r="H475" s="86" t="s">
        <v>39</v>
      </c>
      <c r="I475" s="86" t="s">
        <v>107</v>
      </c>
      <c r="J475" s="86" t="s">
        <v>1045</v>
      </c>
      <c r="K475" s="86" t="s">
        <v>1046</v>
      </c>
      <c r="L475" s="86" t="s">
        <v>876</v>
      </c>
      <c r="M475" s="86" t="s">
        <v>695</v>
      </c>
      <c r="N475" s="86" t="s">
        <v>412</v>
      </c>
      <c r="O475" s="86" t="s">
        <v>413</v>
      </c>
      <c r="P475" s="86" t="s">
        <v>403</v>
      </c>
      <c r="Q475" s="86" t="s">
        <v>414</v>
      </c>
      <c r="R475" s="88" t="s">
        <v>1047</v>
      </c>
    </row>
    <row r="476" spans="1:18">
      <c r="A476" s="86" t="s">
        <v>45</v>
      </c>
      <c r="B476" s="86" t="s">
        <v>1194</v>
      </c>
      <c r="C476" s="87">
        <v>200000</v>
      </c>
      <c r="D476" s="87">
        <v>1</v>
      </c>
      <c r="E476" s="87">
        <v>200000</v>
      </c>
      <c r="F476" s="86">
        <v>1980.2</v>
      </c>
      <c r="G476" s="86" t="s">
        <v>39</v>
      </c>
      <c r="H476" s="86" t="s">
        <v>39</v>
      </c>
      <c r="I476" s="86" t="s">
        <v>107</v>
      </c>
      <c r="J476" s="86" t="s">
        <v>1045</v>
      </c>
      <c r="K476" s="86" t="s">
        <v>1046</v>
      </c>
      <c r="L476" s="86" t="s">
        <v>876</v>
      </c>
      <c r="M476" s="86" t="s">
        <v>695</v>
      </c>
      <c r="N476" s="86" t="s">
        <v>412</v>
      </c>
      <c r="O476" s="86" t="s">
        <v>413</v>
      </c>
      <c r="P476" s="86" t="s">
        <v>403</v>
      </c>
      <c r="Q476" s="86" t="s">
        <v>414</v>
      </c>
      <c r="R476" s="88" t="s">
        <v>1047</v>
      </c>
    </row>
    <row r="477" spans="1:18">
      <c r="A477" s="86" t="s">
        <v>45</v>
      </c>
      <c r="B477" s="86" t="s">
        <v>1195</v>
      </c>
      <c r="C477" s="87">
        <v>600</v>
      </c>
      <c r="D477" s="87">
        <v>1</v>
      </c>
      <c r="E477" s="87">
        <v>600</v>
      </c>
      <c r="F477" s="86">
        <v>1969.5</v>
      </c>
      <c r="G477" s="86" t="s">
        <v>866</v>
      </c>
      <c r="H477" s="86" t="s">
        <v>866</v>
      </c>
      <c r="I477" s="86" t="s">
        <v>107</v>
      </c>
      <c r="J477" s="86" t="s">
        <v>1196</v>
      </c>
      <c r="K477" s="86" t="s">
        <v>1037</v>
      </c>
      <c r="L477" s="86" t="s">
        <v>547</v>
      </c>
      <c r="M477" s="86" t="s">
        <v>107</v>
      </c>
      <c r="N477" s="86" t="s">
        <v>40</v>
      </c>
      <c r="O477" s="86" t="s">
        <v>548</v>
      </c>
      <c r="P477" s="86" t="s">
        <v>549</v>
      </c>
      <c r="Q477" s="86" t="s">
        <v>550</v>
      </c>
      <c r="R477" s="88" t="s">
        <v>1197</v>
      </c>
    </row>
    <row r="478" spans="1:18">
      <c r="A478" s="86" t="s">
        <v>45</v>
      </c>
      <c r="B478" s="86" t="s">
        <v>1195</v>
      </c>
      <c r="C478" s="87">
        <v>100</v>
      </c>
      <c r="D478" s="87">
        <v>1</v>
      </c>
      <c r="E478" s="87">
        <v>100</v>
      </c>
      <c r="F478" s="86">
        <v>1978.6</v>
      </c>
      <c r="G478" s="86" t="s">
        <v>866</v>
      </c>
      <c r="H478" s="86" t="s">
        <v>866</v>
      </c>
      <c r="I478" s="86" t="s">
        <v>107</v>
      </c>
      <c r="J478" s="86" t="s">
        <v>1037</v>
      </c>
      <c r="K478" s="86" t="s">
        <v>1037</v>
      </c>
      <c r="L478" s="86" t="s">
        <v>547</v>
      </c>
      <c r="M478" s="86" t="s">
        <v>107</v>
      </c>
      <c r="N478" s="86" t="s">
        <v>40</v>
      </c>
      <c r="O478" s="86" t="s">
        <v>548</v>
      </c>
      <c r="P478" s="86" t="s">
        <v>549</v>
      </c>
      <c r="Q478" s="86" t="s">
        <v>550</v>
      </c>
      <c r="R478" s="88" t="s">
        <v>1197</v>
      </c>
    </row>
    <row r="479" spans="1:18">
      <c r="A479" s="86" t="s">
        <v>45</v>
      </c>
      <c r="B479" s="86" t="s">
        <v>1198</v>
      </c>
      <c r="C479" s="87">
        <v>31140</v>
      </c>
      <c r="D479" s="87">
        <v>1</v>
      </c>
      <c r="E479" s="87">
        <v>31140</v>
      </c>
      <c r="F479" s="86">
        <v>1965.1</v>
      </c>
      <c r="G479" s="86" t="s">
        <v>45</v>
      </c>
      <c r="H479" s="86" t="s">
        <v>45</v>
      </c>
      <c r="I479" s="86" t="s">
        <v>107</v>
      </c>
      <c r="J479" s="86" t="s">
        <v>441</v>
      </c>
      <c r="K479" s="86" t="s">
        <v>441</v>
      </c>
      <c r="L479" s="86" t="s">
        <v>876</v>
      </c>
      <c r="M479" s="86" t="s">
        <v>1102</v>
      </c>
      <c r="N479" s="86" t="s">
        <v>412</v>
      </c>
      <c r="O479" s="86" t="s">
        <v>413</v>
      </c>
      <c r="P479" s="86" t="s">
        <v>403</v>
      </c>
      <c r="Q479" s="86" t="s">
        <v>414</v>
      </c>
      <c r="R479" s="88" t="s">
        <v>1199</v>
      </c>
    </row>
    <row r="480" spans="1:18">
      <c r="A480" s="86" t="s">
        <v>45</v>
      </c>
      <c r="B480" s="86" t="s">
        <v>1198</v>
      </c>
      <c r="C480" s="87">
        <v>31140</v>
      </c>
      <c r="D480" s="87">
        <v>1</v>
      </c>
      <c r="E480" s="87">
        <v>31140</v>
      </c>
      <c r="F480" s="86">
        <v>1965.2</v>
      </c>
      <c r="G480" s="86" t="s">
        <v>45</v>
      </c>
      <c r="H480" s="86" t="s">
        <v>45</v>
      </c>
      <c r="I480" s="86" t="s">
        <v>107</v>
      </c>
      <c r="J480" s="86" t="s">
        <v>441</v>
      </c>
      <c r="K480" s="86" t="s">
        <v>441</v>
      </c>
      <c r="L480" s="86" t="s">
        <v>876</v>
      </c>
      <c r="M480" s="86" t="s">
        <v>1102</v>
      </c>
      <c r="N480" s="86" t="s">
        <v>412</v>
      </c>
      <c r="O480" s="86" t="s">
        <v>413</v>
      </c>
      <c r="P480" s="86" t="s">
        <v>403</v>
      </c>
      <c r="Q480" s="86" t="s">
        <v>414</v>
      </c>
      <c r="R480" s="88" t="s">
        <v>1199</v>
      </c>
    </row>
    <row r="481" spans="1:18">
      <c r="A481" s="86" t="s">
        <v>45</v>
      </c>
      <c r="B481" s="86" t="s">
        <v>1200</v>
      </c>
      <c r="C481" s="87">
        <v>100000</v>
      </c>
      <c r="D481" s="87">
        <v>2</v>
      </c>
      <c r="E481" s="87">
        <v>200000</v>
      </c>
      <c r="F481" s="86">
        <v>1985.5</v>
      </c>
      <c r="G481" s="86" t="s">
        <v>45</v>
      </c>
      <c r="H481" s="86" t="s">
        <v>45</v>
      </c>
      <c r="I481" s="86" t="s">
        <v>107</v>
      </c>
      <c r="J481" s="86" t="s">
        <v>441</v>
      </c>
      <c r="K481" s="86" t="s">
        <v>441</v>
      </c>
      <c r="L481" s="86" t="s">
        <v>880</v>
      </c>
      <c r="M481" s="86" t="s">
        <v>411</v>
      </c>
      <c r="N481" s="86" t="s">
        <v>412</v>
      </c>
      <c r="O481" s="86" t="s">
        <v>413</v>
      </c>
      <c r="P481" s="86" t="s">
        <v>403</v>
      </c>
      <c r="Q481" s="86" t="s">
        <v>414</v>
      </c>
      <c r="R481" s="88" t="s">
        <v>1201</v>
      </c>
    </row>
    <row r="482" spans="1:18">
      <c r="A482" s="86" t="s">
        <v>45</v>
      </c>
      <c r="B482" s="86" t="s">
        <v>1200</v>
      </c>
      <c r="C482" s="87">
        <v>100000</v>
      </c>
      <c r="D482" s="87">
        <v>2</v>
      </c>
      <c r="E482" s="87">
        <v>200000</v>
      </c>
      <c r="F482" s="86">
        <v>1985.5</v>
      </c>
      <c r="G482" s="86" t="s">
        <v>45</v>
      </c>
      <c r="H482" s="86" t="s">
        <v>45</v>
      </c>
      <c r="I482" s="86" t="s">
        <v>107</v>
      </c>
      <c r="J482" s="86" t="s">
        <v>441</v>
      </c>
      <c r="K482" s="86" t="s">
        <v>441</v>
      </c>
      <c r="L482" s="86" t="s">
        <v>880</v>
      </c>
      <c r="M482" s="86" t="s">
        <v>411</v>
      </c>
      <c r="N482" s="86" t="s">
        <v>412</v>
      </c>
      <c r="O482" s="86" t="s">
        <v>413</v>
      </c>
      <c r="P482" s="86" t="s">
        <v>403</v>
      </c>
      <c r="Q482" s="86" t="s">
        <v>414</v>
      </c>
      <c r="R482" s="88" t="s">
        <v>1201</v>
      </c>
    </row>
    <row r="483" spans="1:18">
      <c r="A483" s="86" t="s">
        <v>45</v>
      </c>
      <c r="B483" s="86" t="s">
        <v>1200</v>
      </c>
      <c r="C483" s="87">
        <v>6000</v>
      </c>
      <c r="D483" s="87">
        <v>1</v>
      </c>
      <c r="E483" s="87">
        <v>6000</v>
      </c>
      <c r="F483" s="86">
        <v>1985.7</v>
      </c>
      <c r="G483" s="86" t="s">
        <v>45</v>
      </c>
      <c r="H483" s="86" t="s">
        <v>45</v>
      </c>
      <c r="I483" s="86" t="s">
        <v>107</v>
      </c>
      <c r="J483" s="86" t="s">
        <v>504</v>
      </c>
      <c r="K483" s="86" t="s">
        <v>504</v>
      </c>
      <c r="L483" s="86" t="s">
        <v>880</v>
      </c>
      <c r="M483" s="86" t="s">
        <v>411</v>
      </c>
      <c r="N483" s="86" t="s">
        <v>412</v>
      </c>
      <c r="O483" s="86" t="s">
        <v>413</v>
      </c>
      <c r="P483" s="86" t="s">
        <v>403</v>
      </c>
      <c r="Q483" s="86" t="s">
        <v>414</v>
      </c>
      <c r="R483" s="88" t="s">
        <v>1201</v>
      </c>
    </row>
    <row r="484" spans="1:18">
      <c r="A484" s="86" t="s">
        <v>45</v>
      </c>
      <c r="B484" s="86" t="s">
        <v>1200</v>
      </c>
      <c r="C484" s="87">
        <v>6000</v>
      </c>
      <c r="D484" s="87">
        <v>1</v>
      </c>
      <c r="E484" s="87">
        <v>6000</v>
      </c>
      <c r="F484" s="86">
        <v>1985.7</v>
      </c>
      <c r="G484" s="86" t="s">
        <v>45</v>
      </c>
      <c r="H484" s="86" t="s">
        <v>45</v>
      </c>
      <c r="I484" s="86" t="s">
        <v>107</v>
      </c>
      <c r="J484" s="86" t="s">
        <v>504</v>
      </c>
      <c r="K484" s="86" t="s">
        <v>504</v>
      </c>
      <c r="L484" s="86" t="s">
        <v>880</v>
      </c>
      <c r="M484" s="86" t="s">
        <v>411</v>
      </c>
      <c r="N484" s="86" t="s">
        <v>412</v>
      </c>
      <c r="O484" s="86" t="s">
        <v>413</v>
      </c>
      <c r="P484" s="86" t="s">
        <v>403</v>
      </c>
      <c r="Q484" s="86" t="s">
        <v>414</v>
      </c>
      <c r="R484" s="88" t="s">
        <v>1201</v>
      </c>
    </row>
    <row r="485" spans="1:18">
      <c r="A485" s="86" t="s">
        <v>45</v>
      </c>
      <c r="B485" s="86" t="s">
        <v>1202</v>
      </c>
      <c r="C485" s="87">
        <v>3000</v>
      </c>
      <c r="D485" s="87">
        <v>1</v>
      </c>
      <c r="E485" s="87">
        <v>3000</v>
      </c>
      <c r="F485" s="86">
        <v>2012.6</v>
      </c>
      <c r="G485" s="86" t="s">
        <v>866</v>
      </c>
      <c r="H485" s="86" t="s">
        <v>866</v>
      </c>
      <c r="I485" s="86" t="s">
        <v>107</v>
      </c>
      <c r="J485" s="86" t="s">
        <v>943</v>
      </c>
      <c r="K485" s="86" t="s">
        <v>943</v>
      </c>
      <c r="L485" s="86" t="s">
        <v>880</v>
      </c>
      <c r="M485" s="86" t="s">
        <v>107</v>
      </c>
      <c r="N485" s="86" t="s">
        <v>40</v>
      </c>
      <c r="O485" s="86" t="s">
        <v>413</v>
      </c>
      <c r="P485" s="86" t="s">
        <v>403</v>
      </c>
      <c r="Q485" s="86" t="s">
        <v>550</v>
      </c>
      <c r="R485" s="88" t="s">
        <v>1203</v>
      </c>
    </row>
    <row r="486" spans="1:18">
      <c r="A486" s="86" t="s">
        <v>45</v>
      </c>
      <c r="B486" s="86" t="s">
        <v>1204</v>
      </c>
      <c r="C486" s="87">
        <v>14400</v>
      </c>
      <c r="D486" s="87">
        <v>1</v>
      </c>
      <c r="E486" s="87">
        <v>14400</v>
      </c>
      <c r="F486" s="86">
        <v>1945.4</v>
      </c>
      <c r="G486" s="86" t="s">
        <v>45</v>
      </c>
      <c r="H486" s="86" t="s">
        <v>45</v>
      </c>
      <c r="I486" s="86" t="s">
        <v>107</v>
      </c>
      <c r="J486" s="86" t="s">
        <v>701</v>
      </c>
      <c r="K486" s="86" t="s">
        <v>701</v>
      </c>
      <c r="L486" s="86" t="s">
        <v>876</v>
      </c>
      <c r="M486" s="86" t="s">
        <v>1102</v>
      </c>
      <c r="N486" s="86" t="s">
        <v>412</v>
      </c>
      <c r="O486" s="86" t="s">
        <v>413</v>
      </c>
      <c r="P486" s="86" t="s">
        <v>403</v>
      </c>
      <c r="Q486" s="86" t="s">
        <v>414</v>
      </c>
      <c r="R486" s="88" t="s">
        <v>1205</v>
      </c>
    </row>
    <row r="487" spans="1:18">
      <c r="A487" s="86" t="s">
        <v>45</v>
      </c>
      <c r="B487" s="86" t="s">
        <v>1204</v>
      </c>
      <c r="C487" s="87">
        <v>14400</v>
      </c>
      <c r="D487" s="87">
        <v>1</v>
      </c>
      <c r="E487" s="87">
        <v>14600</v>
      </c>
      <c r="F487" s="86">
        <v>1965.12</v>
      </c>
      <c r="G487" s="86" t="s">
        <v>45</v>
      </c>
      <c r="H487" s="86" t="s">
        <v>45</v>
      </c>
      <c r="I487" s="86" t="s">
        <v>107</v>
      </c>
      <c r="J487" s="86" t="s">
        <v>701</v>
      </c>
      <c r="K487" s="86" t="s">
        <v>701</v>
      </c>
      <c r="L487" s="86" t="s">
        <v>876</v>
      </c>
      <c r="M487" s="86" t="s">
        <v>1102</v>
      </c>
      <c r="N487" s="86" t="s">
        <v>412</v>
      </c>
      <c r="O487" s="86" t="s">
        <v>413</v>
      </c>
      <c r="P487" s="86" t="s">
        <v>403</v>
      </c>
      <c r="Q487" s="86" t="s">
        <v>414</v>
      </c>
      <c r="R487" s="88" t="s">
        <v>1205</v>
      </c>
    </row>
    <row r="488" spans="1:18">
      <c r="A488" s="86" t="s">
        <v>45</v>
      </c>
      <c r="B488" s="86" t="s">
        <v>1204</v>
      </c>
      <c r="C488" s="87">
        <v>6000</v>
      </c>
      <c r="D488" s="87">
        <v>1</v>
      </c>
      <c r="E488" s="87">
        <v>6000</v>
      </c>
      <c r="F488" s="86">
        <v>1985.3</v>
      </c>
      <c r="G488" s="86" t="s">
        <v>45</v>
      </c>
      <c r="H488" s="86" t="s">
        <v>45</v>
      </c>
      <c r="I488" s="86" t="s">
        <v>107</v>
      </c>
      <c r="J488" s="86" t="s">
        <v>701</v>
      </c>
      <c r="K488" s="86" t="s">
        <v>701</v>
      </c>
      <c r="L488" s="86" t="s">
        <v>876</v>
      </c>
      <c r="M488" s="86" t="s">
        <v>1102</v>
      </c>
      <c r="N488" s="86" t="s">
        <v>412</v>
      </c>
      <c r="O488" s="86" t="s">
        <v>413</v>
      </c>
      <c r="P488" s="86" t="s">
        <v>403</v>
      </c>
      <c r="Q488" s="86" t="s">
        <v>414</v>
      </c>
      <c r="R488" s="88" t="s">
        <v>1205</v>
      </c>
    </row>
    <row r="489" spans="1:18">
      <c r="A489" s="86" t="s">
        <v>45</v>
      </c>
      <c r="B489" s="86" t="s">
        <v>1206</v>
      </c>
      <c r="C489" s="87">
        <v>320</v>
      </c>
      <c r="D489" s="87">
        <v>1</v>
      </c>
      <c r="E489" s="87">
        <v>320</v>
      </c>
      <c r="F489" s="86">
        <v>2010.1</v>
      </c>
      <c r="G489" s="86" t="s">
        <v>866</v>
      </c>
      <c r="H489" s="86" t="s">
        <v>866</v>
      </c>
      <c r="I489" s="86" t="s">
        <v>107</v>
      </c>
      <c r="J489" s="86" t="s">
        <v>107</v>
      </c>
      <c r="K489" s="86" t="s">
        <v>107</v>
      </c>
      <c r="L489" s="86" t="s">
        <v>1206</v>
      </c>
      <c r="M489" s="86" t="s">
        <v>107</v>
      </c>
      <c r="N489" s="86" t="s">
        <v>40</v>
      </c>
      <c r="O489" s="86" t="s">
        <v>548</v>
      </c>
      <c r="P489" s="86" t="s">
        <v>549</v>
      </c>
      <c r="Q489" s="86" t="s">
        <v>550</v>
      </c>
      <c r="R489" s="88" t="s">
        <v>1207</v>
      </c>
    </row>
    <row r="490" spans="1:18">
      <c r="A490" s="86" t="s">
        <v>45</v>
      </c>
      <c r="B490" s="86" t="s">
        <v>1208</v>
      </c>
      <c r="C490" s="87">
        <v>2200</v>
      </c>
      <c r="D490" s="87">
        <v>1</v>
      </c>
      <c r="E490" s="87">
        <v>2200</v>
      </c>
      <c r="F490" s="86">
        <v>2008.6</v>
      </c>
      <c r="G490" s="86" t="s">
        <v>866</v>
      </c>
      <c r="H490" s="86" t="s">
        <v>866</v>
      </c>
      <c r="I490" s="86" t="s">
        <v>1209</v>
      </c>
      <c r="J490" s="86" t="s">
        <v>1210</v>
      </c>
      <c r="K490" s="86" t="s">
        <v>408</v>
      </c>
      <c r="L490" s="86" t="s">
        <v>1211</v>
      </c>
      <c r="M490" s="86" t="s">
        <v>107</v>
      </c>
      <c r="N490" s="86" t="s">
        <v>40</v>
      </c>
      <c r="O490" s="86" t="s">
        <v>413</v>
      </c>
      <c r="P490" s="86" t="s">
        <v>403</v>
      </c>
      <c r="Q490" s="86" t="s">
        <v>550</v>
      </c>
      <c r="R490" s="88" t="s">
        <v>1212</v>
      </c>
    </row>
    <row r="491" spans="1:18">
      <c r="A491" s="86" t="s">
        <v>45</v>
      </c>
      <c r="B491" s="86" t="s">
        <v>1213</v>
      </c>
      <c r="C491" s="87">
        <v>45</v>
      </c>
      <c r="D491" s="87">
        <v>1</v>
      </c>
      <c r="E491" s="87">
        <v>45</v>
      </c>
      <c r="F491" s="86">
        <v>2011.12</v>
      </c>
      <c r="G491" s="86" t="s">
        <v>866</v>
      </c>
      <c r="H491" s="86" t="s">
        <v>866</v>
      </c>
      <c r="I491" s="86" t="s">
        <v>107</v>
      </c>
      <c r="J491" s="86" t="s">
        <v>107</v>
      </c>
      <c r="K491" s="86" t="s">
        <v>107</v>
      </c>
      <c r="L491" s="86" t="s">
        <v>876</v>
      </c>
      <c r="M491" s="86" t="s">
        <v>107</v>
      </c>
      <c r="N491" s="86" t="s">
        <v>40</v>
      </c>
      <c r="O491" s="86" t="s">
        <v>548</v>
      </c>
      <c r="P491" s="86" t="s">
        <v>549</v>
      </c>
      <c r="Q491" s="86" t="s">
        <v>550</v>
      </c>
      <c r="R491" s="88" t="s">
        <v>1214</v>
      </c>
    </row>
    <row r="492" spans="1:18">
      <c r="A492" s="86" t="s">
        <v>45</v>
      </c>
      <c r="B492" s="86" t="s">
        <v>1215</v>
      </c>
      <c r="C492" s="87">
        <v>200</v>
      </c>
      <c r="D492" s="87">
        <v>1</v>
      </c>
      <c r="E492" s="87">
        <v>200</v>
      </c>
      <c r="F492" s="86">
        <v>2011.8</v>
      </c>
      <c r="G492" s="86" t="s">
        <v>866</v>
      </c>
      <c r="H492" s="86" t="s">
        <v>866</v>
      </c>
      <c r="I492" s="86" t="s">
        <v>107</v>
      </c>
      <c r="J492" s="86" t="s">
        <v>883</v>
      </c>
      <c r="K492" s="86" t="s">
        <v>569</v>
      </c>
      <c r="L492" s="86" t="s">
        <v>880</v>
      </c>
      <c r="M492" s="86" t="s">
        <v>107</v>
      </c>
      <c r="N492" s="86" t="s">
        <v>40</v>
      </c>
      <c r="O492" s="86" t="s">
        <v>413</v>
      </c>
      <c r="P492" s="86" t="s">
        <v>403</v>
      </c>
      <c r="Q492" s="86" t="s">
        <v>550</v>
      </c>
      <c r="R492" s="88" t="s">
        <v>1216</v>
      </c>
    </row>
    <row r="493" spans="1:18">
      <c r="A493" s="86" t="s">
        <v>45</v>
      </c>
      <c r="B493" s="86" t="s">
        <v>1217</v>
      </c>
      <c r="C493" s="87">
        <v>30000</v>
      </c>
      <c r="D493" s="87">
        <v>4</v>
      </c>
      <c r="E493" s="87">
        <v>120000</v>
      </c>
      <c r="F493" s="86">
        <v>1973.12</v>
      </c>
      <c r="G493" s="86" t="s">
        <v>45</v>
      </c>
      <c r="H493" s="86" t="s">
        <v>45</v>
      </c>
      <c r="I493" s="86" t="s">
        <v>107</v>
      </c>
      <c r="J493" s="86" t="s">
        <v>1218</v>
      </c>
      <c r="K493" s="86" t="s">
        <v>1219</v>
      </c>
      <c r="L493" s="86" t="s">
        <v>876</v>
      </c>
      <c r="M493" s="86" t="s">
        <v>1220</v>
      </c>
      <c r="N493" s="86" t="s">
        <v>412</v>
      </c>
      <c r="O493" s="86" t="s">
        <v>413</v>
      </c>
      <c r="P493" s="86" t="s">
        <v>403</v>
      </c>
      <c r="Q493" s="86" t="s">
        <v>414</v>
      </c>
      <c r="R493" s="88" t="s">
        <v>1221</v>
      </c>
    </row>
    <row r="494" spans="1:18">
      <c r="A494" s="86" t="s">
        <v>45</v>
      </c>
      <c r="B494" s="86" t="s">
        <v>1217</v>
      </c>
      <c r="C494" s="87">
        <v>30000</v>
      </c>
      <c r="D494" s="87">
        <v>4</v>
      </c>
      <c r="E494" s="87">
        <v>120000</v>
      </c>
      <c r="F494" s="86">
        <v>1973.12</v>
      </c>
      <c r="G494" s="86" t="s">
        <v>45</v>
      </c>
      <c r="H494" s="86" t="s">
        <v>45</v>
      </c>
      <c r="I494" s="86" t="s">
        <v>107</v>
      </c>
      <c r="J494" s="86" t="s">
        <v>1218</v>
      </c>
      <c r="K494" s="86" t="s">
        <v>1219</v>
      </c>
      <c r="L494" s="86" t="s">
        <v>876</v>
      </c>
      <c r="M494" s="86" t="s">
        <v>1220</v>
      </c>
      <c r="N494" s="86" t="s">
        <v>412</v>
      </c>
      <c r="O494" s="86" t="s">
        <v>413</v>
      </c>
      <c r="P494" s="86" t="s">
        <v>403</v>
      </c>
      <c r="Q494" s="86" t="s">
        <v>414</v>
      </c>
      <c r="R494" s="88" t="s">
        <v>1221</v>
      </c>
    </row>
    <row r="495" spans="1:18">
      <c r="A495" s="86" t="s">
        <v>45</v>
      </c>
      <c r="B495" s="86" t="s">
        <v>1222</v>
      </c>
      <c r="C495" s="87">
        <v>825</v>
      </c>
      <c r="D495" s="87">
        <v>1</v>
      </c>
      <c r="E495" s="87">
        <v>825</v>
      </c>
      <c r="F495" s="86">
        <v>2006.6</v>
      </c>
      <c r="G495" s="86" t="s">
        <v>866</v>
      </c>
      <c r="H495" s="86" t="s">
        <v>866</v>
      </c>
      <c r="I495" s="86" t="s">
        <v>107</v>
      </c>
      <c r="J495" s="86" t="s">
        <v>889</v>
      </c>
      <c r="K495" s="86" t="s">
        <v>889</v>
      </c>
      <c r="L495" s="86" t="s">
        <v>873</v>
      </c>
      <c r="M495" s="86" t="s">
        <v>107</v>
      </c>
      <c r="N495" s="86" t="s">
        <v>40</v>
      </c>
      <c r="O495" s="86" t="s">
        <v>413</v>
      </c>
      <c r="P495" s="86" t="s">
        <v>403</v>
      </c>
      <c r="Q495" s="86" t="s">
        <v>550</v>
      </c>
      <c r="R495" s="88" t="s">
        <v>1223</v>
      </c>
    </row>
    <row r="496" spans="1:18">
      <c r="A496" s="86" t="s">
        <v>45</v>
      </c>
      <c r="B496" s="86" t="s">
        <v>1224</v>
      </c>
      <c r="C496" s="87">
        <v>1000</v>
      </c>
      <c r="D496" s="87">
        <v>1</v>
      </c>
      <c r="E496" s="87">
        <v>1000</v>
      </c>
      <c r="F496" s="86">
        <v>2009.5</v>
      </c>
      <c r="G496" s="86" t="s">
        <v>40</v>
      </c>
      <c r="H496" s="86" t="s">
        <v>1225</v>
      </c>
      <c r="I496" s="86" t="s">
        <v>107</v>
      </c>
      <c r="J496" s="86" t="s">
        <v>107</v>
      </c>
      <c r="K496" s="86" t="s">
        <v>107</v>
      </c>
      <c r="L496" s="86" t="s">
        <v>1226</v>
      </c>
      <c r="M496" s="86" t="s">
        <v>107</v>
      </c>
      <c r="N496" s="86" t="s">
        <v>40</v>
      </c>
      <c r="O496" s="86" t="s">
        <v>413</v>
      </c>
      <c r="P496" s="86" t="s">
        <v>403</v>
      </c>
      <c r="Q496" s="86" t="s">
        <v>550</v>
      </c>
      <c r="R496" s="88" t="s">
        <v>1227</v>
      </c>
    </row>
    <row r="497" spans="1:18">
      <c r="A497" s="86" t="s">
        <v>45</v>
      </c>
      <c r="B497" s="86" t="s">
        <v>1228</v>
      </c>
      <c r="C497" s="87">
        <v>2214</v>
      </c>
      <c r="D497" s="87">
        <v>1</v>
      </c>
      <c r="E497" s="87">
        <v>2214</v>
      </c>
      <c r="F497" s="86">
        <v>1989.4</v>
      </c>
      <c r="G497" s="86" t="s">
        <v>866</v>
      </c>
      <c r="H497" s="86" t="s">
        <v>866</v>
      </c>
      <c r="I497" s="86" t="s">
        <v>107</v>
      </c>
      <c r="J497" s="86" t="s">
        <v>1229</v>
      </c>
      <c r="K497" s="86" t="s">
        <v>582</v>
      </c>
      <c r="L497" s="86" t="s">
        <v>1230</v>
      </c>
      <c r="M497" s="86" t="s">
        <v>107</v>
      </c>
      <c r="N497" s="86" t="s">
        <v>40</v>
      </c>
      <c r="O497" s="86" t="s">
        <v>413</v>
      </c>
      <c r="P497" s="86" t="s">
        <v>403</v>
      </c>
      <c r="Q497" s="86" t="s">
        <v>550</v>
      </c>
      <c r="R497" s="88" t="s">
        <v>1231</v>
      </c>
    </row>
    <row r="498" spans="1:18">
      <c r="A498" s="86" t="s">
        <v>45</v>
      </c>
      <c r="B498" s="86" t="s">
        <v>1232</v>
      </c>
      <c r="C498" s="87">
        <v>5000</v>
      </c>
      <c r="D498" s="87">
        <v>1</v>
      </c>
      <c r="E498" s="87">
        <v>5000</v>
      </c>
      <c r="F498" s="86">
        <v>2012.3</v>
      </c>
      <c r="G498" s="86" t="s">
        <v>866</v>
      </c>
      <c r="H498" s="86" t="s">
        <v>866</v>
      </c>
      <c r="I498" s="86" t="s">
        <v>107</v>
      </c>
      <c r="J498" s="86" t="s">
        <v>943</v>
      </c>
      <c r="K498" s="86" t="s">
        <v>943</v>
      </c>
      <c r="L498" s="86" t="s">
        <v>880</v>
      </c>
      <c r="M498" s="86" t="s">
        <v>107</v>
      </c>
      <c r="N498" s="86" t="s">
        <v>40</v>
      </c>
      <c r="O498" s="86" t="s">
        <v>413</v>
      </c>
      <c r="P498" s="86" t="s">
        <v>403</v>
      </c>
      <c r="Q498" s="86" t="s">
        <v>550</v>
      </c>
      <c r="R498" s="88" t="s">
        <v>1233</v>
      </c>
    </row>
    <row r="499" spans="1:18">
      <c r="A499" s="86" t="s">
        <v>45</v>
      </c>
      <c r="B499" s="86" t="s">
        <v>1234</v>
      </c>
      <c r="C499" s="87">
        <v>50000</v>
      </c>
      <c r="D499" s="87">
        <v>2</v>
      </c>
      <c r="E499" s="87">
        <v>100000</v>
      </c>
      <c r="F499" s="86">
        <v>1989.3</v>
      </c>
      <c r="G499" s="86" t="s">
        <v>45</v>
      </c>
      <c r="H499" s="86" t="s">
        <v>45</v>
      </c>
      <c r="I499" s="86" t="s">
        <v>107</v>
      </c>
      <c r="J499" s="86" t="s">
        <v>504</v>
      </c>
      <c r="K499" s="86" t="s">
        <v>504</v>
      </c>
      <c r="L499" s="86" t="s">
        <v>880</v>
      </c>
      <c r="M499" s="86" t="s">
        <v>968</v>
      </c>
      <c r="N499" s="86" t="s">
        <v>412</v>
      </c>
      <c r="O499" s="86" t="s">
        <v>413</v>
      </c>
      <c r="P499" s="86" t="s">
        <v>403</v>
      </c>
      <c r="Q499" s="86" t="s">
        <v>414</v>
      </c>
      <c r="R499" s="88" t="s">
        <v>1235</v>
      </c>
    </row>
    <row r="500" spans="1:18">
      <c r="A500" s="86" t="s">
        <v>45</v>
      </c>
      <c r="B500" s="86" t="s">
        <v>1236</v>
      </c>
      <c r="C500" s="87">
        <v>5000</v>
      </c>
      <c r="D500" s="87">
        <v>1</v>
      </c>
      <c r="E500" s="87">
        <v>5000</v>
      </c>
      <c r="F500" s="86">
        <v>2012.6</v>
      </c>
      <c r="G500" s="86" t="s">
        <v>866</v>
      </c>
      <c r="H500" s="86" t="s">
        <v>866</v>
      </c>
      <c r="I500" s="86" t="s">
        <v>107</v>
      </c>
      <c r="J500" s="86" t="s">
        <v>879</v>
      </c>
      <c r="K500" s="86" t="s">
        <v>582</v>
      </c>
      <c r="L500" s="86" t="s">
        <v>880</v>
      </c>
      <c r="M500" s="86" t="s">
        <v>107</v>
      </c>
      <c r="N500" s="86" t="s">
        <v>40</v>
      </c>
      <c r="O500" s="86" t="s">
        <v>413</v>
      </c>
      <c r="P500" s="86" t="s">
        <v>403</v>
      </c>
      <c r="Q500" s="86" t="s">
        <v>550</v>
      </c>
      <c r="R500" s="88" t="s">
        <v>1237</v>
      </c>
    </row>
    <row r="501" spans="1:18">
      <c r="A501" s="86" t="s">
        <v>45</v>
      </c>
      <c r="B501" s="86" t="s">
        <v>1238</v>
      </c>
      <c r="C501" s="87">
        <v>1800</v>
      </c>
      <c r="D501" s="87">
        <v>1</v>
      </c>
      <c r="E501" s="87">
        <v>1800</v>
      </c>
      <c r="F501" s="86">
        <v>2017.12</v>
      </c>
      <c r="G501" s="86" t="s">
        <v>866</v>
      </c>
      <c r="H501" s="86" t="s">
        <v>866</v>
      </c>
      <c r="I501" s="86" t="s">
        <v>107</v>
      </c>
      <c r="J501" s="86" t="s">
        <v>871</v>
      </c>
      <c r="K501" s="86" t="s">
        <v>871</v>
      </c>
      <c r="L501" s="86" t="s">
        <v>880</v>
      </c>
      <c r="M501" s="86" t="s">
        <v>107</v>
      </c>
      <c r="N501" s="86" t="s">
        <v>40</v>
      </c>
      <c r="O501" s="86" t="s">
        <v>413</v>
      </c>
      <c r="P501" s="86" t="s">
        <v>403</v>
      </c>
      <c r="Q501" s="86" t="s">
        <v>550</v>
      </c>
      <c r="R501" s="88" t="s">
        <v>1239</v>
      </c>
    </row>
    <row r="502" spans="1:18">
      <c r="A502" s="86" t="s">
        <v>45</v>
      </c>
      <c r="B502" s="86" t="s">
        <v>1240</v>
      </c>
      <c r="C502" s="87">
        <v>60</v>
      </c>
      <c r="D502" s="87">
        <v>1</v>
      </c>
      <c r="E502" s="87">
        <v>60</v>
      </c>
      <c r="F502" s="86">
        <v>2010.11</v>
      </c>
      <c r="G502" s="86" t="s">
        <v>866</v>
      </c>
      <c r="H502" s="86" t="s">
        <v>866</v>
      </c>
      <c r="I502" s="86" t="s">
        <v>107</v>
      </c>
      <c r="J502" s="86" t="s">
        <v>889</v>
      </c>
      <c r="K502" s="86" t="s">
        <v>889</v>
      </c>
      <c r="L502" s="86" t="s">
        <v>1050</v>
      </c>
      <c r="M502" s="86" t="s">
        <v>107</v>
      </c>
      <c r="N502" s="86" t="s">
        <v>40</v>
      </c>
      <c r="O502" s="86" t="s">
        <v>413</v>
      </c>
      <c r="P502" s="86" t="s">
        <v>403</v>
      </c>
      <c r="Q502" s="86" t="s">
        <v>550</v>
      </c>
      <c r="R502" s="88" t="s">
        <v>1241</v>
      </c>
    </row>
    <row r="503" spans="1:18">
      <c r="A503" s="86" t="s">
        <v>45</v>
      </c>
      <c r="B503" s="86" t="s">
        <v>1242</v>
      </c>
      <c r="C503" s="87">
        <v>850</v>
      </c>
      <c r="D503" s="87">
        <v>1</v>
      </c>
      <c r="E503" s="87">
        <v>850</v>
      </c>
      <c r="F503" s="86">
        <v>2008.6</v>
      </c>
      <c r="G503" s="86" t="s">
        <v>866</v>
      </c>
      <c r="H503" s="86" t="s">
        <v>866</v>
      </c>
      <c r="I503" s="86" t="s">
        <v>107</v>
      </c>
      <c r="J503" s="86" t="s">
        <v>107</v>
      </c>
      <c r="K503" s="86" t="s">
        <v>107</v>
      </c>
      <c r="L503" s="86" t="s">
        <v>1243</v>
      </c>
      <c r="M503" s="86" t="s">
        <v>107</v>
      </c>
      <c r="N503" s="86" t="s">
        <v>40</v>
      </c>
      <c r="O503" s="86" t="s">
        <v>413</v>
      </c>
      <c r="P503" s="86" t="s">
        <v>403</v>
      </c>
      <c r="Q503" s="86" t="s">
        <v>550</v>
      </c>
      <c r="R503" s="88" t="s">
        <v>1244</v>
      </c>
    </row>
    <row r="504" spans="1:18">
      <c r="A504" s="86" t="s">
        <v>45</v>
      </c>
      <c r="B504" s="86" t="s">
        <v>1245</v>
      </c>
      <c r="C504" s="87">
        <v>27000</v>
      </c>
      <c r="D504" s="87">
        <v>2</v>
      </c>
      <c r="E504" s="87">
        <v>54000</v>
      </c>
      <c r="F504" s="86">
        <v>1944.1</v>
      </c>
      <c r="G504" s="86" t="s">
        <v>45</v>
      </c>
      <c r="H504" s="86" t="s">
        <v>45</v>
      </c>
      <c r="I504" s="86" t="s">
        <v>107</v>
      </c>
      <c r="J504" s="86" t="s">
        <v>483</v>
      </c>
      <c r="K504" s="86" t="s">
        <v>483</v>
      </c>
      <c r="L504" s="86" t="s">
        <v>876</v>
      </c>
      <c r="M504" s="86" t="s">
        <v>1102</v>
      </c>
      <c r="N504" s="86" t="s">
        <v>412</v>
      </c>
      <c r="O504" s="86" t="s">
        <v>413</v>
      </c>
      <c r="P504" s="86" t="s">
        <v>403</v>
      </c>
      <c r="Q504" s="86" t="s">
        <v>414</v>
      </c>
      <c r="R504" s="88" t="s">
        <v>1246</v>
      </c>
    </row>
    <row r="505" spans="1:18">
      <c r="A505" s="86" t="s">
        <v>45</v>
      </c>
      <c r="B505" s="86" t="s">
        <v>1245</v>
      </c>
      <c r="C505" s="87">
        <v>27000</v>
      </c>
      <c r="D505" s="87">
        <v>1</v>
      </c>
      <c r="E505" s="87">
        <v>27000</v>
      </c>
      <c r="F505" s="86">
        <v>1957.11</v>
      </c>
      <c r="G505" s="86" t="s">
        <v>45</v>
      </c>
      <c r="H505" s="86" t="s">
        <v>45</v>
      </c>
      <c r="I505" s="86" t="s">
        <v>107</v>
      </c>
      <c r="J505" s="86" t="s">
        <v>483</v>
      </c>
      <c r="K505" s="86" t="s">
        <v>483</v>
      </c>
      <c r="L505" s="86" t="s">
        <v>876</v>
      </c>
      <c r="M505" s="86" t="s">
        <v>1102</v>
      </c>
      <c r="N505" s="86" t="s">
        <v>412</v>
      </c>
      <c r="O505" s="86" t="s">
        <v>413</v>
      </c>
      <c r="P505" s="86" t="s">
        <v>403</v>
      </c>
      <c r="Q505" s="86" t="s">
        <v>414</v>
      </c>
      <c r="R505" s="88" t="s">
        <v>1246</v>
      </c>
    </row>
    <row r="506" spans="1:18">
      <c r="A506" s="86" t="s">
        <v>45</v>
      </c>
      <c r="B506" s="86" t="s">
        <v>1245</v>
      </c>
      <c r="C506" s="87">
        <v>27000</v>
      </c>
      <c r="D506" s="87">
        <v>1</v>
      </c>
      <c r="E506" s="87">
        <v>27000</v>
      </c>
      <c r="F506" s="86">
        <v>1968.6</v>
      </c>
      <c r="G506" s="86" t="s">
        <v>45</v>
      </c>
      <c r="H506" s="86" t="s">
        <v>45</v>
      </c>
      <c r="I506" s="86" t="s">
        <v>107</v>
      </c>
      <c r="J506" s="86" t="s">
        <v>483</v>
      </c>
      <c r="K506" s="86" t="s">
        <v>483</v>
      </c>
      <c r="L506" s="86" t="s">
        <v>876</v>
      </c>
      <c r="M506" s="86" t="s">
        <v>1102</v>
      </c>
      <c r="N506" s="86" t="s">
        <v>412</v>
      </c>
      <c r="O506" s="86" t="s">
        <v>413</v>
      </c>
      <c r="P506" s="86" t="s">
        <v>403</v>
      </c>
      <c r="Q506" s="86" t="s">
        <v>414</v>
      </c>
      <c r="R506" s="88" t="s">
        <v>1246</v>
      </c>
    </row>
    <row r="507" spans="1:18">
      <c r="A507" s="86" t="s">
        <v>45</v>
      </c>
      <c r="B507" s="86" t="s">
        <v>1247</v>
      </c>
      <c r="C507" s="87">
        <v>55</v>
      </c>
      <c r="D507" s="87">
        <v>1</v>
      </c>
      <c r="E507" s="87">
        <v>55</v>
      </c>
      <c r="F507" s="86">
        <v>2012.12</v>
      </c>
      <c r="G507" s="86" t="s">
        <v>866</v>
      </c>
      <c r="H507" s="86" t="s">
        <v>866</v>
      </c>
      <c r="I507" s="86" t="s">
        <v>107</v>
      </c>
      <c r="J507" s="86" t="s">
        <v>872</v>
      </c>
      <c r="K507" s="86" t="s">
        <v>872</v>
      </c>
      <c r="L507" s="86" t="s">
        <v>107</v>
      </c>
      <c r="M507" s="86" t="s">
        <v>107</v>
      </c>
      <c r="N507" s="86" t="s">
        <v>40</v>
      </c>
      <c r="O507" s="86" t="s">
        <v>548</v>
      </c>
      <c r="P507" s="86" t="s">
        <v>549</v>
      </c>
      <c r="Q507" s="86" t="s">
        <v>550</v>
      </c>
      <c r="R507" s="88" t="s">
        <v>1248</v>
      </c>
    </row>
    <row r="508" spans="1:18">
      <c r="A508" s="86" t="s">
        <v>45</v>
      </c>
      <c r="B508" s="86" t="s">
        <v>1249</v>
      </c>
      <c r="C508" s="87">
        <v>1000</v>
      </c>
      <c r="D508" s="87">
        <v>1</v>
      </c>
      <c r="E508" s="87">
        <v>1000</v>
      </c>
      <c r="F508" s="86">
        <v>2000.8</v>
      </c>
      <c r="G508" s="86" t="s">
        <v>866</v>
      </c>
      <c r="H508" s="86" t="s">
        <v>866</v>
      </c>
      <c r="I508" s="86" t="s">
        <v>107</v>
      </c>
      <c r="J508" s="86" t="s">
        <v>889</v>
      </c>
      <c r="K508" s="86" t="s">
        <v>889</v>
      </c>
      <c r="L508" s="86" t="s">
        <v>880</v>
      </c>
      <c r="M508" s="86" t="s">
        <v>107</v>
      </c>
      <c r="N508" s="86" t="s">
        <v>40</v>
      </c>
      <c r="O508" s="86" t="s">
        <v>413</v>
      </c>
      <c r="P508" s="86" t="s">
        <v>403</v>
      </c>
      <c r="Q508" s="86" t="s">
        <v>550</v>
      </c>
      <c r="R508" s="88" t="s">
        <v>1250</v>
      </c>
    </row>
    <row r="509" spans="1:18">
      <c r="A509" s="86" t="s">
        <v>45</v>
      </c>
      <c r="B509" s="86" t="s">
        <v>1251</v>
      </c>
      <c r="C509" s="87">
        <v>300</v>
      </c>
      <c r="D509" s="87">
        <v>1</v>
      </c>
      <c r="E509" s="87">
        <v>300</v>
      </c>
      <c r="F509" s="86">
        <v>2011.1</v>
      </c>
      <c r="G509" s="86" t="s">
        <v>866</v>
      </c>
      <c r="H509" s="86" t="s">
        <v>866</v>
      </c>
      <c r="I509" s="86" t="s">
        <v>107</v>
      </c>
      <c r="J509" s="86" t="s">
        <v>923</v>
      </c>
      <c r="K509" s="86" t="s">
        <v>569</v>
      </c>
      <c r="L509" s="86" t="s">
        <v>880</v>
      </c>
      <c r="M509" s="86" t="s">
        <v>107</v>
      </c>
      <c r="N509" s="86" t="s">
        <v>40</v>
      </c>
      <c r="O509" s="86" t="s">
        <v>413</v>
      </c>
      <c r="P509" s="86" t="s">
        <v>403</v>
      </c>
      <c r="Q509" s="86" t="s">
        <v>550</v>
      </c>
      <c r="R509" s="88" t="s">
        <v>1250</v>
      </c>
    </row>
    <row r="510" spans="1:18">
      <c r="A510" s="86" t="s">
        <v>36</v>
      </c>
      <c r="B510" s="86" t="s">
        <v>1252</v>
      </c>
      <c r="C510" s="87">
        <v>650000</v>
      </c>
      <c r="D510" s="87">
        <v>1</v>
      </c>
      <c r="E510" s="87">
        <v>650000</v>
      </c>
      <c r="F510" s="86">
        <v>1983.7</v>
      </c>
      <c r="G510" s="86" t="s">
        <v>1253</v>
      </c>
      <c r="H510" s="86" t="s">
        <v>1254</v>
      </c>
      <c r="I510" s="86" t="s">
        <v>792</v>
      </c>
      <c r="J510" s="86" t="s">
        <v>1255</v>
      </c>
      <c r="K510" s="86" t="s">
        <v>1255</v>
      </c>
      <c r="L510" s="86" t="s">
        <v>1256</v>
      </c>
      <c r="M510" s="86" t="s">
        <v>420</v>
      </c>
      <c r="N510" s="86" t="s">
        <v>412</v>
      </c>
      <c r="O510" s="86" t="s">
        <v>413</v>
      </c>
      <c r="P510" s="86" t="s">
        <v>403</v>
      </c>
      <c r="Q510" s="86" t="s">
        <v>414</v>
      </c>
      <c r="R510" s="88" t="s">
        <v>1257</v>
      </c>
    </row>
    <row r="511" spans="1:18">
      <c r="A511" s="86" t="s">
        <v>36</v>
      </c>
      <c r="B511" s="86" t="s">
        <v>1258</v>
      </c>
      <c r="C511" s="87">
        <v>950000</v>
      </c>
      <c r="D511" s="87">
        <v>1</v>
      </c>
      <c r="E511" s="87">
        <v>950000</v>
      </c>
      <c r="F511" s="86">
        <v>1985.9</v>
      </c>
      <c r="G511" s="86" t="s">
        <v>1253</v>
      </c>
      <c r="H511" s="86" t="s">
        <v>1254</v>
      </c>
      <c r="I511" s="86" t="s">
        <v>792</v>
      </c>
      <c r="J511" s="86" t="s">
        <v>1255</v>
      </c>
      <c r="K511" s="86" t="s">
        <v>1255</v>
      </c>
      <c r="L511" s="86" t="s">
        <v>1256</v>
      </c>
      <c r="M511" s="86" t="s">
        <v>420</v>
      </c>
      <c r="N511" s="86" t="s">
        <v>412</v>
      </c>
      <c r="O511" s="86" t="s">
        <v>413</v>
      </c>
      <c r="P511" s="86" t="s">
        <v>403</v>
      </c>
      <c r="Q511" s="86" t="s">
        <v>414</v>
      </c>
      <c r="R511" s="88" t="s">
        <v>1257</v>
      </c>
    </row>
    <row r="512" spans="1:18">
      <c r="A512" s="86" t="s">
        <v>36</v>
      </c>
      <c r="B512" s="86" t="s">
        <v>1259</v>
      </c>
      <c r="C512" s="87">
        <v>950000</v>
      </c>
      <c r="D512" s="87">
        <v>1</v>
      </c>
      <c r="E512" s="87">
        <v>950000</v>
      </c>
      <c r="F512" s="86">
        <v>1986.4</v>
      </c>
      <c r="G512" s="86" t="s">
        <v>1253</v>
      </c>
      <c r="H512" s="86" t="s">
        <v>1254</v>
      </c>
      <c r="I512" s="86" t="s">
        <v>792</v>
      </c>
      <c r="J512" s="86" t="s">
        <v>1255</v>
      </c>
      <c r="K512" s="86" t="s">
        <v>1255</v>
      </c>
      <c r="L512" s="86" t="s">
        <v>1256</v>
      </c>
      <c r="M512" s="86" t="s">
        <v>420</v>
      </c>
      <c r="N512" s="86" t="s">
        <v>412</v>
      </c>
      <c r="O512" s="86" t="s">
        <v>413</v>
      </c>
      <c r="P512" s="86" t="s">
        <v>403</v>
      </c>
      <c r="Q512" s="86" t="s">
        <v>414</v>
      </c>
      <c r="R512" s="88" t="s">
        <v>1257</v>
      </c>
    </row>
    <row r="513" spans="1:18">
      <c r="A513" s="86" t="s">
        <v>36</v>
      </c>
      <c r="B513" s="86" t="s">
        <v>1260</v>
      </c>
      <c r="C513" s="87">
        <v>1000000</v>
      </c>
      <c r="D513" s="87">
        <v>1</v>
      </c>
      <c r="E513" s="87">
        <v>1000000</v>
      </c>
      <c r="F513" s="86">
        <v>2011.2</v>
      </c>
      <c r="G513" s="86" t="s">
        <v>1253</v>
      </c>
      <c r="H513" s="86" t="s">
        <v>1254</v>
      </c>
      <c r="I513" s="86" t="s">
        <v>1261</v>
      </c>
      <c r="J513" s="86" t="s">
        <v>1261</v>
      </c>
      <c r="K513" s="86" t="s">
        <v>1261</v>
      </c>
      <c r="L513" s="86" t="s">
        <v>1256</v>
      </c>
      <c r="M513" s="86" t="s">
        <v>539</v>
      </c>
      <c r="N513" s="86" t="s">
        <v>412</v>
      </c>
      <c r="O513" s="86" t="s">
        <v>413</v>
      </c>
      <c r="P513" s="86" t="s">
        <v>403</v>
      </c>
      <c r="Q513" s="86" t="s">
        <v>414</v>
      </c>
      <c r="R513" s="88" t="s">
        <v>1262</v>
      </c>
    </row>
    <row r="514" spans="1:18">
      <c r="A514" s="86" t="s">
        <v>36</v>
      </c>
      <c r="B514" s="86" t="s">
        <v>1263</v>
      </c>
      <c r="C514" s="87">
        <v>1000000</v>
      </c>
      <c r="D514" s="87">
        <v>1</v>
      </c>
      <c r="E514" s="87">
        <v>1000000</v>
      </c>
      <c r="F514" s="86">
        <v>2012.7</v>
      </c>
      <c r="G514" s="86" t="s">
        <v>1253</v>
      </c>
      <c r="H514" s="86" t="s">
        <v>1254</v>
      </c>
      <c r="I514" s="86" t="s">
        <v>1261</v>
      </c>
      <c r="J514" s="86" t="s">
        <v>1261</v>
      </c>
      <c r="K514" s="86" t="s">
        <v>1261</v>
      </c>
      <c r="L514" s="86" t="s">
        <v>1256</v>
      </c>
      <c r="M514" s="86" t="s">
        <v>539</v>
      </c>
      <c r="N514" s="86" t="s">
        <v>412</v>
      </c>
      <c r="O514" s="86" t="s">
        <v>413</v>
      </c>
      <c r="P514" s="86" t="s">
        <v>403</v>
      </c>
      <c r="Q514" s="86" t="s">
        <v>414</v>
      </c>
      <c r="R514" s="88" t="s">
        <v>1262</v>
      </c>
    </row>
    <row r="515" spans="1:18">
      <c r="A515" s="86" t="s">
        <v>36</v>
      </c>
      <c r="B515" s="86" t="s">
        <v>1264</v>
      </c>
      <c r="C515" s="87">
        <v>1400000</v>
      </c>
      <c r="D515" s="87">
        <v>1</v>
      </c>
      <c r="E515" s="87">
        <v>1400000</v>
      </c>
      <c r="F515" s="86">
        <v>2016.12</v>
      </c>
      <c r="G515" s="86" t="s">
        <v>1253</v>
      </c>
      <c r="H515" s="86" t="s">
        <v>1254</v>
      </c>
      <c r="I515" s="86" t="s">
        <v>408</v>
      </c>
      <c r="J515" s="86" t="s">
        <v>408</v>
      </c>
      <c r="K515" s="86" t="s">
        <v>408</v>
      </c>
      <c r="L515" s="86" t="s">
        <v>1256</v>
      </c>
      <c r="M515" s="86" t="s">
        <v>539</v>
      </c>
      <c r="N515" s="86" t="s">
        <v>412</v>
      </c>
      <c r="O515" s="86" t="s">
        <v>413</v>
      </c>
      <c r="P515" s="86" t="s">
        <v>403</v>
      </c>
      <c r="Q515" s="86" t="s">
        <v>414</v>
      </c>
      <c r="R515" s="88" t="s">
        <v>1262</v>
      </c>
    </row>
    <row r="516" spans="1:18">
      <c r="A516" s="86" t="s">
        <v>36</v>
      </c>
      <c r="B516" s="86" t="s">
        <v>1265</v>
      </c>
      <c r="C516" s="87">
        <v>1400000</v>
      </c>
      <c r="D516" s="87">
        <v>1</v>
      </c>
      <c r="E516" s="87">
        <v>1400000</v>
      </c>
      <c r="F516" s="86">
        <v>2019.8</v>
      </c>
      <c r="G516" s="86" t="s">
        <v>1253</v>
      </c>
      <c r="H516" s="86" t="s">
        <v>1254</v>
      </c>
      <c r="I516" s="86" t="s">
        <v>408</v>
      </c>
      <c r="J516" s="86" t="s">
        <v>408</v>
      </c>
      <c r="K516" s="86" t="s">
        <v>408</v>
      </c>
      <c r="L516" s="86" t="s">
        <v>1256</v>
      </c>
      <c r="M516" s="86" t="s">
        <v>539</v>
      </c>
      <c r="N516" s="86" t="s">
        <v>412</v>
      </c>
      <c r="O516" s="86" t="s">
        <v>413</v>
      </c>
      <c r="P516" s="86" t="s">
        <v>403</v>
      </c>
      <c r="Q516" s="86" t="s">
        <v>414</v>
      </c>
      <c r="R516" s="88" t="s">
        <v>1262</v>
      </c>
    </row>
    <row r="517" spans="1:18">
      <c r="A517" s="86" t="s">
        <v>36</v>
      </c>
      <c r="B517" s="86" t="s">
        <v>1266</v>
      </c>
      <c r="C517" s="87">
        <v>1000000</v>
      </c>
      <c r="D517" s="87">
        <v>1</v>
      </c>
      <c r="E517" s="87">
        <v>1000000</v>
      </c>
      <c r="F517" s="86">
        <v>2012.7</v>
      </c>
      <c r="G517" s="86" t="s">
        <v>1253</v>
      </c>
      <c r="H517" s="86" t="s">
        <v>1254</v>
      </c>
      <c r="I517" s="86" t="s">
        <v>1261</v>
      </c>
      <c r="J517" s="86" t="s">
        <v>1261</v>
      </c>
      <c r="K517" s="86" t="s">
        <v>1261</v>
      </c>
      <c r="L517" s="86" t="s">
        <v>1256</v>
      </c>
      <c r="M517" s="86" t="s">
        <v>420</v>
      </c>
      <c r="N517" s="86" t="s">
        <v>412</v>
      </c>
      <c r="O517" s="86" t="s">
        <v>413</v>
      </c>
      <c r="P517" s="86" t="s">
        <v>403</v>
      </c>
      <c r="Q517" s="86" t="s">
        <v>414</v>
      </c>
      <c r="R517" s="88" t="s">
        <v>1267</v>
      </c>
    </row>
    <row r="518" spans="1:18">
      <c r="A518" s="86" t="s">
        <v>36</v>
      </c>
      <c r="B518" s="86" t="s">
        <v>1268</v>
      </c>
      <c r="C518" s="87">
        <v>1000000</v>
      </c>
      <c r="D518" s="87">
        <v>1</v>
      </c>
      <c r="E518" s="87">
        <v>1000000</v>
      </c>
      <c r="F518" s="86">
        <v>2015.7</v>
      </c>
      <c r="G518" s="86" t="s">
        <v>1253</v>
      </c>
      <c r="H518" s="86" t="s">
        <v>1254</v>
      </c>
      <c r="I518" s="86" t="s">
        <v>1261</v>
      </c>
      <c r="J518" s="86" t="s">
        <v>1261</v>
      </c>
      <c r="K518" s="86" t="s">
        <v>1261</v>
      </c>
      <c r="L518" s="86" t="s">
        <v>1256</v>
      </c>
      <c r="M518" s="86" t="s">
        <v>420</v>
      </c>
      <c r="N518" s="86" t="s">
        <v>412</v>
      </c>
      <c r="O518" s="86" t="s">
        <v>413</v>
      </c>
      <c r="P518" s="86" t="s">
        <v>403</v>
      </c>
      <c r="Q518" s="86" t="s">
        <v>414</v>
      </c>
      <c r="R518" s="88" t="s">
        <v>1267</v>
      </c>
    </row>
    <row r="519" spans="1:18">
      <c r="A519" s="86" t="s">
        <v>36</v>
      </c>
      <c r="B519" s="86" t="s">
        <v>1524</v>
      </c>
      <c r="C519" s="87">
        <v>1400000</v>
      </c>
      <c r="D519" s="87">
        <v>1</v>
      </c>
      <c r="E519" s="87">
        <v>1400000</v>
      </c>
      <c r="F519" s="86">
        <v>2022.12</v>
      </c>
      <c r="G519" s="86" t="s">
        <v>1253</v>
      </c>
      <c r="H519" s="86" t="s">
        <v>1254</v>
      </c>
      <c r="I519" s="86" t="s">
        <v>408</v>
      </c>
      <c r="J519" s="86" t="s">
        <v>408</v>
      </c>
      <c r="K519" s="86" t="s">
        <v>408</v>
      </c>
      <c r="L519" s="86" t="s">
        <v>1256</v>
      </c>
      <c r="M519" s="86" t="s">
        <v>539</v>
      </c>
      <c r="N519" s="86" t="s">
        <v>412</v>
      </c>
      <c r="O519" s="86" t="s">
        <v>413</v>
      </c>
      <c r="P519" s="86" t="s">
        <v>403</v>
      </c>
      <c r="Q519" s="86" t="s">
        <v>414</v>
      </c>
      <c r="R519" s="88" t="s">
        <v>1525</v>
      </c>
    </row>
    <row r="520" spans="1:18">
      <c r="A520" s="86" t="s">
        <v>36</v>
      </c>
      <c r="B520" s="86" t="s">
        <v>1269</v>
      </c>
      <c r="C520" s="87">
        <v>700000</v>
      </c>
      <c r="D520" s="87">
        <v>1</v>
      </c>
      <c r="E520" s="87">
        <v>700000</v>
      </c>
      <c r="F520" s="86">
        <v>1997.7</v>
      </c>
      <c r="G520" s="86" t="s">
        <v>1270</v>
      </c>
      <c r="H520" s="86" t="s">
        <v>1271</v>
      </c>
      <c r="I520" s="86" t="s">
        <v>1272</v>
      </c>
      <c r="J520" s="86" t="s">
        <v>435</v>
      </c>
      <c r="K520" s="86" t="s">
        <v>435</v>
      </c>
      <c r="L520" s="86" t="s">
        <v>1256</v>
      </c>
      <c r="M520" s="86" t="s">
        <v>420</v>
      </c>
      <c r="N520" s="86" t="s">
        <v>412</v>
      </c>
      <c r="O520" s="86" t="s">
        <v>413</v>
      </c>
      <c r="P520" s="86" t="s">
        <v>403</v>
      </c>
      <c r="Q520" s="86" t="s">
        <v>414</v>
      </c>
      <c r="R520" s="88" t="s">
        <v>1267</v>
      </c>
    </row>
    <row r="521" spans="1:18">
      <c r="A521" s="86" t="s">
        <v>36</v>
      </c>
      <c r="B521" s="86" t="s">
        <v>1273</v>
      </c>
      <c r="C521" s="87">
        <v>700000</v>
      </c>
      <c r="D521" s="87">
        <v>1</v>
      </c>
      <c r="E521" s="87">
        <v>700000</v>
      </c>
      <c r="F521" s="86">
        <v>1998.7</v>
      </c>
      <c r="G521" s="86" t="s">
        <v>1270</v>
      </c>
      <c r="H521" s="86" t="s">
        <v>1271</v>
      </c>
      <c r="I521" s="86" t="s">
        <v>1274</v>
      </c>
      <c r="J521" s="86" t="s">
        <v>435</v>
      </c>
      <c r="K521" s="86" t="s">
        <v>435</v>
      </c>
      <c r="L521" s="86" t="s">
        <v>1256</v>
      </c>
      <c r="M521" s="86" t="s">
        <v>420</v>
      </c>
      <c r="N521" s="86" t="s">
        <v>412</v>
      </c>
      <c r="O521" s="86" t="s">
        <v>413</v>
      </c>
      <c r="P521" s="86" t="s">
        <v>403</v>
      </c>
      <c r="Q521" s="86" t="s">
        <v>414</v>
      </c>
      <c r="R521" s="88" t="s">
        <v>1267</v>
      </c>
    </row>
    <row r="522" spans="1:18">
      <c r="A522" s="86" t="s">
        <v>36</v>
      </c>
      <c r="B522" s="86" t="s">
        <v>1275</v>
      </c>
      <c r="C522" s="87">
        <v>700000</v>
      </c>
      <c r="D522" s="87">
        <v>1</v>
      </c>
      <c r="E522" s="87">
        <v>700000</v>
      </c>
      <c r="F522" s="86">
        <v>1999.1</v>
      </c>
      <c r="G522" s="86" t="s">
        <v>1270</v>
      </c>
      <c r="H522" s="86" t="s">
        <v>1271</v>
      </c>
      <c r="I522" s="86" t="s">
        <v>1274</v>
      </c>
      <c r="J522" s="86" t="s">
        <v>435</v>
      </c>
      <c r="K522" s="86" t="s">
        <v>435</v>
      </c>
      <c r="L522" s="86" t="s">
        <v>1256</v>
      </c>
      <c r="M522" s="86" t="s">
        <v>420</v>
      </c>
      <c r="N522" s="86" t="s">
        <v>412</v>
      </c>
      <c r="O522" s="86" t="s">
        <v>413</v>
      </c>
      <c r="P522" s="86" t="s">
        <v>403</v>
      </c>
      <c r="Q522" s="86" t="s">
        <v>414</v>
      </c>
      <c r="R522" s="88" t="s">
        <v>1267</v>
      </c>
    </row>
    <row r="523" spans="1:18">
      <c r="A523" s="86" t="s">
        <v>36</v>
      </c>
      <c r="B523" s="86" t="s">
        <v>1276</v>
      </c>
      <c r="C523" s="87">
        <v>950000</v>
      </c>
      <c r="D523" s="87">
        <v>1</v>
      </c>
      <c r="E523" s="87">
        <v>950000</v>
      </c>
      <c r="F523" s="86">
        <v>1986.8</v>
      </c>
      <c r="G523" s="86" t="s">
        <v>1253</v>
      </c>
      <c r="H523" s="86" t="s">
        <v>1254</v>
      </c>
      <c r="I523" s="86" t="s">
        <v>792</v>
      </c>
      <c r="J523" s="86" t="s">
        <v>792</v>
      </c>
      <c r="K523" s="86" t="s">
        <v>792</v>
      </c>
      <c r="L523" s="86" t="s">
        <v>1256</v>
      </c>
      <c r="M523" s="86" t="s">
        <v>420</v>
      </c>
      <c r="N523" s="86" t="s">
        <v>412</v>
      </c>
      <c r="O523" s="86" t="s">
        <v>413</v>
      </c>
      <c r="P523" s="86" t="s">
        <v>403</v>
      </c>
      <c r="Q523" s="86" t="s">
        <v>414</v>
      </c>
      <c r="R523" s="88" t="s">
        <v>1277</v>
      </c>
    </row>
    <row r="524" spans="1:18">
      <c r="A524" s="86" t="s">
        <v>36</v>
      </c>
      <c r="B524" s="86" t="s">
        <v>1278</v>
      </c>
      <c r="C524" s="87">
        <v>950000</v>
      </c>
      <c r="D524" s="87">
        <v>1</v>
      </c>
      <c r="E524" s="87">
        <v>950000</v>
      </c>
      <c r="F524" s="86">
        <v>1987.6</v>
      </c>
      <c r="G524" s="86" t="s">
        <v>1253</v>
      </c>
      <c r="H524" s="86" t="s">
        <v>1254</v>
      </c>
      <c r="I524" s="86" t="s">
        <v>792</v>
      </c>
      <c r="J524" s="86" t="s">
        <v>792</v>
      </c>
      <c r="K524" s="86" t="s">
        <v>792</v>
      </c>
      <c r="L524" s="86" t="s">
        <v>1256</v>
      </c>
      <c r="M524" s="86" t="s">
        <v>420</v>
      </c>
      <c r="N524" s="86" t="s">
        <v>412</v>
      </c>
      <c r="O524" s="86" t="s">
        <v>413</v>
      </c>
      <c r="P524" s="86" t="s">
        <v>403</v>
      </c>
      <c r="Q524" s="86" t="s">
        <v>414</v>
      </c>
      <c r="R524" s="88" t="s">
        <v>1277</v>
      </c>
    </row>
    <row r="525" spans="1:18">
      <c r="A525" s="86" t="s">
        <v>36</v>
      </c>
      <c r="B525" s="86" t="s">
        <v>1279</v>
      </c>
      <c r="C525" s="87">
        <v>1000000</v>
      </c>
      <c r="D525" s="87">
        <v>1</v>
      </c>
      <c r="E525" s="87">
        <v>1000000</v>
      </c>
      <c r="F525" s="86">
        <v>1995.3</v>
      </c>
      <c r="G525" s="86" t="s">
        <v>1253</v>
      </c>
      <c r="H525" s="86" t="s">
        <v>1254</v>
      </c>
      <c r="I525" s="86" t="s">
        <v>1280</v>
      </c>
      <c r="J525" s="86" t="s">
        <v>435</v>
      </c>
      <c r="K525" s="86" t="s">
        <v>435</v>
      </c>
      <c r="L525" s="86" t="s">
        <v>1256</v>
      </c>
      <c r="M525" s="86" t="s">
        <v>420</v>
      </c>
      <c r="N525" s="86" t="s">
        <v>412</v>
      </c>
      <c r="O525" s="86" t="s">
        <v>413</v>
      </c>
      <c r="P525" s="86" t="s">
        <v>403</v>
      </c>
      <c r="Q525" s="86" t="s">
        <v>414</v>
      </c>
      <c r="R525" s="88" t="s">
        <v>1277</v>
      </c>
    </row>
    <row r="526" spans="1:18">
      <c r="A526" s="86" t="s">
        <v>36</v>
      </c>
      <c r="B526" s="86" t="s">
        <v>1281</v>
      </c>
      <c r="C526" s="87">
        <v>1000000</v>
      </c>
      <c r="D526" s="87">
        <v>1</v>
      </c>
      <c r="E526" s="87">
        <v>1000000</v>
      </c>
      <c r="F526" s="86">
        <v>1996.1</v>
      </c>
      <c r="G526" s="86" t="s">
        <v>1253</v>
      </c>
      <c r="H526" s="86" t="s">
        <v>1254</v>
      </c>
      <c r="I526" s="86" t="s">
        <v>1280</v>
      </c>
      <c r="J526" s="86" t="s">
        <v>435</v>
      </c>
      <c r="K526" s="86" t="s">
        <v>435</v>
      </c>
      <c r="L526" s="86" t="s">
        <v>1256</v>
      </c>
      <c r="M526" s="86" t="s">
        <v>420</v>
      </c>
      <c r="N526" s="86" t="s">
        <v>412</v>
      </c>
      <c r="O526" s="86" t="s">
        <v>413</v>
      </c>
      <c r="P526" s="86" t="s">
        <v>403</v>
      </c>
      <c r="Q526" s="86" t="s">
        <v>414</v>
      </c>
      <c r="R526" s="88" t="s">
        <v>1277</v>
      </c>
    </row>
    <row r="527" spans="1:18">
      <c r="A527" s="86" t="s">
        <v>36</v>
      </c>
      <c r="B527" s="86" t="s">
        <v>1282</v>
      </c>
      <c r="C527" s="87">
        <v>1000000</v>
      </c>
      <c r="D527" s="87">
        <v>1</v>
      </c>
      <c r="E527" s="87">
        <v>1000000</v>
      </c>
      <c r="F527" s="86">
        <v>2002.5</v>
      </c>
      <c r="G527" s="86" t="s">
        <v>1253</v>
      </c>
      <c r="H527" s="86" t="s">
        <v>1254</v>
      </c>
      <c r="I527" s="86" t="s">
        <v>408</v>
      </c>
      <c r="J527" s="86" t="s">
        <v>408</v>
      </c>
      <c r="K527" s="86" t="s">
        <v>408</v>
      </c>
      <c r="L527" s="86" t="s">
        <v>1256</v>
      </c>
      <c r="M527" s="86" t="s">
        <v>420</v>
      </c>
      <c r="N527" s="86" t="s">
        <v>412</v>
      </c>
      <c r="O527" s="86" t="s">
        <v>413</v>
      </c>
      <c r="P527" s="86" t="s">
        <v>403</v>
      </c>
      <c r="Q527" s="86" t="s">
        <v>414</v>
      </c>
      <c r="R527" s="88" t="s">
        <v>1277</v>
      </c>
    </row>
    <row r="528" spans="1:18">
      <c r="A528" s="86" t="s">
        <v>36</v>
      </c>
      <c r="B528" s="86" t="s">
        <v>1283</v>
      </c>
      <c r="C528" s="87">
        <v>1000000</v>
      </c>
      <c r="D528" s="87">
        <v>1</v>
      </c>
      <c r="E528" s="87">
        <v>1000000</v>
      </c>
      <c r="F528" s="86">
        <v>2002.12</v>
      </c>
      <c r="G528" s="86" t="s">
        <v>1253</v>
      </c>
      <c r="H528" s="86" t="s">
        <v>1254</v>
      </c>
      <c r="I528" s="86" t="s">
        <v>408</v>
      </c>
      <c r="J528" s="86" t="s">
        <v>408</v>
      </c>
      <c r="K528" s="86" t="s">
        <v>408</v>
      </c>
      <c r="L528" s="86" t="s">
        <v>1256</v>
      </c>
      <c r="M528" s="86" t="s">
        <v>420</v>
      </c>
      <c r="N528" s="86" t="s">
        <v>412</v>
      </c>
      <c r="O528" s="86" t="s">
        <v>413</v>
      </c>
      <c r="P528" s="86" t="s">
        <v>403</v>
      </c>
      <c r="Q528" s="86" t="s">
        <v>414</v>
      </c>
      <c r="R528" s="88" t="s">
        <v>1277</v>
      </c>
    </row>
    <row r="529" spans="1:18">
      <c r="A529" s="86" t="s">
        <v>36</v>
      </c>
      <c r="B529" s="86" t="s">
        <v>1284</v>
      </c>
      <c r="C529" s="87">
        <v>950000</v>
      </c>
      <c r="D529" s="87">
        <v>1</v>
      </c>
      <c r="E529" s="87">
        <v>950000</v>
      </c>
      <c r="F529" s="86">
        <v>1988.9</v>
      </c>
      <c r="G529" s="86" t="s">
        <v>1253</v>
      </c>
      <c r="H529" s="86" t="s">
        <v>1254</v>
      </c>
      <c r="I529" s="86" t="s">
        <v>1285</v>
      </c>
      <c r="J529" s="86" t="s">
        <v>538</v>
      </c>
      <c r="K529" s="86" t="s">
        <v>538</v>
      </c>
      <c r="L529" s="86" t="s">
        <v>1256</v>
      </c>
      <c r="M529" s="86" t="s">
        <v>420</v>
      </c>
      <c r="N529" s="86" t="s">
        <v>412</v>
      </c>
      <c r="O529" s="86" t="s">
        <v>413</v>
      </c>
      <c r="P529" s="86" t="s">
        <v>403</v>
      </c>
      <c r="Q529" s="86" t="s">
        <v>414</v>
      </c>
      <c r="R529" s="88" t="s">
        <v>1286</v>
      </c>
    </row>
    <row r="530" spans="1:18">
      <c r="A530" s="86" t="s">
        <v>36</v>
      </c>
      <c r="B530" s="86" t="s">
        <v>1287</v>
      </c>
      <c r="C530" s="87">
        <v>950000</v>
      </c>
      <c r="D530" s="87">
        <v>1</v>
      </c>
      <c r="E530" s="87">
        <v>950000</v>
      </c>
      <c r="F530" s="86">
        <v>1989.9</v>
      </c>
      <c r="G530" s="86" t="s">
        <v>1253</v>
      </c>
      <c r="H530" s="86" t="s">
        <v>1254</v>
      </c>
      <c r="I530" s="86" t="s">
        <v>1285</v>
      </c>
      <c r="J530" s="86" t="s">
        <v>538</v>
      </c>
      <c r="K530" s="86" t="s">
        <v>538</v>
      </c>
      <c r="L530" s="86" t="s">
        <v>1256</v>
      </c>
      <c r="M530" s="86" t="s">
        <v>420</v>
      </c>
      <c r="N530" s="86" t="s">
        <v>412</v>
      </c>
      <c r="O530" s="86" t="s">
        <v>413</v>
      </c>
      <c r="P530" s="86" t="s">
        <v>403</v>
      </c>
      <c r="Q530" s="86" t="s">
        <v>414</v>
      </c>
      <c r="R530" s="88" t="s">
        <v>1286</v>
      </c>
    </row>
    <row r="531" spans="1:18">
      <c r="A531" s="86" t="s">
        <v>36</v>
      </c>
      <c r="B531" s="86" t="s">
        <v>1288</v>
      </c>
      <c r="C531" s="87">
        <v>1000000</v>
      </c>
      <c r="D531" s="87">
        <v>1</v>
      </c>
      <c r="E531" s="87">
        <v>1000000</v>
      </c>
      <c r="F531" s="86">
        <v>1998.8</v>
      </c>
      <c r="G531" s="86" t="s">
        <v>1253</v>
      </c>
      <c r="H531" s="86" t="s">
        <v>1254</v>
      </c>
      <c r="I531" s="86" t="s">
        <v>1289</v>
      </c>
      <c r="J531" s="86" t="s">
        <v>435</v>
      </c>
      <c r="K531" s="86" t="s">
        <v>435</v>
      </c>
      <c r="L531" s="86" t="s">
        <v>1256</v>
      </c>
      <c r="M531" s="86" t="s">
        <v>420</v>
      </c>
      <c r="N531" s="86" t="s">
        <v>412</v>
      </c>
      <c r="O531" s="86" t="s">
        <v>413</v>
      </c>
      <c r="P531" s="86" t="s">
        <v>403</v>
      </c>
      <c r="Q531" s="86" t="s">
        <v>414</v>
      </c>
      <c r="R531" s="88" t="s">
        <v>1286</v>
      </c>
    </row>
    <row r="532" spans="1:18">
      <c r="A532" s="86" t="s">
        <v>36</v>
      </c>
      <c r="B532" s="86" t="s">
        <v>1290</v>
      </c>
      <c r="C532" s="87">
        <v>1000000</v>
      </c>
      <c r="D532" s="87">
        <v>1</v>
      </c>
      <c r="E532" s="87">
        <v>1000000</v>
      </c>
      <c r="F532" s="86">
        <v>1999.12</v>
      </c>
      <c r="G532" s="86" t="s">
        <v>1253</v>
      </c>
      <c r="H532" s="86" t="s">
        <v>1254</v>
      </c>
      <c r="I532" s="86" t="s">
        <v>1289</v>
      </c>
      <c r="J532" s="86" t="s">
        <v>435</v>
      </c>
      <c r="K532" s="86" t="s">
        <v>435</v>
      </c>
      <c r="L532" s="86" t="s">
        <v>1256</v>
      </c>
      <c r="M532" s="86" t="s">
        <v>420</v>
      </c>
      <c r="N532" s="86" t="s">
        <v>412</v>
      </c>
      <c r="O532" s="86" t="s">
        <v>413</v>
      </c>
      <c r="P532" s="86" t="s">
        <v>403</v>
      </c>
      <c r="Q532" s="86" t="s">
        <v>414</v>
      </c>
      <c r="R532" s="88" t="s">
        <v>1286</v>
      </c>
    </row>
    <row r="533" spans="1:18">
      <c r="A533" s="86" t="s">
        <v>36</v>
      </c>
      <c r="B533" s="86" t="s">
        <v>1291</v>
      </c>
      <c r="C533" s="87">
        <v>1000000</v>
      </c>
      <c r="D533" s="87">
        <v>1</v>
      </c>
      <c r="E533" s="87">
        <v>1000000</v>
      </c>
      <c r="F533" s="86">
        <v>2004.7</v>
      </c>
      <c r="G533" s="86" t="s">
        <v>1253</v>
      </c>
      <c r="H533" s="86" t="s">
        <v>1254</v>
      </c>
      <c r="I533" s="86" t="s">
        <v>1292</v>
      </c>
      <c r="J533" s="86" t="s">
        <v>1261</v>
      </c>
      <c r="K533" s="86" t="s">
        <v>1261</v>
      </c>
      <c r="L533" s="86" t="s">
        <v>1256</v>
      </c>
      <c r="M533" s="86" t="s">
        <v>420</v>
      </c>
      <c r="N533" s="86" t="s">
        <v>412</v>
      </c>
      <c r="O533" s="86" t="s">
        <v>413</v>
      </c>
      <c r="P533" s="86" t="s">
        <v>403</v>
      </c>
      <c r="Q533" s="86" t="s">
        <v>414</v>
      </c>
      <c r="R533" s="88" t="s">
        <v>1286</v>
      </c>
    </row>
    <row r="534" spans="1:18">
      <c r="A534" s="86" t="s">
        <v>36</v>
      </c>
      <c r="B534" s="86" t="s">
        <v>1293</v>
      </c>
      <c r="C534" s="87">
        <v>1000000</v>
      </c>
      <c r="D534" s="87">
        <v>1</v>
      </c>
      <c r="E534" s="87">
        <v>1000000</v>
      </c>
      <c r="F534" s="86">
        <v>2005.4</v>
      </c>
      <c r="G534" s="86" t="s">
        <v>1253</v>
      </c>
      <c r="H534" s="86" t="s">
        <v>1254</v>
      </c>
      <c r="I534" s="86" t="s">
        <v>1292</v>
      </c>
      <c r="J534" s="86" t="s">
        <v>1261</v>
      </c>
      <c r="K534" s="86" t="s">
        <v>1261</v>
      </c>
      <c r="L534" s="86" t="s">
        <v>1256</v>
      </c>
      <c r="M534" s="86" t="s">
        <v>420</v>
      </c>
      <c r="N534" s="86" t="s">
        <v>412</v>
      </c>
      <c r="O534" s="86" t="s">
        <v>413</v>
      </c>
      <c r="P534" s="86" t="s">
        <v>403</v>
      </c>
      <c r="Q534" s="86" t="s">
        <v>414</v>
      </c>
      <c r="R534" s="88" t="s">
        <v>1286</v>
      </c>
    </row>
    <row r="535" spans="1:18">
      <c r="A535" s="86" t="s">
        <v>1294</v>
      </c>
      <c r="B535" s="86" t="s">
        <v>1526</v>
      </c>
      <c r="C535" s="87">
        <v>54529</v>
      </c>
      <c r="D535" s="87">
        <v>1</v>
      </c>
      <c r="E535" s="87">
        <v>54529</v>
      </c>
      <c r="F535" s="86">
        <v>2008.1</v>
      </c>
      <c r="G535" s="86" t="s">
        <v>1296</v>
      </c>
      <c r="H535" s="86" t="s">
        <v>1304</v>
      </c>
      <c r="I535" s="86" t="s">
        <v>582</v>
      </c>
      <c r="J535" s="86" t="s">
        <v>706</v>
      </c>
      <c r="K535" s="86" t="s">
        <v>706</v>
      </c>
      <c r="L535" s="86" t="s">
        <v>1527</v>
      </c>
      <c r="M535" s="86" t="s">
        <v>107</v>
      </c>
      <c r="N535" s="86" t="s">
        <v>1298</v>
      </c>
      <c r="O535" s="86" t="s">
        <v>413</v>
      </c>
      <c r="P535" s="86" t="s">
        <v>403</v>
      </c>
      <c r="Q535" s="86" t="s">
        <v>550</v>
      </c>
      <c r="R535" s="88" t="s">
        <v>1305</v>
      </c>
    </row>
    <row r="536" spans="1:18">
      <c r="A536" s="86" t="s">
        <v>1294</v>
      </c>
      <c r="B536" s="86" t="s">
        <v>1528</v>
      </c>
      <c r="C536" s="87">
        <v>30540</v>
      </c>
      <c r="D536" s="87">
        <v>1</v>
      </c>
      <c r="E536" s="87">
        <v>30540</v>
      </c>
      <c r="F536" s="86">
        <v>2009.11</v>
      </c>
      <c r="G536" s="86" t="s">
        <v>1296</v>
      </c>
      <c r="H536" s="86" t="s">
        <v>1304</v>
      </c>
      <c r="I536" s="86" t="s">
        <v>582</v>
      </c>
      <c r="J536" s="86" t="s">
        <v>706</v>
      </c>
      <c r="K536" s="86" t="s">
        <v>706</v>
      </c>
      <c r="L536" s="86" t="s">
        <v>1527</v>
      </c>
      <c r="M536" s="86" t="s">
        <v>107</v>
      </c>
      <c r="N536" s="86" t="s">
        <v>1298</v>
      </c>
      <c r="O536" s="86" t="s">
        <v>413</v>
      </c>
      <c r="P536" s="86" t="s">
        <v>403</v>
      </c>
      <c r="Q536" s="86" t="s">
        <v>550</v>
      </c>
      <c r="R536" s="88" t="s">
        <v>1305</v>
      </c>
    </row>
    <row r="537" spans="1:18">
      <c r="A537" s="86" t="s">
        <v>1294</v>
      </c>
      <c r="B537" s="86" t="s">
        <v>1529</v>
      </c>
      <c r="C537" s="87">
        <v>60000</v>
      </c>
      <c r="D537" s="87">
        <v>1</v>
      </c>
      <c r="E537" s="87">
        <v>60000</v>
      </c>
      <c r="F537" s="86">
        <v>2014.1</v>
      </c>
      <c r="G537" s="86" t="s">
        <v>1296</v>
      </c>
      <c r="H537" s="86" t="s">
        <v>41</v>
      </c>
      <c r="I537" s="86" t="s">
        <v>582</v>
      </c>
      <c r="J537" s="86" t="s">
        <v>706</v>
      </c>
      <c r="K537" s="86" t="s">
        <v>670</v>
      </c>
      <c r="L537" s="86" t="s">
        <v>1527</v>
      </c>
      <c r="M537" s="86" t="s">
        <v>411</v>
      </c>
      <c r="N537" s="86" t="s">
        <v>1298</v>
      </c>
      <c r="O537" s="86" t="s">
        <v>413</v>
      </c>
      <c r="P537" s="86" t="s">
        <v>403</v>
      </c>
      <c r="Q537" s="86" t="s">
        <v>550</v>
      </c>
      <c r="R537" s="88" t="s">
        <v>1305</v>
      </c>
    </row>
    <row r="538" spans="1:18">
      <c r="A538" s="86" t="s">
        <v>1294</v>
      </c>
      <c r="B538" s="86" t="s">
        <v>1530</v>
      </c>
      <c r="C538" s="87">
        <v>250000</v>
      </c>
      <c r="D538" s="87">
        <v>1</v>
      </c>
      <c r="E538" s="87">
        <v>250000</v>
      </c>
      <c r="F538" s="86">
        <v>2016.4</v>
      </c>
      <c r="G538" s="86" t="s">
        <v>1296</v>
      </c>
      <c r="H538" s="86" t="s">
        <v>49</v>
      </c>
      <c r="I538" s="86" t="s">
        <v>1306</v>
      </c>
      <c r="J538" s="86" t="s">
        <v>706</v>
      </c>
      <c r="K538" s="86" t="s">
        <v>706</v>
      </c>
      <c r="L538" s="86" t="s">
        <v>1527</v>
      </c>
      <c r="M538" s="86" t="s">
        <v>1307</v>
      </c>
      <c r="N538" s="86" t="s">
        <v>1298</v>
      </c>
      <c r="O538" s="86" t="s">
        <v>413</v>
      </c>
      <c r="P538" s="86" t="s">
        <v>403</v>
      </c>
      <c r="Q538" s="86" t="s">
        <v>550</v>
      </c>
      <c r="R538" s="88" t="s">
        <v>1305</v>
      </c>
    </row>
    <row r="539" spans="1:18">
      <c r="A539" s="86" t="s">
        <v>1294</v>
      </c>
      <c r="B539" s="86" t="s">
        <v>1531</v>
      </c>
      <c r="C539" s="87">
        <v>28500</v>
      </c>
      <c r="D539" s="87">
        <v>1</v>
      </c>
      <c r="E539" s="87">
        <v>28500</v>
      </c>
      <c r="F539" s="86">
        <v>2017.4</v>
      </c>
      <c r="G539" s="86" t="s">
        <v>1296</v>
      </c>
      <c r="H539" s="86" t="s">
        <v>49</v>
      </c>
      <c r="I539" s="86" t="s">
        <v>107</v>
      </c>
      <c r="J539" s="86" t="s">
        <v>706</v>
      </c>
      <c r="K539" s="86" t="s">
        <v>706</v>
      </c>
      <c r="L539" s="86" t="s">
        <v>1527</v>
      </c>
      <c r="M539" s="86" t="s">
        <v>411</v>
      </c>
      <c r="N539" s="86" t="s">
        <v>1298</v>
      </c>
      <c r="O539" s="86" t="s">
        <v>413</v>
      </c>
      <c r="P539" s="86" t="s">
        <v>403</v>
      </c>
      <c r="Q539" s="86" t="s">
        <v>550</v>
      </c>
      <c r="R539" s="88" t="s">
        <v>1305</v>
      </c>
    </row>
    <row r="540" spans="1:18">
      <c r="A540" s="86" t="s">
        <v>1294</v>
      </c>
      <c r="B540" s="86" t="s">
        <v>1295</v>
      </c>
      <c r="C540" s="87">
        <v>102588</v>
      </c>
      <c r="D540" s="87">
        <v>1</v>
      </c>
      <c r="E540" s="87">
        <v>102588</v>
      </c>
      <c r="F540" s="86">
        <v>2012.11</v>
      </c>
      <c r="G540" s="86" t="s">
        <v>1296</v>
      </c>
      <c r="H540" s="86" t="s">
        <v>38</v>
      </c>
      <c r="I540" s="86" t="s">
        <v>107</v>
      </c>
      <c r="J540" s="86" t="s">
        <v>706</v>
      </c>
      <c r="K540" s="86" t="s">
        <v>706</v>
      </c>
      <c r="L540" s="86" t="s">
        <v>1297</v>
      </c>
      <c r="M540" s="86" t="s">
        <v>411</v>
      </c>
      <c r="N540" s="86" t="s">
        <v>1298</v>
      </c>
      <c r="O540" s="86" t="s">
        <v>413</v>
      </c>
      <c r="P540" s="86" t="s">
        <v>403</v>
      </c>
      <c r="Q540" s="86" t="s">
        <v>414</v>
      </c>
      <c r="R540" s="88" t="s">
        <v>1299</v>
      </c>
    </row>
    <row r="541" spans="1:18">
      <c r="A541" s="86" t="s">
        <v>1294</v>
      </c>
      <c r="B541" s="86" t="s">
        <v>1295</v>
      </c>
      <c r="C541" s="87">
        <v>42200</v>
      </c>
      <c r="D541" s="87">
        <v>1</v>
      </c>
      <c r="E541" s="87">
        <v>42200</v>
      </c>
      <c r="F541" s="86">
        <v>2012.11</v>
      </c>
      <c r="G541" s="86" t="s">
        <v>1296</v>
      </c>
      <c r="H541" s="86" t="s">
        <v>38</v>
      </c>
      <c r="I541" s="86" t="s">
        <v>1300</v>
      </c>
      <c r="J541" s="86" t="s">
        <v>706</v>
      </c>
      <c r="K541" s="86" t="s">
        <v>751</v>
      </c>
      <c r="L541" s="86" t="s">
        <v>1297</v>
      </c>
      <c r="M541" s="86" t="s">
        <v>411</v>
      </c>
      <c r="N541" s="86" t="s">
        <v>1298</v>
      </c>
      <c r="O541" s="86" t="s">
        <v>413</v>
      </c>
      <c r="P541" s="86" t="s">
        <v>403</v>
      </c>
      <c r="Q541" s="86" t="s">
        <v>414</v>
      </c>
      <c r="R541" s="88" t="s">
        <v>1299</v>
      </c>
    </row>
    <row r="542" spans="1:18">
      <c r="A542" s="86" t="s">
        <v>1294</v>
      </c>
      <c r="B542" s="86" t="s">
        <v>1301</v>
      </c>
      <c r="C542" s="87">
        <v>97100</v>
      </c>
      <c r="D542" s="87">
        <v>1</v>
      </c>
      <c r="E542" s="87">
        <v>97100</v>
      </c>
      <c r="F542" s="86">
        <v>1991.11</v>
      </c>
      <c r="G542" s="86" t="s">
        <v>1296</v>
      </c>
      <c r="H542" s="86" t="s">
        <v>49</v>
      </c>
      <c r="I542" s="86" t="s">
        <v>794</v>
      </c>
      <c r="J542" s="86" t="s">
        <v>751</v>
      </c>
      <c r="K542" s="86" t="s">
        <v>751</v>
      </c>
      <c r="L542" s="86" t="s">
        <v>1302</v>
      </c>
      <c r="M542" s="86" t="s">
        <v>107</v>
      </c>
      <c r="N542" s="86" t="s">
        <v>1298</v>
      </c>
      <c r="O542" s="86" t="s">
        <v>413</v>
      </c>
      <c r="P542" s="86" t="s">
        <v>403</v>
      </c>
      <c r="Q542" s="86" t="s">
        <v>550</v>
      </c>
      <c r="R542" s="88" t="s">
        <v>1303</v>
      </c>
    </row>
    <row r="543" spans="1:18">
      <c r="A543" s="86" t="s">
        <v>1294</v>
      </c>
      <c r="B543" s="86" t="s">
        <v>1308</v>
      </c>
      <c r="C543" s="87">
        <v>119130</v>
      </c>
      <c r="D543" s="87">
        <v>1</v>
      </c>
      <c r="E543" s="87">
        <v>119130</v>
      </c>
      <c r="F543" s="86">
        <v>2009.4</v>
      </c>
      <c r="G543" s="86" t="s">
        <v>1296</v>
      </c>
      <c r="H543" s="86" t="s">
        <v>49</v>
      </c>
      <c r="I543" s="86" t="s">
        <v>1309</v>
      </c>
      <c r="J543" s="86" t="s">
        <v>1310</v>
      </c>
      <c r="K543" s="86" t="s">
        <v>706</v>
      </c>
      <c r="L543" s="86" t="s">
        <v>1311</v>
      </c>
      <c r="M543" s="86" t="s">
        <v>107</v>
      </c>
      <c r="N543" s="86" t="s">
        <v>1298</v>
      </c>
      <c r="O543" s="86" t="s">
        <v>413</v>
      </c>
      <c r="P543" s="86" t="s">
        <v>403</v>
      </c>
      <c r="Q543" s="86" t="s">
        <v>550</v>
      </c>
      <c r="R543" s="88" t="s">
        <v>1312</v>
      </c>
    </row>
    <row r="544" spans="1:18">
      <c r="A544" s="86" t="s">
        <v>1294</v>
      </c>
      <c r="B544" s="86" t="s">
        <v>1308</v>
      </c>
      <c r="C544" s="87">
        <v>144970</v>
      </c>
      <c r="D544" s="87">
        <v>1</v>
      </c>
      <c r="E544" s="87">
        <v>144970</v>
      </c>
      <c r="F544" s="86">
        <v>2016.2</v>
      </c>
      <c r="G544" s="86" t="s">
        <v>1296</v>
      </c>
      <c r="H544" s="86" t="s">
        <v>49</v>
      </c>
      <c r="I544" s="86" t="s">
        <v>1313</v>
      </c>
      <c r="J544" s="86" t="s">
        <v>706</v>
      </c>
      <c r="K544" s="86" t="s">
        <v>706</v>
      </c>
      <c r="L544" s="86" t="s">
        <v>1311</v>
      </c>
      <c r="M544" s="86" t="s">
        <v>411</v>
      </c>
      <c r="N544" s="86" t="s">
        <v>1298</v>
      </c>
      <c r="O544" s="86" t="s">
        <v>413</v>
      </c>
      <c r="P544" s="86" t="s">
        <v>403</v>
      </c>
      <c r="Q544" s="86" t="s">
        <v>550</v>
      </c>
      <c r="R544" s="88" t="s">
        <v>1312</v>
      </c>
    </row>
    <row r="545" spans="1:18">
      <c r="A545" s="86" t="s">
        <v>1294</v>
      </c>
      <c r="B545" s="86" t="s">
        <v>1314</v>
      </c>
      <c r="C545" s="87">
        <v>59000</v>
      </c>
      <c r="D545" s="87">
        <v>1</v>
      </c>
      <c r="E545" s="87">
        <v>59000</v>
      </c>
      <c r="F545" s="86">
        <v>2013.4</v>
      </c>
      <c r="G545" s="86" t="s">
        <v>1296</v>
      </c>
      <c r="H545" s="86" t="s">
        <v>49</v>
      </c>
      <c r="I545" s="86" t="s">
        <v>107</v>
      </c>
      <c r="J545" s="86" t="s">
        <v>107</v>
      </c>
      <c r="K545" s="86" t="s">
        <v>107</v>
      </c>
      <c r="L545" s="86" t="s">
        <v>1315</v>
      </c>
      <c r="M545" s="86" t="s">
        <v>107</v>
      </c>
      <c r="N545" s="86" t="s">
        <v>1298</v>
      </c>
      <c r="O545" s="86" t="s">
        <v>413</v>
      </c>
      <c r="P545" s="86" t="s">
        <v>403</v>
      </c>
      <c r="Q545" s="86" t="s">
        <v>550</v>
      </c>
      <c r="R545" s="88" t="s">
        <v>1316</v>
      </c>
    </row>
    <row r="546" spans="1:18">
      <c r="A546" s="86" t="s">
        <v>1294</v>
      </c>
      <c r="B546" s="86" t="s">
        <v>1532</v>
      </c>
      <c r="C546" s="87">
        <v>229620</v>
      </c>
      <c r="D546" s="87">
        <v>1</v>
      </c>
      <c r="E546" s="87">
        <v>229620</v>
      </c>
      <c r="F546" s="86">
        <v>2023.07</v>
      </c>
      <c r="G546" s="86" t="s">
        <v>1296</v>
      </c>
      <c r="H546" s="86" t="s">
        <v>38</v>
      </c>
      <c r="I546" s="86" t="s">
        <v>1533</v>
      </c>
      <c r="J546" s="86" t="s">
        <v>1533</v>
      </c>
      <c r="K546" s="86" t="s">
        <v>1533</v>
      </c>
      <c r="L546" s="86" t="s">
        <v>508</v>
      </c>
      <c r="M546" s="86" t="s">
        <v>1508</v>
      </c>
      <c r="N546" s="86" t="s">
        <v>1298</v>
      </c>
      <c r="O546" s="86" t="s">
        <v>413</v>
      </c>
      <c r="P546" s="86" t="s">
        <v>403</v>
      </c>
      <c r="Q546" s="86" t="s">
        <v>414</v>
      </c>
      <c r="R546" s="88" t="s">
        <v>1534</v>
      </c>
    </row>
    <row r="547" spans="1:18">
      <c r="A547" s="86" t="s">
        <v>1294</v>
      </c>
      <c r="B547" s="86" t="s">
        <v>1535</v>
      </c>
      <c r="C547" s="87">
        <v>120840</v>
      </c>
      <c r="D547" s="87">
        <v>1</v>
      </c>
      <c r="E547" s="87">
        <v>120840</v>
      </c>
      <c r="F547" s="86">
        <v>2023.07</v>
      </c>
      <c r="G547" s="86" t="s">
        <v>1296</v>
      </c>
      <c r="H547" s="86" t="s">
        <v>38</v>
      </c>
      <c r="I547" s="86" t="s">
        <v>1533</v>
      </c>
      <c r="J547" s="86" t="s">
        <v>1533</v>
      </c>
      <c r="K547" s="86" t="s">
        <v>1533</v>
      </c>
      <c r="L547" s="86" t="s">
        <v>508</v>
      </c>
      <c r="M547" s="86" t="s">
        <v>420</v>
      </c>
      <c r="N547" s="86" t="s">
        <v>1298</v>
      </c>
      <c r="O547" s="86" t="s">
        <v>413</v>
      </c>
      <c r="P547" s="86" t="s">
        <v>403</v>
      </c>
      <c r="Q547" s="86" t="s">
        <v>414</v>
      </c>
      <c r="R547" s="88" t="s">
        <v>1534</v>
      </c>
    </row>
    <row r="548" spans="1:18">
      <c r="A548" s="86" t="s">
        <v>1294</v>
      </c>
      <c r="B548" s="86" t="s">
        <v>1536</v>
      </c>
      <c r="C548" s="87">
        <v>329000</v>
      </c>
      <c r="D548" s="87">
        <v>1</v>
      </c>
      <c r="E548" s="87">
        <v>329000</v>
      </c>
      <c r="F548" s="86">
        <v>2023.05</v>
      </c>
      <c r="G548" s="86" t="s">
        <v>1296</v>
      </c>
      <c r="H548" s="86" t="s">
        <v>38</v>
      </c>
      <c r="I548" s="86" t="s">
        <v>693</v>
      </c>
      <c r="J548" s="86" t="s">
        <v>693</v>
      </c>
      <c r="K548" s="86" t="s">
        <v>693</v>
      </c>
      <c r="L548" s="86" t="s">
        <v>1537</v>
      </c>
      <c r="M548" s="86" t="s">
        <v>473</v>
      </c>
      <c r="N548" s="86" t="s">
        <v>1298</v>
      </c>
      <c r="O548" s="86" t="s">
        <v>413</v>
      </c>
      <c r="P548" s="86" t="s">
        <v>403</v>
      </c>
      <c r="Q548" s="86" t="s">
        <v>414</v>
      </c>
      <c r="R548" s="88" t="s">
        <v>1538</v>
      </c>
    </row>
    <row r="549" spans="1:18">
      <c r="A549" s="86" t="s">
        <v>1294</v>
      </c>
      <c r="B549" s="86" t="s">
        <v>1539</v>
      </c>
      <c r="C549" s="87">
        <v>166000</v>
      </c>
      <c r="D549" s="87">
        <v>1</v>
      </c>
      <c r="E549" s="87">
        <v>166000</v>
      </c>
      <c r="F549" s="86">
        <v>2023.05</v>
      </c>
      <c r="G549" s="86" t="s">
        <v>1296</v>
      </c>
      <c r="H549" s="86" t="s">
        <v>38</v>
      </c>
      <c r="I549" s="86" t="s">
        <v>693</v>
      </c>
      <c r="J549" s="86" t="s">
        <v>693</v>
      </c>
      <c r="K549" s="86" t="s">
        <v>693</v>
      </c>
      <c r="L549" s="86" t="s">
        <v>1537</v>
      </c>
      <c r="M549" s="86" t="s">
        <v>1540</v>
      </c>
      <c r="N549" s="86" t="s">
        <v>1298</v>
      </c>
      <c r="O549" s="86" t="s">
        <v>413</v>
      </c>
      <c r="P549" s="86" t="s">
        <v>403</v>
      </c>
      <c r="Q549" s="86" t="s">
        <v>414</v>
      </c>
      <c r="R549" s="88" t="s">
        <v>1538</v>
      </c>
    </row>
    <row r="550" spans="1:18">
      <c r="A550" s="86" t="s">
        <v>1294</v>
      </c>
      <c r="B550" s="86" t="s">
        <v>1317</v>
      </c>
      <c r="C550" s="87">
        <v>37000</v>
      </c>
      <c r="D550" s="87">
        <v>1</v>
      </c>
      <c r="E550" s="87">
        <v>37000</v>
      </c>
      <c r="F550" s="86">
        <v>1994.12</v>
      </c>
      <c r="G550" s="86" t="s">
        <v>1296</v>
      </c>
      <c r="H550" s="86" t="s">
        <v>38</v>
      </c>
      <c r="I550" s="86" t="s">
        <v>408</v>
      </c>
      <c r="J550" s="86" t="s">
        <v>1318</v>
      </c>
      <c r="K550" s="86" t="s">
        <v>1319</v>
      </c>
      <c r="L550" s="86" t="s">
        <v>1320</v>
      </c>
      <c r="M550" s="86" t="s">
        <v>411</v>
      </c>
      <c r="N550" s="86" t="s">
        <v>1298</v>
      </c>
      <c r="O550" s="86" t="s">
        <v>413</v>
      </c>
      <c r="P550" s="86" t="s">
        <v>403</v>
      </c>
      <c r="Q550" s="86" t="s">
        <v>414</v>
      </c>
      <c r="R550" s="88" t="s">
        <v>1321</v>
      </c>
    </row>
    <row r="551" spans="1:18">
      <c r="A551" s="86" t="s">
        <v>1294</v>
      </c>
      <c r="B551" s="86" t="s">
        <v>1322</v>
      </c>
      <c r="C551" s="87">
        <v>24000</v>
      </c>
      <c r="D551" s="87">
        <v>1</v>
      </c>
      <c r="E551" s="87">
        <v>24000</v>
      </c>
      <c r="F551" s="86">
        <v>2007.1</v>
      </c>
      <c r="G551" s="86" t="s">
        <v>1296</v>
      </c>
      <c r="H551" s="86" t="s">
        <v>38</v>
      </c>
      <c r="I551" s="86" t="s">
        <v>1323</v>
      </c>
      <c r="J551" s="86" t="s">
        <v>1324</v>
      </c>
      <c r="K551" s="86" t="s">
        <v>1324</v>
      </c>
      <c r="L551" s="86" t="s">
        <v>1325</v>
      </c>
      <c r="M551" s="86" t="s">
        <v>411</v>
      </c>
      <c r="N551" s="86" t="s">
        <v>1298</v>
      </c>
      <c r="O551" s="86" t="s">
        <v>413</v>
      </c>
      <c r="P551" s="86" t="s">
        <v>403</v>
      </c>
      <c r="Q551" s="86" t="s">
        <v>414</v>
      </c>
      <c r="R551" s="88" t="s">
        <v>1326</v>
      </c>
    </row>
    <row r="552" spans="1:18">
      <c r="A552" s="86" t="s">
        <v>1294</v>
      </c>
      <c r="B552" s="86" t="s">
        <v>1327</v>
      </c>
      <c r="C552" s="87">
        <v>239900</v>
      </c>
      <c r="D552" s="87">
        <v>1</v>
      </c>
      <c r="E552" s="87">
        <v>239900</v>
      </c>
      <c r="F552" s="86">
        <v>2014.12</v>
      </c>
      <c r="G552" s="86" t="s">
        <v>1296</v>
      </c>
      <c r="H552" s="86" t="s">
        <v>38</v>
      </c>
      <c r="I552" s="86" t="s">
        <v>107</v>
      </c>
      <c r="J552" s="86" t="s">
        <v>706</v>
      </c>
      <c r="K552" s="86" t="s">
        <v>706</v>
      </c>
      <c r="L552" s="86" t="s">
        <v>1328</v>
      </c>
      <c r="M552" s="86" t="s">
        <v>716</v>
      </c>
      <c r="N552" s="86" t="s">
        <v>1298</v>
      </c>
      <c r="O552" s="86" t="s">
        <v>413</v>
      </c>
      <c r="P552" s="86" t="s">
        <v>403</v>
      </c>
      <c r="Q552" s="86" t="s">
        <v>414</v>
      </c>
      <c r="R552" s="88" t="s">
        <v>1329</v>
      </c>
    </row>
    <row r="553" spans="1:18">
      <c r="A553" s="86" t="s">
        <v>1294</v>
      </c>
      <c r="B553" s="86" t="s">
        <v>1327</v>
      </c>
      <c r="C553" s="87">
        <v>130800</v>
      </c>
      <c r="D553" s="87">
        <v>1</v>
      </c>
      <c r="E553" s="87">
        <v>130800</v>
      </c>
      <c r="F553" s="86">
        <v>2014.12</v>
      </c>
      <c r="G553" s="86" t="s">
        <v>1296</v>
      </c>
      <c r="H553" s="86" t="s">
        <v>38</v>
      </c>
      <c r="I553" s="86" t="s">
        <v>453</v>
      </c>
      <c r="J553" s="86" t="s">
        <v>706</v>
      </c>
      <c r="K553" s="86" t="s">
        <v>706</v>
      </c>
      <c r="L553" s="86" t="s">
        <v>1328</v>
      </c>
      <c r="M553" s="86" t="s">
        <v>716</v>
      </c>
      <c r="N553" s="86" t="s">
        <v>1298</v>
      </c>
      <c r="O553" s="86" t="s">
        <v>413</v>
      </c>
      <c r="P553" s="86" t="s">
        <v>403</v>
      </c>
      <c r="Q553" s="86" t="s">
        <v>414</v>
      </c>
      <c r="R553" s="88" t="s">
        <v>1329</v>
      </c>
    </row>
    <row r="554" spans="1:18">
      <c r="A554" s="86" t="s">
        <v>1294</v>
      </c>
      <c r="B554" s="86" t="s">
        <v>1330</v>
      </c>
      <c r="C554" s="87">
        <v>43500</v>
      </c>
      <c r="D554" s="87">
        <v>1</v>
      </c>
      <c r="E554" s="87">
        <v>43500</v>
      </c>
      <c r="F554" s="86">
        <v>1997.3</v>
      </c>
      <c r="G554" s="86" t="s">
        <v>1296</v>
      </c>
      <c r="H554" s="86" t="s">
        <v>44</v>
      </c>
      <c r="I554" s="86" t="s">
        <v>1181</v>
      </c>
      <c r="J554" s="86" t="s">
        <v>1196</v>
      </c>
      <c r="K554" s="86" t="s">
        <v>1331</v>
      </c>
      <c r="L554" s="86" t="s">
        <v>1297</v>
      </c>
      <c r="M554" s="86" t="s">
        <v>411</v>
      </c>
      <c r="N554" s="86" t="s">
        <v>1298</v>
      </c>
      <c r="O554" s="86" t="s">
        <v>413</v>
      </c>
      <c r="P554" s="86" t="s">
        <v>403</v>
      </c>
      <c r="Q554" s="86" t="s">
        <v>414</v>
      </c>
      <c r="R554" s="88" t="s">
        <v>1332</v>
      </c>
    </row>
    <row r="555" spans="1:18">
      <c r="A555" s="86" t="s">
        <v>1294</v>
      </c>
      <c r="B555" s="86" t="s">
        <v>1333</v>
      </c>
      <c r="C555" s="87">
        <v>72900</v>
      </c>
      <c r="D555" s="87">
        <v>1</v>
      </c>
      <c r="E555" s="87">
        <v>72900</v>
      </c>
      <c r="F555" s="86">
        <v>2004.2</v>
      </c>
      <c r="G555" s="86" t="s">
        <v>1296</v>
      </c>
      <c r="H555" s="86" t="s">
        <v>49</v>
      </c>
      <c r="I555" s="86" t="s">
        <v>1334</v>
      </c>
      <c r="J555" s="86" t="s">
        <v>706</v>
      </c>
      <c r="K555" s="86" t="s">
        <v>706</v>
      </c>
      <c r="L555" s="86" t="s">
        <v>1335</v>
      </c>
      <c r="M555" s="86" t="s">
        <v>411</v>
      </c>
      <c r="N555" s="86" t="s">
        <v>1298</v>
      </c>
      <c r="O555" s="86" t="s">
        <v>413</v>
      </c>
      <c r="P555" s="86" t="s">
        <v>403</v>
      </c>
      <c r="Q555" s="86" t="s">
        <v>550</v>
      </c>
      <c r="R555" s="88" t="s">
        <v>1336</v>
      </c>
    </row>
    <row r="556" spans="1:18">
      <c r="A556" s="86" t="s">
        <v>1294</v>
      </c>
      <c r="B556" s="86" t="s">
        <v>1337</v>
      </c>
      <c r="C556" s="87">
        <v>48300</v>
      </c>
      <c r="D556" s="87">
        <v>1</v>
      </c>
      <c r="E556" s="87">
        <v>48300</v>
      </c>
      <c r="F556" s="86">
        <v>2011.1</v>
      </c>
      <c r="G556" s="86" t="s">
        <v>1296</v>
      </c>
      <c r="H556" s="86" t="s">
        <v>38</v>
      </c>
      <c r="I556" s="86" t="s">
        <v>1338</v>
      </c>
      <c r="J556" s="86" t="s">
        <v>1196</v>
      </c>
      <c r="K556" s="86" t="s">
        <v>1319</v>
      </c>
      <c r="L556" s="86" t="s">
        <v>1339</v>
      </c>
      <c r="M556" s="86" t="s">
        <v>411</v>
      </c>
      <c r="N556" s="86" t="s">
        <v>1298</v>
      </c>
      <c r="O556" s="86" t="s">
        <v>413</v>
      </c>
      <c r="P556" s="86" t="s">
        <v>403</v>
      </c>
      <c r="Q556" s="86" t="s">
        <v>414</v>
      </c>
      <c r="R556" s="88" t="s">
        <v>1340</v>
      </c>
    </row>
    <row r="557" spans="1:18">
      <c r="A557" s="86" t="s">
        <v>1294</v>
      </c>
      <c r="B557" s="86" t="s">
        <v>1341</v>
      </c>
      <c r="C557" s="87">
        <v>88000</v>
      </c>
      <c r="D557" s="87">
        <v>1</v>
      </c>
      <c r="E557" s="87">
        <v>88000</v>
      </c>
      <c r="F557" s="86">
        <v>1997.7</v>
      </c>
      <c r="G557" s="86" t="s">
        <v>1296</v>
      </c>
      <c r="H557" s="86" t="s">
        <v>44</v>
      </c>
      <c r="I557" s="86" t="s">
        <v>582</v>
      </c>
      <c r="J557" s="86" t="s">
        <v>751</v>
      </c>
      <c r="K557" s="86" t="s">
        <v>751</v>
      </c>
      <c r="L557" s="86" t="s">
        <v>1342</v>
      </c>
      <c r="M557" s="86" t="s">
        <v>411</v>
      </c>
      <c r="N557" s="86" t="s">
        <v>1298</v>
      </c>
      <c r="O557" s="86" t="s">
        <v>413</v>
      </c>
      <c r="P557" s="86" t="s">
        <v>403</v>
      </c>
      <c r="Q557" s="86" t="s">
        <v>414</v>
      </c>
      <c r="R557" s="88" t="s">
        <v>1343</v>
      </c>
    </row>
    <row r="558" spans="1:18">
      <c r="A558" s="86" t="s">
        <v>1294</v>
      </c>
      <c r="B558" s="86" t="s">
        <v>1541</v>
      </c>
      <c r="C558" s="87">
        <v>48400</v>
      </c>
      <c r="D558" s="87">
        <v>1</v>
      </c>
      <c r="E558" s="87">
        <v>48400</v>
      </c>
      <c r="F558" s="86">
        <v>2013.3</v>
      </c>
      <c r="G558" s="86" t="s">
        <v>1296</v>
      </c>
      <c r="H558" s="86" t="s">
        <v>49</v>
      </c>
      <c r="I558" s="86" t="s">
        <v>107</v>
      </c>
      <c r="J558" s="86" t="s">
        <v>107</v>
      </c>
      <c r="K558" s="86" t="s">
        <v>107</v>
      </c>
      <c r="L558" s="86" t="s">
        <v>1542</v>
      </c>
      <c r="M558" s="86" t="s">
        <v>107</v>
      </c>
      <c r="N558" s="86" t="s">
        <v>1298</v>
      </c>
      <c r="O558" s="86" t="s">
        <v>413</v>
      </c>
      <c r="P558" s="86" t="s">
        <v>403</v>
      </c>
      <c r="Q558" s="86" t="s">
        <v>550</v>
      </c>
      <c r="R558" s="88" t="s">
        <v>1415</v>
      </c>
    </row>
    <row r="559" spans="1:18">
      <c r="A559" s="86" t="s">
        <v>1294</v>
      </c>
      <c r="B559" s="86" t="s">
        <v>1344</v>
      </c>
      <c r="C559" s="87">
        <v>246470</v>
      </c>
      <c r="D559" s="87">
        <v>1</v>
      </c>
      <c r="E559" s="87">
        <v>246470</v>
      </c>
      <c r="F559" s="86">
        <v>2017.11</v>
      </c>
      <c r="G559" s="86" t="s">
        <v>1296</v>
      </c>
      <c r="H559" s="86" t="s">
        <v>38</v>
      </c>
      <c r="I559" s="86" t="s">
        <v>1345</v>
      </c>
      <c r="J559" s="86" t="s">
        <v>408</v>
      </c>
      <c r="K559" s="86" t="s">
        <v>408</v>
      </c>
      <c r="L559" s="86" t="s">
        <v>1297</v>
      </c>
      <c r="M559" s="86" t="s">
        <v>695</v>
      </c>
      <c r="N559" s="86" t="s">
        <v>1298</v>
      </c>
      <c r="O559" s="86" t="s">
        <v>413</v>
      </c>
      <c r="P559" s="86" t="s">
        <v>403</v>
      </c>
      <c r="Q559" s="86" t="s">
        <v>414</v>
      </c>
      <c r="R559" s="88" t="s">
        <v>1346</v>
      </c>
    </row>
    <row r="560" spans="1:18">
      <c r="A560" s="86" t="s">
        <v>1294</v>
      </c>
      <c r="B560" s="86" t="s">
        <v>1347</v>
      </c>
      <c r="C560" s="87">
        <v>131910</v>
      </c>
      <c r="D560" s="87">
        <v>1</v>
      </c>
      <c r="E560" s="87">
        <v>131910</v>
      </c>
      <c r="F560" s="86">
        <v>2017.11</v>
      </c>
      <c r="G560" s="86" t="s">
        <v>1296</v>
      </c>
      <c r="H560" s="86" t="s">
        <v>38</v>
      </c>
      <c r="I560" s="86" t="s">
        <v>1345</v>
      </c>
      <c r="J560" s="86" t="s">
        <v>408</v>
      </c>
      <c r="K560" s="86" t="s">
        <v>408</v>
      </c>
      <c r="L560" s="86" t="s">
        <v>1297</v>
      </c>
      <c r="M560" s="86" t="s">
        <v>754</v>
      </c>
      <c r="N560" s="86" t="s">
        <v>1298</v>
      </c>
      <c r="O560" s="86" t="s">
        <v>413</v>
      </c>
      <c r="P560" s="86" t="s">
        <v>403</v>
      </c>
      <c r="Q560" s="86" t="s">
        <v>414</v>
      </c>
      <c r="R560" s="88" t="s">
        <v>1346</v>
      </c>
    </row>
    <row r="561" spans="1:18">
      <c r="A561" s="86" t="s">
        <v>1294</v>
      </c>
      <c r="B561" s="86" t="s">
        <v>1348</v>
      </c>
      <c r="C561" s="87">
        <v>246470</v>
      </c>
      <c r="D561" s="87">
        <v>1</v>
      </c>
      <c r="E561" s="87">
        <v>246470</v>
      </c>
      <c r="F561" s="86">
        <v>2017.12</v>
      </c>
      <c r="G561" s="86" t="s">
        <v>1296</v>
      </c>
      <c r="H561" s="86" t="s">
        <v>38</v>
      </c>
      <c r="I561" s="86" t="s">
        <v>1345</v>
      </c>
      <c r="J561" s="86" t="s">
        <v>408</v>
      </c>
      <c r="K561" s="86" t="s">
        <v>408</v>
      </c>
      <c r="L561" s="86" t="s">
        <v>1297</v>
      </c>
      <c r="M561" s="86" t="s">
        <v>695</v>
      </c>
      <c r="N561" s="86" t="s">
        <v>1298</v>
      </c>
      <c r="O561" s="86" t="s">
        <v>413</v>
      </c>
      <c r="P561" s="86" t="s">
        <v>403</v>
      </c>
      <c r="Q561" s="86" t="s">
        <v>414</v>
      </c>
      <c r="R561" s="88" t="s">
        <v>1346</v>
      </c>
    </row>
    <row r="562" spans="1:18">
      <c r="A562" s="86" t="s">
        <v>1294</v>
      </c>
      <c r="B562" s="86" t="s">
        <v>1349</v>
      </c>
      <c r="C562" s="87">
        <v>131910</v>
      </c>
      <c r="D562" s="87">
        <v>1</v>
      </c>
      <c r="E562" s="87">
        <v>131910</v>
      </c>
      <c r="F562" s="86">
        <v>2017.12</v>
      </c>
      <c r="G562" s="86" t="s">
        <v>1296</v>
      </c>
      <c r="H562" s="86" t="s">
        <v>38</v>
      </c>
      <c r="I562" s="86" t="s">
        <v>1345</v>
      </c>
      <c r="J562" s="86" t="s">
        <v>408</v>
      </c>
      <c r="K562" s="86" t="s">
        <v>408</v>
      </c>
      <c r="L562" s="86" t="s">
        <v>1297</v>
      </c>
      <c r="M562" s="86" t="s">
        <v>754</v>
      </c>
      <c r="N562" s="86" t="s">
        <v>1298</v>
      </c>
      <c r="O562" s="86" t="s">
        <v>413</v>
      </c>
      <c r="P562" s="86" t="s">
        <v>403</v>
      </c>
      <c r="Q562" s="86" t="s">
        <v>414</v>
      </c>
      <c r="R562" s="88" t="s">
        <v>1346</v>
      </c>
    </row>
    <row r="563" spans="1:18">
      <c r="A563" s="86" t="s">
        <v>1294</v>
      </c>
      <c r="B563" s="86" t="s">
        <v>1350</v>
      </c>
      <c r="C563" s="87">
        <v>289300</v>
      </c>
      <c r="D563" s="87">
        <v>1</v>
      </c>
      <c r="E563" s="87">
        <v>289300</v>
      </c>
      <c r="F563" s="86">
        <v>2016.2</v>
      </c>
      <c r="G563" s="86" t="s">
        <v>1296</v>
      </c>
      <c r="H563" s="86" t="s">
        <v>38</v>
      </c>
      <c r="I563" s="86" t="s">
        <v>107</v>
      </c>
      <c r="J563" s="86" t="s">
        <v>423</v>
      </c>
      <c r="K563" s="86" t="s">
        <v>423</v>
      </c>
      <c r="L563" s="86" t="s">
        <v>1351</v>
      </c>
      <c r="M563" s="86" t="s">
        <v>436</v>
      </c>
      <c r="N563" s="86" t="s">
        <v>1298</v>
      </c>
      <c r="O563" s="86" t="s">
        <v>413</v>
      </c>
      <c r="P563" s="86" t="s">
        <v>403</v>
      </c>
      <c r="Q563" s="86" t="s">
        <v>414</v>
      </c>
      <c r="R563" s="88" t="s">
        <v>1352</v>
      </c>
    </row>
    <row r="564" spans="1:18">
      <c r="A564" s="86" t="s">
        <v>1294</v>
      </c>
      <c r="B564" s="86" t="s">
        <v>1350</v>
      </c>
      <c r="C564" s="87">
        <v>146800</v>
      </c>
      <c r="D564" s="87">
        <v>1</v>
      </c>
      <c r="E564" s="87">
        <v>146800</v>
      </c>
      <c r="F564" s="86">
        <v>2016.2</v>
      </c>
      <c r="G564" s="86" t="s">
        <v>1296</v>
      </c>
      <c r="H564" s="86" t="s">
        <v>38</v>
      </c>
      <c r="I564" s="86" t="s">
        <v>1353</v>
      </c>
      <c r="J564" s="86" t="s">
        <v>423</v>
      </c>
      <c r="K564" s="86" t="s">
        <v>423</v>
      </c>
      <c r="L564" s="86" t="s">
        <v>1351</v>
      </c>
      <c r="M564" s="86" t="s">
        <v>695</v>
      </c>
      <c r="N564" s="86" t="s">
        <v>1298</v>
      </c>
      <c r="O564" s="86" t="s">
        <v>413</v>
      </c>
      <c r="P564" s="86" t="s">
        <v>403</v>
      </c>
      <c r="Q564" s="86" t="s">
        <v>414</v>
      </c>
      <c r="R564" s="88" t="s">
        <v>1352</v>
      </c>
    </row>
    <row r="565" spans="1:18">
      <c r="A565" s="86" t="s">
        <v>1294</v>
      </c>
      <c r="B565" s="86" t="s">
        <v>1354</v>
      </c>
      <c r="C565" s="87">
        <v>21000</v>
      </c>
      <c r="D565" s="87">
        <v>1</v>
      </c>
      <c r="E565" s="87">
        <v>21000</v>
      </c>
      <c r="F565" s="86">
        <v>1987.12</v>
      </c>
      <c r="G565" s="86" t="s">
        <v>1296</v>
      </c>
      <c r="H565" s="86" t="s">
        <v>38</v>
      </c>
      <c r="I565" s="86" t="s">
        <v>408</v>
      </c>
      <c r="J565" s="86" t="s">
        <v>706</v>
      </c>
      <c r="K565" s="86" t="s">
        <v>706</v>
      </c>
      <c r="L565" s="86" t="s">
        <v>1320</v>
      </c>
      <c r="M565" s="86" t="s">
        <v>411</v>
      </c>
      <c r="N565" s="86" t="s">
        <v>1298</v>
      </c>
      <c r="O565" s="86" t="s">
        <v>413</v>
      </c>
      <c r="P565" s="86" t="s">
        <v>403</v>
      </c>
      <c r="Q565" s="86" t="s">
        <v>414</v>
      </c>
      <c r="R565" s="88" t="s">
        <v>1355</v>
      </c>
    </row>
    <row r="566" spans="1:18">
      <c r="A566" s="86" t="s">
        <v>1294</v>
      </c>
      <c r="B566" s="86" t="s">
        <v>1356</v>
      </c>
      <c r="C566" s="87">
        <v>26300</v>
      </c>
      <c r="D566" s="87">
        <v>1</v>
      </c>
      <c r="E566" s="87">
        <v>26300</v>
      </c>
      <c r="F566" s="86">
        <v>1999.4</v>
      </c>
      <c r="G566" s="86" t="s">
        <v>1296</v>
      </c>
      <c r="H566" s="86" t="s">
        <v>44</v>
      </c>
      <c r="I566" s="86" t="s">
        <v>1357</v>
      </c>
      <c r="J566" s="86" t="s">
        <v>1196</v>
      </c>
      <c r="K566" s="86" t="s">
        <v>1196</v>
      </c>
      <c r="L566" s="86" t="s">
        <v>1358</v>
      </c>
      <c r="M566" s="86" t="s">
        <v>1102</v>
      </c>
      <c r="N566" s="86" t="s">
        <v>1298</v>
      </c>
      <c r="O566" s="86" t="s">
        <v>413</v>
      </c>
      <c r="P566" s="86" t="s">
        <v>403</v>
      </c>
      <c r="Q566" s="86" t="s">
        <v>414</v>
      </c>
      <c r="R566" s="88" t="s">
        <v>1359</v>
      </c>
    </row>
    <row r="567" spans="1:18">
      <c r="A567" s="86" t="s">
        <v>1294</v>
      </c>
      <c r="B567" s="86" t="s">
        <v>1360</v>
      </c>
      <c r="C567" s="87">
        <v>76955</v>
      </c>
      <c r="D567" s="87">
        <v>1</v>
      </c>
      <c r="E567" s="87">
        <v>76955</v>
      </c>
      <c r="F567" s="86">
        <v>1990.8</v>
      </c>
      <c r="G567" s="86" t="s">
        <v>1296</v>
      </c>
      <c r="H567" s="86" t="s">
        <v>49</v>
      </c>
      <c r="I567" s="86" t="s">
        <v>468</v>
      </c>
      <c r="J567" s="86" t="s">
        <v>751</v>
      </c>
      <c r="K567" s="86" t="s">
        <v>751</v>
      </c>
      <c r="L567" s="86" t="s">
        <v>1302</v>
      </c>
      <c r="M567" s="86" t="s">
        <v>411</v>
      </c>
      <c r="N567" s="86" t="s">
        <v>1298</v>
      </c>
      <c r="O567" s="86" t="s">
        <v>413</v>
      </c>
      <c r="P567" s="86" t="s">
        <v>403</v>
      </c>
      <c r="Q567" s="86" t="s">
        <v>550</v>
      </c>
      <c r="R567" s="88" t="s">
        <v>1361</v>
      </c>
    </row>
    <row r="568" spans="1:18">
      <c r="A568" s="86" t="s">
        <v>1294</v>
      </c>
      <c r="B568" s="86" t="s">
        <v>1362</v>
      </c>
      <c r="C568" s="87">
        <v>40030</v>
      </c>
      <c r="D568" s="87">
        <v>2</v>
      </c>
      <c r="E568" s="87">
        <v>80060</v>
      </c>
      <c r="F568" s="86">
        <v>2013.7</v>
      </c>
      <c r="G568" s="86" t="s">
        <v>1296</v>
      </c>
      <c r="H568" s="86" t="s">
        <v>38</v>
      </c>
      <c r="I568" s="86" t="s">
        <v>107</v>
      </c>
      <c r="J568" s="86" t="s">
        <v>706</v>
      </c>
      <c r="K568" s="86" t="s">
        <v>751</v>
      </c>
      <c r="L568" s="86" t="s">
        <v>1363</v>
      </c>
      <c r="M568" s="86" t="s">
        <v>411</v>
      </c>
      <c r="N568" s="86" t="s">
        <v>1298</v>
      </c>
      <c r="O568" s="86" t="s">
        <v>413</v>
      </c>
      <c r="P568" s="86" t="s">
        <v>403</v>
      </c>
      <c r="Q568" s="86" t="s">
        <v>414</v>
      </c>
      <c r="R568" s="88" t="s">
        <v>1364</v>
      </c>
    </row>
    <row r="569" spans="1:18">
      <c r="A569" s="86" t="s">
        <v>1294</v>
      </c>
      <c r="B569" s="86" t="s">
        <v>1362</v>
      </c>
      <c r="C569" s="87">
        <v>35350</v>
      </c>
      <c r="D569" s="87">
        <v>1</v>
      </c>
      <c r="E569" s="87">
        <v>35350</v>
      </c>
      <c r="F569" s="86">
        <v>2013.7</v>
      </c>
      <c r="G569" s="86" t="s">
        <v>1296</v>
      </c>
      <c r="H569" s="86" t="s">
        <v>38</v>
      </c>
      <c r="I569" s="86" t="s">
        <v>1365</v>
      </c>
      <c r="J569" s="86" t="s">
        <v>1366</v>
      </c>
      <c r="K569" s="86" t="s">
        <v>1367</v>
      </c>
      <c r="L569" s="86" t="s">
        <v>1363</v>
      </c>
      <c r="M569" s="86" t="s">
        <v>411</v>
      </c>
      <c r="N569" s="86" t="s">
        <v>1298</v>
      </c>
      <c r="O569" s="86" t="s">
        <v>413</v>
      </c>
      <c r="P569" s="86" t="s">
        <v>403</v>
      </c>
      <c r="Q569" s="86" t="s">
        <v>414</v>
      </c>
      <c r="R569" s="88" t="s">
        <v>1364</v>
      </c>
    </row>
    <row r="570" spans="1:18">
      <c r="A570" s="86" t="s">
        <v>1294</v>
      </c>
      <c r="B570" s="86" t="s">
        <v>1368</v>
      </c>
      <c r="C570" s="87">
        <v>19000</v>
      </c>
      <c r="D570" s="87">
        <v>1</v>
      </c>
      <c r="E570" s="87">
        <v>19000</v>
      </c>
      <c r="F570" s="86">
        <v>1993.2</v>
      </c>
      <c r="G570" s="86" t="s">
        <v>1296</v>
      </c>
      <c r="H570" s="86" t="s">
        <v>49</v>
      </c>
      <c r="I570" s="86" t="s">
        <v>1181</v>
      </c>
      <c r="J570" s="86" t="s">
        <v>1369</v>
      </c>
      <c r="K570" s="86" t="s">
        <v>1370</v>
      </c>
      <c r="L570" s="86" t="s">
        <v>1371</v>
      </c>
      <c r="M570" s="86" t="s">
        <v>107</v>
      </c>
      <c r="N570" s="86" t="s">
        <v>1298</v>
      </c>
      <c r="O570" s="86" t="s">
        <v>413</v>
      </c>
      <c r="P570" s="86" t="s">
        <v>403</v>
      </c>
      <c r="Q570" s="86" t="s">
        <v>550</v>
      </c>
      <c r="R570" s="88" t="s">
        <v>1372</v>
      </c>
    </row>
    <row r="571" spans="1:18">
      <c r="A571" s="86" t="s">
        <v>1294</v>
      </c>
      <c r="B571" s="86" t="s">
        <v>1373</v>
      </c>
      <c r="C571" s="87">
        <v>100000</v>
      </c>
      <c r="D571" s="87">
        <v>2</v>
      </c>
      <c r="E571" s="87">
        <v>200000</v>
      </c>
      <c r="F571" s="86">
        <v>1993.1</v>
      </c>
      <c r="G571" s="86" t="s">
        <v>1296</v>
      </c>
      <c r="H571" s="86" t="s">
        <v>38</v>
      </c>
      <c r="I571" s="86" t="s">
        <v>107</v>
      </c>
      <c r="J571" s="86" t="s">
        <v>792</v>
      </c>
      <c r="K571" s="86" t="s">
        <v>670</v>
      </c>
      <c r="L571" s="86" t="s">
        <v>1374</v>
      </c>
      <c r="M571" s="86" t="s">
        <v>411</v>
      </c>
      <c r="N571" s="86" t="s">
        <v>1298</v>
      </c>
      <c r="O571" s="86" t="s">
        <v>413</v>
      </c>
      <c r="P571" s="86" t="s">
        <v>403</v>
      </c>
      <c r="Q571" s="86" t="s">
        <v>414</v>
      </c>
      <c r="R571" s="88" t="s">
        <v>1375</v>
      </c>
    </row>
    <row r="572" spans="1:18">
      <c r="A572" s="86" t="s">
        <v>1294</v>
      </c>
      <c r="B572" s="86" t="s">
        <v>1373</v>
      </c>
      <c r="C572" s="87">
        <v>100000</v>
      </c>
      <c r="D572" s="87">
        <v>1</v>
      </c>
      <c r="E572" s="87">
        <v>100000</v>
      </c>
      <c r="F572" s="86">
        <v>1993.2</v>
      </c>
      <c r="G572" s="86" t="s">
        <v>1296</v>
      </c>
      <c r="H572" s="86" t="s">
        <v>38</v>
      </c>
      <c r="I572" s="86" t="s">
        <v>107</v>
      </c>
      <c r="J572" s="86" t="s">
        <v>792</v>
      </c>
      <c r="K572" s="86" t="s">
        <v>670</v>
      </c>
      <c r="L572" s="86" t="s">
        <v>1374</v>
      </c>
      <c r="M572" s="86" t="s">
        <v>411</v>
      </c>
      <c r="N572" s="86" t="s">
        <v>1298</v>
      </c>
      <c r="O572" s="86" t="s">
        <v>413</v>
      </c>
      <c r="P572" s="86" t="s">
        <v>403</v>
      </c>
      <c r="Q572" s="86" t="s">
        <v>414</v>
      </c>
      <c r="R572" s="88" t="s">
        <v>1375</v>
      </c>
    </row>
    <row r="573" spans="1:18">
      <c r="A573" s="86" t="s">
        <v>1294</v>
      </c>
      <c r="B573" s="86" t="s">
        <v>1376</v>
      </c>
      <c r="C573" s="87">
        <v>150000</v>
      </c>
      <c r="D573" s="87">
        <v>1</v>
      </c>
      <c r="E573" s="87">
        <v>150000</v>
      </c>
      <c r="F573" s="86">
        <v>1993.11</v>
      </c>
      <c r="G573" s="86" t="s">
        <v>1296</v>
      </c>
      <c r="H573" s="86" t="s">
        <v>38</v>
      </c>
      <c r="I573" s="86" t="s">
        <v>701</v>
      </c>
      <c r="J573" s="86" t="s">
        <v>701</v>
      </c>
      <c r="K573" s="86" t="s">
        <v>792</v>
      </c>
      <c r="L573" s="86" t="s">
        <v>1374</v>
      </c>
      <c r="M573" s="86" t="s">
        <v>695</v>
      </c>
      <c r="N573" s="86" t="s">
        <v>1298</v>
      </c>
      <c r="O573" s="86" t="s">
        <v>413</v>
      </c>
      <c r="P573" s="86" t="s">
        <v>403</v>
      </c>
      <c r="Q573" s="86" t="s">
        <v>414</v>
      </c>
      <c r="R573" s="88" t="s">
        <v>1375</v>
      </c>
    </row>
    <row r="574" spans="1:18">
      <c r="A574" s="86" t="s">
        <v>1294</v>
      </c>
      <c r="B574" s="86" t="s">
        <v>1377</v>
      </c>
      <c r="C574" s="87">
        <v>9800</v>
      </c>
      <c r="D574" s="87">
        <v>1</v>
      </c>
      <c r="E574" s="87">
        <v>9800</v>
      </c>
      <c r="F574" s="86">
        <v>2012.3</v>
      </c>
      <c r="G574" s="86" t="s">
        <v>1296</v>
      </c>
      <c r="H574" s="86" t="s">
        <v>49</v>
      </c>
      <c r="I574" s="86" t="s">
        <v>107</v>
      </c>
      <c r="J574" s="86" t="s">
        <v>107</v>
      </c>
      <c r="K574" s="86" t="s">
        <v>107</v>
      </c>
      <c r="L574" s="86" t="s">
        <v>1378</v>
      </c>
      <c r="M574" s="86" t="s">
        <v>107</v>
      </c>
      <c r="N574" s="86" t="s">
        <v>1298</v>
      </c>
      <c r="O574" s="86" t="s">
        <v>413</v>
      </c>
      <c r="P574" s="86" t="s">
        <v>403</v>
      </c>
      <c r="Q574" s="86" t="s">
        <v>550</v>
      </c>
      <c r="R574" s="88" t="s">
        <v>1379</v>
      </c>
    </row>
    <row r="575" spans="1:18">
      <c r="A575" s="86" t="s">
        <v>1294</v>
      </c>
      <c r="B575" s="86" t="s">
        <v>1380</v>
      </c>
      <c r="C575" s="87">
        <v>151500</v>
      </c>
      <c r="D575" s="87">
        <v>1</v>
      </c>
      <c r="E575" s="87">
        <v>151500</v>
      </c>
      <c r="F575" s="86">
        <v>2015.1</v>
      </c>
      <c r="G575" s="86" t="s">
        <v>1296</v>
      </c>
      <c r="H575" s="86" t="s">
        <v>49</v>
      </c>
      <c r="I575" s="86" t="s">
        <v>408</v>
      </c>
      <c r="J575" s="86" t="s">
        <v>408</v>
      </c>
      <c r="K575" s="86" t="s">
        <v>408</v>
      </c>
      <c r="L575" s="86" t="s">
        <v>1381</v>
      </c>
      <c r="M575" s="86" t="s">
        <v>754</v>
      </c>
      <c r="N575" s="86" t="s">
        <v>1298</v>
      </c>
      <c r="O575" s="86" t="s">
        <v>413</v>
      </c>
      <c r="P575" s="86" t="s">
        <v>403</v>
      </c>
      <c r="Q575" s="86" t="s">
        <v>550</v>
      </c>
      <c r="R575" s="88" t="s">
        <v>1382</v>
      </c>
    </row>
    <row r="576" spans="1:18">
      <c r="A576" s="86" t="s">
        <v>1294</v>
      </c>
      <c r="B576" s="86" t="s">
        <v>1380</v>
      </c>
      <c r="C576" s="87">
        <v>151500</v>
      </c>
      <c r="D576" s="87">
        <v>1</v>
      </c>
      <c r="E576" s="87">
        <v>151500</v>
      </c>
      <c r="F576" s="86">
        <v>2015.11</v>
      </c>
      <c r="G576" s="86" t="s">
        <v>1296</v>
      </c>
      <c r="H576" s="86" t="s">
        <v>49</v>
      </c>
      <c r="I576" s="86" t="s">
        <v>408</v>
      </c>
      <c r="J576" s="86" t="s">
        <v>408</v>
      </c>
      <c r="K576" s="86" t="s">
        <v>408</v>
      </c>
      <c r="L576" s="86" t="s">
        <v>1381</v>
      </c>
      <c r="M576" s="86" t="s">
        <v>754</v>
      </c>
      <c r="N576" s="86" t="s">
        <v>1298</v>
      </c>
      <c r="O576" s="86" t="s">
        <v>413</v>
      </c>
      <c r="P576" s="86" t="s">
        <v>403</v>
      </c>
      <c r="Q576" s="86" t="s">
        <v>550</v>
      </c>
      <c r="R576" s="88" t="s">
        <v>1382</v>
      </c>
    </row>
    <row r="577" spans="1:18">
      <c r="A577" s="86" t="s">
        <v>1294</v>
      </c>
      <c r="B577" s="86" t="s">
        <v>1383</v>
      </c>
      <c r="C577" s="87">
        <v>167104</v>
      </c>
      <c r="D577" s="87">
        <v>2</v>
      </c>
      <c r="E577" s="87">
        <v>334208</v>
      </c>
      <c r="F577" s="86">
        <v>2013.11</v>
      </c>
      <c r="G577" s="86" t="s">
        <v>1296</v>
      </c>
      <c r="H577" s="86" t="s">
        <v>38</v>
      </c>
      <c r="I577" s="86" t="s">
        <v>107</v>
      </c>
      <c r="J577" s="86" t="s">
        <v>408</v>
      </c>
      <c r="K577" s="86" t="s">
        <v>408</v>
      </c>
      <c r="L577" s="86" t="s">
        <v>442</v>
      </c>
      <c r="M577" s="86" t="s">
        <v>695</v>
      </c>
      <c r="N577" s="86" t="s">
        <v>1298</v>
      </c>
      <c r="O577" s="86" t="s">
        <v>413</v>
      </c>
      <c r="P577" s="86" t="s">
        <v>403</v>
      </c>
      <c r="Q577" s="86" t="s">
        <v>414</v>
      </c>
      <c r="R577" s="88" t="s">
        <v>1384</v>
      </c>
    </row>
    <row r="578" spans="1:18">
      <c r="A578" s="86" t="s">
        <v>1294</v>
      </c>
      <c r="B578" s="86" t="s">
        <v>1383</v>
      </c>
      <c r="C578" s="87">
        <v>196233</v>
      </c>
      <c r="D578" s="87">
        <v>1</v>
      </c>
      <c r="E578" s="87">
        <v>196233</v>
      </c>
      <c r="F578" s="86">
        <v>2013.11</v>
      </c>
      <c r="G578" s="86" t="s">
        <v>1296</v>
      </c>
      <c r="H578" s="86" t="s">
        <v>38</v>
      </c>
      <c r="I578" s="86" t="s">
        <v>408</v>
      </c>
      <c r="J578" s="86" t="s">
        <v>408</v>
      </c>
      <c r="K578" s="86" t="s">
        <v>408</v>
      </c>
      <c r="L578" s="86" t="s">
        <v>442</v>
      </c>
      <c r="M578" s="86" t="s">
        <v>695</v>
      </c>
      <c r="N578" s="86" t="s">
        <v>1298</v>
      </c>
      <c r="O578" s="86" t="s">
        <v>413</v>
      </c>
      <c r="P578" s="86" t="s">
        <v>403</v>
      </c>
      <c r="Q578" s="86" t="s">
        <v>414</v>
      </c>
      <c r="R578" s="88" t="s">
        <v>1384</v>
      </c>
    </row>
    <row r="579" spans="1:18">
      <c r="A579" s="86" t="s">
        <v>1294</v>
      </c>
      <c r="B579" s="86" t="s">
        <v>1385</v>
      </c>
      <c r="C579" s="87">
        <v>67450</v>
      </c>
      <c r="D579" s="87">
        <v>2</v>
      </c>
      <c r="E579" s="87">
        <v>134900</v>
      </c>
      <c r="F579" s="86">
        <v>2010.4</v>
      </c>
      <c r="G579" s="86" t="s">
        <v>1296</v>
      </c>
      <c r="H579" s="86" t="s">
        <v>38</v>
      </c>
      <c r="I579" s="86" t="s">
        <v>813</v>
      </c>
      <c r="J579" s="86" t="s">
        <v>693</v>
      </c>
      <c r="K579" s="86" t="s">
        <v>693</v>
      </c>
      <c r="L579" s="86" t="s">
        <v>1386</v>
      </c>
      <c r="M579" s="86" t="s">
        <v>411</v>
      </c>
      <c r="N579" s="86" t="s">
        <v>1298</v>
      </c>
      <c r="O579" s="86" t="s">
        <v>413</v>
      </c>
      <c r="P579" s="86" t="s">
        <v>403</v>
      </c>
      <c r="Q579" s="86" t="s">
        <v>414</v>
      </c>
      <c r="R579" s="88" t="s">
        <v>1387</v>
      </c>
    </row>
    <row r="580" spans="1:18">
      <c r="A580" s="86" t="s">
        <v>1294</v>
      </c>
      <c r="B580" s="86" t="s">
        <v>1385</v>
      </c>
      <c r="C580" s="87">
        <v>52400</v>
      </c>
      <c r="D580" s="87">
        <v>1</v>
      </c>
      <c r="E580" s="87">
        <v>52400</v>
      </c>
      <c r="F580" s="86">
        <v>2010.4</v>
      </c>
      <c r="G580" s="86" t="s">
        <v>1296</v>
      </c>
      <c r="H580" s="86" t="s">
        <v>38</v>
      </c>
      <c r="I580" s="86" t="s">
        <v>813</v>
      </c>
      <c r="J580" s="86" t="s">
        <v>693</v>
      </c>
      <c r="K580" s="86" t="s">
        <v>701</v>
      </c>
      <c r="L580" s="86" t="s">
        <v>1386</v>
      </c>
      <c r="M580" s="86" t="s">
        <v>411</v>
      </c>
      <c r="N580" s="86" t="s">
        <v>1298</v>
      </c>
      <c r="O580" s="86" t="s">
        <v>413</v>
      </c>
      <c r="P580" s="86" t="s">
        <v>403</v>
      </c>
      <c r="Q580" s="86" t="s">
        <v>414</v>
      </c>
      <c r="R580" s="88" t="s">
        <v>1387</v>
      </c>
    </row>
    <row r="581" spans="1:18">
      <c r="A581" s="86" t="s">
        <v>1294</v>
      </c>
      <c r="B581" s="86" t="s">
        <v>1388</v>
      </c>
      <c r="C581" s="87">
        <v>40033</v>
      </c>
      <c r="D581" s="87">
        <v>2</v>
      </c>
      <c r="E581" s="87">
        <v>80066</v>
      </c>
      <c r="F581" s="86">
        <v>2010.4</v>
      </c>
      <c r="G581" s="86" t="s">
        <v>1296</v>
      </c>
      <c r="H581" s="86" t="s">
        <v>38</v>
      </c>
      <c r="I581" s="86" t="s">
        <v>107</v>
      </c>
      <c r="J581" s="86" t="s">
        <v>706</v>
      </c>
      <c r="K581" s="86" t="s">
        <v>751</v>
      </c>
      <c r="L581" s="86" t="s">
        <v>1389</v>
      </c>
      <c r="M581" s="86" t="s">
        <v>411</v>
      </c>
      <c r="N581" s="86" t="s">
        <v>1298</v>
      </c>
      <c r="O581" s="86" t="s">
        <v>413</v>
      </c>
      <c r="P581" s="86" t="s">
        <v>403</v>
      </c>
      <c r="Q581" s="86" t="s">
        <v>414</v>
      </c>
      <c r="R581" s="88" t="s">
        <v>1390</v>
      </c>
    </row>
    <row r="582" spans="1:18">
      <c r="A582" s="86" t="s">
        <v>1294</v>
      </c>
      <c r="B582" s="86" t="s">
        <v>1388</v>
      </c>
      <c r="C582" s="87">
        <v>0</v>
      </c>
      <c r="D582" s="87">
        <v>0</v>
      </c>
      <c r="E582" s="87">
        <v>0</v>
      </c>
      <c r="F582" s="86">
        <v>2013.3</v>
      </c>
      <c r="G582" s="86" t="s">
        <v>1296</v>
      </c>
      <c r="H582" s="86" t="s">
        <v>38</v>
      </c>
      <c r="I582" s="86" t="s">
        <v>107</v>
      </c>
      <c r="J582" s="86" t="s">
        <v>107</v>
      </c>
      <c r="K582" s="86" t="s">
        <v>107</v>
      </c>
      <c r="L582" s="86" t="s">
        <v>107</v>
      </c>
      <c r="M582" s="86" t="s">
        <v>107</v>
      </c>
      <c r="N582" s="86" t="s">
        <v>107</v>
      </c>
      <c r="O582" s="86" t="s">
        <v>107</v>
      </c>
      <c r="P582" s="86" t="s">
        <v>107</v>
      </c>
      <c r="Q582" s="86" t="s">
        <v>107</v>
      </c>
      <c r="R582" s="88" t="s">
        <v>107</v>
      </c>
    </row>
    <row r="583" spans="1:18">
      <c r="A583" s="86" t="s">
        <v>1294</v>
      </c>
      <c r="B583" s="86" t="s">
        <v>1388</v>
      </c>
      <c r="C583" s="87">
        <v>35180</v>
      </c>
      <c r="D583" s="87">
        <v>1</v>
      </c>
      <c r="E583" s="87">
        <v>35180</v>
      </c>
      <c r="F583" s="86">
        <v>2010.4</v>
      </c>
      <c r="G583" s="86" t="s">
        <v>1296</v>
      </c>
      <c r="H583" s="86" t="s">
        <v>38</v>
      </c>
      <c r="I583" s="86" t="s">
        <v>1338</v>
      </c>
      <c r="J583" s="86" t="s">
        <v>1391</v>
      </c>
      <c r="K583" s="86" t="s">
        <v>852</v>
      </c>
      <c r="L583" s="86" t="s">
        <v>1389</v>
      </c>
      <c r="M583" s="86" t="s">
        <v>411</v>
      </c>
      <c r="N583" s="86" t="s">
        <v>1298</v>
      </c>
      <c r="O583" s="86" t="s">
        <v>413</v>
      </c>
      <c r="P583" s="86" t="s">
        <v>403</v>
      </c>
      <c r="Q583" s="86" t="s">
        <v>414</v>
      </c>
      <c r="R583" s="88" t="s">
        <v>1390</v>
      </c>
    </row>
    <row r="584" spans="1:18">
      <c r="A584" s="86" t="s">
        <v>1294</v>
      </c>
      <c r="B584" s="86" t="s">
        <v>1388</v>
      </c>
      <c r="C584" s="87">
        <v>0</v>
      </c>
      <c r="D584" s="87">
        <v>0</v>
      </c>
      <c r="E584" s="87">
        <v>0</v>
      </c>
      <c r="F584" s="86">
        <v>2013.3</v>
      </c>
      <c r="G584" s="86" t="s">
        <v>1296</v>
      </c>
      <c r="H584" s="86" t="s">
        <v>38</v>
      </c>
      <c r="I584" s="86" t="s">
        <v>107</v>
      </c>
      <c r="J584" s="86" t="s">
        <v>107</v>
      </c>
      <c r="K584" s="86" t="s">
        <v>107</v>
      </c>
      <c r="L584" s="86" t="s">
        <v>107</v>
      </c>
      <c r="M584" s="86" t="s">
        <v>107</v>
      </c>
      <c r="N584" s="86" t="s">
        <v>107</v>
      </c>
      <c r="O584" s="86" t="s">
        <v>107</v>
      </c>
      <c r="P584" s="86" t="s">
        <v>107</v>
      </c>
      <c r="Q584" s="86" t="s">
        <v>107</v>
      </c>
      <c r="R584" s="88" t="s">
        <v>107</v>
      </c>
    </row>
    <row r="585" spans="1:18">
      <c r="A585" s="86" t="s">
        <v>1294</v>
      </c>
      <c r="B585" s="86" t="s">
        <v>1392</v>
      </c>
      <c r="C585" s="87">
        <v>43200</v>
      </c>
      <c r="D585" s="87">
        <v>1</v>
      </c>
      <c r="E585" s="87">
        <v>43200</v>
      </c>
      <c r="F585" s="86">
        <v>1997.12</v>
      </c>
      <c r="G585" s="86" t="s">
        <v>1296</v>
      </c>
      <c r="H585" s="86" t="s">
        <v>44</v>
      </c>
      <c r="I585" s="86" t="s">
        <v>1393</v>
      </c>
      <c r="J585" s="86" t="s">
        <v>701</v>
      </c>
      <c r="K585" s="86" t="s">
        <v>794</v>
      </c>
      <c r="L585" s="86" t="s">
        <v>1297</v>
      </c>
      <c r="M585" s="86" t="s">
        <v>411</v>
      </c>
      <c r="N585" s="86" t="s">
        <v>1298</v>
      </c>
      <c r="O585" s="86" t="s">
        <v>413</v>
      </c>
      <c r="P585" s="86" t="s">
        <v>403</v>
      </c>
      <c r="Q585" s="86" t="s">
        <v>414</v>
      </c>
      <c r="R585" s="88" t="s">
        <v>1394</v>
      </c>
    </row>
    <row r="586" spans="1:18">
      <c r="A586" s="86" t="s">
        <v>1294</v>
      </c>
      <c r="B586" s="86" t="s">
        <v>1395</v>
      </c>
      <c r="C586" s="87">
        <v>6000</v>
      </c>
      <c r="D586" s="87">
        <v>1</v>
      </c>
      <c r="E586" s="87">
        <v>6000</v>
      </c>
      <c r="F586" s="86">
        <v>2011.8</v>
      </c>
      <c r="G586" s="86" t="s">
        <v>1296</v>
      </c>
      <c r="H586" s="86" t="s">
        <v>38</v>
      </c>
      <c r="I586" s="86" t="s">
        <v>107</v>
      </c>
      <c r="J586" s="86" t="s">
        <v>1396</v>
      </c>
      <c r="K586" s="86" t="s">
        <v>107</v>
      </c>
      <c r="L586" s="86" t="s">
        <v>1320</v>
      </c>
      <c r="M586" s="86" t="s">
        <v>1182</v>
      </c>
      <c r="N586" s="86" t="s">
        <v>1298</v>
      </c>
      <c r="O586" s="86" t="s">
        <v>413</v>
      </c>
      <c r="P586" s="86" t="s">
        <v>403</v>
      </c>
      <c r="Q586" s="86" t="s">
        <v>550</v>
      </c>
      <c r="R586" s="88" t="s">
        <v>1397</v>
      </c>
    </row>
    <row r="587" spans="1:18">
      <c r="A587" s="86" t="s">
        <v>1294</v>
      </c>
      <c r="B587" s="86" t="s">
        <v>1398</v>
      </c>
      <c r="C587" s="87">
        <v>39650</v>
      </c>
      <c r="D587" s="87">
        <v>2</v>
      </c>
      <c r="E587" s="87">
        <v>79300</v>
      </c>
      <c r="F587" s="86">
        <v>2011.1</v>
      </c>
      <c r="G587" s="86" t="s">
        <v>1296</v>
      </c>
      <c r="H587" s="86" t="s">
        <v>38</v>
      </c>
      <c r="I587" s="86" t="s">
        <v>1399</v>
      </c>
      <c r="J587" s="86" t="s">
        <v>706</v>
      </c>
      <c r="K587" s="86" t="s">
        <v>751</v>
      </c>
      <c r="L587" s="86" t="s">
        <v>1339</v>
      </c>
      <c r="M587" s="86" t="s">
        <v>411</v>
      </c>
      <c r="N587" s="86" t="s">
        <v>1298</v>
      </c>
      <c r="O587" s="86" t="s">
        <v>413</v>
      </c>
      <c r="P587" s="86" t="s">
        <v>403</v>
      </c>
      <c r="Q587" s="86" t="s">
        <v>414</v>
      </c>
      <c r="R587" s="88" t="s">
        <v>1400</v>
      </c>
    </row>
    <row r="588" spans="1:18">
      <c r="A588" s="86" t="s">
        <v>1294</v>
      </c>
      <c r="B588" s="86" t="s">
        <v>1398</v>
      </c>
      <c r="C588" s="87">
        <v>0</v>
      </c>
      <c r="D588" s="87">
        <v>0</v>
      </c>
      <c r="E588" s="87">
        <v>0</v>
      </c>
      <c r="F588" s="86">
        <v>2014.1</v>
      </c>
      <c r="G588" s="86" t="s">
        <v>1296</v>
      </c>
      <c r="H588" s="86" t="s">
        <v>38</v>
      </c>
      <c r="I588" s="86" t="s">
        <v>107</v>
      </c>
      <c r="J588" s="86" t="s">
        <v>107</v>
      </c>
      <c r="K588" s="86" t="s">
        <v>107</v>
      </c>
      <c r="L588" s="86" t="s">
        <v>107</v>
      </c>
      <c r="M588" s="86" t="s">
        <v>107</v>
      </c>
      <c r="N588" s="86" t="s">
        <v>107</v>
      </c>
      <c r="O588" s="86" t="s">
        <v>107</v>
      </c>
      <c r="P588" s="86" t="s">
        <v>107</v>
      </c>
      <c r="Q588" s="86" t="s">
        <v>107</v>
      </c>
      <c r="R588" s="88" t="s">
        <v>107</v>
      </c>
    </row>
    <row r="589" spans="1:18">
      <c r="A589" s="86" t="s">
        <v>1294</v>
      </c>
      <c r="B589" s="86" t="s">
        <v>1398</v>
      </c>
      <c r="C589" s="87">
        <v>22400</v>
      </c>
      <c r="D589" s="87">
        <v>1</v>
      </c>
      <c r="E589" s="87">
        <v>22400</v>
      </c>
      <c r="F589" s="86">
        <v>2011.1</v>
      </c>
      <c r="G589" s="86" t="s">
        <v>1296</v>
      </c>
      <c r="H589" s="86" t="s">
        <v>38</v>
      </c>
      <c r="I589" s="86" t="s">
        <v>1399</v>
      </c>
      <c r="J589" s="86" t="s">
        <v>1401</v>
      </c>
      <c r="K589" s="86" t="s">
        <v>1402</v>
      </c>
      <c r="L589" s="86" t="s">
        <v>1339</v>
      </c>
      <c r="M589" s="86" t="s">
        <v>411</v>
      </c>
      <c r="N589" s="86" t="s">
        <v>1298</v>
      </c>
      <c r="O589" s="86" t="s">
        <v>413</v>
      </c>
      <c r="P589" s="86" t="s">
        <v>403</v>
      </c>
      <c r="Q589" s="86" t="s">
        <v>414</v>
      </c>
      <c r="R589" s="88" t="s">
        <v>1400</v>
      </c>
    </row>
    <row r="590" spans="1:18">
      <c r="A590" s="86" t="s">
        <v>1294</v>
      </c>
      <c r="B590" s="86" t="s">
        <v>1398</v>
      </c>
      <c r="C590" s="87">
        <v>0</v>
      </c>
      <c r="D590" s="87">
        <v>0</v>
      </c>
      <c r="E590" s="87">
        <v>0</v>
      </c>
      <c r="F590" s="86">
        <v>2014.1</v>
      </c>
      <c r="G590" s="86" t="s">
        <v>1296</v>
      </c>
      <c r="H590" s="86" t="s">
        <v>38</v>
      </c>
      <c r="I590" s="86" t="s">
        <v>107</v>
      </c>
      <c r="J590" s="86" t="s">
        <v>107</v>
      </c>
      <c r="K590" s="86" t="s">
        <v>107</v>
      </c>
      <c r="L590" s="86" t="s">
        <v>107</v>
      </c>
      <c r="M590" s="86" t="s">
        <v>107</v>
      </c>
      <c r="N590" s="86" t="s">
        <v>107</v>
      </c>
      <c r="O590" s="86" t="s">
        <v>107</v>
      </c>
      <c r="P590" s="86" t="s">
        <v>107</v>
      </c>
      <c r="Q590" s="86" t="s">
        <v>107</v>
      </c>
      <c r="R590" s="88" t="s">
        <v>107</v>
      </c>
    </row>
    <row r="591" spans="1:18">
      <c r="A591" s="86" t="s">
        <v>1294</v>
      </c>
      <c r="B591" s="86" t="s">
        <v>1403</v>
      </c>
      <c r="C591" s="87">
        <v>60000</v>
      </c>
      <c r="D591" s="87">
        <v>1</v>
      </c>
      <c r="E591" s="87">
        <v>60000</v>
      </c>
      <c r="F591" s="86">
        <v>2001.7</v>
      </c>
      <c r="G591" s="86" t="s">
        <v>1296</v>
      </c>
      <c r="H591" s="86" t="s">
        <v>38</v>
      </c>
      <c r="I591" s="86" t="s">
        <v>1404</v>
      </c>
      <c r="J591" s="86" t="s">
        <v>701</v>
      </c>
      <c r="K591" s="86" t="s">
        <v>674</v>
      </c>
      <c r="L591" s="86" t="s">
        <v>1405</v>
      </c>
      <c r="M591" s="86" t="s">
        <v>411</v>
      </c>
      <c r="N591" s="86" t="s">
        <v>1298</v>
      </c>
      <c r="O591" s="86" t="s">
        <v>413</v>
      </c>
      <c r="P591" s="86" t="s">
        <v>403</v>
      </c>
      <c r="Q591" s="86" t="s">
        <v>414</v>
      </c>
      <c r="R591" s="88" t="s">
        <v>1361</v>
      </c>
    </row>
    <row r="592" spans="1:18">
      <c r="A592" s="86" t="s">
        <v>1294</v>
      </c>
      <c r="B592" s="86" t="s">
        <v>1406</v>
      </c>
      <c r="C592" s="87">
        <v>75000</v>
      </c>
      <c r="D592" s="87">
        <v>4</v>
      </c>
      <c r="E592" s="87">
        <v>300000</v>
      </c>
      <c r="F592" s="86">
        <v>1992.6</v>
      </c>
      <c r="G592" s="86" t="s">
        <v>1296</v>
      </c>
      <c r="H592" s="86" t="s">
        <v>38</v>
      </c>
      <c r="I592" s="86" t="s">
        <v>107</v>
      </c>
      <c r="J592" s="86" t="s">
        <v>751</v>
      </c>
      <c r="K592" s="86" t="s">
        <v>751</v>
      </c>
      <c r="L592" s="86" t="s">
        <v>1374</v>
      </c>
      <c r="M592" s="86" t="s">
        <v>411</v>
      </c>
      <c r="N592" s="86" t="s">
        <v>1298</v>
      </c>
      <c r="O592" s="86" t="s">
        <v>413</v>
      </c>
      <c r="P592" s="86" t="s">
        <v>403</v>
      </c>
      <c r="Q592" s="86" t="s">
        <v>414</v>
      </c>
      <c r="R592" s="88" t="s">
        <v>1407</v>
      </c>
    </row>
    <row r="593" spans="1:18">
      <c r="A593" s="86" t="s">
        <v>1294</v>
      </c>
      <c r="B593" s="86" t="s">
        <v>1408</v>
      </c>
      <c r="C593" s="87">
        <v>150000</v>
      </c>
      <c r="D593" s="87">
        <v>1</v>
      </c>
      <c r="E593" s="87">
        <v>150000</v>
      </c>
      <c r="F593" s="86">
        <v>1993.9</v>
      </c>
      <c r="G593" s="86" t="s">
        <v>1296</v>
      </c>
      <c r="H593" s="86" t="s">
        <v>38</v>
      </c>
      <c r="I593" s="86" t="s">
        <v>434</v>
      </c>
      <c r="J593" s="86" t="s">
        <v>751</v>
      </c>
      <c r="K593" s="86" t="s">
        <v>751</v>
      </c>
      <c r="L593" s="86" t="s">
        <v>1374</v>
      </c>
      <c r="M593" s="86" t="s">
        <v>708</v>
      </c>
      <c r="N593" s="86" t="s">
        <v>1298</v>
      </c>
      <c r="O593" s="86" t="s">
        <v>413</v>
      </c>
      <c r="P593" s="86" t="s">
        <v>403</v>
      </c>
      <c r="Q593" s="86" t="s">
        <v>414</v>
      </c>
      <c r="R593" s="88" t="s">
        <v>1407</v>
      </c>
    </row>
    <row r="594" spans="1:18">
      <c r="A594" s="86" t="s">
        <v>1294</v>
      </c>
      <c r="B594" s="86" t="s">
        <v>1409</v>
      </c>
      <c r="C594" s="87">
        <v>320720</v>
      </c>
      <c r="D594" s="87">
        <v>1</v>
      </c>
      <c r="E594" s="87">
        <v>320720</v>
      </c>
      <c r="F594" s="86">
        <v>2018.5</v>
      </c>
      <c r="G594" s="86" t="s">
        <v>1296</v>
      </c>
      <c r="H594" s="86" t="s">
        <v>38</v>
      </c>
      <c r="I594" s="86" t="s">
        <v>453</v>
      </c>
      <c r="J594" s="86" t="s">
        <v>693</v>
      </c>
      <c r="K594" s="86" t="s">
        <v>693</v>
      </c>
      <c r="L594" s="86" t="s">
        <v>1374</v>
      </c>
      <c r="M594" s="86" t="s">
        <v>107</v>
      </c>
      <c r="N594" s="86" t="s">
        <v>1298</v>
      </c>
      <c r="O594" s="86" t="s">
        <v>413</v>
      </c>
      <c r="P594" s="86" t="s">
        <v>403</v>
      </c>
      <c r="Q594" s="86" t="s">
        <v>414</v>
      </c>
      <c r="R594" s="88" t="s">
        <v>1410</v>
      </c>
    </row>
    <row r="595" spans="1:18">
      <c r="A595" s="86" t="s">
        <v>1294</v>
      </c>
      <c r="B595" s="86" t="s">
        <v>1411</v>
      </c>
      <c r="C595" s="87">
        <v>160970</v>
      </c>
      <c r="D595" s="87">
        <v>1</v>
      </c>
      <c r="E595" s="87">
        <v>160970</v>
      </c>
      <c r="F595" s="86">
        <v>2018.5</v>
      </c>
      <c r="G595" s="86" t="s">
        <v>1296</v>
      </c>
      <c r="H595" s="86" t="s">
        <v>38</v>
      </c>
      <c r="I595" s="86" t="s">
        <v>453</v>
      </c>
      <c r="J595" s="86" t="s">
        <v>693</v>
      </c>
      <c r="K595" s="86" t="s">
        <v>693</v>
      </c>
      <c r="L595" s="86" t="s">
        <v>1374</v>
      </c>
      <c r="M595" s="86" t="s">
        <v>107</v>
      </c>
      <c r="N595" s="86" t="s">
        <v>1298</v>
      </c>
      <c r="O595" s="86" t="s">
        <v>413</v>
      </c>
      <c r="P595" s="86" t="s">
        <v>403</v>
      </c>
      <c r="Q595" s="86" t="s">
        <v>414</v>
      </c>
      <c r="R595" s="88" t="s">
        <v>1410</v>
      </c>
    </row>
    <row r="596" spans="1:18">
      <c r="A596" s="86" t="s">
        <v>1294</v>
      </c>
      <c r="B596" s="86" t="s">
        <v>1543</v>
      </c>
      <c r="C596" s="87">
        <v>78012</v>
      </c>
      <c r="D596" s="87">
        <v>1</v>
      </c>
      <c r="E596" s="87">
        <v>78012</v>
      </c>
      <c r="F596" s="86">
        <v>2023.08</v>
      </c>
      <c r="G596" s="86" t="s">
        <v>1296</v>
      </c>
      <c r="H596" s="86" t="s">
        <v>38</v>
      </c>
      <c r="I596" s="86" t="s">
        <v>453</v>
      </c>
      <c r="J596" s="86" t="s">
        <v>693</v>
      </c>
      <c r="K596" s="86" t="s">
        <v>693</v>
      </c>
      <c r="L596" s="86" t="s">
        <v>1297</v>
      </c>
      <c r="M596" s="86" t="s">
        <v>695</v>
      </c>
      <c r="N596" s="86" t="s">
        <v>1298</v>
      </c>
      <c r="O596" s="86" t="s">
        <v>413</v>
      </c>
      <c r="P596" s="86" t="s">
        <v>403</v>
      </c>
      <c r="Q596" s="86" t="s">
        <v>414</v>
      </c>
      <c r="R596" s="88" t="s">
        <v>1544</v>
      </c>
    </row>
    <row r="597" spans="1:18">
      <c r="A597" s="86" t="s">
        <v>1294</v>
      </c>
      <c r="B597" s="86" t="s">
        <v>1545</v>
      </c>
      <c r="C597" s="87">
        <v>40960</v>
      </c>
      <c r="D597" s="87">
        <v>1</v>
      </c>
      <c r="E597" s="87">
        <v>40960</v>
      </c>
      <c r="F597" s="86">
        <v>2023.08</v>
      </c>
      <c r="G597" s="86" t="s">
        <v>1296</v>
      </c>
      <c r="H597" s="86" t="s">
        <v>38</v>
      </c>
      <c r="I597" s="86" t="s">
        <v>453</v>
      </c>
      <c r="J597" s="86" t="s">
        <v>706</v>
      </c>
      <c r="K597" s="86" t="s">
        <v>706</v>
      </c>
      <c r="L597" s="86" t="s">
        <v>1297</v>
      </c>
      <c r="M597" s="86">
        <v>13.8</v>
      </c>
      <c r="N597" s="86" t="s">
        <v>1298</v>
      </c>
      <c r="O597" s="86" t="s">
        <v>413</v>
      </c>
      <c r="P597" s="86" t="s">
        <v>403</v>
      </c>
      <c r="Q597" s="86" t="s">
        <v>414</v>
      </c>
      <c r="R597" s="88" t="s">
        <v>1544</v>
      </c>
    </row>
    <row r="598" spans="1:18">
      <c r="A598" s="86" t="s">
        <v>1294</v>
      </c>
      <c r="B598" s="86" t="s">
        <v>1412</v>
      </c>
      <c r="C598" s="87">
        <v>165000</v>
      </c>
      <c r="D598" s="87">
        <v>2</v>
      </c>
      <c r="E598" s="87">
        <v>330000</v>
      </c>
      <c r="F598" s="86">
        <v>2014.4</v>
      </c>
      <c r="G598" s="86" t="s">
        <v>1296</v>
      </c>
      <c r="H598" s="86" t="s">
        <v>38</v>
      </c>
      <c r="I598" s="86" t="s">
        <v>107</v>
      </c>
      <c r="J598" s="86" t="s">
        <v>408</v>
      </c>
      <c r="K598" s="86" t="s">
        <v>408</v>
      </c>
      <c r="L598" s="86" t="s">
        <v>1413</v>
      </c>
      <c r="M598" s="86" t="s">
        <v>695</v>
      </c>
      <c r="N598" s="86" t="s">
        <v>1298</v>
      </c>
      <c r="O598" s="86" t="s">
        <v>413</v>
      </c>
      <c r="P598" s="86" t="s">
        <v>403</v>
      </c>
      <c r="Q598" s="86" t="s">
        <v>414</v>
      </c>
      <c r="R598" s="88" t="s">
        <v>1414</v>
      </c>
    </row>
    <row r="599" spans="1:18">
      <c r="A599" s="86" t="s">
        <v>1294</v>
      </c>
      <c r="B599" s="86" t="s">
        <v>1412</v>
      </c>
      <c r="C599" s="87">
        <v>194300</v>
      </c>
      <c r="D599" s="87">
        <v>1</v>
      </c>
      <c r="E599" s="87">
        <v>194300</v>
      </c>
      <c r="F599" s="86">
        <v>2014.4</v>
      </c>
      <c r="G599" s="86" t="s">
        <v>1296</v>
      </c>
      <c r="H599" s="86" t="s">
        <v>38</v>
      </c>
      <c r="I599" s="86" t="s">
        <v>408</v>
      </c>
      <c r="J599" s="86" t="s">
        <v>408</v>
      </c>
      <c r="K599" s="86" t="s">
        <v>408</v>
      </c>
      <c r="L599" s="86" t="s">
        <v>1413</v>
      </c>
      <c r="M599" s="86" t="s">
        <v>695</v>
      </c>
      <c r="N599" s="86" t="s">
        <v>1298</v>
      </c>
      <c r="O599" s="86" t="s">
        <v>413</v>
      </c>
      <c r="P599" s="86" t="s">
        <v>403</v>
      </c>
      <c r="Q599" s="86" t="s">
        <v>414</v>
      </c>
      <c r="R599" s="88" t="s">
        <v>1414</v>
      </c>
    </row>
    <row r="600" spans="1:18">
      <c r="A600" s="86" t="s">
        <v>1294</v>
      </c>
      <c r="B600" s="86" t="s">
        <v>1416</v>
      </c>
      <c r="C600" s="87">
        <v>270400</v>
      </c>
      <c r="D600" s="87">
        <v>1</v>
      </c>
      <c r="E600" s="87">
        <v>270400</v>
      </c>
      <c r="F600" s="86">
        <v>2017.4</v>
      </c>
      <c r="G600" s="86" t="s">
        <v>1296</v>
      </c>
      <c r="H600" s="86" t="s">
        <v>38</v>
      </c>
      <c r="I600" s="86" t="s">
        <v>706</v>
      </c>
      <c r="J600" s="86" t="s">
        <v>706</v>
      </c>
      <c r="K600" s="86" t="s">
        <v>706</v>
      </c>
      <c r="L600" s="86" t="s">
        <v>1417</v>
      </c>
      <c r="M600" s="86" t="s">
        <v>716</v>
      </c>
      <c r="N600" s="86" t="s">
        <v>1298</v>
      </c>
      <c r="O600" s="86" t="s">
        <v>413</v>
      </c>
      <c r="P600" s="86" t="s">
        <v>403</v>
      </c>
      <c r="Q600" s="86" t="s">
        <v>414</v>
      </c>
      <c r="R600" s="88" t="s">
        <v>1418</v>
      </c>
    </row>
    <row r="601" spans="1:18">
      <c r="A601" s="86" t="s">
        <v>1294</v>
      </c>
      <c r="B601" s="86" t="s">
        <v>1416</v>
      </c>
      <c r="C601" s="87">
        <v>142200</v>
      </c>
      <c r="D601" s="87">
        <v>1</v>
      </c>
      <c r="E601" s="87">
        <v>142200</v>
      </c>
      <c r="F601" s="86">
        <v>2017.4</v>
      </c>
      <c r="G601" s="86" t="s">
        <v>1296</v>
      </c>
      <c r="H601" s="86" t="s">
        <v>38</v>
      </c>
      <c r="I601" s="86" t="s">
        <v>706</v>
      </c>
      <c r="J601" s="86" t="s">
        <v>706</v>
      </c>
      <c r="K601" s="86" t="s">
        <v>706</v>
      </c>
      <c r="L601" s="86" t="s">
        <v>1417</v>
      </c>
      <c r="M601" s="86" t="s">
        <v>716</v>
      </c>
      <c r="N601" s="86" t="s">
        <v>1298</v>
      </c>
      <c r="O601" s="86" t="s">
        <v>413</v>
      </c>
      <c r="P601" s="86" t="s">
        <v>403</v>
      </c>
      <c r="Q601" s="86" t="s">
        <v>414</v>
      </c>
      <c r="R601" s="88" t="s">
        <v>1418</v>
      </c>
    </row>
    <row r="602" spans="1:18">
      <c r="A602" s="86" t="s">
        <v>1294</v>
      </c>
      <c r="B602" s="86" t="s">
        <v>1421</v>
      </c>
      <c r="C602" s="87">
        <v>47000</v>
      </c>
      <c r="D602" s="87">
        <v>2</v>
      </c>
      <c r="E602" s="87">
        <v>94000</v>
      </c>
      <c r="F602" s="86">
        <v>2001.3</v>
      </c>
      <c r="G602" s="86" t="s">
        <v>1296</v>
      </c>
      <c r="H602" s="86" t="s">
        <v>38</v>
      </c>
      <c r="I602" s="86" t="s">
        <v>107</v>
      </c>
      <c r="J602" s="86" t="s">
        <v>722</v>
      </c>
      <c r="K602" s="86" t="s">
        <v>670</v>
      </c>
      <c r="L602" s="86" t="s">
        <v>1422</v>
      </c>
      <c r="M602" s="86" t="s">
        <v>107</v>
      </c>
      <c r="N602" s="86" t="s">
        <v>1298</v>
      </c>
      <c r="O602" s="86" t="s">
        <v>413</v>
      </c>
      <c r="P602" s="86" t="s">
        <v>403</v>
      </c>
      <c r="Q602" s="86" t="s">
        <v>414</v>
      </c>
      <c r="R602" s="88" t="s">
        <v>1423</v>
      </c>
    </row>
    <row r="603" spans="1:18">
      <c r="A603" s="86" t="s">
        <v>1294</v>
      </c>
      <c r="B603" s="86" t="s">
        <v>1421</v>
      </c>
      <c r="C603" s="87">
        <v>33000</v>
      </c>
      <c r="D603" s="87">
        <v>1</v>
      </c>
      <c r="E603" s="87">
        <v>33000</v>
      </c>
      <c r="F603" s="86">
        <v>2001.3</v>
      </c>
      <c r="G603" s="86" t="s">
        <v>1296</v>
      </c>
      <c r="H603" s="86" t="s">
        <v>38</v>
      </c>
      <c r="I603" s="86" t="s">
        <v>582</v>
      </c>
      <c r="J603" s="86" t="s">
        <v>1424</v>
      </c>
      <c r="K603" s="86" t="s">
        <v>1319</v>
      </c>
      <c r="L603" s="86" t="s">
        <v>1422</v>
      </c>
      <c r="M603" s="86" t="s">
        <v>107</v>
      </c>
      <c r="N603" s="86" t="s">
        <v>1298</v>
      </c>
      <c r="O603" s="86" t="s">
        <v>413</v>
      </c>
      <c r="P603" s="86" t="s">
        <v>403</v>
      </c>
      <c r="Q603" s="86" t="s">
        <v>414</v>
      </c>
      <c r="R603" s="88" t="s">
        <v>1423</v>
      </c>
    </row>
    <row r="604" spans="1:18">
      <c r="A604" s="86" t="s">
        <v>1294</v>
      </c>
      <c r="B604" s="86" t="s">
        <v>1546</v>
      </c>
      <c r="C604" s="87">
        <v>19000</v>
      </c>
      <c r="D604" s="87">
        <v>1</v>
      </c>
      <c r="E604" s="87">
        <v>19000</v>
      </c>
      <c r="F604" s="86">
        <v>1992.4</v>
      </c>
      <c r="G604" s="86" t="s">
        <v>1296</v>
      </c>
      <c r="H604" s="86" t="s">
        <v>49</v>
      </c>
      <c r="I604" s="86" t="s">
        <v>1196</v>
      </c>
      <c r="J604" s="86" t="s">
        <v>1196</v>
      </c>
      <c r="K604" s="86" t="s">
        <v>1196</v>
      </c>
      <c r="L604" s="86" t="s">
        <v>1419</v>
      </c>
      <c r="M604" s="86" t="s">
        <v>107</v>
      </c>
      <c r="N604" s="86" t="s">
        <v>1298</v>
      </c>
      <c r="O604" s="86" t="s">
        <v>413</v>
      </c>
      <c r="P604" s="86" t="s">
        <v>403</v>
      </c>
      <c r="Q604" s="86" t="s">
        <v>550</v>
      </c>
      <c r="R604" s="88" t="s">
        <v>1420</v>
      </c>
    </row>
    <row r="605" spans="1:18">
      <c r="A605" s="86" t="s">
        <v>1294</v>
      </c>
      <c r="B605" s="86" t="s">
        <v>1425</v>
      </c>
      <c r="C605" s="87">
        <v>58300</v>
      </c>
      <c r="D605" s="87">
        <v>1</v>
      </c>
      <c r="E605" s="87">
        <v>58300</v>
      </c>
      <c r="F605" s="86">
        <v>2000.1</v>
      </c>
      <c r="G605" s="86" t="s">
        <v>1296</v>
      </c>
      <c r="H605" s="86" t="s">
        <v>44</v>
      </c>
      <c r="I605" s="86" t="s">
        <v>582</v>
      </c>
      <c r="J605" s="86" t="s">
        <v>701</v>
      </c>
      <c r="K605" s="86" t="s">
        <v>852</v>
      </c>
      <c r="L605" s="86" t="s">
        <v>1297</v>
      </c>
      <c r="M605" s="86" t="s">
        <v>411</v>
      </c>
      <c r="N605" s="86" t="s">
        <v>1298</v>
      </c>
      <c r="O605" s="86" t="s">
        <v>413</v>
      </c>
      <c r="P605" s="86" t="s">
        <v>403</v>
      </c>
      <c r="Q605" s="86" t="s">
        <v>414</v>
      </c>
      <c r="R605" s="88" t="s">
        <v>1426</v>
      </c>
    </row>
    <row r="606" spans="1:18">
      <c r="A606" s="86" t="s">
        <v>1294</v>
      </c>
      <c r="B606" s="86" t="s">
        <v>1427</v>
      </c>
      <c r="C606" s="87">
        <v>287800</v>
      </c>
      <c r="D606" s="87">
        <v>1</v>
      </c>
      <c r="E606" s="87">
        <v>287800</v>
      </c>
      <c r="F606" s="86">
        <v>2017.5</v>
      </c>
      <c r="G606" s="86" t="s">
        <v>1296</v>
      </c>
      <c r="H606" s="86" t="s">
        <v>38</v>
      </c>
      <c r="I606" s="86" t="s">
        <v>107</v>
      </c>
      <c r="J606" s="86" t="s">
        <v>423</v>
      </c>
      <c r="K606" s="86" t="s">
        <v>769</v>
      </c>
      <c r="L606" s="86" t="s">
        <v>1428</v>
      </c>
      <c r="M606" s="86" t="s">
        <v>484</v>
      </c>
      <c r="N606" s="86" t="s">
        <v>1298</v>
      </c>
      <c r="O606" s="86" t="s">
        <v>413</v>
      </c>
      <c r="P606" s="86" t="s">
        <v>403</v>
      </c>
      <c r="Q606" s="86" t="s">
        <v>414</v>
      </c>
      <c r="R606" s="88" t="s">
        <v>1429</v>
      </c>
    </row>
    <row r="607" spans="1:18">
      <c r="A607" s="86" t="s">
        <v>1294</v>
      </c>
      <c r="B607" s="86" t="s">
        <v>1427</v>
      </c>
      <c r="C607" s="87">
        <v>143400</v>
      </c>
      <c r="D607" s="87">
        <v>1</v>
      </c>
      <c r="E607" s="87">
        <v>143400</v>
      </c>
      <c r="F607" s="86">
        <v>2017.5</v>
      </c>
      <c r="G607" s="86" t="s">
        <v>1296</v>
      </c>
      <c r="H607" s="86" t="s">
        <v>38</v>
      </c>
      <c r="I607" s="86" t="s">
        <v>453</v>
      </c>
      <c r="J607" s="86" t="s">
        <v>423</v>
      </c>
      <c r="K607" s="86" t="s">
        <v>769</v>
      </c>
      <c r="L607" s="86" t="s">
        <v>1428</v>
      </c>
      <c r="M607" s="86" t="s">
        <v>484</v>
      </c>
      <c r="N607" s="86" t="s">
        <v>1298</v>
      </c>
      <c r="O607" s="86" t="s">
        <v>413</v>
      </c>
      <c r="P607" s="86" t="s">
        <v>403</v>
      </c>
      <c r="Q607" s="86" t="s">
        <v>414</v>
      </c>
      <c r="R607" s="88" t="s">
        <v>1429</v>
      </c>
    </row>
    <row r="608" spans="1:18">
      <c r="A608" s="86" t="s">
        <v>1294</v>
      </c>
      <c r="B608" s="86" t="s">
        <v>1430</v>
      </c>
      <c r="C608" s="87">
        <v>163400</v>
      </c>
      <c r="D608" s="87">
        <v>2</v>
      </c>
      <c r="E608" s="87">
        <v>326800</v>
      </c>
      <c r="F608" s="86">
        <v>2011.1</v>
      </c>
      <c r="G608" s="86" t="s">
        <v>1296</v>
      </c>
      <c r="H608" s="86" t="s">
        <v>38</v>
      </c>
      <c r="I608" s="86" t="s">
        <v>107</v>
      </c>
      <c r="J608" s="86" t="s">
        <v>701</v>
      </c>
      <c r="K608" s="86" t="s">
        <v>852</v>
      </c>
      <c r="L608" s="86" t="s">
        <v>1297</v>
      </c>
      <c r="M608" s="86" t="s">
        <v>107</v>
      </c>
      <c r="N608" s="86" t="s">
        <v>1298</v>
      </c>
      <c r="O608" s="86" t="s">
        <v>413</v>
      </c>
      <c r="P608" s="86" t="s">
        <v>403</v>
      </c>
      <c r="Q608" s="86" t="s">
        <v>414</v>
      </c>
      <c r="R608" s="88" t="s">
        <v>1431</v>
      </c>
    </row>
    <row r="609" spans="1:18">
      <c r="A609" s="86" t="s">
        <v>1294</v>
      </c>
      <c r="B609" s="86" t="s">
        <v>1430</v>
      </c>
      <c r="C609" s="87">
        <v>188700</v>
      </c>
      <c r="D609" s="87">
        <v>1</v>
      </c>
      <c r="E609" s="87">
        <v>188700</v>
      </c>
      <c r="F609" s="86">
        <v>2011.1</v>
      </c>
      <c r="G609" s="86" t="s">
        <v>1296</v>
      </c>
      <c r="H609" s="86" t="s">
        <v>38</v>
      </c>
      <c r="I609" s="86" t="s">
        <v>1432</v>
      </c>
      <c r="J609" s="86" t="s">
        <v>701</v>
      </c>
      <c r="K609" s="86" t="s">
        <v>852</v>
      </c>
      <c r="L609" s="86" t="s">
        <v>1297</v>
      </c>
      <c r="M609" s="86" t="s">
        <v>107</v>
      </c>
      <c r="N609" s="86" t="s">
        <v>1298</v>
      </c>
      <c r="O609" s="86" t="s">
        <v>413</v>
      </c>
      <c r="P609" s="86" t="s">
        <v>403</v>
      </c>
      <c r="Q609" s="86" t="s">
        <v>414</v>
      </c>
      <c r="R609" s="88" t="s">
        <v>1431</v>
      </c>
    </row>
    <row r="610" spans="1:18">
      <c r="A610" s="86" t="s">
        <v>1294</v>
      </c>
      <c r="B610" s="86" t="s">
        <v>1433</v>
      </c>
      <c r="C610" s="87">
        <v>77863</v>
      </c>
      <c r="D610" s="87">
        <v>1</v>
      </c>
      <c r="E610" s="87">
        <v>77863</v>
      </c>
      <c r="F610" s="86">
        <v>2010.1</v>
      </c>
      <c r="G610" s="86" t="s">
        <v>1296</v>
      </c>
      <c r="H610" s="86" t="s">
        <v>38</v>
      </c>
      <c r="I610" s="86" t="s">
        <v>1434</v>
      </c>
      <c r="J610" s="86" t="s">
        <v>693</v>
      </c>
      <c r="K610" s="86" t="s">
        <v>693</v>
      </c>
      <c r="L610" s="86" t="s">
        <v>1297</v>
      </c>
      <c r="M610" s="86" t="s">
        <v>411</v>
      </c>
      <c r="N610" s="86" t="s">
        <v>1298</v>
      </c>
      <c r="O610" s="86" t="s">
        <v>413</v>
      </c>
      <c r="P610" s="86" t="s">
        <v>403</v>
      </c>
      <c r="Q610" s="86" t="s">
        <v>414</v>
      </c>
      <c r="R610" s="88" t="s">
        <v>1435</v>
      </c>
    </row>
    <row r="611" spans="1:18">
      <c r="A611" s="86" t="s">
        <v>1294</v>
      </c>
      <c r="B611" s="86" t="s">
        <v>1433</v>
      </c>
      <c r="C611" s="87">
        <v>68451</v>
      </c>
      <c r="D611" s="87">
        <v>1</v>
      </c>
      <c r="E611" s="87">
        <v>68451</v>
      </c>
      <c r="F611" s="86">
        <v>2010.1</v>
      </c>
      <c r="G611" s="86" t="s">
        <v>1296</v>
      </c>
      <c r="H611" s="86" t="s">
        <v>38</v>
      </c>
      <c r="I611" s="86" t="s">
        <v>1434</v>
      </c>
      <c r="J611" s="86" t="s">
        <v>1391</v>
      </c>
      <c r="K611" s="86" t="s">
        <v>852</v>
      </c>
      <c r="L611" s="86" t="s">
        <v>1297</v>
      </c>
      <c r="M611" s="86" t="s">
        <v>411</v>
      </c>
      <c r="N611" s="86" t="s">
        <v>1298</v>
      </c>
      <c r="O611" s="86" t="s">
        <v>413</v>
      </c>
      <c r="P611" s="86" t="s">
        <v>403</v>
      </c>
      <c r="Q611" s="86" t="s">
        <v>414</v>
      </c>
      <c r="R611" s="88" t="s">
        <v>1435</v>
      </c>
    </row>
    <row r="612" spans="1:18">
      <c r="A612" s="86" t="s">
        <v>1294</v>
      </c>
      <c r="B612" s="86" t="s">
        <v>1436</v>
      </c>
      <c r="C612" s="87">
        <v>169900</v>
      </c>
      <c r="D612" s="87">
        <v>1</v>
      </c>
      <c r="E612" s="87">
        <v>169900</v>
      </c>
      <c r="F612" s="86">
        <v>2018.5</v>
      </c>
      <c r="G612" s="86" t="s">
        <v>1296</v>
      </c>
      <c r="H612" s="86" t="s">
        <v>49</v>
      </c>
      <c r="I612" s="86" t="s">
        <v>1338</v>
      </c>
      <c r="J612" s="86" t="s">
        <v>706</v>
      </c>
      <c r="K612" s="86" t="s">
        <v>706</v>
      </c>
      <c r="L612" s="86" t="s">
        <v>1437</v>
      </c>
      <c r="M612" s="86" t="s">
        <v>1438</v>
      </c>
      <c r="N612" s="86" t="s">
        <v>1298</v>
      </c>
      <c r="O612" s="86" t="s">
        <v>413</v>
      </c>
      <c r="P612" s="86" t="s">
        <v>403</v>
      </c>
      <c r="Q612" s="86" t="s">
        <v>550</v>
      </c>
      <c r="R612" s="88" t="s">
        <v>860</v>
      </c>
    </row>
    <row r="613" spans="1:18">
      <c r="A613" s="86" t="s">
        <v>1294</v>
      </c>
      <c r="B613" s="86" t="s">
        <v>1439</v>
      </c>
      <c r="C613" s="87">
        <v>240750</v>
      </c>
      <c r="D613" s="87">
        <v>1</v>
      </c>
      <c r="E613" s="87">
        <v>240750</v>
      </c>
      <c r="F613" s="86">
        <v>2015.1</v>
      </c>
      <c r="G613" s="86" t="s">
        <v>1296</v>
      </c>
      <c r="H613" s="86" t="s">
        <v>38</v>
      </c>
      <c r="I613" s="86" t="s">
        <v>408</v>
      </c>
      <c r="J613" s="86" t="s">
        <v>408</v>
      </c>
      <c r="K613" s="86" t="s">
        <v>408</v>
      </c>
      <c r="L613" s="86" t="s">
        <v>1440</v>
      </c>
      <c r="M613" s="86" t="s">
        <v>695</v>
      </c>
      <c r="N613" s="86" t="s">
        <v>1298</v>
      </c>
      <c r="O613" s="86" t="s">
        <v>413</v>
      </c>
      <c r="P613" s="86" t="s">
        <v>403</v>
      </c>
      <c r="Q613" s="86" t="s">
        <v>414</v>
      </c>
      <c r="R613" s="88" t="s">
        <v>1441</v>
      </c>
    </row>
    <row r="614" spans="1:18">
      <c r="A614" s="86" t="s">
        <v>1294</v>
      </c>
      <c r="B614" s="86" t="s">
        <v>1439</v>
      </c>
      <c r="C614" s="87">
        <v>123061</v>
      </c>
      <c r="D614" s="87">
        <v>1</v>
      </c>
      <c r="E614" s="87">
        <v>123061</v>
      </c>
      <c r="F614" s="86">
        <v>2015.1</v>
      </c>
      <c r="G614" s="86" t="s">
        <v>1296</v>
      </c>
      <c r="H614" s="86" t="s">
        <v>38</v>
      </c>
      <c r="I614" s="86" t="s">
        <v>408</v>
      </c>
      <c r="J614" s="86" t="s">
        <v>408</v>
      </c>
      <c r="K614" s="86" t="s">
        <v>408</v>
      </c>
      <c r="L614" s="86" t="s">
        <v>1440</v>
      </c>
      <c r="M614" s="86" t="s">
        <v>695</v>
      </c>
      <c r="N614" s="86" t="s">
        <v>1298</v>
      </c>
      <c r="O614" s="86" t="s">
        <v>413</v>
      </c>
      <c r="P614" s="86" t="s">
        <v>403</v>
      </c>
      <c r="Q614" s="86" t="s">
        <v>414</v>
      </c>
      <c r="R614" s="88" t="s">
        <v>1441</v>
      </c>
    </row>
    <row r="615" spans="1:18">
      <c r="A615" s="86" t="s">
        <v>1294</v>
      </c>
      <c r="B615" s="86" t="s">
        <v>1442</v>
      </c>
      <c r="C615" s="87">
        <v>160800</v>
      </c>
      <c r="D615" s="87">
        <v>2</v>
      </c>
      <c r="E615" s="87">
        <v>321600</v>
      </c>
      <c r="F615" s="86">
        <v>2007.11</v>
      </c>
      <c r="G615" s="86" t="s">
        <v>1296</v>
      </c>
      <c r="H615" s="86" t="s">
        <v>38</v>
      </c>
      <c r="I615" s="86" t="s">
        <v>107</v>
      </c>
      <c r="J615" s="86" t="s">
        <v>701</v>
      </c>
      <c r="K615" s="86" t="s">
        <v>107</v>
      </c>
      <c r="L615" s="86" t="s">
        <v>1297</v>
      </c>
      <c r="M615" s="86" t="s">
        <v>695</v>
      </c>
      <c r="N615" s="86" t="s">
        <v>1298</v>
      </c>
      <c r="O615" s="86" t="s">
        <v>413</v>
      </c>
      <c r="P615" s="86" t="s">
        <v>403</v>
      </c>
      <c r="Q615" s="86" t="s">
        <v>414</v>
      </c>
      <c r="R615" s="88" t="s">
        <v>1443</v>
      </c>
    </row>
    <row r="616" spans="1:18">
      <c r="A616" s="86" t="s">
        <v>1294</v>
      </c>
      <c r="B616" s="86" t="s">
        <v>1442</v>
      </c>
      <c r="C616" s="87">
        <v>190200</v>
      </c>
      <c r="D616" s="87">
        <v>1</v>
      </c>
      <c r="E616" s="87">
        <v>190200</v>
      </c>
      <c r="F616" s="86">
        <v>2007.11</v>
      </c>
      <c r="G616" s="86" t="s">
        <v>1296</v>
      </c>
      <c r="H616" s="86" t="s">
        <v>38</v>
      </c>
      <c r="I616" s="86" t="s">
        <v>107</v>
      </c>
      <c r="J616" s="86" t="s">
        <v>107</v>
      </c>
      <c r="K616" s="86" t="s">
        <v>107</v>
      </c>
      <c r="L616" s="86" t="s">
        <v>107</v>
      </c>
      <c r="M616" s="86" t="s">
        <v>761</v>
      </c>
      <c r="N616" s="86" t="s">
        <v>1298</v>
      </c>
      <c r="O616" s="86" t="s">
        <v>413</v>
      </c>
      <c r="P616" s="86" t="s">
        <v>403</v>
      </c>
      <c r="Q616" s="86" t="s">
        <v>414</v>
      </c>
      <c r="R616" s="88" t="s">
        <v>1443</v>
      </c>
    </row>
  </sheetData>
  <phoneticPr fontId="14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F658-A168-42DE-BA41-540C117F92D3}">
  <dimension ref="A1:M603"/>
  <sheetViews>
    <sheetView topLeftCell="A81" workbookViewId="0">
      <selection activeCell="J12" sqref="J12"/>
    </sheetView>
  </sheetViews>
  <sheetFormatPr defaultRowHeight="14.5"/>
  <cols>
    <col min="2" max="2" width="16.26953125" style="66" customWidth="1"/>
    <col min="3" max="3" width="17.6328125" style="66" customWidth="1"/>
    <col min="4" max="4" width="14.26953125" style="56" customWidth="1"/>
    <col min="5" max="5" width="15.7265625" style="65" customWidth="1"/>
    <col min="6" max="6" width="21.7265625" customWidth="1"/>
    <col min="7" max="7" width="12.7265625" customWidth="1"/>
    <col min="8" max="8" width="6.26953125" customWidth="1"/>
    <col min="9" max="9" width="11.6328125" customWidth="1"/>
    <col min="10" max="10" width="13.453125" customWidth="1"/>
  </cols>
  <sheetData>
    <row r="1" spans="1:13" ht="40.5" customHeight="1">
      <c r="A1" s="53" t="s">
        <v>1461</v>
      </c>
      <c r="B1" s="68" t="s">
        <v>1451</v>
      </c>
      <c r="C1" s="68" t="s">
        <v>1444</v>
      </c>
      <c r="D1" s="69" t="s">
        <v>1446</v>
      </c>
      <c r="E1" s="68" t="s">
        <v>1445</v>
      </c>
      <c r="F1" s="67" t="s">
        <v>1468</v>
      </c>
      <c r="G1" s="58" t="s">
        <v>1447</v>
      </c>
      <c r="H1" s="53"/>
      <c r="I1" s="53"/>
    </row>
    <row r="2" spans="1:13">
      <c r="A2">
        <v>1</v>
      </c>
      <c r="B2" s="66" t="s">
        <v>1547</v>
      </c>
      <c r="C2" s="66" t="str">
        <f>EPSIS_RAW!B2</f>
        <v>강릉안인#1</v>
      </c>
      <c r="D2" s="56">
        <f>(EPSIS_RAW!E2)*$H$2</f>
        <v>1040</v>
      </c>
      <c r="E2" s="65">
        <f>ROUNDDOWN(EPSIS_RAW!F2,0)</f>
        <v>2022</v>
      </c>
      <c r="F2" s="55" t="str">
        <f>A2&amp;C2</f>
        <v>1강릉안인#1</v>
      </c>
      <c r="G2" t="s">
        <v>1448</v>
      </c>
      <c r="H2" s="54">
        <f>1/1000</f>
        <v>1E-3</v>
      </c>
    </row>
    <row r="3" spans="1:13">
      <c r="A3">
        <v>2</v>
      </c>
      <c r="B3" s="66" t="str">
        <f>EPSIS_RAW!H3</f>
        <v>유연탄</v>
      </c>
      <c r="C3" s="66" t="str">
        <f>EPSIS_RAW!B3</f>
        <v>강릉안인#2</v>
      </c>
      <c r="D3" s="56">
        <f>(EPSIS_RAW!E3)*$H$2</f>
        <v>1040</v>
      </c>
      <c r="E3" s="65">
        <f>ROUNDDOWN(EPSIS_RAW!F3,0)</f>
        <v>2022</v>
      </c>
      <c r="F3" s="55" t="str">
        <f t="shared" ref="F3:F66" si="0">A3&amp;C3</f>
        <v>2강릉안인#2</v>
      </c>
    </row>
    <row r="4" spans="1:13">
      <c r="A4">
        <v>3</v>
      </c>
      <c r="B4" s="66" t="str">
        <f>EPSIS_RAW!H4</f>
        <v>바이오중유</v>
      </c>
      <c r="C4" s="66" t="str">
        <f>EPSIS_RAW!B4</f>
        <v>남제주#1</v>
      </c>
      <c r="D4" s="56">
        <f>(EPSIS_RAW!E4)*$H$2</f>
        <v>100</v>
      </c>
      <c r="E4" s="65">
        <f>ROUNDDOWN(EPSIS_RAW!F4,0)</f>
        <v>2006</v>
      </c>
      <c r="F4" s="55" t="str">
        <f t="shared" si="0"/>
        <v>3남제주#1</v>
      </c>
      <c r="I4" s="59" t="s">
        <v>1451</v>
      </c>
      <c r="J4" s="59" t="s">
        <v>1452</v>
      </c>
      <c r="M4" s="53"/>
    </row>
    <row r="5" spans="1:13">
      <c r="A5">
        <v>4</v>
      </c>
      <c r="B5" s="66" t="str">
        <f>EPSIS_RAW!H5</f>
        <v>바이오중유</v>
      </c>
      <c r="C5" s="66" t="str">
        <f>EPSIS_RAW!B5</f>
        <v>남제주#2</v>
      </c>
      <c r="D5" s="56">
        <f>(EPSIS_RAW!E5)*$H$2</f>
        <v>100</v>
      </c>
      <c r="E5" s="65">
        <f>ROUNDDOWN(EPSIS_RAW!F5,0)</f>
        <v>2007</v>
      </c>
      <c r="F5" s="55" t="str">
        <f t="shared" si="0"/>
        <v>4남제주#2</v>
      </c>
      <c r="I5" t="s">
        <v>407</v>
      </c>
      <c r="J5" t="s">
        <v>1453</v>
      </c>
      <c r="M5" s="66"/>
    </row>
    <row r="6" spans="1:13">
      <c r="A6">
        <v>5</v>
      </c>
      <c r="B6" s="66" t="str">
        <f>EPSIS_RAW!H6</f>
        <v>유연탄</v>
      </c>
      <c r="C6" s="66" t="str">
        <f>EPSIS_RAW!B6</f>
        <v>당진#1</v>
      </c>
      <c r="D6" s="56">
        <f>(EPSIS_RAW!E6)*$H$2</f>
        <v>500</v>
      </c>
      <c r="E6" s="65">
        <f>ROUNDDOWN(EPSIS_RAW!F6,0)</f>
        <v>1999</v>
      </c>
      <c r="F6" s="55" t="str">
        <f t="shared" si="0"/>
        <v>5당진#1</v>
      </c>
      <c r="I6" t="s">
        <v>49</v>
      </c>
      <c r="J6" t="s">
        <v>386</v>
      </c>
      <c r="M6" s="66"/>
    </row>
    <row r="7" spans="1:13">
      <c r="A7">
        <v>6</v>
      </c>
      <c r="B7" s="66" t="str">
        <f>EPSIS_RAW!H7</f>
        <v>유연탄</v>
      </c>
      <c r="C7" s="66" t="str">
        <f>EPSIS_RAW!B7</f>
        <v>당진#10</v>
      </c>
      <c r="D7" s="56">
        <f>(EPSIS_RAW!E7)*$H$2</f>
        <v>1020</v>
      </c>
      <c r="E7" s="65">
        <f>ROUNDDOWN(EPSIS_RAW!F7,0)</f>
        <v>2016</v>
      </c>
      <c r="F7" s="55" t="str">
        <f t="shared" si="0"/>
        <v>6당진#10</v>
      </c>
      <c r="I7" t="s">
        <v>50</v>
      </c>
      <c r="J7" t="s">
        <v>386</v>
      </c>
      <c r="M7" s="66"/>
    </row>
    <row r="8" spans="1:13">
      <c r="A8">
        <v>7</v>
      </c>
      <c r="B8" s="66" t="str">
        <f>EPSIS_RAW!H8</f>
        <v>유연탄</v>
      </c>
      <c r="C8" s="66" t="str">
        <f>EPSIS_RAW!B8</f>
        <v>당진#2</v>
      </c>
      <c r="D8" s="56">
        <f>(EPSIS_RAW!E8)*$H$2</f>
        <v>500</v>
      </c>
      <c r="E8" s="65">
        <f>ROUNDDOWN(EPSIS_RAW!F8,0)</f>
        <v>1999</v>
      </c>
      <c r="F8" s="55" t="str">
        <f t="shared" si="0"/>
        <v>7당진#2</v>
      </c>
      <c r="I8" t="s">
        <v>44</v>
      </c>
      <c r="J8" t="s">
        <v>1467</v>
      </c>
      <c r="M8" s="66"/>
    </row>
    <row r="9" spans="1:13">
      <c r="A9">
        <v>8</v>
      </c>
      <c r="B9" s="66" t="str">
        <f>EPSIS_RAW!H9</f>
        <v>유연탄</v>
      </c>
      <c r="C9" s="66" t="str">
        <f>EPSIS_RAW!B9</f>
        <v>당진#3</v>
      </c>
      <c r="D9" s="56">
        <f>(EPSIS_RAW!E9)*$H$2</f>
        <v>500</v>
      </c>
      <c r="E9" s="65">
        <f>ROUNDDOWN(EPSIS_RAW!F9,0)</f>
        <v>2000</v>
      </c>
      <c r="F9" s="55" t="str">
        <f t="shared" si="0"/>
        <v>8당진#3</v>
      </c>
      <c r="I9" t="s">
        <v>136</v>
      </c>
      <c r="J9" t="s">
        <v>96</v>
      </c>
      <c r="M9" s="66"/>
    </row>
    <row r="10" spans="1:13">
      <c r="A10">
        <v>9</v>
      </c>
      <c r="B10" s="66" t="str">
        <f>EPSIS_RAW!H10</f>
        <v>유연탄</v>
      </c>
      <c r="C10" s="66" t="str">
        <f>EPSIS_RAW!B10</f>
        <v>당진#4</v>
      </c>
      <c r="D10" s="56">
        <f>(EPSIS_RAW!E10)*$H$2</f>
        <v>500</v>
      </c>
      <c r="E10" s="65">
        <f>ROUNDDOWN(EPSIS_RAW!F10,0)</f>
        <v>2001</v>
      </c>
      <c r="F10" s="55" t="str">
        <f t="shared" si="0"/>
        <v>9당진#4</v>
      </c>
      <c r="I10" t="s">
        <v>38</v>
      </c>
      <c r="J10" t="s">
        <v>387</v>
      </c>
      <c r="M10" s="66"/>
    </row>
    <row r="11" spans="1:13">
      <c r="A11">
        <v>10</v>
      </c>
      <c r="B11" s="66" t="str">
        <f>EPSIS_RAW!H11</f>
        <v>유연탄</v>
      </c>
      <c r="C11" s="66" t="str">
        <f>EPSIS_RAW!B11</f>
        <v>당진#5</v>
      </c>
      <c r="D11" s="56">
        <f>(EPSIS_RAW!E11)*$H$2</f>
        <v>500</v>
      </c>
      <c r="E11" s="65">
        <f>ROUNDDOWN(EPSIS_RAW!F11,0)</f>
        <v>2005</v>
      </c>
      <c r="F11" s="55" t="str">
        <f t="shared" si="0"/>
        <v>10당진#5</v>
      </c>
      <c r="I11" t="s">
        <v>866</v>
      </c>
      <c r="J11" t="s">
        <v>1454</v>
      </c>
      <c r="M11" s="66"/>
    </row>
    <row r="12" spans="1:13">
      <c r="A12">
        <v>11</v>
      </c>
      <c r="B12" s="66" t="str">
        <f>EPSIS_RAW!H12</f>
        <v>유연탄</v>
      </c>
      <c r="C12" s="66" t="str">
        <f>EPSIS_RAW!B12</f>
        <v>당진#6</v>
      </c>
      <c r="D12" s="56">
        <f>(EPSIS_RAW!E12)*$H$2</f>
        <v>500</v>
      </c>
      <c r="E12" s="65">
        <f>ROUNDDOWN(EPSIS_RAW!F12,0)</f>
        <v>2006</v>
      </c>
      <c r="F12" s="55" t="str">
        <f t="shared" si="0"/>
        <v>11당진#6</v>
      </c>
      <c r="I12" t="s">
        <v>45</v>
      </c>
      <c r="J12" t="s">
        <v>1454</v>
      </c>
      <c r="M12" s="66"/>
    </row>
    <row r="13" spans="1:13">
      <c r="A13">
        <v>12</v>
      </c>
      <c r="B13" s="66" t="str">
        <f>EPSIS_RAW!H13</f>
        <v>유연탄</v>
      </c>
      <c r="C13" s="66" t="str">
        <f>EPSIS_RAW!B13</f>
        <v>당진#7</v>
      </c>
      <c r="D13" s="56">
        <f>(EPSIS_RAW!E13)*$H$2</f>
        <v>500</v>
      </c>
      <c r="E13" s="65">
        <f>ROUNDDOWN(EPSIS_RAW!F13,0)</f>
        <v>2007</v>
      </c>
      <c r="F13" s="55" t="str">
        <f t="shared" si="0"/>
        <v>12당진#7</v>
      </c>
      <c r="I13" t="s">
        <v>39</v>
      </c>
      <c r="J13" t="s">
        <v>1455</v>
      </c>
      <c r="M13" s="66"/>
    </row>
    <row r="14" spans="1:13">
      <c r="A14">
        <v>13</v>
      </c>
      <c r="B14" s="66" t="str">
        <f>EPSIS_RAW!H14</f>
        <v>유연탄</v>
      </c>
      <c r="C14" s="66" t="str">
        <f>EPSIS_RAW!B14</f>
        <v>당진#8</v>
      </c>
      <c r="D14" s="56">
        <f>(EPSIS_RAW!E14)*$H$2</f>
        <v>500</v>
      </c>
      <c r="E14" s="65">
        <f>ROUNDDOWN(EPSIS_RAW!F14,0)</f>
        <v>2007</v>
      </c>
      <c r="F14" s="55" t="str">
        <f t="shared" si="0"/>
        <v>13당진#8</v>
      </c>
      <c r="I14" t="s">
        <v>1225</v>
      </c>
      <c r="J14" t="s">
        <v>1455</v>
      </c>
      <c r="M14" s="66"/>
    </row>
    <row r="15" spans="1:13">
      <c r="A15">
        <v>14</v>
      </c>
      <c r="B15" s="66" t="str">
        <f>EPSIS_RAW!H15</f>
        <v>유연탄</v>
      </c>
      <c r="C15" s="66" t="str">
        <f>EPSIS_RAW!B15</f>
        <v>당진#9</v>
      </c>
      <c r="D15" s="56">
        <f>(EPSIS_RAW!E15)*$H$2</f>
        <v>1020</v>
      </c>
      <c r="E15" s="65">
        <f>ROUNDDOWN(EPSIS_RAW!F15,0)</f>
        <v>2016</v>
      </c>
      <c r="F15" s="55" t="str">
        <f t="shared" si="0"/>
        <v>14당진#9</v>
      </c>
      <c r="I15" t="s">
        <v>1254</v>
      </c>
      <c r="J15" t="s">
        <v>76</v>
      </c>
      <c r="M15" s="66"/>
    </row>
    <row r="16" spans="1:13">
      <c r="A16">
        <v>15</v>
      </c>
      <c r="B16" s="66" t="str">
        <f>EPSIS_RAW!H16</f>
        <v>무연탄</v>
      </c>
      <c r="C16" s="66" t="str">
        <f>EPSIS_RAW!B16</f>
        <v>동해#1</v>
      </c>
      <c r="D16" s="56">
        <f>(EPSIS_RAW!E16)*$H$2</f>
        <v>200</v>
      </c>
      <c r="E16" s="65">
        <f>ROUNDDOWN(EPSIS_RAW!F16,0)</f>
        <v>1998</v>
      </c>
      <c r="F16" s="55" t="str">
        <f t="shared" si="0"/>
        <v>15동해#1</v>
      </c>
      <c r="I16" t="s">
        <v>1271</v>
      </c>
      <c r="J16" t="s">
        <v>76</v>
      </c>
      <c r="M16" s="66"/>
    </row>
    <row r="17" spans="1:10">
      <c r="A17">
        <v>16</v>
      </c>
      <c r="B17" s="66" t="str">
        <f>EPSIS_RAW!H17</f>
        <v>무연탄</v>
      </c>
      <c r="C17" s="66" t="str">
        <f>EPSIS_RAW!B17</f>
        <v>동해#2</v>
      </c>
      <c r="D17" s="56">
        <f>(EPSIS_RAW!E17)*$H$2</f>
        <v>200</v>
      </c>
      <c r="E17" s="65">
        <f>ROUNDDOWN(EPSIS_RAW!F17,0)</f>
        <v>1999</v>
      </c>
      <c r="F17" s="55" t="str">
        <f t="shared" si="0"/>
        <v>16동해#2</v>
      </c>
      <c r="I17" t="s">
        <v>1464</v>
      </c>
      <c r="J17" t="s">
        <v>1455</v>
      </c>
    </row>
    <row r="18" spans="1:10">
      <c r="A18">
        <v>17</v>
      </c>
      <c r="B18" s="66" t="str">
        <f>EPSIS_RAW!H18</f>
        <v>유연탄</v>
      </c>
      <c r="C18" s="66" t="str">
        <f>EPSIS_RAW!B18</f>
        <v>보령#1</v>
      </c>
      <c r="D18" s="56">
        <f>(EPSIS_RAW!E18)*$H$2</f>
        <v>500</v>
      </c>
      <c r="E18" s="65">
        <f>ROUNDDOWN(EPSIS_RAW!F18,0)</f>
        <v>1983</v>
      </c>
      <c r="F18" s="55" t="str">
        <f t="shared" si="0"/>
        <v>17보령#1</v>
      </c>
      <c r="I18" s="66" t="s">
        <v>107</v>
      </c>
      <c r="J18" t="s">
        <v>1455</v>
      </c>
    </row>
    <row r="19" spans="1:10">
      <c r="A19">
        <v>18</v>
      </c>
      <c r="B19" s="66" t="str">
        <f>EPSIS_RAW!H19</f>
        <v>유연탄</v>
      </c>
      <c r="C19" s="66" t="str">
        <f>EPSIS_RAW!B19</f>
        <v>보령#2</v>
      </c>
      <c r="D19" s="56">
        <f>(EPSIS_RAW!E19)*$H$2</f>
        <v>500</v>
      </c>
      <c r="E19" s="65">
        <f>ROUNDDOWN(EPSIS_RAW!F19,0)</f>
        <v>1984</v>
      </c>
      <c r="F19" s="55" t="str">
        <f t="shared" si="0"/>
        <v>18보령#2</v>
      </c>
      <c r="I19" s="66" t="s">
        <v>37</v>
      </c>
    </row>
    <row r="20" spans="1:10">
      <c r="A20">
        <v>19</v>
      </c>
      <c r="B20" s="66" t="str">
        <f>EPSIS_RAW!H20</f>
        <v>유연탄</v>
      </c>
      <c r="C20" s="66" t="str">
        <f>EPSIS_RAW!B20</f>
        <v>보령#3</v>
      </c>
      <c r="D20" s="56">
        <f>(EPSIS_RAW!E20)*$H$2</f>
        <v>500</v>
      </c>
      <c r="E20" s="65">
        <f>ROUNDDOWN(EPSIS_RAW!F20,0)</f>
        <v>1993</v>
      </c>
      <c r="F20" s="55" t="str">
        <f t="shared" si="0"/>
        <v>19보령#3</v>
      </c>
      <c r="I20" s="66" t="s">
        <v>1304</v>
      </c>
      <c r="J20" t="s">
        <v>386</v>
      </c>
    </row>
    <row r="21" spans="1:10">
      <c r="A21">
        <v>20</v>
      </c>
      <c r="B21" s="66" t="str">
        <f>EPSIS_RAW!H21</f>
        <v>유연탄</v>
      </c>
      <c r="C21" s="66" t="str">
        <f>EPSIS_RAW!B21</f>
        <v>보령#4</v>
      </c>
      <c r="D21" s="56">
        <f>(EPSIS_RAW!E21)*$H$2</f>
        <v>500</v>
      </c>
      <c r="E21" s="65">
        <f>ROUNDDOWN(EPSIS_RAW!F21,0)</f>
        <v>1993</v>
      </c>
      <c r="F21" s="55" t="str">
        <f t="shared" si="0"/>
        <v>20보령#4</v>
      </c>
      <c r="I21" s="66"/>
    </row>
    <row r="22" spans="1:10">
      <c r="A22">
        <v>21</v>
      </c>
      <c r="B22" s="66" t="str">
        <f>EPSIS_RAW!H22</f>
        <v>유연탄</v>
      </c>
      <c r="C22" s="66" t="str">
        <f>EPSIS_RAW!B22</f>
        <v>보령#5</v>
      </c>
      <c r="D22" s="56">
        <f>(EPSIS_RAW!E22)*$H$2</f>
        <v>500</v>
      </c>
      <c r="E22" s="65">
        <f>ROUNDDOWN(EPSIS_RAW!F22,0)</f>
        <v>1993</v>
      </c>
      <c r="F22" s="55" t="str">
        <f t="shared" si="0"/>
        <v>21보령#5</v>
      </c>
    </row>
    <row r="23" spans="1:10">
      <c r="A23">
        <v>22</v>
      </c>
      <c r="B23" s="66" t="str">
        <f>EPSIS_RAW!H23</f>
        <v>유연탄</v>
      </c>
      <c r="C23" s="66" t="str">
        <f>EPSIS_RAW!B23</f>
        <v>보령#6</v>
      </c>
      <c r="D23" s="56">
        <f>(EPSIS_RAW!E23)*$H$2</f>
        <v>500</v>
      </c>
      <c r="E23" s="65">
        <f>ROUNDDOWN(EPSIS_RAW!F23,0)</f>
        <v>1994</v>
      </c>
      <c r="F23" s="55" t="str">
        <f t="shared" si="0"/>
        <v>22보령#6</v>
      </c>
    </row>
    <row r="24" spans="1:10">
      <c r="A24">
        <v>23</v>
      </c>
      <c r="B24" s="66" t="str">
        <f>EPSIS_RAW!H24</f>
        <v>유연탄</v>
      </c>
      <c r="C24" s="66" t="str">
        <f>EPSIS_RAW!B24</f>
        <v>보령#7</v>
      </c>
      <c r="D24" s="56">
        <f>(EPSIS_RAW!E24)*$H$2</f>
        <v>500</v>
      </c>
      <c r="E24" s="65">
        <f>ROUNDDOWN(EPSIS_RAW!F24,0)</f>
        <v>2008</v>
      </c>
      <c r="F24" s="55" t="str">
        <f t="shared" si="0"/>
        <v>23보령#7</v>
      </c>
    </row>
    <row r="25" spans="1:10">
      <c r="A25">
        <v>24</v>
      </c>
      <c r="B25" s="66" t="str">
        <f>EPSIS_RAW!H25</f>
        <v>유연탄</v>
      </c>
      <c r="C25" s="66" t="str">
        <f>EPSIS_RAW!B25</f>
        <v>보령#8</v>
      </c>
      <c r="D25" s="56">
        <f>(EPSIS_RAW!E25)*$H$2</f>
        <v>500</v>
      </c>
      <c r="E25" s="65">
        <f>ROUNDDOWN(EPSIS_RAW!F25,0)</f>
        <v>2008</v>
      </c>
      <c r="F25" s="55" t="str">
        <f t="shared" si="0"/>
        <v>24보령#8</v>
      </c>
    </row>
    <row r="26" spans="1:10">
      <c r="A26">
        <v>25</v>
      </c>
      <c r="B26" s="66" t="str">
        <f>EPSIS_RAW!H26</f>
        <v>유연탄</v>
      </c>
      <c r="C26" s="66" t="str">
        <f>EPSIS_RAW!B26</f>
        <v>북평#1</v>
      </c>
      <c r="D26" s="56">
        <f>(EPSIS_RAW!E26)*$H$2</f>
        <v>595</v>
      </c>
      <c r="E26" s="65">
        <f>ROUNDDOWN(EPSIS_RAW!F26,0)</f>
        <v>2017</v>
      </c>
      <c r="F26" s="55" t="str">
        <f t="shared" si="0"/>
        <v>25북평#1</v>
      </c>
    </row>
    <row r="27" spans="1:10">
      <c r="A27">
        <v>26</v>
      </c>
      <c r="B27" s="66" t="str">
        <f>EPSIS_RAW!H27</f>
        <v>유연탄</v>
      </c>
      <c r="C27" s="66" t="str">
        <f>EPSIS_RAW!B27</f>
        <v>북평#2</v>
      </c>
      <c r="D27" s="56">
        <f>(EPSIS_RAW!E27)*$H$2</f>
        <v>595</v>
      </c>
      <c r="E27" s="65">
        <f>ROUNDDOWN(EPSIS_RAW!F27,0)</f>
        <v>2017</v>
      </c>
      <c r="F27" s="55" t="str">
        <f t="shared" si="0"/>
        <v>26북평#2</v>
      </c>
    </row>
    <row r="28" spans="1:10">
      <c r="A28">
        <v>27</v>
      </c>
      <c r="B28" s="66" t="str">
        <f>EPSIS_RAW!H28</f>
        <v>유연탄</v>
      </c>
      <c r="C28" s="66" t="str">
        <f>EPSIS_RAW!B28</f>
        <v>삼척그린파워 #1</v>
      </c>
      <c r="D28" s="56">
        <f>(EPSIS_RAW!E28)*$H$2</f>
        <v>1022</v>
      </c>
      <c r="E28" s="65">
        <f>ROUNDDOWN(EPSIS_RAW!F28,0)</f>
        <v>2016</v>
      </c>
      <c r="F28" s="55" t="str">
        <f t="shared" si="0"/>
        <v>27삼척그린파워 #1</v>
      </c>
    </row>
    <row r="29" spans="1:10">
      <c r="A29">
        <v>28</v>
      </c>
      <c r="B29" s="66" t="str">
        <f>EPSIS_RAW!H29</f>
        <v>유연탄</v>
      </c>
      <c r="C29" s="66" t="str">
        <f>EPSIS_RAW!B29</f>
        <v>삼척그린파워 #2</v>
      </c>
      <c r="D29" s="56">
        <f>(EPSIS_RAW!E29)*$H$2</f>
        <v>1022</v>
      </c>
      <c r="E29" s="65">
        <f>ROUNDDOWN(EPSIS_RAW!F29,0)</f>
        <v>2017</v>
      </c>
      <c r="F29" s="55" t="str">
        <f t="shared" si="0"/>
        <v>28삼척그린파워 #2</v>
      </c>
    </row>
    <row r="30" spans="1:10">
      <c r="A30">
        <v>29</v>
      </c>
      <c r="B30" s="66" t="str">
        <f>EPSIS_RAW!H30</f>
        <v>유연탄</v>
      </c>
      <c r="C30" s="66" t="str">
        <f>EPSIS_RAW!B30</f>
        <v>삼천포#1</v>
      </c>
      <c r="D30" s="56">
        <f>(EPSIS_RAW!E30)*$H$2</f>
        <v>560</v>
      </c>
      <c r="E30" s="65">
        <f>ROUNDDOWN(EPSIS_RAW!F30,0)</f>
        <v>1983</v>
      </c>
      <c r="F30" s="55" t="str">
        <f t="shared" si="0"/>
        <v>29삼천포#1</v>
      </c>
    </row>
    <row r="31" spans="1:10">
      <c r="A31">
        <v>30</v>
      </c>
      <c r="B31" s="66" t="str">
        <f>EPSIS_RAW!H31</f>
        <v>유연탄</v>
      </c>
      <c r="C31" s="66" t="str">
        <f>EPSIS_RAW!B31</f>
        <v>삼천포#2</v>
      </c>
      <c r="D31" s="56">
        <f>(EPSIS_RAW!E31)*$H$2</f>
        <v>560</v>
      </c>
      <c r="E31" s="65">
        <f>ROUNDDOWN(EPSIS_RAW!F31,0)</f>
        <v>1984</v>
      </c>
      <c r="F31" s="55" t="str">
        <f t="shared" si="0"/>
        <v>30삼천포#2</v>
      </c>
    </row>
    <row r="32" spans="1:10">
      <c r="A32">
        <v>31</v>
      </c>
      <c r="B32" s="66" t="str">
        <f>EPSIS_RAW!H32</f>
        <v>유연탄</v>
      </c>
      <c r="C32" s="66" t="str">
        <f>EPSIS_RAW!B32</f>
        <v>삼천포#3</v>
      </c>
      <c r="D32" s="56">
        <f>(EPSIS_RAW!E32)*$H$2</f>
        <v>560</v>
      </c>
      <c r="E32" s="65">
        <f>ROUNDDOWN(EPSIS_RAW!F32,0)</f>
        <v>1993</v>
      </c>
      <c r="F32" s="55" t="str">
        <f t="shared" si="0"/>
        <v>31삼천포#3</v>
      </c>
    </row>
    <row r="33" spans="1:6">
      <c r="A33">
        <v>32</v>
      </c>
      <c r="B33" s="66" t="str">
        <f>EPSIS_RAW!H33</f>
        <v>유연탄</v>
      </c>
      <c r="C33" s="66" t="str">
        <f>EPSIS_RAW!B33</f>
        <v>삼천포#4</v>
      </c>
      <c r="D33" s="56">
        <f>(EPSIS_RAW!E33)*$H$2</f>
        <v>560</v>
      </c>
      <c r="E33" s="65">
        <f>ROUNDDOWN(EPSIS_RAW!F33,0)</f>
        <v>1994</v>
      </c>
      <c r="F33" s="55" t="str">
        <f t="shared" si="0"/>
        <v>32삼천포#4</v>
      </c>
    </row>
    <row r="34" spans="1:6">
      <c r="A34">
        <v>33</v>
      </c>
      <c r="B34" s="66" t="str">
        <f>EPSIS_RAW!H34</f>
        <v>유연탄</v>
      </c>
      <c r="C34" s="66" t="str">
        <f>EPSIS_RAW!B34</f>
        <v>삼천포#5</v>
      </c>
      <c r="D34" s="56">
        <f>(EPSIS_RAW!E34)*$H$2</f>
        <v>500</v>
      </c>
      <c r="E34" s="65">
        <f>ROUNDDOWN(EPSIS_RAW!F34,0)</f>
        <v>1997</v>
      </c>
      <c r="F34" s="55" t="str">
        <f t="shared" si="0"/>
        <v>33삼천포#5</v>
      </c>
    </row>
    <row r="35" spans="1:6">
      <c r="A35">
        <v>34</v>
      </c>
      <c r="B35" s="66" t="str">
        <f>EPSIS_RAW!H35</f>
        <v>유연탄</v>
      </c>
      <c r="C35" s="66" t="str">
        <f>EPSIS_RAW!B35</f>
        <v>삼천포#6</v>
      </c>
      <c r="D35" s="56">
        <f>(EPSIS_RAW!E35)*$H$2</f>
        <v>500</v>
      </c>
      <c r="E35" s="65">
        <f>ROUNDDOWN(EPSIS_RAW!F35,0)</f>
        <v>1998</v>
      </c>
      <c r="F35" s="55" t="str">
        <f t="shared" si="0"/>
        <v>34삼천포#6</v>
      </c>
    </row>
    <row r="36" spans="1:6">
      <c r="A36">
        <v>35</v>
      </c>
      <c r="B36" s="66" t="str">
        <f>EPSIS_RAW!H36</f>
        <v>유연탄</v>
      </c>
      <c r="C36" s="66" t="str">
        <f>EPSIS_RAW!B36</f>
        <v>신보령#1</v>
      </c>
      <c r="D36" s="56">
        <f>(EPSIS_RAW!E36)*$H$2</f>
        <v>1019.029</v>
      </c>
      <c r="E36" s="65">
        <f>ROUNDDOWN(EPSIS_RAW!F36,0)</f>
        <v>2017</v>
      </c>
      <c r="F36" s="55" t="str">
        <f t="shared" si="0"/>
        <v>35신보령#1</v>
      </c>
    </row>
    <row r="37" spans="1:6">
      <c r="A37">
        <v>36</v>
      </c>
      <c r="B37" s="66" t="str">
        <f>EPSIS_RAW!H37</f>
        <v>유연탄</v>
      </c>
      <c r="C37" s="66" t="str">
        <f>EPSIS_RAW!B37</f>
        <v>신보령#2</v>
      </c>
      <c r="D37" s="56">
        <f>(EPSIS_RAW!E37)*$H$2</f>
        <v>1019.029</v>
      </c>
      <c r="E37" s="65">
        <f>ROUNDDOWN(EPSIS_RAW!F37,0)</f>
        <v>2017</v>
      </c>
      <c r="F37" s="55" t="str">
        <f t="shared" si="0"/>
        <v>36신보령#2</v>
      </c>
    </row>
    <row r="38" spans="1:6">
      <c r="A38">
        <v>37</v>
      </c>
      <c r="B38" s="66" t="str">
        <f>EPSIS_RAW!H38</f>
        <v>유연탄</v>
      </c>
      <c r="C38" s="66" t="str">
        <f>EPSIS_RAW!B38</f>
        <v>여수#1</v>
      </c>
      <c r="D38" s="56">
        <f>(EPSIS_RAW!E38)*$H$2</f>
        <v>340</v>
      </c>
      <c r="E38" s="65">
        <f>ROUNDDOWN(EPSIS_RAW!F38,0)</f>
        <v>2016</v>
      </c>
      <c r="F38" s="55" t="str">
        <f t="shared" si="0"/>
        <v>37여수#1</v>
      </c>
    </row>
    <row r="39" spans="1:6">
      <c r="A39">
        <v>38</v>
      </c>
      <c r="B39" s="66" t="str">
        <f>EPSIS_RAW!H39</f>
        <v>유연탄</v>
      </c>
      <c r="C39" s="66" t="str">
        <f>EPSIS_RAW!B39</f>
        <v>여수#2</v>
      </c>
      <c r="D39" s="56">
        <f>(EPSIS_RAW!E39)*$H$2</f>
        <v>328.6</v>
      </c>
      <c r="E39" s="65">
        <f>ROUNDDOWN(EPSIS_RAW!F39,0)</f>
        <v>1977</v>
      </c>
      <c r="F39" s="55" t="str">
        <f t="shared" si="0"/>
        <v>38여수#2</v>
      </c>
    </row>
    <row r="40" spans="1:6">
      <c r="A40">
        <v>39</v>
      </c>
      <c r="B40" s="66" t="str">
        <f>EPSIS_RAW!H40</f>
        <v>바이오중유</v>
      </c>
      <c r="C40" s="66" t="str">
        <f>EPSIS_RAW!B40</f>
        <v>영동#2</v>
      </c>
      <c r="D40" s="56">
        <f>(EPSIS_RAW!E40)*$H$2</f>
        <v>200</v>
      </c>
      <c r="E40" s="65">
        <f>ROUNDDOWN(EPSIS_RAW!F40,0)</f>
        <v>1979</v>
      </c>
      <c r="F40" s="55" t="str">
        <f t="shared" si="0"/>
        <v>39영동#2</v>
      </c>
    </row>
    <row r="41" spans="1:6">
      <c r="A41">
        <v>40</v>
      </c>
      <c r="B41" s="66" t="str">
        <f>EPSIS_RAW!H41</f>
        <v>유연탄</v>
      </c>
      <c r="C41" s="66" t="str">
        <f>EPSIS_RAW!B41</f>
        <v>영흥#1</v>
      </c>
      <c r="D41" s="56">
        <f>(EPSIS_RAW!E41)*$H$2</f>
        <v>800</v>
      </c>
      <c r="E41" s="65">
        <f>ROUNDDOWN(EPSIS_RAW!F41,0)</f>
        <v>2004</v>
      </c>
      <c r="F41" s="55" t="str">
        <f t="shared" si="0"/>
        <v>40영흥#1</v>
      </c>
    </row>
    <row r="42" spans="1:6">
      <c r="A42">
        <v>41</v>
      </c>
      <c r="B42" s="66" t="str">
        <f>EPSIS_RAW!H42</f>
        <v>유연탄</v>
      </c>
      <c r="C42" s="66" t="str">
        <f>EPSIS_RAW!B42</f>
        <v>영흥#2</v>
      </c>
      <c r="D42" s="56">
        <f>(EPSIS_RAW!E42)*$H$2</f>
        <v>800</v>
      </c>
      <c r="E42" s="65">
        <f>ROUNDDOWN(EPSIS_RAW!F42,0)</f>
        <v>2004</v>
      </c>
      <c r="F42" s="55" t="str">
        <f t="shared" si="0"/>
        <v>41영흥#2</v>
      </c>
    </row>
    <row r="43" spans="1:6">
      <c r="A43">
        <v>42</v>
      </c>
      <c r="B43" s="66" t="str">
        <f>EPSIS_RAW!H43</f>
        <v>유연탄</v>
      </c>
      <c r="C43" s="66" t="str">
        <f>EPSIS_RAW!B43</f>
        <v>영흥#3</v>
      </c>
      <c r="D43" s="56">
        <f>(EPSIS_RAW!E43)*$H$2</f>
        <v>870</v>
      </c>
      <c r="E43" s="65">
        <f>ROUNDDOWN(EPSIS_RAW!F43,0)</f>
        <v>2008</v>
      </c>
      <c r="F43" s="55" t="str">
        <f t="shared" si="0"/>
        <v>42영흥#3</v>
      </c>
    </row>
    <row r="44" spans="1:6">
      <c r="A44">
        <v>43</v>
      </c>
      <c r="B44" s="66" t="str">
        <f>EPSIS_RAW!H44</f>
        <v>유연탄</v>
      </c>
      <c r="C44" s="66" t="str">
        <f>EPSIS_RAW!B44</f>
        <v>영흥#4</v>
      </c>
      <c r="D44" s="56">
        <f>(EPSIS_RAW!E44)*$H$2</f>
        <v>870</v>
      </c>
      <c r="E44" s="65">
        <f>ROUNDDOWN(EPSIS_RAW!F44,0)</f>
        <v>2008</v>
      </c>
      <c r="F44" s="55" t="str">
        <f t="shared" si="0"/>
        <v>43영흥#4</v>
      </c>
    </row>
    <row r="45" spans="1:6">
      <c r="A45">
        <v>44</v>
      </c>
      <c r="B45" s="66" t="str">
        <f>EPSIS_RAW!H45</f>
        <v>유연탄</v>
      </c>
      <c r="C45" s="66" t="str">
        <f>EPSIS_RAW!B45</f>
        <v>영흥#5</v>
      </c>
      <c r="D45" s="56">
        <f>(EPSIS_RAW!E45)*$H$2</f>
        <v>870</v>
      </c>
      <c r="E45" s="65">
        <f>ROUNDDOWN(EPSIS_RAW!F45,0)</f>
        <v>2014</v>
      </c>
      <c r="F45" s="55" t="str">
        <f t="shared" si="0"/>
        <v>44영흥#5</v>
      </c>
    </row>
    <row r="46" spans="1:6">
      <c r="A46">
        <v>45</v>
      </c>
      <c r="B46" s="66" t="str">
        <f>EPSIS_RAW!H46</f>
        <v>유연탄</v>
      </c>
      <c r="C46" s="66" t="str">
        <f>EPSIS_RAW!B46</f>
        <v>영흥#6</v>
      </c>
      <c r="D46" s="56">
        <f>(EPSIS_RAW!E46)*$H$2</f>
        <v>870</v>
      </c>
      <c r="E46" s="65">
        <f>ROUNDDOWN(EPSIS_RAW!F46,0)</f>
        <v>2014</v>
      </c>
      <c r="F46" s="55" t="str">
        <f t="shared" si="0"/>
        <v>45영흥#6</v>
      </c>
    </row>
    <row r="47" spans="1:6">
      <c r="A47">
        <v>46</v>
      </c>
      <c r="B47" s="66" t="str">
        <f>EPSIS_RAW!H47</f>
        <v>중유</v>
      </c>
      <c r="C47" s="66" t="str">
        <f>EPSIS_RAW!B47</f>
        <v>울산#4</v>
      </c>
      <c r="D47" s="56">
        <f>(EPSIS_RAW!E47)*$H$2</f>
        <v>400</v>
      </c>
      <c r="E47" s="65">
        <f>ROUNDDOWN(EPSIS_RAW!F47,0)</f>
        <v>1980</v>
      </c>
      <c r="F47" s="55" t="str">
        <f t="shared" si="0"/>
        <v>46울산#4</v>
      </c>
    </row>
    <row r="48" spans="1:6">
      <c r="A48">
        <v>47</v>
      </c>
      <c r="B48" s="66" t="str">
        <f>EPSIS_RAW!H48</f>
        <v>중유</v>
      </c>
      <c r="C48" s="66" t="str">
        <f>EPSIS_RAW!B48</f>
        <v>울산#5</v>
      </c>
      <c r="D48" s="56">
        <f>(EPSIS_RAW!E48)*$H$2</f>
        <v>400</v>
      </c>
      <c r="E48" s="65">
        <f>ROUNDDOWN(EPSIS_RAW!F48,0)</f>
        <v>1980</v>
      </c>
      <c r="F48" s="55" t="str">
        <f t="shared" si="0"/>
        <v>47울산#5</v>
      </c>
    </row>
    <row r="49" spans="1:6">
      <c r="A49">
        <v>48</v>
      </c>
      <c r="B49" s="66" t="str">
        <f>EPSIS_RAW!H49</f>
        <v>중유</v>
      </c>
      <c r="C49" s="66" t="str">
        <f>EPSIS_RAW!B49</f>
        <v>울산#6</v>
      </c>
      <c r="D49" s="56">
        <f>(EPSIS_RAW!E49)*$H$2</f>
        <v>400</v>
      </c>
      <c r="E49" s="65">
        <f>ROUNDDOWN(EPSIS_RAW!F49,0)</f>
        <v>1981</v>
      </c>
      <c r="F49" s="55" t="str">
        <f t="shared" si="0"/>
        <v>48울산#6</v>
      </c>
    </row>
    <row r="50" spans="1:6">
      <c r="A50">
        <v>49</v>
      </c>
      <c r="B50" s="66" t="str">
        <f>EPSIS_RAW!H50</f>
        <v>바이오중유</v>
      </c>
      <c r="C50" s="66" t="str">
        <f>EPSIS_RAW!B50</f>
        <v>제주#2</v>
      </c>
      <c r="D50" s="56">
        <f>(EPSIS_RAW!E50)*$H$2</f>
        <v>75</v>
      </c>
      <c r="E50" s="65">
        <f>ROUNDDOWN(EPSIS_RAW!F50,0)</f>
        <v>2000</v>
      </c>
      <c r="F50" s="55" t="str">
        <f t="shared" si="0"/>
        <v>49제주#2</v>
      </c>
    </row>
    <row r="51" spans="1:6">
      <c r="A51">
        <v>50</v>
      </c>
      <c r="B51" s="66" t="str">
        <f>EPSIS_RAW!H51</f>
        <v>바이오중유</v>
      </c>
      <c r="C51" s="66" t="str">
        <f>EPSIS_RAW!B51</f>
        <v>제주#3</v>
      </c>
      <c r="D51" s="56">
        <f>(EPSIS_RAW!E51)*$H$2</f>
        <v>75</v>
      </c>
      <c r="E51" s="65">
        <f>ROUNDDOWN(EPSIS_RAW!F51,0)</f>
        <v>2000</v>
      </c>
      <c r="F51" s="55" t="str">
        <f t="shared" si="0"/>
        <v>50제주#3</v>
      </c>
    </row>
    <row r="52" spans="1:6">
      <c r="A52">
        <v>51</v>
      </c>
      <c r="B52" s="66" t="str">
        <f>EPSIS_RAW!H52</f>
        <v>유연탄</v>
      </c>
      <c r="C52" s="66" t="str">
        <f>EPSIS_RAW!B52</f>
        <v>태안#1</v>
      </c>
      <c r="D52" s="56">
        <f>(EPSIS_RAW!E52)*$H$2</f>
        <v>500</v>
      </c>
      <c r="E52" s="65">
        <f>ROUNDDOWN(EPSIS_RAW!F52,0)</f>
        <v>1995</v>
      </c>
      <c r="F52" s="55" t="str">
        <f t="shared" si="0"/>
        <v>51태안#1</v>
      </c>
    </row>
    <row r="53" spans="1:6">
      <c r="A53">
        <v>52</v>
      </c>
      <c r="B53" s="66" t="str">
        <f>EPSIS_RAW!H53</f>
        <v>유연탄</v>
      </c>
      <c r="C53" s="66" t="str">
        <f>EPSIS_RAW!B53</f>
        <v>태안#10</v>
      </c>
      <c r="D53" s="56">
        <f>(EPSIS_RAW!E53)*$H$2</f>
        <v>1050</v>
      </c>
      <c r="E53" s="65">
        <f>ROUNDDOWN(EPSIS_RAW!F53,0)</f>
        <v>2017</v>
      </c>
      <c r="F53" s="55" t="str">
        <f t="shared" si="0"/>
        <v>52태안#10</v>
      </c>
    </row>
    <row r="54" spans="1:6">
      <c r="A54">
        <v>53</v>
      </c>
      <c r="B54" s="66" t="str">
        <f>EPSIS_RAW!H54</f>
        <v>유연탄</v>
      </c>
      <c r="C54" s="66" t="str">
        <f>EPSIS_RAW!B54</f>
        <v>태안#2</v>
      </c>
      <c r="D54" s="56">
        <f>(EPSIS_RAW!E54)*$H$2</f>
        <v>500</v>
      </c>
      <c r="E54" s="65">
        <f>ROUNDDOWN(EPSIS_RAW!F54,0)</f>
        <v>1995</v>
      </c>
      <c r="F54" s="55" t="str">
        <f t="shared" si="0"/>
        <v>53태안#2</v>
      </c>
    </row>
    <row r="55" spans="1:6">
      <c r="A55">
        <v>54</v>
      </c>
      <c r="B55" s="66" t="str">
        <f>EPSIS_RAW!H55</f>
        <v>유연탄</v>
      </c>
      <c r="C55" s="66" t="str">
        <f>EPSIS_RAW!B55</f>
        <v>태안#3</v>
      </c>
      <c r="D55" s="56">
        <f>(EPSIS_RAW!E55)*$H$2</f>
        <v>500</v>
      </c>
      <c r="E55" s="65">
        <f>ROUNDDOWN(EPSIS_RAW!F55,0)</f>
        <v>1997</v>
      </c>
      <c r="F55" s="55" t="str">
        <f t="shared" si="0"/>
        <v>54태안#3</v>
      </c>
    </row>
    <row r="56" spans="1:6">
      <c r="A56">
        <v>55</v>
      </c>
      <c r="B56" s="66" t="str">
        <f>EPSIS_RAW!H56</f>
        <v>유연탄</v>
      </c>
      <c r="C56" s="66" t="str">
        <f>EPSIS_RAW!B56</f>
        <v>태안#4</v>
      </c>
      <c r="D56" s="56">
        <f>(EPSIS_RAW!E56)*$H$2</f>
        <v>500</v>
      </c>
      <c r="E56" s="65">
        <f>ROUNDDOWN(EPSIS_RAW!F56,0)</f>
        <v>1997</v>
      </c>
      <c r="F56" s="55" t="str">
        <f t="shared" si="0"/>
        <v>55태안#4</v>
      </c>
    </row>
    <row r="57" spans="1:6">
      <c r="A57">
        <v>56</v>
      </c>
      <c r="B57" s="66" t="str">
        <f>EPSIS_RAW!H57</f>
        <v>유연탄</v>
      </c>
      <c r="C57" s="66" t="str">
        <f>EPSIS_RAW!B57</f>
        <v>태안#5</v>
      </c>
      <c r="D57" s="56">
        <f>(EPSIS_RAW!E57)*$H$2</f>
        <v>500</v>
      </c>
      <c r="E57" s="65">
        <f>ROUNDDOWN(EPSIS_RAW!F57,0)</f>
        <v>2001</v>
      </c>
      <c r="F57" s="55" t="str">
        <f t="shared" si="0"/>
        <v>56태안#5</v>
      </c>
    </row>
    <row r="58" spans="1:6">
      <c r="A58">
        <v>57</v>
      </c>
      <c r="B58" s="66" t="str">
        <f>EPSIS_RAW!H58</f>
        <v>유연탄</v>
      </c>
      <c r="C58" s="66" t="str">
        <f>EPSIS_RAW!B58</f>
        <v>태안#6</v>
      </c>
      <c r="D58" s="56">
        <f>(EPSIS_RAW!E58)*$H$2</f>
        <v>500</v>
      </c>
      <c r="E58" s="65">
        <f>ROUNDDOWN(EPSIS_RAW!F58,0)</f>
        <v>2002</v>
      </c>
      <c r="F58" s="55" t="str">
        <f t="shared" si="0"/>
        <v>57태안#6</v>
      </c>
    </row>
    <row r="59" spans="1:6">
      <c r="A59">
        <v>58</v>
      </c>
      <c r="B59" s="66" t="str">
        <f>EPSIS_RAW!H59</f>
        <v>유연탄</v>
      </c>
      <c r="C59" s="66" t="str">
        <f>EPSIS_RAW!B59</f>
        <v>태안#7</v>
      </c>
      <c r="D59" s="56">
        <f>(EPSIS_RAW!E59)*$H$2</f>
        <v>500</v>
      </c>
      <c r="E59" s="65">
        <f>ROUNDDOWN(EPSIS_RAW!F59,0)</f>
        <v>2007</v>
      </c>
      <c r="F59" s="55" t="str">
        <f t="shared" si="0"/>
        <v>58태안#7</v>
      </c>
    </row>
    <row r="60" spans="1:6">
      <c r="A60">
        <v>59</v>
      </c>
      <c r="B60" s="66" t="str">
        <f>EPSIS_RAW!H60</f>
        <v>유연탄</v>
      </c>
      <c r="C60" s="66" t="str">
        <f>EPSIS_RAW!B60</f>
        <v>태안#8</v>
      </c>
      <c r="D60" s="56">
        <f>(EPSIS_RAW!E60)*$H$2</f>
        <v>500</v>
      </c>
      <c r="E60" s="65">
        <f>ROUNDDOWN(EPSIS_RAW!F60,0)</f>
        <v>2007</v>
      </c>
      <c r="F60" s="55" t="str">
        <f t="shared" si="0"/>
        <v>59태안#8</v>
      </c>
    </row>
    <row r="61" spans="1:6">
      <c r="A61">
        <v>60</v>
      </c>
      <c r="B61" s="66" t="str">
        <f>EPSIS_RAW!H61</f>
        <v>유연탄</v>
      </c>
      <c r="C61" s="66" t="str">
        <f>EPSIS_RAW!B61</f>
        <v>태안#9</v>
      </c>
      <c r="D61" s="56">
        <f>(EPSIS_RAW!E61)*$H$2</f>
        <v>1050</v>
      </c>
      <c r="E61" s="65">
        <f>ROUNDDOWN(EPSIS_RAW!F61,0)</f>
        <v>2016</v>
      </c>
      <c r="F61" s="55" t="str">
        <f t="shared" si="0"/>
        <v>60태안#9</v>
      </c>
    </row>
    <row r="62" spans="1:6">
      <c r="A62">
        <v>61</v>
      </c>
      <c r="B62" s="66" t="str">
        <f>EPSIS_RAW!H62</f>
        <v>LNG</v>
      </c>
      <c r="C62" s="66" t="str">
        <f>EPSIS_RAW!B62</f>
        <v>평택#1</v>
      </c>
      <c r="D62" s="56">
        <f>(EPSIS_RAW!E62)*$H$2</f>
        <v>350</v>
      </c>
      <c r="E62" s="65">
        <f>ROUNDDOWN(EPSIS_RAW!F62,0)</f>
        <v>1980</v>
      </c>
      <c r="F62" s="55" t="str">
        <f t="shared" si="0"/>
        <v>61평택#1</v>
      </c>
    </row>
    <row r="63" spans="1:6">
      <c r="A63">
        <v>62</v>
      </c>
      <c r="B63" s="66" t="str">
        <f>EPSIS_RAW!H63</f>
        <v>LNG</v>
      </c>
      <c r="C63" s="66" t="str">
        <f>EPSIS_RAW!B63</f>
        <v>평택#2</v>
      </c>
      <c r="D63" s="56">
        <f>(EPSIS_RAW!E63)*$H$2</f>
        <v>350</v>
      </c>
      <c r="E63" s="65">
        <f>ROUNDDOWN(EPSIS_RAW!F63,0)</f>
        <v>1980</v>
      </c>
      <c r="F63" s="55" t="str">
        <f t="shared" si="0"/>
        <v>62평택#2</v>
      </c>
    </row>
    <row r="64" spans="1:6">
      <c r="A64">
        <v>63</v>
      </c>
      <c r="B64" s="66" t="str">
        <f>EPSIS_RAW!H64</f>
        <v>LNG</v>
      </c>
      <c r="C64" s="66" t="str">
        <f>EPSIS_RAW!B64</f>
        <v>평택#3</v>
      </c>
      <c r="D64" s="56">
        <f>(EPSIS_RAW!E64)*$H$2</f>
        <v>350</v>
      </c>
      <c r="E64" s="65">
        <f>ROUNDDOWN(EPSIS_RAW!F64,0)</f>
        <v>1983</v>
      </c>
      <c r="F64" s="55" t="str">
        <f t="shared" si="0"/>
        <v>63평택#3</v>
      </c>
    </row>
    <row r="65" spans="1:6">
      <c r="A65">
        <v>64</v>
      </c>
      <c r="B65" s="66" t="str">
        <f>EPSIS_RAW!H65</f>
        <v>LNG</v>
      </c>
      <c r="C65" s="66" t="str">
        <f>EPSIS_RAW!B65</f>
        <v>평택#4</v>
      </c>
      <c r="D65" s="56">
        <f>(EPSIS_RAW!E65)*$H$2</f>
        <v>350</v>
      </c>
      <c r="E65" s="65">
        <f>ROUNDDOWN(EPSIS_RAW!F65,0)</f>
        <v>1983</v>
      </c>
      <c r="F65" s="55" t="str">
        <f t="shared" si="0"/>
        <v>64평택#4</v>
      </c>
    </row>
    <row r="66" spans="1:6">
      <c r="A66">
        <v>65</v>
      </c>
      <c r="B66" s="66" t="str">
        <f>EPSIS_RAW!H66</f>
        <v>유연탄</v>
      </c>
      <c r="C66" s="66" t="str">
        <f>EPSIS_RAW!B66</f>
        <v>하동#1</v>
      </c>
      <c r="D66" s="56">
        <f>(EPSIS_RAW!E66)*$H$2</f>
        <v>500</v>
      </c>
      <c r="E66" s="65">
        <f>ROUNDDOWN(EPSIS_RAW!F66,0)</f>
        <v>1997</v>
      </c>
      <c r="F66" s="55" t="str">
        <f t="shared" si="0"/>
        <v>65하동#1</v>
      </c>
    </row>
    <row r="67" spans="1:6">
      <c r="A67">
        <v>66</v>
      </c>
      <c r="B67" s="66" t="str">
        <f>EPSIS_RAW!H67</f>
        <v>유연탄</v>
      </c>
      <c r="C67" s="66" t="str">
        <f>EPSIS_RAW!B67</f>
        <v>하동#2</v>
      </c>
      <c r="D67" s="56">
        <f>(EPSIS_RAW!E67)*$H$2</f>
        <v>500</v>
      </c>
      <c r="E67" s="65">
        <f>ROUNDDOWN(EPSIS_RAW!F67,0)</f>
        <v>1997</v>
      </c>
      <c r="F67" s="55" t="str">
        <f t="shared" ref="F67:F130" si="1">A67&amp;C67</f>
        <v>66하동#2</v>
      </c>
    </row>
    <row r="68" spans="1:6">
      <c r="A68">
        <v>67</v>
      </c>
      <c r="B68" s="66" t="str">
        <f>EPSIS_RAW!H68</f>
        <v>유연탄</v>
      </c>
      <c r="C68" s="66" t="str">
        <f>EPSIS_RAW!B68</f>
        <v>하동#3</v>
      </c>
      <c r="D68" s="56">
        <f>(EPSIS_RAW!E68)*$H$2</f>
        <v>500</v>
      </c>
      <c r="E68" s="65">
        <f>ROUNDDOWN(EPSIS_RAW!F68,0)</f>
        <v>1998</v>
      </c>
      <c r="F68" s="55" t="str">
        <f t="shared" si="1"/>
        <v>67하동#3</v>
      </c>
    </row>
    <row r="69" spans="1:6">
      <c r="A69">
        <v>68</v>
      </c>
      <c r="B69" s="66" t="str">
        <f>EPSIS_RAW!H69</f>
        <v>유연탄</v>
      </c>
      <c r="C69" s="66" t="str">
        <f>EPSIS_RAW!B69</f>
        <v>하동#4</v>
      </c>
      <c r="D69" s="56">
        <f>(EPSIS_RAW!E69)*$H$2</f>
        <v>500</v>
      </c>
      <c r="E69" s="65">
        <f>ROUNDDOWN(EPSIS_RAW!F69,0)</f>
        <v>1999</v>
      </c>
      <c r="F69" s="55" t="str">
        <f t="shared" si="1"/>
        <v>68하동#4</v>
      </c>
    </row>
    <row r="70" spans="1:6">
      <c r="A70">
        <v>69</v>
      </c>
      <c r="B70" s="66" t="str">
        <f>EPSIS_RAW!H70</f>
        <v>유연탄</v>
      </c>
      <c r="C70" s="66" t="str">
        <f>EPSIS_RAW!B70</f>
        <v>하동#5</v>
      </c>
      <c r="D70" s="56">
        <f>(EPSIS_RAW!E70)*$H$2</f>
        <v>500</v>
      </c>
      <c r="E70" s="65">
        <f>ROUNDDOWN(EPSIS_RAW!F70,0)</f>
        <v>2000</v>
      </c>
      <c r="F70" s="55" t="str">
        <f t="shared" si="1"/>
        <v>69하동#5</v>
      </c>
    </row>
    <row r="71" spans="1:6">
      <c r="A71">
        <v>70</v>
      </c>
      <c r="B71" s="66" t="str">
        <f>EPSIS_RAW!H71</f>
        <v>유연탄</v>
      </c>
      <c r="C71" s="66" t="str">
        <f>EPSIS_RAW!B71</f>
        <v>하동#6</v>
      </c>
      <c r="D71" s="56">
        <f>(EPSIS_RAW!E71)*$H$2</f>
        <v>500</v>
      </c>
      <c r="E71" s="65">
        <f>ROUNDDOWN(EPSIS_RAW!F71,0)</f>
        <v>2001</v>
      </c>
      <c r="F71" s="55" t="str">
        <f t="shared" si="1"/>
        <v>70하동#6</v>
      </c>
    </row>
    <row r="72" spans="1:6">
      <c r="A72">
        <v>71</v>
      </c>
      <c r="B72" s="66" t="str">
        <f>EPSIS_RAW!H72</f>
        <v>유연탄</v>
      </c>
      <c r="C72" s="66" t="str">
        <f>EPSIS_RAW!B72</f>
        <v>하동#7</v>
      </c>
      <c r="D72" s="56">
        <f>(EPSIS_RAW!E72)*$H$2</f>
        <v>500</v>
      </c>
      <c r="E72" s="65">
        <f>ROUNDDOWN(EPSIS_RAW!F72,0)</f>
        <v>2008</v>
      </c>
      <c r="F72" s="55" t="str">
        <f t="shared" si="1"/>
        <v>71하동#7</v>
      </c>
    </row>
    <row r="73" spans="1:6">
      <c r="A73">
        <v>72</v>
      </c>
      <c r="B73" s="66" t="str">
        <f>EPSIS_RAW!H73</f>
        <v>유연탄</v>
      </c>
      <c r="C73" s="66" t="str">
        <f>EPSIS_RAW!B73</f>
        <v>하동#8</v>
      </c>
      <c r="D73" s="56">
        <f>(EPSIS_RAW!E73)*$H$2</f>
        <v>500</v>
      </c>
      <c r="E73" s="65">
        <f>ROUNDDOWN(EPSIS_RAW!F73,0)</f>
        <v>2009</v>
      </c>
      <c r="F73" s="55" t="str">
        <f t="shared" si="1"/>
        <v>72하동#8</v>
      </c>
    </row>
    <row r="74" spans="1:6">
      <c r="A74">
        <v>73</v>
      </c>
      <c r="B74" s="66" t="str">
        <f>EPSIS_RAW!H74</f>
        <v>유연탄</v>
      </c>
      <c r="C74" s="66" t="str">
        <f>EPSIS_RAW!B74</f>
        <v>호남#1</v>
      </c>
      <c r="D74" s="56">
        <f>(EPSIS_RAW!E74)*$H$2</f>
        <v>250</v>
      </c>
      <c r="E74" s="65">
        <f>ROUNDDOWN(EPSIS_RAW!F74,0)</f>
        <v>1973</v>
      </c>
      <c r="F74" s="55" t="str">
        <f t="shared" si="1"/>
        <v>73호남#1</v>
      </c>
    </row>
    <row r="75" spans="1:6">
      <c r="A75">
        <v>74</v>
      </c>
      <c r="B75" s="66" t="str">
        <f>EPSIS_RAW!H75</f>
        <v>유연탄</v>
      </c>
      <c r="C75" s="66" t="str">
        <f>EPSIS_RAW!B75</f>
        <v>호남#1</v>
      </c>
      <c r="D75" s="56">
        <f>(EPSIS_RAW!E75)*$H$2</f>
        <v>0</v>
      </c>
      <c r="E75" s="65">
        <f>ROUNDDOWN(EPSIS_RAW!F75,0)</f>
        <v>1985</v>
      </c>
      <c r="F75" s="55" t="str">
        <f t="shared" si="1"/>
        <v>74호남#1</v>
      </c>
    </row>
    <row r="76" spans="1:6">
      <c r="A76">
        <v>75</v>
      </c>
      <c r="B76" s="66" t="str">
        <f>EPSIS_RAW!H76</f>
        <v>유연탄</v>
      </c>
      <c r="C76" s="66" t="str">
        <f>EPSIS_RAW!B76</f>
        <v>호남#2</v>
      </c>
      <c r="D76" s="56">
        <f>(EPSIS_RAW!E76)*$H$2</f>
        <v>250</v>
      </c>
      <c r="E76" s="65">
        <f>ROUNDDOWN(EPSIS_RAW!F76,0)</f>
        <v>1973</v>
      </c>
      <c r="F76" s="55" t="str">
        <f t="shared" si="1"/>
        <v>75호남#2</v>
      </c>
    </row>
    <row r="77" spans="1:6">
      <c r="A77">
        <v>76</v>
      </c>
      <c r="B77" s="66" t="str">
        <f>EPSIS_RAW!H77</f>
        <v>유연탄</v>
      </c>
      <c r="C77" s="66" t="str">
        <f>EPSIS_RAW!B77</f>
        <v>호남#2</v>
      </c>
      <c r="D77" s="56">
        <f>(EPSIS_RAW!E77)*$H$2</f>
        <v>0</v>
      </c>
      <c r="E77" s="65">
        <f>ROUNDDOWN(EPSIS_RAW!F77,0)</f>
        <v>1984</v>
      </c>
      <c r="F77" s="55" t="str">
        <f t="shared" si="1"/>
        <v>76호남#2</v>
      </c>
    </row>
    <row r="78" spans="1:6">
      <c r="A78">
        <v>77</v>
      </c>
      <c r="B78" s="66" t="str">
        <f>EPSIS_RAW!H78</f>
        <v>경유</v>
      </c>
      <c r="C78" s="66" t="str">
        <f>EPSIS_RAW!B78</f>
        <v>가거도</v>
      </c>
      <c r="D78" s="56">
        <f>(EPSIS_RAW!E78)*$H$2</f>
        <v>0.3</v>
      </c>
      <c r="E78" s="65">
        <f>ROUNDDOWN(EPSIS_RAW!F78,0)</f>
        <v>2004</v>
      </c>
      <c r="F78" s="55" t="str">
        <f t="shared" si="1"/>
        <v>77가거도</v>
      </c>
    </row>
    <row r="79" spans="1:6">
      <c r="A79">
        <v>78</v>
      </c>
      <c r="B79" s="66" t="str">
        <f>EPSIS_RAW!H79</f>
        <v>경유</v>
      </c>
      <c r="C79" s="66" t="str">
        <f>EPSIS_RAW!B79</f>
        <v>가거도</v>
      </c>
      <c r="D79" s="56">
        <f>(EPSIS_RAW!E79)*$H$2</f>
        <v>0.75</v>
      </c>
      <c r="E79" s="65">
        <f>ROUNDDOWN(EPSIS_RAW!F79,0)</f>
        <v>2009</v>
      </c>
      <c r="F79" s="55" t="str">
        <f t="shared" si="1"/>
        <v>78가거도</v>
      </c>
    </row>
    <row r="80" spans="1:6">
      <c r="A80">
        <v>79</v>
      </c>
      <c r="B80" s="66" t="str">
        <f>EPSIS_RAW!H80</f>
        <v>경유</v>
      </c>
      <c r="C80" s="66" t="str">
        <f>EPSIS_RAW!B80</f>
        <v>가의도</v>
      </c>
      <c r="D80" s="56">
        <f>(EPSIS_RAW!E80)*$H$2</f>
        <v>0.24</v>
      </c>
      <c r="E80" s="65">
        <f>ROUNDDOWN(EPSIS_RAW!F80,0)</f>
        <v>1996</v>
      </c>
      <c r="F80" s="55" t="str">
        <f t="shared" si="1"/>
        <v>79가의도</v>
      </c>
    </row>
    <row r="81" spans="1:6">
      <c r="A81">
        <v>80</v>
      </c>
      <c r="B81" s="66" t="str">
        <f>EPSIS_RAW!H81</f>
        <v>경유</v>
      </c>
      <c r="C81" s="66" t="str">
        <f>EPSIS_RAW!B81</f>
        <v>가파도</v>
      </c>
      <c r="D81" s="56">
        <f>(EPSIS_RAW!E81)*$H$2</f>
        <v>0.45</v>
      </c>
      <c r="E81" s="65">
        <f>ROUNDDOWN(EPSIS_RAW!F81,0)</f>
        <v>1993</v>
      </c>
      <c r="F81" s="55" t="str">
        <f t="shared" si="1"/>
        <v>80가파도</v>
      </c>
    </row>
    <row r="82" spans="1:6">
      <c r="A82">
        <v>81</v>
      </c>
      <c r="B82" s="66" t="str">
        <f>EPSIS_RAW!H82</f>
        <v>경유</v>
      </c>
      <c r="C82" s="66" t="str">
        <f>EPSIS_RAW!B82</f>
        <v>개야도</v>
      </c>
      <c r="D82" s="56">
        <f>(EPSIS_RAW!E82)*$H$2</f>
        <v>0.5</v>
      </c>
      <c r="E82" s="65">
        <f>ROUNDDOWN(EPSIS_RAW!F82,0)</f>
        <v>1994</v>
      </c>
      <c r="F82" s="55" t="str">
        <f t="shared" si="1"/>
        <v>81개야도</v>
      </c>
    </row>
    <row r="83" spans="1:6">
      <c r="A83">
        <v>82</v>
      </c>
      <c r="B83" s="66" t="str">
        <f>EPSIS_RAW!H83</f>
        <v>경유</v>
      </c>
      <c r="C83" s="66" t="str">
        <f>EPSIS_RAW!B83</f>
        <v>개야도</v>
      </c>
      <c r="D83" s="56">
        <f>(EPSIS_RAW!E83)*$H$2</f>
        <v>1</v>
      </c>
      <c r="E83" s="65">
        <f>ROUNDDOWN(EPSIS_RAW!F83,0)</f>
        <v>2006</v>
      </c>
      <c r="F83" s="55" t="str">
        <f t="shared" si="1"/>
        <v>82개야도</v>
      </c>
    </row>
    <row r="84" spans="1:6">
      <c r="A84">
        <v>83</v>
      </c>
      <c r="B84" s="66" t="str">
        <f>EPSIS_RAW!H84</f>
        <v>경유</v>
      </c>
      <c r="C84" s="66" t="str">
        <f>EPSIS_RAW!B84</f>
        <v>거문도</v>
      </c>
      <c r="D84" s="56">
        <f>(EPSIS_RAW!E84)*$H$2</f>
        <v>2</v>
      </c>
      <c r="E84" s="65">
        <f>ROUNDDOWN(EPSIS_RAW!F84,0)</f>
        <v>1989</v>
      </c>
      <c r="F84" s="55" t="str">
        <f t="shared" si="1"/>
        <v>83거문도</v>
      </c>
    </row>
    <row r="85" spans="1:6">
      <c r="A85">
        <v>84</v>
      </c>
      <c r="B85" s="66" t="str">
        <f>EPSIS_RAW!H85</f>
        <v>경유</v>
      </c>
      <c r="C85" s="66" t="str">
        <f>EPSIS_RAW!B85</f>
        <v>거문도</v>
      </c>
      <c r="D85" s="56">
        <f>(EPSIS_RAW!E85)*$H$2</f>
        <v>0.5</v>
      </c>
      <c r="E85" s="65">
        <f>ROUNDDOWN(EPSIS_RAW!F85,0)</f>
        <v>1997</v>
      </c>
      <c r="F85" s="55" t="str">
        <f t="shared" si="1"/>
        <v>84거문도</v>
      </c>
    </row>
    <row r="86" spans="1:6">
      <c r="A86">
        <v>85</v>
      </c>
      <c r="B86" s="66" t="str">
        <f>EPSIS_RAW!H86</f>
        <v>경유</v>
      </c>
      <c r="C86" s="66" t="str">
        <f>EPSIS_RAW!B86</f>
        <v>거문도</v>
      </c>
      <c r="D86" s="56">
        <f>(EPSIS_RAW!E86)*$H$2</f>
        <v>2</v>
      </c>
      <c r="E86" s="65">
        <f>ROUNDDOWN(EPSIS_RAW!F86,0)</f>
        <v>2005</v>
      </c>
      <c r="F86" s="55" t="str">
        <f t="shared" si="1"/>
        <v>85거문도</v>
      </c>
    </row>
    <row r="87" spans="1:6">
      <c r="A87">
        <v>86</v>
      </c>
      <c r="B87" s="66" t="str">
        <f>EPSIS_RAW!H87</f>
        <v>경유</v>
      </c>
      <c r="C87" s="66" t="str">
        <f>EPSIS_RAW!B87</f>
        <v>고대도</v>
      </c>
      <c r="D87" s="56">
        <f>(EPSIS_RAW!E87)*$H$2</f>
        <v>0.1</v>
      </c>
      <c r="E87" s="65">
        <f>ROUNDDOWN(EPSIS_RAW!F87,0)</f>
        <v>1996</v>
      </c>
      <c r="F87" s="55" t="str">
        <f t="shared" si="1"/>
        <v>86고대도</v>
      </c>
    </row>
    <row r="88" spans="1:6">
      <c r="A88">
        <v>87</v>
      </c>
      <c r="B88" s="66" t="str">
        <f>EPSIS_RAW!H88</f>
        <v>경유</v>
      </c>
      <c r="C88" s="66" t="str">
        <f>EPSIS_RAW!B88</f>
        <v>고대도</v>
      </c>
      <c r="D88" s="56">
        <f>(EPSIS_RAW!E88)*$H$2</f>
        <v>0.3</v>
      </c>
      <c r="E88" s="65">
        <f>ROUNDDOWN(EPSIS_RAW!F88,0)</f>
        <v>1996</v>
      </c>
      <c r="F88" s="55" t="str">
        <f t="shared" si="1"/>
        <v>87고대도</v>
      </c>
    </row>
    <row r="89" spans="1:6">
      <c r="A89">
        <v>88</v>
      </c>
      <c r="B89" s="66" t="str">
        <f>EPSIS_RAW!H89</f>
        <v>경유</v>
      </c>
      <c r="C89" s="66" t="str">
        <f>EPSIS_RAW!B89</f>
        <v>구자도</v>
      </c>
      <c r="D89" s="56">
        <f>(EPSIS_RAW!E89)*$H$2</f>
        <v>0.24</v>
      </c>
      <c r="E89" s="65">
        <f>ROUNDDOWN(EPSIS_RAW!F89,0)</f>
        <v>2007</v>
      </c>
      <c r="F89" s="55" t="str">
        <f t="shared" si="1"/>
        <v>88구자도</v>
      </c>
    </row>
    <row r="90" spans="1:6">
      <c r="A90">
        <v>89</v>
      </c>
      <c r="B90" s="66" t="str">
        <f>EPSIS_RAW!H90</f>
        <v>경유</v>
      </c>
      <c r="C90" s="66" t="str">
        <f>EPSIS_RAW!B90</f>
        <v>낙월도</v>
      </c>
      <c r="D90" s="56">
        <f>(EPSIS_RAW!E90)*$H$2</f>
        <v>0.75</v>
      </c>
      <c r="E90" s="65">
        <f>ROUNDDOWN(EPSIS_RAW!F90,0)</f>
        <v>1994</v>
      </c>
      <c r="F90" s="55" t="str">
        <f t="shared" si="1"/>
        <v>89낙월도</v>
      </c>
    </row>
    <row r="91" spans="1:6">
      <c r="A91">
        <v>90</v>
      </c>
      <c r="B91" s="66" t="str">
        <f>EPSIS_RAW!H91</f>
        <v>경유</v>
      </c>
      <c r="C91" s="66" t="str">
        <f>EPSIS_RAW!B91</f>
        <v>녹도</v>
      </c>
      <c r="D91" s="56">
        <f>(EPSIS_RAW!E91)*$H$2</f>
        <v>0.16</v>
      </c>
      <c r="E91" s="65">
        <f>ROUNDDOWN(EPSIS_RAW!F91,0)</f>
        <v>1996</v>
      </c>
      <c r="F91" s="55" t="str">
        <f t="shared" si="1"/>
        <v>90녹도</v>
      </c>
    </row>
    <row r="92" spans="1:6">
      <c r="A92">
        <v>91</v>
      </c>
      <c r="B92" s="66" t="str">
        <f>EPSIS_RAW!H92</f>
        <v>경유</v>
      </c>
      <c r="C92" s="66" t="str">
        <f>EPSIS_RAW!B92</f>
        <v>녹도</v>
      </c>
      <c r="D92" s="56">
        <f>(EPSIS_RAW!E92)*$H$2</f>
        <v>0.1</v>
      </c>
      <c r="E92" s="65">
        <f>ROUNDDOWN(EPSIS_RAW!F92,0)</f>
        <v>2011</v>
      </c>
      <c r="F92" s="55" t="str">
        <f t="shared" si="1"/>
        <v>91녹도</v>
      </c>
    </row>
    <row r="93" spans="1:6">
      <c r="A93">
        <v>92</v>
      </c>
      <c r="B93" s="66" t="str">
        <f>EPSIS_RAW!H93</f>
        <v>경유</v>
      </c>
      <c r="C93" s="66" t="str">
        <f>EPSIS_RAW!B93</f>
        <v>대청도</v>
      </c>
      <c r="D93" s="56">
        <f>(EPSIS_RAW!E93)*$H$2</f>
        <v>0.45</v>
      </c>
      <c r="E93" s="65">
        <f>ROUNDDOWN(EPSIS_RAW!F93,0)</f>
        <v>1995</v>
      </c>
      <c r="F93" s="55" t="str">
        <f t="shared" si="1"/>
        <v>92대청도</v>
      </c>
    </row>
    <row r="94" spans="1:6">
      <c r="A94">
        <v>93</v>
      </c>
      <c r="B94" s="66" t="str">
        <f>EPSIS_RAW!H94</f>
        <v>경유</v>
      </c>
      <c r="C94" s="66" t="str">
        <f>EPSIS_RAW!B94</f>
        <v>대청도</v>
      </c>
      <c r="D94" s="56">
        <f>(EPSIS_RAW!E94)*$H$2</f>
        <v>0.5</v>
      </c>
      <c r="E94" s="65">
        <f>ROUNDDOWN(EPSIS_RAW!F94,0)</f>
        <v>2006</v>
      </c>
      <c r="F94" s="55" t="str">
        <f t="shared" si="1"/>
        <v>93대청도</v>
      </c>
    </row>
    <row r="95" spans="1:6">
      <c r="A95">
        <v>94</v>
      </c>
      <c r="B95" s="66" t="str">
        <f>EPSIS_RAW!H95</f>
        <v>경유</v>
      </c>
      <c r="C95" s="66" t="str">
        <f>EPSIS_RAW!B95</f>
        <v>대청도</v>
      </c>
      <c r="D95" s="56">
        <f>(EPSIS_RAW!E95)*$H$2</f>
        <v>2.6</v>
      </c>
      <c r="E95" s="65">
        <f>ROUNDDOWN(EPSIS_RAW!F95,0)</f>
        <v>2011</v>
      </c>
      <c r="F95" s="55" t="str">
        <f t="shared" si="1"/>
        <v>94대청도</v>
      </c>
    </row>
    <row r="96" spans="1:6">
      <c r="A96">
        <v>95</v>
      </c>
      <c r="B96" s="66" t="str">
        <f>EPSIS_RAW!H96</f>
        <v>경유</v>
      </c>
      <c r="C96" s="66" t="str">
        <f>EPSIS_RAW!B96</f>
        <v>덕우도</v>
      </c>
      <c r="D96" s="56">
        <f>(EPSIS_RAW!E96)*$H$2</f>
        <v>0.24</v>
      </c>
      <c r="E96" s="65">
        <f>ROUNDDOWN(EPSIS_RAW!F96,0)</f>
        <v>1996</v>
      </c>
      <c r="F96" s="55" t="str">
        <f t="shared" si="1"/>
        <v>95덕우도</v>
      </c>
    </row>
    <row r="97" spans="1:6">
      <c r="A97">
        <v>96</v>
      </c>
      <c r="B97" s="66" t="str">
        <f>EPSIS_RAW!H97</f>
        <v>경유</v>
      </c>
      <c r="C97" s="66" t="str">
        <f>EPSIS_RAW!B97</f>
        <v>덕우도</v>
      </c>
      <c r="D97" s="56">
        <f>(EPSIS_RAW!E97)*$H$2</f>
        <v>0.15</v>
      </c>
      <c r="E97" s="65">
        <f>ROUNDDOWN(EPSIS_RAW!F97,0)</f>
        <v>2000</v>
      </c>
      <c r="F97" s="55" t="str">
        <f t="shared" si="1"/>
        <v>96덕우도</v>
      </c>
    </row>
    <row r="98" spans="1:6">
      <c r="A98">
        <v>97</v>
      </c>
      <c r="B98" s="66" t="str">
        <f>EPSIS_RAW!H98</f>
        <v>경유</v>
      </c>
      <c r="C98" s="66" t="str">
        <f>EPSIS_RAW!B98</f>
        <v>덕적도</v>
      </c>
      <c r="D98" s="56">
        <f>(EPSIS_RAW!E98)*$H$2</f>
        <v>0.9</v>
      </c>
      <c r="E98" s="65">
        <f>ROUNDDOWN(EPSIS_RAW!F98,0)</f>
        <v>1989</v>
      </c>
      <c r="F98" s="55" t="str">
        <f t="shared" si="1"/>
        <v>97덕적도</v>
      </c>
    </row>
    <row r="99" spans="1:6">
      <c r="A99">
        <v>98</v>
      </c>
      <c r="B99" s="66" t="str">
        <f>EPSIS_RAW!H99</f>
        <v>경유</v>
      </c>
      <c r="C99" s="66" t="str">
        <f>EPSIS_RAW!B99</f>
        <v>덕적도</v>
      </c>
      <c r="D99" s="56">
        <f>(EPSIS_RAW!E99)*$H$2</f>
        <v>0.5</v>
      </c>
      <c r="E99" s="65">
        <f>ROUNDDOWN(EPSIS_RAW!F99,0)</f>
        <v>1997</v>
      </c>
      <c r="F99" s="55" t="str">
        <f t="shared" si="1"/>
        <v>98덕적도</v>
      </c>
    </row>
    <row r="100" spans="1:6">
      <c r="A100">
        <v>99</v>
      </c>
      <c r="B100" s="66" t="str">
        <f>EPSIS_RAW!H100</f>
        <v>경유</v>
      </c>
      <c r="C100" s="66" t="str">
        <f>EPSIS_RAW!B100</f>
        <v>덕적도</v>
      </c>
      <c r="D100" s="56">
        <f>(EPSIS_RAW!E100)*$H$2</f>
        <v>0.5</v>
      </c>
      <c r="E100" s="65">
        <f>ROUNDDOWN(EPSIS_RAW!F100,0)</f>
        <v>2001</v>
      </c>
      <c r="F100" s="55" t="str">
        <f t="shared" si="1"/>
        <v>99덕적도</v>
      </c>
    </row>
    <row r="101" spans="1:6">
      <c r="A101">
        <v>100</v>
      </c>
      <c r="B101" s="66" t="str">
        <f>EPSIS_RAW!H101</f>
        <v>경유</v>
      </c>
      <c r="C101" s="66" t="str">
        <f>EPSIS_RAW!B101</f>
        <v>덕적도</v>
      </c>
      <c r="D101" s="56">
        <f>(EPSIS_RAW!E101)*$H$2</f>
        <v>1</v>
      </c>
      <c r="E101" s="65">
        <f>ROUNDDOWN(EPSIS_RAW!F101,0)</f>
        <v>2005</v>
      </c>
      <c r="F101" s="55" t="str">
        <f t="shared" si="1"/>
        <v>100덕적도</v>
      </c>
    </row>
    <row r="102" spans="1:6">
      <c r="A102">
        <v>101</v>
      </c>
      <c r="B102" s="66" t="str">
        <f>EPSIS_RAW!H102</f>
        <v>경유</v>
      </c>
      <c r="C102" s="66" t="str">
        <f>EPSIS_RAW!B102</f>
        <v>독거도</v>
      </c>
      <c r="D102" s="56">
        <f>(EPSIS_RAW!E102)*$H$2</f>
        <v>0.08</v>
      </c>
      <c r="E102" s="65">
        <f>ROUNDDOWN(EPSIS_RAW!F102,0)</f>
        <v>2004</v>
      </c>
      <c r="F102" s="55" t="str">
        <f t="shared" si="1"/>
        <v>101독거도</v>
      </c>
    </row>
    <row r="103" spans="1:6">
      <c r="A103">
        <v>102</v>
      </c>
      <c r="B103" s="66" t="str">
        <f>EPSIS_RAW!H103</f>
        <v>경유</v>
      </c>
      <c r="C103" s="66" t="str">
        <f>EPSIS_RAW!B103</f>
        <v>독거도</v>
      </c>
      <c r="D103" s="56">
        <f>(EPSIS_RAW!E103)*$H$2</f>
        <v>0.08</v>
      </c>
      <c r="E103" s="65">
        <f>ROUNDDOWN(EPSIS_RAW!F103,0)</f>
        <v>2010</v>
      </c>
      <c r="F103" s="55" t="str">
        <f t="shared" si="1"/>
        <v>102독거도</v>
      </c>
    </row>
    <row r="104" spans="1:6">
      <c r="A104">
        <v>103</v>
      </c>
      <c r="B104" s="66" t="str">
        <f>EPSIS_RAW!H104</f>
        <v>경유</v>
      </c>
      <c r="C104" s="66" t="str">
        <f>EPSIS_RAW!B104</f>
        <v>득량도</v>
      </c>
      <c r="D104" s="56">
        <f>(EPSIS_RAW!E104)*$H$2</f>
        <v>0.3</v>
      </c>
      <c r="E104" s="65">
        <f>ROUNDDOWN(EPSIS_RAW!F104,0)</f>
        <v>1994</v>
      </c>
      <c r="F104" s="55" t="str">
        <f t="shared" si="1"/>
        <v>103득량도</v>
      </c>
    </row>
    <row r="105" spans="1:6">
      <c r="A105">
        <v>104</v>
      </c>
      <c r="B105" s="66" t="str">
        <f>EPSIS_RAW!H105</f>
        <v>경유</v>
      </c>
      <c r="C105" s="66" t="str">
        <f>EPSIS_RAW!B105</f>
        <v>마라도</v>
      </c>
      <c r="D105" s="56">
        <f>(EPSIS_RAW!E105)*$H$2</f>
        <v>0.3</v>
      </c>
      <c r="E105" s="65">
        <f>ROUNDDOWN(EPSIS_RAW!F105,0)</f>
        <v>2011</v>
      </c>
      <c r="F105" s="55" t="str">
        <f t="shared" si="1"/>
        <v>104마라도</v>
      </c>
    </row>
    <row r="106" spans="1:6">
      <c r="A106">
        <v>105</v>
      </c>
      <c r="B106" s="66" t="str">
        <f>EPSIS_RAW!H106</f>
        <v>경유</v>
      </c>
      <c r="C106" s="66" t="str">
        <f>EPSIS_RAW!B106</f>
        <v>마라도</v>
      </c>
      <c r="D106" s="56">
        <f>(EPSIS_RAW!E106)*$H$2</f>
        <v>0.2</v>
      </c>
      <c r="E106" s="65">
        <f>ROUNDDOWN(EPSIS_RAW!F106,0)</f>
        <v>2011</v>
      </c>
      <c r="F106" s="55" t="str">
        <f t="shared" si="1"/>
        <v>105마라도</v>
      </c>
    </row>
    <row r="107" spans="1:6">
      <c r="A107">
        <v>106</v>
      </c>
      <c r="B107" s="66" t="str">
        <f>EPSIS_RAW!H107</f>
        <v>경유</v>
      </c>
      <c r="C107" s="66" t="str">
        <f>EPSIS_RAW!B107</f>
        <v>마라도</v>
      </c>
      <c r="D107" s="56">
        <f>(EPSIS_RAW!E107)*$H$2</f>
        <v>0.2</v>
      </c>
      <c r="E107" s="65">
        <f>ROUNDDOWN(EPSIS_RAW!F107,0)</f>
        <v>2013</v>
      </c>
      <c r="F107" s="55" t="str">
        <f t="shared" si="1"/>
        <v>106마라도</v>
      </c>
    </row>
    <row r="108" spans="1:6">
      <c r="A108">
        <v>107</v>
      </c>
      <c r="B108" s="66" t="str">
        <f>EPSIS_RAW!H108</f>
        <v>경유</v>
      </c>
      <c r="C108" s="66" t="str">
        <f>EPSIS_RAW!B108</f>
        <v>매물도</v>
      </c>
      <c r="D108" s="56">
        <f>(EPSIS_RAW!E108)*$H$2</f>
        <v>0.45</v>
      </c>
      <c r="E108" s="65">
        <f>ROUNDDOWN(EPSIS_RAW!F108,0)</f>
        <v>1994</v>
      </c>
      <c r="F108" s="55" t="str">
        <f t="shared" si="1"/>
        <v>107매물도</v>
      </c>
    </row>
    <row r="109" spans="1:6">
      <c r="A109">
        <v>108</v>
      </c>
      <c r="B109" s="66" t="str">
        <f>EPSIS_RAW!H109</f>
        <v>경유</v>
      </c>
      <c r="C109" s="66" t="str">
        <f>EPSIS_RAW!B109</f>
        <v>문갑도</v>
      </c>
      <c r="D109" s="56">
        <f>(EPSIS_RAW!E109)*$H$2</f>
        <v>0.24</v>
      </c>
      <c r="E109" s="65">
        <f>ROUNDDOWN(EPSIS_RAW!F109,0)</f>
        <v>2004</v>
      </c>
      <c r="F109" s="55" t="str">
        <f t="shared" si="1"/>
        <v>108문갑도</v>
      </c>
    </row>
    <row r="110" spans="1:6">
      <c r="A110">
        <v>109</v>
      </c>
      <c r="B110" s="66" t="str">
        <f>EPSIS_RAW!H110</f>
        <v>경유</v>
      </c>
      <c r="C110" s="66" t="str">
        <f>EPSIS_RAW!B110</f>
        <v>백령도</v>
      </c>
      <c r="D110" s="56">
        <f>(EPSIS_RAW!E110)*$H$2</f>
        <v>4.5</v>
      </c>
      <c r="E110" s="65">
        <f>ROUNDDOWN(EPSIS_RAW!F110,0)</f>
        <v>1999</v>
      </c>
      <c r="F110" s="55" t="str">
        <f t="shared" si="1"/>
        <v>109백령도</v>
      </c>
    </row>
    <row r="111" spans="1:6">
      <c r="A111">
        <v>110</v>
      </c>
      <c r="B111" s="66" t="str">
        <f>EPSIS_RAW!H111</f>
        <v>경유</v>
      </c>
      <c r="C111" s="66" t="str">
        <f>EPSIS_RAW!B111</f>
        <v>백령도</v>
      </c>
      <c r="D111" s="56">
        <f>(EPSIS_RAW!E111)*$H$2</f>
        <v>1.5</v>
      </c>
      <c r="E111" s="65">
        <f>ROUNDDOWN(EPSIS_RAW!F111,0)</f>
        <v>2001</v>
      </c>
      <c r="F111" s="55" t="str">
        <f t="shared" si="1"/>
        <v>110백령도</v>
      </c>
    </row>
    <row r="112" spans="1:6">
      <c r="A112">
        <v>111</v>
      </c>
      <c r="B112" s="66" t="str">
        <f>EPSIS_RAW!H112</f>
        <v>경유</v>
      </c>
      <c r="C112" s="66" t="str">
        <f>EPSIS_RAW!B112</f>
        <v>백령도</v>
      </c>
      <c r="D112" s="56">
        <f>(EPSIS_RAW!E112)*$H$2</f>
        <v>3</v>
      </c>
      <c r="E112" s="65">
        <f>ROUNDDOWN(EPSIS_RAW!F112,0)</f>
        <v>2003</v>
      </c>
      <c r="F112" s="55" t="str">
        <f t="shared" si="1"/>
        <v>111백령도</v>
      </c>
    </row>
    <row r="113" spans="1:6">
      <c r="A113">
        <v>112</v>
      </c>
      <c r="B113" s="66" t="str">
        <f>EPSIS_RAW!H113</f>
        <v>경유</v>
      </c>
      <c r="C113" s="66" t="str">
        <f>EPSIS_RAW!B113</f>
        <v>백령도</v>
      </c>
      <c r="D113" s="56">
        <f>(EPSIS_RAW!E113)*$H$2</f>
        <v>6</v>
      </c>
      <c r="E113" s="65">
        <f>ROUNDDOWN(EPSIS_RAW!F113,0)</f>
        <v>2013</v>
      </c>
      <c r="F113" s="55" t="str">
        <f t="shared" si="1"/>
        <v>112백령도</v>
      </c>
    </row>
    <row r="114" spans="1:6">
      <c r="A114">
        <v>113</v>
      </c>
      <c r="B114" s="66" t="str">
        <f>EPSIS_RAW!H114</f>
        <v>경유</v>
      </c>
      <c r="C114" s="66" t="str">
        <f>EPSIS_RAW!B114</f>
        <v>비안도</v>
      </c>
      <c r="D114" s="56">
        <f>(EPSIS_RAW!E114)*$H$2</f>
        <v>0.45</v>
      </c>
      <c r="E114" s="65">
        <f>ROUNDDOWN(EPSIS_RAW!F114,0)</f>
        <v>1994</v>
      </c>
      <c r="F114" s="55" t="str">
        <f t="shared" si="1"/>
        <v>113비안도</v>
      </c>
    </row>
    <row r="115" spans="1:6">
      <c r="A115">
        <v>114</v>
      </c>
      <c r="B115" s="66" t="str">
        <f>EPSIS_RAW!H115</f>
        <v>경유</v>
      </c>
      <c r="C115" s="66" t="str">
        <f>EPSIS_RAW!B115</f>
        <v>비양도</v>
      </c>
      <c r="D115" s="56">
        <f>(EPSIS_RAW!E115)*$H$2</f>
        <v>0.24</v>
      </c>
      <c r="E115" s="65">
        <f>ROUNDDOWN(EPSIS_RAW!F115,0)</f>
        <v>1996</v>
      </c>
      <c r="F115" s="55" t="str">
        <f t="shared" si="1"/>
        <v>114비양도</v>
      </c>
    </row>
    <row r="116" spans="1:6">
      <c r="A116">
        <v>115</v>
      </c>
      <c r="B116" s="66" t="str">
        <f>EPSIS_RAW!H116</f>
        <v>경유</v>
      </c>
      <c r="C116" s="66" t="str">
        <f>EPSIS_RAW!B116</f>
        <v>삽시도</v>
      </c>
      <c r="D116" s="56">
        <f>(EPSIS_RAW!E116)*$H$2</f>
        <v>1</v>
      </c>
      <c r="E116" s="65">
        <f>ROUNDDOWN(EPSIS_RAW!F116,0)</f>
        <v>1993</v>
      </c>
      <c r="F116" s="55" t="str">
        <f t="shared" si="1"/>
        <v>115삽시도</v>
      </c>
    </row>
    <row r="117" spans="1:6">
      <c r="A117">
        <v>116</v>
      </c>
      <c r="B117" s="66" t="str">
        <f>EPSIS_RAW!H117</f>
        <v>경유</v>
      </c>
      <c r="C117" s="66" t="str">
        <f>EPSIS_RAW!B117</f>
        <v>삽시도</v>
      </c>
      <c r="D117" s="56">
        <f>(EPSIS_RAW!E117)*$H$2</f>
        <v>0.6</v>
      </c>
      <c r="E117" s="65">
        <f>ROUNDDOWN(EPSIS_RAW!F117,0)</f>
        <v>2006</v>
      </c>
      <c r="F117" s="55" t="str">
        <f t="shared" si="1"/>
        <v>116삽시도</v>
      </c>
    </row>
    <row r="118" spans="1:6">
      <c r="A118">
        <v>117</v>
      </c>
      <c r="B118" s="66" t="str">
        <f>EPSIS_RAW!H118</f>
        <v>경유</v>
      </c>
      <c r="C118" s="66" t="str">
        <f>EPSIS_RAW!B118</f>
        <v>상화도</v>
      </c>
      <c r="D118" s="56">
        <f>(EPSIS_RAW!E118)*$H$2</f>
        <v>0.08</v>
      </c>
      <c r="E118" s="65">
        <f>ROUNDDOWN(EPSIS_RAW!F118,0)</f>
        <v>2006</v>
      </c>
      <c r="F118" s="55" t="str">
        <f t="shared" si="1"/>
        <v>117상화도</v>
      </c>
    </row>
    <row r="119" spans="1:6">
      <c r="A119">
        <v>118</v>
      </c>
      <c r="B119" s="66" t="str">
        <f>EPSIS_RAW!H119</f>
        <v>경유</v>
      </c>
      <c r="C119" s="66" t="str">
        <f>EPSIS_RAW!B119</f>
        <v>상화도</v>
      </c>
      <c r="D119" s="56">
        <f>(EPSIS_RAW!E119)*$H$2</f>
        <v>0.08</v>
      </c>
      <c r="E119" s="65">
        <f>ROUNDDOWN(EPSIS_RAW!F119,0)</f>
        <v>2006</v>
      </c>
      <c r="F119" s="55" t="str">
        <f t="shared" si="1"/>
        <v>118상화도</v>
      </c>
    </row>
    <row r="120" spans="1:6">
      <c r="A120">
        <v>119</v>
      </c>
      <c r="B120" s="66" t="str">
        <f>EPSIS_RAW!H120</f>
        <v>경유</v>
      </c>
      <c r="C120" s="66" t="str">
        <f>EPSIS_RAW!B120</f>
        <v>상화도</v>
      </c>
      <c r="D120" s="56">
        <f>(EPSIS_RAW!E120)*$H$2</f>
        <v>0.08</v>
      </c>
      <c r="E120" s="65">
        <f>ROUNDDOWN(EPSIS_RAW!F120,0)</f>
        <v>2008</v>
      </c>
      <c r="F120" s="55" t="str">
        <f t="shared" si="1"/>
        <v>119상화도</v>
      </c>
    </row>
    <row r="121" spans="1:6">
      <c r="A121">
        <v>120</v>
      </c>
      <c r="B121" s="66" t="str">
        <f>EPSIS_RAW!H121</f>
        <v>경유</v>
      </c>
      <c r="C121" s="66" t="str">
        <f>EPSIS_RAW!B121</f>
        <v>성남도</v>
      </c>
      <c r="D121" s="56">
        <f>(EPSIS_RAW!E121)*$H$2</f>
        <v>0.08</v>
      </c>
      <c r="E121" s="65">
        <f>ROUNDDOWN(EPSIS_RAW!F121,0)</f>
        <v>2004</v>
      </c>
      <c r="F121" s="55" t="str">
        <f t="shared" si="1"/>
        <v>120성남도</v>
      </c>
    </row>
    <row r="122" spans="1:6">
      <c r="A122">
        <v>121</v>
      </c>
      <c r="B122" s="66" t="str">
        <f>EPSIS_RAW!H122</f>
        <v>경유</v>
      </c>
      <c r="C122" s="66" t="str">
        <f>EPSIS_RAW!B122</f>
        <v>성남도</v>
      </c>
      <c r="D122" s="56">
        <f>(EPSIS_RAW!E122)*$H$2</f>
        <v>0.08</v>
      </c>
      <c r="E122" s="65">
        <f>ROUNDDOWN(EPSIS_RAW!F122,0)</f>
        <v>2010</v>
      </c>
      <c r="F122" s="55" t="str">
        <f t="shared" si="1"/>
        <v>121성남도</v>
      </c>
    </row>
    <row r="123" spans="1:6">
      <c r="A123">
        <v>122</v>
      </c>
      <c r="B123" s="66" t="str">
        <f>EPSIS_RAW!H123</f>
        <v>경유</v>
      </c>
      <c r="C123" s="66" t="str">
        <f>EPSIS_RAW!B123</f>
        <v>소연평도</v>
      </c>
      <c r="D123" s="56">
        <f>(EPSIS_RAW!E123)*$H$2</f>
        <v>0.5</v>
      </c>
      <c r="E123" s="65">
        <f>ROUNDDOWN(EPSIS_RAW!F123,0)</f>
        <v>2002</v>
      </c>
      <c r="F123" s="55" t="str">
        <f t="shared" si="1"/>
        <v>122소연평도</v>
      </c>
    </row>
    <row r="124" spans="1:6">
      <c r="A124">
        <v>123</v>
      </c>
      <c r="B124" s="66" t="str">
        <f>EPSIS_RAW!H124</f>
        <v>경유</v>
      </c>
      <c r="C124" s="66" t="str">
        <f>EPSIS_RAW!B124</f>
        <v>소연평도</v>
      </c>
      <c r="D124" s="56">
        <f>(EPSIS_RAW!E124)*$H$2</f>
        <v>0.1</v>
      </c>
      <c r="E124" s="65">
        <f>ROUNDDOWN(EPSIS_RAW!F124,0)</f>
        <v>2002</v>
      </c>
      <c r="F124" s="55" t="str">
        <f t="shared" si="1"/>
        <v>123소연평도</v>
      </c>
    </row>
    <row r="125" spans="1:6">
      <c r="A125">
        <v>124</v>
      </c>
      <c r="B125" s="66" t="str">
        <f>EPSIS_RAW!H125</f>
        <v>경유</v>
      </c>
      <c r="C125" s="66" t="str">
        <f>EPSIS_RAW!B125</f>
        <v>소청도</v>
      </c>
      <c r="D125" s="56">
        <f>(EPSIS_RAW!E125)*$H$2</f>
        <v>2.4</v>
      </c>
      <c r="E125" s="65">
        <f>ROUNDDOWN(EPSIS_RAW!F125,0)</f>
        <v>1995</v>
      </c>
      <c r="F125" s="55" t="str">
        <f t="shared" si="1"/>
        <v>124소청도</v>
      </c>
    </row>
    <row r="126" spans="1:6">
      <c r="A126">
        <v>125</v>
      </c>
      <c r="B126" s="66" t="str">
        <f>EPSIS_RAW!H126</f>
        <v>경유</v>
      </c>
      <c r="C126" s="66" t="str">
        <f>EPSIS_RAW!B126</f>
        <v>손죽도</v>
      </c>
      <c r="D126" s="56">
        <f>(EPSIS_RAW!E126)*$H$2</f>
        <v>0.3</v>
      </c>
      <c r="E126" s="65">
        <f>ROUNDDOWN(EPSIS_RAW!F126,0)</f>
        <v>1994</v>
      </c>
      <c r="F126" s="55" t="str">
        <f t="shared" si="1"/>
        <v>125손죽도</v>
      </c>
    </row>
    <row r="127" spans="1:6">
      <c r="A127">
        <v>126</v>
      </c>
      <c r="B127" s="66" t="str">
        <f>EPSIS_RAW!H127</f>
        <v>경유</v>
      </c>
      <c r="C127" s="66" t="str">
        <f>EPSIS_RAW!B127</f>
        <v>송이도</v>
      </c>
      <c r="D127" s="56">
        <f>(EPSIS_RAW!E127)*$H$2</f>
        <v>0.2</v>
      </c>
      <c r="E127" s="65">
        <f>ROUNDDOWN(EPSIS_RAW!F127,0)</f>
        <v>1996</v>
      </c>
      <c r="F127" s="55" t="str">
        <f t="shared" si="1"/>
        <v>126송이도</v>
      </c>
    </row>
    <row r="128" spans="1:6">
      <c r="A128">
        <v>127</v>
      </c>
      <c r="B128" s="66" t="str">
        <f>EPSIS_RAW!H128</f>
        <v>경유</v>
      </c>
      <c r="C128" s="66" t="str">
        <f>EPSIS_RAW!B128</f>
        <v>송이도</v>
      </c>
      <c r="D128" s="56">
        <f>(EPSIS_RAW!E128)*$H$2</f>
        <v>0.1</v>
      </c>
      <c r="E128" s="65">
        <f>ROUNDDOWN(EPSIS_RAW!F128,0)</f>
        <v>2011</v>
      </c>
      <c r="F128" s="55" t="str">
        <f t="shared" si="1"/>
        <v>127송이도</v>
      </c>
    </row>
    <row r="129" spans="1:6">
      <c r="A129">
        <v>128</v>
      </c>
      <c r="B129" s="66" t="str">
        <f>EPSIS_RAW!H129</f>
        <v>경유</v>
      </c>
      <c r="C129" s="66" t="str">
        <f>EPSIS_RAW!B129</f>
        <v>수우도</v>
      </c>
      <c r="D129" s="56">
        <f>(EPSIS_RAW!E129)*$H$2</f>
        <v>0.08</v>
      </c>
      <c r="E129" s="65">
        <f>ROUNDDOWN(EPSIS_RAW!F129,0)</f>
        <v>1996</v>
      </c>
      <c r="F129" s="55" t="str">
        <f t="shared" si="1"/>
        <v>128수우도</v>
      </c>
    </row>
    <row r="130" spans="1:6">
      <c r="A130">
        <v>129</v>
      </c>
      <c r="B130" s="66" t="str">
        <f>EPSIS_RAW!H130</f>
        <v>경유</v>
      </c>
      <c r="C130" s="66" t="str">
        <f>EPSIS_RAW!B130</f>
        <v>수우도</v>
      </c>
      <c r="D130" s="56">
        <f>(EPSIS_RAW!E130)*$H$2</f>
        <v>0.08</v>
      </c>
      <c r="E130" s="65">
        <f>ROUNDDOWN(EPSIS_RAW!F130,0)</f>
        <v>2008</v>
      </c>
      <c r="F130" s="55" t="str">
        <f t="shared" si="1"/>
        <v>129수우도</v>
      </c>
    </row>
    <row r="131" spans="1:6">
      <c r="A131">
        <v>130</v>
      </c>
      <c r="B131" s="66" t="str">
        <f>EPSIS_RAW!H131</f>
        <v>경유</v>
      </c>
      <c r="C131" s="66" t="str">
        <f>EPSIS_RAW!B131</f>
        <v>슬도</v>
      </c>
      <c r="D131" s="56">
        <f>(EPSIS_RAW!E131)*$H$2</f>
        <v>0.24</v>
      </c>
      <c r="E131" s="65">
        <f>ROUNDDOWN(EPSIS_RAW!F131,0)</f>
        <v>2006</v>
      </c>
      <c r="F131" s="55" t="str">
        <f t="shared" ref="F131:F194" si="2">A131&amp;C131</f>
        <v>130슬도</v>
      </c>
    </row>
    <row r="132" spans="1:6">
      <c r="A132">
        <v>131</v>
      </c>
      <c r="B132" s="66" t="str">
        <f>EPSIS_RAW!H132</f>
        <v>경유</v>
      </c>
      <c r="C132" s="66" t="str">
        <f>EPSIS_RAW!B132</f>
        <v>승봉도</v>
      </c>
      <c r="D132" s="56">
        <f>(EPSIS_RAW!E132)*$H$2</f>
        <v>0.45</v>
      </c>
      <c r="E132" s="65">
        <f>ROUNDDOWN(EPSIS_RAW!F132,0)</f>
        <v>1994</v>
      </c>
      <c r="F132" s="55" t="str">
        <f t="shared" si="2"/>
        <v>131승봉도</v>
      </c>
    </row>
    <row r="133" spans="1:6">
      <c r="A133">
        <v>132</v>
      </c>
      <c r="B133" s="66" t="str">
        <f>EPSIS_RAW!H133</f>
        <v>경유</v>
      </c>
      <c r="C133" s="66" t="str">
        <f>EPSIS_RAW!B133</f>
        <v>승봉도</v>
      </c>
      <c r="D133" s="56">
        <f>(EPSIS_RAW!E133)*$H$2</f>
        <v>0.5</v>
      </c>
      <c r="E133" s="65">
        <f>ROUNDDOWN(EPSIS_RAW!F133,0)</f>
        <v>2004</v>
      </c>
      <c r="F133" s="55" t="str">
        <f t="shared" si="2"/>
        <v>132승봉도</v>
      </c>
    </row>
    <row r="134" spans="1:6">
      <c r="A134">
        <v>133</v>
      </c>
      <c r="B134" s="66" t="str">
        <f>EPSIS_RAW!H134</f>
        <v>경유</v>
      </c>
      <c r="C134" s="66" t="str">
        <f>EPSIS_RAW!B134</f>
        <v>승봉도</v>
      </c>
      <c r="D134" s="56">
        <f>(EPSIS_RAW!E134)*$H$2</f>
        <v>1</v>
      </c>
      <c r="E134" s="65">
        <f>ROUNDDOWN(EPSIS_RAW!F134,0)</f>
        <v>2008</v>
      </c>
      <c r="F134" s="55" t="str">
        <f t="shared" si="2"/>
        <v>133승봉도</v>
      </c>
    </row>
    <row r="135" spans="1:6">
      <c r="A135">
        <v>134</v>
      </c>
      <c r="B135" s="66" t="str">
        <f>EPSIS_RAW!H135</f>
        <v>경유</v>
      </c>
      <c r="C135" s="66" t="str">
        <f>EPSIS_RAW!B135</f>
        <v>시산도</v>
      </c>
      <c r="D135" s="56">
        <f>(EPSIS_RAW!E135)*$H$2</f>
        <v>0.75</v>
      </c>
      <c r="E135" s="65">
        <f>ROUNDDOWN(EPSIS_RAW!F135,0)</f>
        <v>1994</v>
      </c>
      <c r="F135" s="55" t="str">
        <f t="shared" si="2"/>
        <v>134시산도</v>
      </c>
    </row>
    <row r="136" spans="1:6">
      <c r="A136">
        <v>135</v>
      </c>
      <c r="B136" s="66" t="str">
        <f>EPSIS_RAW!H136</f>
        <v>경유</v>
      </c>
      <c r="C136" s="66" t="str">
        <f>EPSIS_RAW!B136</f>
        <v>어룡도</v>
      </c>
      <c r="D136" s="56">
        <f>(EPSIS_RAW!E136)*$H$2</f>
        <v>0.24</v>
      </c>
      <c r="E136" s="65">
        <f>ROUNDDOWN(EPSIS_RAW!F136,0)</f>
        <v>2006</v>
      </c>
      <c r="F136" s="55" t="str">
        <f t="shared" si="2"/>
        <v>135어룡도</v>
      </c>
    </row>
    <row r="137" spans="1:6">
      <c r="A137">
        <v>136</v>
      </c>
      <c r="B137" s="66" t="str">
        <f>EPSIS_RAW!H137</f>
        <v>경유</v>
      </c>
      <c r="C137" s="66" t="str">
        <f>EPSIS_RAW!B137</f>
        <v>어의도</v>
      </c>
      <c r="D137" s="56">
        <f>(EPSIS_RAW!E137)*$H$2</f>
        <v>0.08</v>
      </c>
      <c r="E137" s="65">
        <f>ROUNDDOWN(EPSIS_RAW!F137,0)</f>
        <v>1996</v>
      </c>
      <c r="F137" s="55" t="str">
        <f t="shared" si="2"/>
        <v>136어의도</v>
      </c>
    </row>
    <row r="138" spans="1:6">
      <c r="A138">
        <v>137</v>
      </c>
      <c r="B138" s="66" t="str">
        <f>EPSIS_RAW!H138</f>
        <v>경유</v>
      </c>
      <c r="C138" s="66" t="str">
        <f>EPSIS_RAW!B138</f>
        <v>어의도</v>
      </c>
      <c r="D138" s="56">
        <f>(EPSIS_RAW!E138)*$H$2</f>
        <v>0.08</v>
      </c>
      <c r="E138" s="65">
        <f>ROUNDDOWN(EPSIS_RAW!F138,0)</f>
        <v>1996</v>
      </c>
      <c r="F138" s="55" t="str">
        <f t="shared" si="2"/>
        <v>137어의도</v>
      </c>
    </row>
    <row r="139" spans="1:6">
      <c r="A139">
        <v>138</v>
      </c>
      <c r="B139" s="66" t="str">
        <f>EPSIS_RAW!H139</f>
        <v>경유</v>
      </c>
      <c r="C139" s="66" t="str">
        <f>EPSIS_RAW!B139</f>
        <v>어청도</v>
      </c>
      <c r="D139" s="56">
        <f>(EPSIS_RAW!E139)*$H$2</f>
        <v>0.3</v>
      </c>
      <c r="E139" s="65">
        <f>ROUNDDOWN(EPSIS_RAW!F139,0)</f>
        <v>1994</v>
      </c>
      <c r="F139" s="55" t="str">
        <f t="shared" si="2"/>
        <v>138어청도</v>
      </c>
    </row>
    <row r="140" spans="1:6">
      <c r="A140">
        <v>139</v>
      </c>
      <c r="B140" s="66" t="str">
        <f>EPSIS_RAW!H140</f>
        <v>경유</v>
      </c>
      <c r="C140" s="66" t="str">
        <f>EPSIS_RAW!B140</f>
        <v>어청도</v>
      </c>
      <c r="D140" s="56">
        <f>(EPSIS_RAW!E140)*$H$2</f>
        <v>0.6</v>
      </c>
      <c r="E140" s="65">
        <f>ROUNDDOWN(EPSIS_RAW!F140,0)</f>
        <v>2007</v>
      </c>
      <c r="F140" s="55" t="str">
        <f t="shared" si="2"/>
        <v>139어청도</v>
      </c>
    </row>
    <row r="141" spans="1:6">
      <c r="A141">
        <v>140</v>
      </c>
      <c r="B141" s="66" t="str">
        <f>EPSIS_RAW!H141</f>
        <v>경유</v>
      </c>
      <c r="C141" s="66" t="str">
        <f>EPSIS_RAW!B141</f>
        <v>어청도</v>
      </c>
      <c r="D141" s="56">
        <f>(EPSIS_RAW!E141)*$H$2</f>
        <v>0.5</v>
      </c>
      <c r="E141" s="65">
        <f>ROUNDDOWN(EPSIS_RAW!F141,0)</f>
        <v>2012</v>
      </c>
      <c r="F141" s="55" t="str">
        <f t="shared" si="2"/>
        <v>140어청도</v>
      </c>
    </row>
    <row r="142" spans="1:6">
      <c r="A142">
        <v>141</v>
      </c>
      <c r="B142" s="66" t="str">
        <f>EPSIS_RAW!H142</f>
        <v>경유</v>
      </c>
      <c r="C142" s="66" t="str">
        <f>EPSIS_RAW!B142</f>
        <v>여서도</v>
      </c>
      <c r="D142" s="56">
        <f>(EPSIS_RAW!E142)*$H$2</f>
        <v>0.24</v>
      </c>
      <c r="E142" s="65">
        <f>ROUNDDOWN(EPSIS_RAW!F142,0)</f>
        <v>1996</v>
      </c>
      <c r="F142" s="55" t="str">
        <f t="shared" si="2"/>
        <v>141여서도</v>
      </c>
    </row>
    <row r="143" spans="1:6">
      <c r="A143">
        <v>142</v>
      </c>
      <c r="B143" s="66" t="str">
        <f>EPSIS_RAW!H143</f>
        <v>경유</v>
      </c>
      <c r="C143" s="66" t="str">
        <f>EPSIS_RAW!B143</f>
        <v>여자도</v>
      </c>
      <c r="D143" s="56">
        <f>(EPSIS_RAW!E143)*$H$2</f>
        <v>0.45</v>
      </c>
      <c r="E143" s="65">
        <f>ROUNDDOWN(EPSIS_RAW!F143,0)</f>
        <v>1994</v>
      </c>
      <c r="F143" s="55" t="str">
        <f t="shared" si="2"/>
        <v>142여자도</v>
      </c>
    </row>
    <row r="144" spans="1:6">
      <c r="A144">
        <v>143</v>
      </c>
      <c r="B144" s="66" t="str">
        <f>EPSIS_RAW!H144</f>
        <v>경유</v>
      </c>
      <c r="C144" s="66" t="str">
        <f>EPSIS_RAW!B144</f>
        <v>연도</v>
      </c>
      <c r="D144" s="56">
        <f>(EPSIS_RAW!E144)*$H$2</f>
        <v>0.16</v>
      </c>
      <c r="E144" s="65">
        <f>ROUNDDOWN(EPSIS_RAW!F144,0)</f>
        <v>1996</v>
      </c>
      <c r="F144" s="55" t="str">
        <f t="shared" si="2"/>
        <v>143연도</v>
      </c>
    </row>
    <row r="145" spans="1:6">
      <c r="A145">
        <v>144</v>
      </c>
      <c r="B145" s="66" t="str">
        <f>EPSIS_RAW!H145</f>
        <v>경유</v>
      </c>
      <c r="C145" s="66" t="str">
        <f>EPSIS_RAW!B145</f>
        <v>연도</v>
      </c>
      <c r="D145" s="56">
        <f>(EPSIS_RAW!E145)*$H$2</f>
        <v>0.1</v>
      </c>
      <c r="E145" s="65">
        <f>ROUNDDOWN(EPSIS_RAW!F145,0)</f>
        <v>2011</v>
      </c>
      <c r="F145" s="55" t="str">
        <f t="shared" si="2"/>
        <v>144연도</v>
      </c>
    </row>
    <row r="146" spans="1:6">
      <c r="A146">
        <v>145</v>
      </c>
      <c r="B146" s="66" t="str">
        <f>EPSIS_RAW!H146</f>
        <v>경유</v>
      </c>
      <c r="C146" s="66" t="str">
        <f>EPSIS_RAW!B146</f>
        <v>연평도</v>
      </c>
      <c r="D146" s="56">
        <f>(EPSIS_RAW!E146)*$H$2</f>
        <v>2</v>
      </c>
      <c r="E146" s="65">
        <f>ROUNDDOWN(EPSIS_RAW!F146,0)</f>
        <v>2005</v>
      </c>
      <c r="F146" s="55" t="str">
        <f t="shared" si="2"/>
        <v>145연평도</v>
      </c>
    </row>
    <row r="147" spans="1:6">
      <c r="A147">
        <v>146</v>
      </c>
      <c r="B147" s="66" t="str">
        <f>EPSIS_RAW!H147</f>
        <v>경유</v>
      </c>
      <c r="C147" s="66" t="str">
        <f>EPSIS_RAW!B147</f>
        <v>연평도</v>
      </c>
      <c r="D147" s="56">
        <f>(EPSIS_RAW!E147)*$H$2</f>
        <v>5.7</v>
      </c>
      <c r="E147" s="65">
        <f>ROUNDDOWN(EPSIS_RAW!F147,0)</f>
        <v>2011</v>
      </c>
      <c r="F147" s="55" t="str">
        <f t="shared" si="2"/>
        <v>146연평도</v>
      </c>
    </row>
    <row r="148" spans="1:6">
      <c r="A148">
        <v>147</v>
      </c>
      <c r="B148" s="66" t="str">
        <f>EPSIS_RAW!H148</f>
        <v>경유</v>
      </c>
      <c r="C148" s="66" t="str">
        <f>EPSIS_RAW!B148</f>
        <v>영산도</v>
      </c>
      <c r="D148" s="56">
        <f>(EPSIS_RAW!E148)*$H$2</f>
        <v>0.24</v>
      </c>
      <c r="E148" s="65">
        <f>ROUNDDOWN(EPSIS_RAW!F148,0)</f>
        <v>2015</v>
      </c>
      <c r="F148" s="55" t="str">
        <f t="shared" si="2"/>
        <v>147영산도</v>
      </c>
    </row>
    <row r="149" spans="1:6">
      <c r="A149">
        <v>148</v>
      </c>
      <c r="B149" s="66" t="str">
        <f>EPSIS_RAW!H149</f>
        <v>경유</v>
      </c>
      <c r="C149" s="66" t="str">
        <f>EPSIS_RAW!B149</f>
        <v>왕등도</v>
      </c>
      <c r="D149" s="56">
        <f>(EPSIS_RAW!E149)*$H$2</f>
        <v>0.24</v>
      </c>
      <c r="E149" s="65">
        <f>ROUNDDOWN(EPSIS_RAW!F149,0)</f>
        <v>2006</v>
      </c>
      <c r="F149" s="55" t="str">
        <f t="shared" si="2"/>
        <v>148왕등도</v>
      </c>
    </row>
    <row r="150" spans="1:6">
      <c r="A150">
        <v>149</v>
      </c>
      <c r="B150" s="66" t="str">
        <f>EPSIS_RAW!H150</f>
        <v>경유</v>
      </c>
      <c r="C150" s="66" t="str">
        <f>EPSIS_RAW!B150</f>
        <v>외도</v>
      </c>
      <c r="D150" s="56">
        <f>(EPSIS_RAW!E150)*$H$2</f>
        <v>0.16</v>
      </c>
      <c r="E150" s="65">
        <f>ROUNDDOWN(EPSIS_RAW!F150,0)</f>
        <v>2015</v>
      </c>
      <c r="F150" s="55" t="str">
        <f t="shared" si="2"/>
        <v>149외도</v>
      </c>
    </row>
    <row r="151" spans="1:6">
      <c r="A151">
        <v>150</v>
      </c>
      <c r="B151" s="66" t="str">
        <f>EPSIS_RAW!H151</f>
        <v>경유</v>
      </c>
      <c r="C151" s="66" t="str">
        <f>EPSIS_RAW!B151</f>
        <v>외도</v>
      </c>
      <c r="D151" s="56">
        <f>(EPSIS_RAW!E151)*$H$2</f>
        <v>0.06</v>
      </c>
      <c r="E151" s="65">
        <f>ROUNDDOWN(EPSIS_RAW!F151,0)</f>
        <v>2015</v>
      </c>
      <c r="F151" s="55" t="str">
        <f t="shared" si="2"/>
        <v>150외도</v>
      </c>
    </row>
    <row r="152" spans="1:6">
      <c r="A152">
        <v>151</v>
      </c>
      <c r="B152" s="66" t="str">
        <f>EPSIS_RAW!H152</f>
        <v>경유</v>
      </c>
      <c r="C152" s="66" t="str">
        <f>EPSIS_RAW!B152</f>
        <v>외연도</v>
      </c>
      <c r="D152" s="56">
        <f>(EPSIS_RAW!E152)*$H$2</f>
        <v>0.45</v>
      </c>
      <c r="E152" s="65">
        <f>ROUNDDOWN(EPSIS_RAW!F152,0)</f>
        <v>1994</v>
      </c>
      <c r="F152" s="55" t="str">
        <f t="shared" si="2"/>
        <v>151외연도</v>
      </c>
    </row>
    <row r="153" spans="1:6">
      <c r="A153">
        <v>152</v>
      </c>
      <c r="B153" s="66" t="str">
        <f>EPSIS_RAW!H153</f>
        <v>경유</v>
      </c>
      <c r="C153" s="66" t="str">
        <f>EPSIS_RAW!B153</f>
        <v>외연도</v>
      </c>
      <c r="D153" s="56">
        <f>(EPSIS_RAW!E153)*$H$2</f>
        <v>0.3</v>
      </c>
      <c r="E153" s="65">
        <f>ROUNDDOWN(EPSIS_RAW!F153,0)</f>
        <v>2004</v>
      </c>
      <c r="F153" s="55" t="str">
        <f t="shared" si="2"/>
        <v>152외연도</v>
      </c>
    </row>
    <row r="154" spans="1:6">
      <c r="A154">
        <v>153</v>
      </c>
      <c r="B154" s="66" t="str">
        <f>EPSIS_RAW!H154</f>
        <v>경유</v>
      </c>
      <c r="C154" s="66" t="str">
        <f>EPSIS_RAW!B154</f>
        <v>울도</v>
      </c>
      <c r="D154" s="56">
        <f>(EPSIS_RAW!E154)*$H$2</f>
        <v>0.24</v>
      </c>
      <c r="E154" s="65">
        <f>ROUNDDOWN(EPSIS_RAW!F154,0)</f>
        <v>2003</v>
      </c>
      <c r="F154" s="55" t="str">
        <f t="shared" si="2"/>
        <v>153울도</v>
      </c>
    </row>
    <row r="155" spans="1:6">
      <c r="A155">
        <v>154</v>
      </c>
      <c r="B155" s="66" t="str">
        <f>EPSIS_RAW!H155</f>
        <v>경유</v>
      </c>
      <c r="C155" s="66" t="str">
        <f>EPSIS_RAW!B155</f>
        <v>울릉도</v>
      </c>
      <c r="D155" s="56">
        <f>(EPSIS_RAW!E155)*$H$2</f>
        <v>2</v>
      </c>
      <c r="E155" s="65">
        <f>ROUNDDOWN(EPSIS_RAW!F155,0)</f>
        <v>1986</v>
      </c>
      <c r="F155" s="55" t="str">
        <f t="shared" si="2"/>
        <v>154울릉도</v>
      </c>
    </row>
    <row r="156" spans="1:6">
      <c r="A156">
        <v>155</v>
      </c>
      <c r="B156" s="66" t="str">
        <f>EPSIS_RAW!H156</f>
        <v>경유</v>
      </c>
      <c r="C156" s="66" t="str">
        <f>EPSIS_RAW!B156</f>
        <v>울릉도</v>
      </c>
      <c r="D156" s="56">
        <f>(EPSIS_RAW!E156)*$H$2</f>
        <v>3</v>
      </c>
      <c r="E156" s="65">
        <f>ROUNDDOWN(EPSIS_RAW!F156,0)</f>
        <v>1996</v>
      </c>
      <c r="F156" s="55" t="str">
        <f t="shared" si="2"/>
        <v>155울릉도</v>
      </c>
    </row>
    <row r="157" spans="1:6">
      <c r="A157">
        <v>156</v>
      </c>
      <c r="B157" s="66" t="str">
        <f>EPSIS_RAW!H157</f>
        <v>경유</v>
      </c>
      <c r="C157" s="66" t="str">
        <f>EPSIS_RAW!B157</f>
        <v>울릉도</v>
      </c>
      <c r="D157" s="56">
        <f>(EPSIS_RAW!E157)*$H$2</f>
        <v>1.5</v>
      </c>
      <c r="E157" s="65">
        <f>ROUNDDOWN(EPSIS_RAW!F157,0)</f>
        <v>2002</v>
      </c>
      <c r="F157" s="55" t="str">
        <f t="shared" si="2"/>
        <v>156울릉도</v>
      </c>
    </row>
    <row r="158" spans="1:6">
      <c r="A158">
        <v>157</v>
      </c>
      <c r="B158" s="66" t="str">
        <f>EPSIS_RAW!H158</f>
        <v>경유</v>
      </c>
      <c r="C158" s="66" t="str">
        <f>EPSIS_RAW!B158</f>
        <v>울릉도</v>
      </c>
      <c r="D158" s="56">
        <f>(EPSIS_RAW!E158)*$H$2</f>
        <v>6</v>
      </c>
      <c r="E158" s="65">
        <f>ROUNDDOWN(EPSIS_RAW!F158,0)</f>
        <v>2007</v>
      </c>
      <c r="F158" s="55" t="str">
        <f t="shared" si="2"/>
        <v>157울릉도</v>
      </c>
    </row>
    <row r="159" spans="1:6">
      <c r="A159">
        <v>158</v>
      </c>
      <c r="B159" s="66" t="str">
        <f>EPSIS_RAW!H159</f>
        <v>경유</v>
      </c>
      <c r="C159" s="66" t="str">
        <f>EPSIS_RAW!B159</f>
        <v>울릉도</v>
      </c>
      <c r="D159" s="56">
        <f>(EPSIS_RAW!E159)*$H$2</f>
        <v>6</v>
      </c>
      <c r="E159" s="65">
        <f>ROUNDDOWN(EPSIS_RAW!F159,0)</f>
        <v>2011</v>
      </c>
      <c r="F159" s="55" t="str">
        <f t="shared" si="2"/>
        <v>158울릉도</v>
      </c>
    </row>
    <row r="160" spans="1:6">
      <c r="A160">
        <v>159</v>
      </c>
      <c r="B160" s="66" t="str">
        <f>EPSIS_RAW!H160</f>
        <v>경유</v>
      </c>
      <c r="C160" s="66" t="str">
        <f>EPSIS_RAW!B160</f>
        <v>위도</v>
      </c>
      <c r="D160" s="56">
        <f>(EPSIS_RAW!E160)*$H$2</f>
        <v>1.35</v>
      </c>
      <c r="E160" s="65">
        <f>ROUNDDOWN(EPSIS_RAW!F160,0)</f>
        <v>1993</v>
      </c>
      <c r="F160" s="55" t="str">
        <f t="shared" si="2"/>
        <v>159위도</v>
      </c>
    </row>
    <row r="161" spans="1:6">
      <c r="A161">
        <v>160</v>
      </c>
      <c r="B161" s="66" t="str">
        <f>EPSIS_RAW!H161</f>
        <v>경유</v>
      </c>
      <c r="C161" s="66" t="str">
        <f>EPSIS_RAW!B161</f>
        <v>위도</v>
      </c>
      <c r="D161" s="56">
        <f>(EPSIS_RAW!E161)*$H$2</f>
        <v>0.5</v>
      </c>
      <c r="E161" s="65">
        <f>ROUNDDOWN(EPSIS_RAW!F161,0)</f>
        <v>2002</v>
      </c>
      <c r="F161" s="55" t="str">
        <f t="shared" si="2"/>
        <v>160위도</v>
      </c>
    </row>
    <row r="162" spans="1:6">
      <c r="A162">
        <v>161</v>
      </c>
      <c r="B162" s="66" t="str">
        <f>EPSIS_RAW!H162</f>
        <v>경유</v>
      </c>
      <c r="C162" s="66" t="str">
        <f>EPSIS_RAW!B162</f>
        <v>위도</v>
      </c>
      <c r="D162" s="56">
        <f>(EPSIS_RAW!E162)*$H$2</f>
        <v>1</v>
      </c>
      <c r="E162" s="65">
        <f>ROUNDDOWN(EPSIS_RAW!F162,0)</f>
        <v>2003</v>
      </c>
      <c r="F162" s="55" t="str">
        <f t="shared" si="2"/>
        <v>161위도</v>
      </c>
    </row>
    <row r="163" spans="1:6">
      <c r="A163">
        <v>162</v>
      </c>
      <c r="B163" s="66" t="str">
        <f>EPSIS_RAW!H163</f>
        <v>경유</v>
      </c>
      <c r="C163" s="66" t="str">
        <f>EPSIS_RAW!B163</f>
        <v>자월도</v>
      </c>
      <c r="D163" s="56">
        <f>(EPSIS_RAW!E163)*$H$2</f>
        <v>0.15</v>
      </c>
      <c r="E163" s="65">
        <f>ROUNDDOWN(EPSIS_RAW!F163,0)</f>
        <v>1993</v>
      </c>
      <c r="F163" s="55" t="str">
        <f t="shared" si="2"/>
        <v>162자월도</v>
      </c>
    </row>
    <row r="164" spans="1:6">
      <c r="A164">
        <v>163</v>
      </c>
      <c r="B164" s="66" t="str">
        <f>EPSIS_RAW!H164</f>
        <v>경유</v>
      </c>
      <c r="C164" s="66" t="str">
        <f>EPSIS_RAW!B164</f>
        <v>자월도</v>
      </c>
      <c r="D164" s="56">
        <f>(EPSIS_RAW!E164)*$H$2</f>
        <v>1.5</v>
      </c>
      <c r="E164" s="65">
        <f>ROUNDDOWN(EPSIS_RAW!F164,0)</f>
        <v>2004</v>
      </c>
      <c r="F164" s="55" t="str">
        <f t="shared" si="2"/>
        <v>163자월도</v>
      </c>
    </row>
    <row r="165" spans="1:6">
      <c r="A165">
        <v>164</v>
      </c>
      <c r="B165" s="66" t="str">
        <f>EPSIS_RAW!H165</f>
        <v>경유</v>
      </c>
      <c r="C165" s="66" t="str">
        <f>EPSIS_RAW!B165</f>
        <v>장고도</v>
      </c>
      <c r="D165" s="56">
        <f>(EPSIS_RAW!E165)*$H$2</f>
        <v>0.45</v>
      </c>
      <c r="E165" s="65">
        <f>ROUNDDOWN(EPSIS_RAW!F165,0)</f>
        <v>1996</v>
      </c>
      <c r="F165" s="55" t="str">
        <f t="shared" si="2"/>
        <v>164장고도</v>
      </c>
    </row>
    <row r="166" spans="1:6">
      <c r="A166">
        <v>165</v>
      </c>
      <c r="B166" s="66" t="str">
        <f>EPSIS_RAW!H166</f>
        <v>경유</v>
      </c>
      <c r="C166" s="66" t="str">
        <f>EPSIS_RAW!B166</f>
        <v>제주GT#1,2</v>
      </c>
      <c r="D166" s="56">
        <f>(EPSIS_RAW!E166)*$H$2</f>
        <v>110</v>
      </c>
      <c r="E166" s="65">
        <f>ROUNDDOWN(EPSIS_RAW!F166,0)</f>
        <v>1977</v>
      </c>
      <c r="F166" s="55" t="str">
        <f t="shared" si="2"/>
        <v>165제주GT#1,2</v>
      </c>
    </row>
    <row r="167" spans="1:6">
      <c r="A167">
        <v>166</v>
      </c>
      <c r="B167" s="66" t="str">
        <f>EPSIS_RAW!H167</f>
        <v>경유</v>
      </c>
      <c r="C167" s="66" t="str">
        <f>EPSIS_RAW!B167</f>
        <v>제주GT#3</v>
      </c>
      <c r="D167" s="56">
        <f>(EPSIS_RAW!E167)*$H$2</f>
        <v>55</v>
      </c>
      <c r="E167" s="65">
        <f>ROUNDDOWN(EPSIS_RAW!F167,0)</f>
        <v>1977</v>
      </c>
      <c r="F167" s="55" t="str">
        <f t="shared" si="2"/>
        <v>166제주GT#3</v>
      </c>
    </row>
    <row r="168" spans="1:6">
      <c r="A168">
        <v>167</v>
      </c>
      <c r="B168" s="66" t="str">
        <f>EPSIS_RAW!H168</f>
        <v>중유</v>
      </c>
      <c r="C168" s="66" t="str">
        <f>EPSIS_RAW!B168</f>
        <v>제주내연#1</v>
      </c>
      <c r="D168" s="56">
        <f>(EPSIS_RAW!E168)*$H$2</f>
        <v>40</v>
      </c>
      <c r="E168" s="65">
        <f>ROUNDDOWN(EPSIS_RAW!F168,0)</f>
        <v>2005</v>
      </c>
      <c r="F168" s="55" t="str">
        <f t="shared" si="2"/>
        <v>167제주내연#1</v>
      </c>
    </row>
    <row r="169" spans="1:6">
      <c r="A169">
        <v>168</v>
      </c>
      <c r="B169" s="66" t="str">
        <f>EPSIS_RAW!H169</f>
        <v>중유</v>
      </c>
      <c r="C169" s="66" t="str">
        <f>EPSIS_RAW!B169</f>
        <v>제주내연#2</v>
      </c>
      <c r="D169" s="56">
        <f>(EPSIS_RAW!E169)*$H$2</f>
        <v>40</v>
      </c>
      <c r="E169" s="65">
        <f>ROUNDDOWN(EPSIS_RAW!F169,0)</f>
        <v>2009</v>
      </c>
      <c r="F169" s="55" t="str">
        <f t="shared" si="2"/>
        <v>168제주내연#2</v>
      </c>
    </row>
    <row r="170" spans="1:6">
      <c r="A170">
        <v>169</v>
      </c>
      <c r="B170" s="66" t="str">
        <f>EPSIS_RAW!H170</f>
        <v>경유</v>
      </c>
      <c r="C170" s="66" t="str">
        <f>EPSIS_RAW!B170</f>
        <v>조도</v>
      </c>
      <c r="D170" s="56">
        <f>(EPSIS_RAW!E170)*$H$2</f>
        <v>1</v>
      </c>
      <c r="E170" s="65">
        <f>ROUNDDOWN(EPSIS_RAW!F170,0)</f>
        <v>1996</v>
      </c>
      <c r="F170" s="55" t="str">
        <f t="shared" si="2"/>
        <v>169조도</v>
      </c>
    </row>
    <row r="171" spans="1:6">
      <c r="A171">
        <v>170</v>
      </c>
      <c r="B171" s="66" t="str">
        <f>EPSIS_RAW!H171</f>
        <v>경유</v>
      </c>
      <c r="C171" s="66" t="str">
        <f>EPSIS_RAW!B171</f>
        <v>조도</v>
      </c>
      <c r="D171" s="56">
        <f>(EPSIS_RAW!E171)*$H$2</f>
        <v>1.6</v>
      </c>
      <c r="E171" s="65">
        <f>ROUNDDOWN(EPSIS_RAW!F171,0)</f>
        <v>2008</v>
      </c>
      <c r="F171" s="55" t="str">
        <f t="shared" si="2"/>
        <v>170조도</v>
      </c>
    </row>
    <row r="172" spans="1:6">
      <c r="A172">
        <v>171</v>
      </c>
      <c r="B172" s="66" t="str">
        <f>EPSIS_RAW!H172</f>
        <v>경유</v>
      </c>
      <c r="C172" s="66" t="str">
        <f>EPSIS_RAW!B172</f>
        <v>조도</v>
      </c>
      <c r="D172" s="56">
        <f>(EPSIS_RAW!E172)*$H$2</f>
        <v>0.8</v>
      </c>
      <c r="E172" s="65">
        <f>ROUNDDOWN(EPSIS_RAW!F172,0)</f>
        <v>2016</v>
      </c>
      <c r="F172" s="55" t="str">
        <f t="shared" si="2"/>
        <v>171조도</v>
      </c>
    </row>
    <row r="173" spans="1:6">
      <c r="A173">
        <v>172</v>
      </c>
      <c r="B173" s="66" t="str">
        <f>EPSIS_RAW!H173</f>
        <v>경유</v>
      </c>
      <c r="C173" s="66" t="str">
        <f>EPSIS_RAW!B173</f>
        <v>초도</v>
      </c>
      <c r="D173" s="56">
        <f>(EPSIS_RAW!E173)*$H$2</f>
        <v>0.75</v>
      </c>
      <c r="E173" s="65">
        <f>ROUNDDOWN(EPSIS_RAW!F173,0)</f>
        <v>1992</v>
      </c>
      <c r="F173" s="55" t="str">
        <f t="shared" si="2"/>
        <v>172초도</v>
      </c>
    </row>
    <row r="174" spans="1:6">
      <c r="A174">
        <v>173</v>
      </c>
      <c r="B174" s="66" t="str">
        <f>EPSIS_RAW!H174</f>
        <v>경유</v>
      </c>
      <c r="C174" s="66" t="str">
        <f>EPSIS_RAW!B174</f>
        <v>추도</v>
      </c>
      <c r="D174" s="56">
        <f>(EPSIS_RAW!E174)*$H$2</f>
        <v>0.24</v>
      </c>
      <c r="E174" s="65">
        <f>ROUNDDOWN(EPSIS_RAW!F174,0)</f>
        <v>1994</v>
      </c>
      <c r="F174" s="55" t="str">
        <f t="shared" si="2"/>
        <v>173추도</v>
      </c>
    </row>
    <row r="175" spans="1:6">
      <c r="A175">
        <v>174</v>
      </c>
      <c r="B175" s="66" t="str">
        <f>EPSIS_RAW!H175</f>
        <v>경유</v>
      </c>
      <c r="C175" s="66" t="str">
        <f>EPSIS_RAW!B175</f>
        <v>추자도</v>
      </c>
      <c r="D175" s="56">
        <f>(EPSIS_RAW!E175)*$H$2</f>
        <v>0.5</v>
      </c>
      <c r="E175" s="65">
        <f>ROUNDDOWN(EPSIS_RAW!F175,0)</f>
        <v>1995</v>
      </c>
      <c r="F175" s="55" t="str">
        <f t="shared" si="2"/>
        <v>174추자도</v>
      </c>
    </row>
    <row r="176" spans="1:6">
      <c r="A176">
        <v>175</v>
      </c>
      <c r="B176" s="66" t="str">
        <f>EPSIS_RAW!H176</f>
        <v>경유</v>
      </c>
      <c r="C176" s="66" t="str">
        <f>EPSIS_RAW!B176</f>
        <v>추자도</v>
      </c>
      <c r="D176" s="56">
        <f>(EPSIS_RAW!E176)*$H$2</f>
        <v>0.5</v>
      </c>
      <c r="E176" s="65">
        <f>ROUNDDOWN(EPSIS_RAW!F176,0)</f>
        <v>1999</v>
      </c>
      <c r="F176" s="55" t="str">
        <f t="shared" si="2"/>
        <v>175추자도</v>
      </c>
    </row>
    <row r="177" spans="1:6">
      <c r="A177">
        <v>176</v>
      </c>
      <c r="B177" s="66" t="str">
        <f>EPSIS_RAW!H177</f>
        <v>경유</v>
      </c>
      <c r="C177" s="66" t="str">
        <f>EPSIS_RAW!B177</f>
        <v>추자도</v>
      </c>
      <c r="D177" s="56">
        <f>(EPSIS_RAW!E177)*$H$2</f>
        <v>0.5</v>
      </c>
      <c r="E177" s="65">
        <f>ROUNDDOWN(EPSIS_RAW!F177,0)</f>
        <v>1999</v>
      </c>
      <c r="F177" s="55" t="str">
        <f t="shared" si="2"/>
        <v>176추자도</v>
      </c>
    </row>
    <row r="178" spans="1:6">
      <c r="A178">
        <v>177</v>
      </c>
      <c r="B178" s="66" t="str">
        <f>EPSIS_RAW!H178</f>
        <v>경유</v>
      </c>
      <c r="C178" s="66" t="str">
        <f>EPSIS_RAW!B178</f>
        <v>추자도</v>
      </c>
      <c r="D178" s="56">
        <f>(EPSIS_RAW!E178)*$H$2</f>
        <v>2</v>
      </c>
      <c r="E178" s="65">
        <f>ROUNDDOWN(EPSIS_RAW!F178,0)</f>
        <v>2007</v>
      </c>
      <c r="F178" s="55" t="str">
        <f t="shared" si="2"/>
        <v>177추자도</v>
      </c>
    </row>
    <row r="179" spans="1:6">
      <c r="A179">
        <v>178</v>
      </c>
      <c r="B179" s="66" t="str">
        <f>EPSIS_RAW!H179</f>
        <v>경유</v>
      </c>
      <c r="C179" s="66" t="str">
        <f>EPSIS_RAW!B179</f>
        <v>추자도</v>
      </c>
      <c r="D179" s="56">
        <f>(EPSIS_RAW!E179)*$H$2</f>
        <v>2</v>
      </c>
      <c r="E179" s="65">
        <f>ROUNDDOWN(EPSIS_RAW!F179,0)</f>
        <v>2012</v>
      </c>
      <c r="F179" s="55" t="str">
        <f t="shared" si="2"/>
        <v>178추자도</v>
      </c>
    </row>
    <row r="180" spans="1:6">
      <c r="A180">
        <v>179</v>
      </c>
      <c r="B180" s="66" t="str">
        <f>EPSIS_RAW!H180</f>
        <v>경유</v>
      </c>
      <c r="C180" s="66" t="str">
        <f>EPSIS_RAW!B180</f>
        <v>평도</v>
      </c>
      <c r="D180" s="56">
        <f>(EPSIS_RAW!E180)*$H$2</f>
        <v>0.24</v>
      </c>
      <c r="E180" s="65">
        <f>ROUNDDOWN(EPSIS_RAW!F180,0)</f>
        <v>2005</v>
      </c>
      <c r="F180" s="55" t="str">
        <f t="shared" si="2"/>
        <v>179평도</v>
      </c>
    </row>
    <row r="181" spans="1:6">
      <c r="A181">
        <v>180</v>
      </c>
      <c r="B181" s="66" t="str">
        <f>EPSIS_RAW!H181</f>
        <v>경유</v>
      </c>
      <c r="C181" s="66" t="str">
        <f>EPSIS_RAW!B181</f>
        <v>풍도</v>
      </c>
      <c r="D181" s="56">
        <f>(EPSIS_RAW!E181)*$H$2</f>
        <v>0.45</v>
      </c>
      <c r="E181" s="65">
        <f>ROUNDDOWN(EPSIS_RAW!F181,0)</f>
        <v>1996</v>
      </c>
      <c r="F181" s="55" t="str">
        <f t="shared" si="2"/>
        <v>180풍도</v>
      </c>
    </row>
    <row r="182" spans="1:6">
      <c r="A182">
        <v>181</v>
      </c>
      <c r="B182" s="66" t="str">
        <f>EPSIS_RAW!H182</f>
        <v>경유</v>
      </c>
      <c r="C182" s="66" t="str">
        <f>EPSIS_RAW!B182</f>
        <v>호도</v>
      </c>
      <c r="D182" s="56">
        <f>(EPSIS_RAW!E182)*$H$2</f>
        <v>0.6</v>
      </c>
      <c r="E182" s="65">
        <f>ROUNDDOWN(EPSIS_RAW!F182,0)</f>
        <v>1997</v>
      </c>
      <c r="F182" s="55" t="str">
        <f t="shared" si="2"/>
        <v>181호도</v>
      </c>
    </row>
    <row r="183" spans="1:6">
      <c r="A183">
        <v>182</v>
      </c>
      <c r="B183" s="66" t="str">
        <f>EPSIS_RAW!H183</f>
        <v>경유</v>
      </c>
      <c r="C183" s="66" t="str">
        <f>EPSIS_RAW!B183</f>
        <v>홍도</v>
      </c>
      <c r="D183" s="56">
        <f>(EPSIS_RAW!E183)*$H$2</f>
        <v>0.25</v>
      </c>
      <c r="E183" s="65">
        <f>ROUNDDOWN(EPSIS_RAW!F183,0)</f>
        <v>1993</v>
      </c>
      <c r="F183" s="55" t="str">
        <f t="shared" si="2"/>
        <v>182홍도</v>
      </c>
    </row>
    <row r="184" spans="1:6">
      <c r="A184">
        <v>183</v>
      </c>
      <c r="B184" s="66" t="str">
        <f>EPSIS_RAW!H184</f>
        <v>경유</v>
      </c>
      <c r="C184" s="66" t="str">
        <f>EPSIS_RAW!B184</f>
        <v>홍도</v>
      </c>
      <c r="D184" s="56">
        <f>(EPSIS_RAW!E184)*$H$2</f>
        <v>0.5</v>
      </c>
      <c r="E184" s="65">
        <f>ROUNDDOWN(EPSIS_RAW!F184,0)</f>
        <v>2004</v>
      </c>
      <c r="F184" s="55" t="str">
        <f t="shared" si="2"/>
        <v>183홍도</v>
      </c>
    </row>
    <row r="185" spans="1:6">
      <c r="A185">
        <v>184</v>
      </c>
      <c r="B185" s="66" t="str">
        <f>EPSIS_RAW!H185</f>
        <v>경유</v>
      </c>
      <c r="C185" s="66" t="str">
        <f>EPSIS_RAW!B185</f>
        <v>홍도</v>
      </c>
      <c r="D185" s="56">
        <f>(EPSIS_RAW!E185)*$H$2</f>
        <v>1.6</v>
      </c>
      <c r="E185" s="65">
        <f>ROUNDDOWN(EPSIS_RAW!F185,0)</f>
        <v>2010</v>
      </c>
      <c r="F185" s="55" t="str">
        <f t="shared" si="2"/>
        <v>184홍도</v>
      </c>
    </row>
    <row r="186" spans="1:6">
      <c r="A186">
        <v>185</v>
      </c>
      <c r="B186" s="66" t="str">
        <f>EPSIS_RAW!H186</f>
        <v>경유</v>
      </c>
      <c r="C186" s="66" t="str">
        <f>EPSIS_RAW!B186</f>
        <v>화도</v>
      </c>
      <c r="D186" s="56">
        <f>(EPSIS_RAW!E186)*$H$2</f>
        <v>0.08</v>
      </c>
      <c r="E186" s="65">
        <f>ROUNDDOWN(EPSIS_RAW!F186,0)</f>
        <v>2002</v>
      </c>
      <c r="F186" s="55" t="str">
        <f t="shared" si="2"/>
        <v>185화도</v>
      </c>
    </row>
    <row r="187" spans="1:6">
      <c r="A187">
        <v>186</v>
      </c>
      <c r="B187" s="66" t="str">
        <f>EPSIS_RAW!H187</f>
        <v>경유</v>
      </c>
      <c r="C187" s="66" t="str">
        <f>EPSIS_RAW!B187</f>
        <v>화도</v>
      </c>
      <c r="D187" s="56">
        <f>(EPSIS_RAW!E187)*$H$2</f>
        <v>0.08</v>
      </c>
      <c r="E187" s="65">
        <f>ROUNDDOWN(EPSIS_RAW!F187,0)</f>
        <v>2007</v>
      </c>
      <c r="F187" s="55" t="str">
        <f t="shared" si="2"/>
        <v>186화도</v>
      </c>
    </row>
    <row r="188" spans="1:6">
      <c r="A188">
        <v>187</v>
      </c>
      <c r="B188" s="66" t="str">
        <f>EPSIS_RAW!H188</f>
        <v>경유</v>
      </c>
      <c r="C188" s="66" t="str">
        <f>EPSIS_RAW!B188</f>
        <v>화도</v>
      </c>
      <c r="D188" s="56">
        <f>(EPSIS_RAW!E188)*$H$2</f>
        <v>0.08</v>
      </c>
      <c r="E188" s="65">
        <f>ROUNDDOWN(EPSIS_RAW!F188,0)</f>
        <v>2010</v>
      </c>
      <c r="F188" s="55" t="str">
        <f t="shared" si="2"/>
        <v>187화도</v>
      </c>
    </row>
    <row r="189" spans="1:6">
      <c r="A189">
        <v>188</v>
      </c>
      <c r="B189" s="66" t="str">
        <f>EPSIS_RAW!H189</f>
        <v>경유</v>
      </c>
      <c r="C189" s="66" t="str">
        <f>EPSIS_RAW!B189</f>
        <v>흑산도</v>
      </c>
      <c r="D189" s="56">
        <f>(EPSIS_RAW!E189)*$H$2</f>
        <v>0.5</v>
      </c>
      <c r="E189" s="65">
        <f>ROUNDDOWN(EPSIS_RAW!F189,0)</f>
        <v>1994</v>
      </c>
      <c r="F189" s="55" t="str">
        <f t="shared" si="2"/>
        <v>188흑산도</v>
      </c>
    </row>
    <row r="190" spans="1:6">
      <c r="A190">
        <v>189</v>
      </c>
      <c r="B190" s="66" t="str">
        <f>EPSIS_RAW!H190</f>
        <v>경유</v>
      </c>
      <c r="C190" s="66" t="str">
        <f>EPSIS_RAW!B190</f>
        <v>흑산도</v>
      </c>
      <c r="D190" s="56">
        <f>(EPSIS_RAW!E190)*$H$2</f>
        <v>1.5</v>
      </c>
      <c r="E190" s="65">
        <f>ROUNDDOWN(EPSIS_RAW!F190,0)</f>
        <v>1996</v>
      </c>
      <c r="F190" s="55" t="str">
        <f t="shared" si="2"/>
        <v>189흑산도</v>
      </c>
    </row>
    <row r="191" spans="1:6">
      <c r="A191">
        <v>190</v>
      </c>
      <c r="B191" s="66" t="str">
        <f>EPSIS_RAW!H191</f>
        <v>경유</v>
      </c>
      <c r="C191" s="66" t="str">
        <f>EPSIS_RAW!B191</f>
        <v>흑산도</v>
      </c>
      <c r="D191" s="56">
        <f>(EPSIS_RAW!E191)*$H$2</f>
        <v>2</v>
      </c>
      <c r="E191" s="65">
        <f>ROUNDDOWN(EPSIS_RAW!F191,0)</f>
        <v>2008</v>
      </c>
      <c r="F191" s="55" t="str">
        <f t="shared" si="2"/>
        <v>190흑산도</v>
      </c>
    </row>
    <row r="192" spans="1:6">
      <c r="A192">
        <v>191</v>
      </c>
      <c r="B192" s="66" t="str">
        <f>EPSIS_RAW!H192</f>
        <v>LNG</v>
      </c>
      <c r="C192" s="66" t="str">
        <f>EPSIS_RAW!B192</f>
        <v>광양#1 GT</v>
      </c>
      <c r="D192" s="56">
        <f>(EPSIS_RAW!E192)*$H$2</f>
        <v>306.2</v>
      </c>
      <c r="E192" s="65">
        <f>ROUNDDOWN(EPSIS_RAW!F192,0)</f>
        <v>2006</v>
      </c>
      <c r="F192" s="55" t="str">
        <f t="shared" si="2"/>
        <v>191광양#1 GT</v>
      </c>
    </row>
    <row r="193" spans="1:6">
      <c r="A193">
        <v>192</v>
      </c>
      <c r="B193" s="66" t="str">
        <f>EPSIS_RAW!H193</f>
        <v>LNG</v>
      </c>
      <c r="C193" s="66" t="str">
        <f>EPSIS_RAW!B193</f>
        <v>광양#1 ST</v>
      </c>
      <c r="D193" s="56">
        <f>(EPSIS_RAW!E193)*$H$2</f>
        <v>188.4</v>
      </c>
      <c r="E193" s="65">
        <f>ROUNDDOWN(EPSIS_RAW!F193,0)</f>
        <v>2006</v>
      </c>
      <c r="F193" s="55" t="str">
        <f t="shared" si="2"/>
        <v>192광양#1 ST</v>
      </c>
    </row>
    <row r="194" spans="1:6">
      <c r="A194">
        <v>193</v>
      </c>
      <c r="B194" s="66" t="str">
        <f>EPSIS_RAW!H194</f>
        <v>LNG</v>
      </c>
      <c r="C194" s="66" t="str">
        <f>EPSIS_RAW!B194</f>
        <v>광양#2 GT</v>
      </c>
      <c r="D194" s="56">
        <f>(EPSIS_RAW!E194)*$H$2</f>
        <v>306.2</v>
      </c>
      <c r="E194" s="65">
        <f>ROUNDDOWN(EPSIS_RAW!F194,0)</f>
        <v>2006</v>
      </c>
      <c r="F194" s="55" t="str">
        <f t="shared" si="2"/>
        <v>193광양#2 GT</v>
      </c>
    </row>
    <row r="195" spans="1:6">
      <c r="A195">
        <v>194</v>
      </c>
      <c r="B195" s="66" t="str">
        <f>EPSIS_RAW!H195</f>
        <v>LNG</v>
      </c>
      <c r="C195" s="66" t="str">
        <f>EPSIS_RAW!B195</f>
        <v>광양#2 ST</v>
      </c>
      <c r="D195" s="56">
        <f>(EPSIS_RAW!E195)*$H$2</f>
        <v>188.4</v>
      </c>
      <c r="E195" s="65">
        <f>ROUNDDOWN(EPSIS_RAW!F195,0)</f>
        <v>2006</v>
      </c>
      <c r="F195" s="55" t="str">
        <f t="shared" ref="F195:F258" si="3">A195&amp;C195</f>
        <v>194광양#2 ST</v>
      </c>
    </row>
    <row r="196" spans="1:6">
      <c r="A196">
        <v>195</v>
      </c>
      <c r="B196" s="66" t="str">
        <f>EPSIS_RAW!H196</f>
        <v>LNG</v>
      </c>
      <c r="C196" s="66" t="str">
        <f>EPSIS_RAW!B196</f>
        <v>군산 GT</v>
      </c>
      <c r="D196" s="56">
        <f>(EPSIS_RAW!E196)*$H$2</f>
        <v>466.6</v>
      </c>
      <c r="E196" s="65">
        <f>ROUNDDOWN(EPSIS_RAW!F196,0)</f>
        <v>2010</v>
      </c>
      <c r="F196" s="55" t="str">
        <f t="shared" si="3"/>
        <v>195군산 GT</v>
      </c>
    </row>
    <row r="197" spans="1:6">
      <c r="A197">
        <v>196</v>
      </c>
      <c r="B197" s="66" t="str">
        <f>EPSIS_RAW!H197</f>
        <v>LNG</v>
      </c>
      <c r="C197" s="66" t="str">
        <f>EPSIS_RAW!B197</f>
        <v>군산 ST</v>
      </c>
      <c r="D197" s="56">
        <f>(EPSIS_RAW!E197)*$H$2</f>
        <v>251.8</v>
      </c>
      <c r="E197" s="65">
        <f>ROUNDDOWN(EPSIS_RAW!F197,0)</f>
        <v>2010</v>
      </c>
      <c r="F197" s="55" t="str">
        <f t="shared" si="3"/>
        <v>196군산 ST</v>
      </c>
    </row>
    <row r="198" spans="1:6">
      <c r="A198">
        <v>197</v>
      </c>
      <c r="B198" s="66" t="str">
        <f>EPSIS_RAW!H198</f>
        <v>LNG</v>
      </c>
      <c r="C198" s="66" t="str">
        <f>EPSIS_RAW!B198</f>
        <v>남제주복합 GT</v>
      </c>
      <c r="D198" s="56">
        <f>(EPSIS_RAW!E198)*$H$2</f>
        <v>97.028000000000006</v>
      </c>
      <c r="E198" s="65">
        <f>ROUNDDOWN(EPSIS_RAW!F198,0)</f>
        <v>2020</v>
      </c>
      <c r="F198" s="55" t="str">
        <f t="shared" si="3"/>
        <v>197남제주복합 GT</v>
      </c>
    </row>
    <row r="199" spans="1:6">
      <c r="A199">
        <v>198</v>
      </c>
      <c r="B199" s="66" t="str">
        <f>EPSIS_RAW!H199</f>
        <v>LNG</v>
      </c>
      <c r="C199" s="66" t="str">
        <f>EPSIS_RAW!B199</f>
        <v>남제주복합 ST</v>
      </c>
      <c r="D199" s="56">
        <f>(EPSIS_RAW!E199)*$H$2</f>
        <v>49.216999999999999</v>
      </c>
      <c r="E199" s="65">
        <f>ROUNDDOWN(EPSIS_RAW!F199,0)</f>
        <v>2020</v>
      </c>
      <c r="F199" s="55" t="str">
        <f t="shared" si="3"/>
        <v>198남제주복합 ST</v>
      </c>
    </row>
    <row r="200" spans="1:6">
      <c r="A200">
        <v>199</v>
      </c>
      <c r="B200" s="66" t="str">
        <f>EPSIS_RAW!H200</f>
        <v>LNG</v>
      </c>
      <c r="C200" s="66" t="str">
        <f>EPSIS_RAW!B200</f>
        <v>당진#1 GT</v>
      </c>
      <c r="D200" s="56">
        <f>(EPSIS_RAW!E200)*$H$2</f>
        <v>321.92</v>
      </c>
      <c r="E200" s="65">
        <f>ROUNDDOWN(EPSIS_RAW!F200,0)</f>
        <v>2000</v>
      </c>
      <c r="F200" s="55" t="str">
        <f t="shared" si="3"/>
        <v>199당진#1 GT</v>
      </c>
    </row>
    <row r="201" spans="1:6">
      <c r="A201">
        <v>200</v>
      </c>
      <c r="B201" s="66" t="str">
        <f>EPSIS_RAW!H201</f>
        <v>LNG</v>
      </c>
      <c r="C201" s="66" t="str">
        <f>EPSIS_RAW!B201</f>
        <v>당진#1 ST</v>
      </c>
      <c r="D201" s="56">
        <f>(EPSIS_RAW!E201)*$H$2</f>
        <v>178.83</v>
      </c>
      <c r="E201" s="65">
        <f>ROUNDDOWN(EPSIS_RAW!F201,0)</f>
        <v>2001</v>
      </c>
      <c r="F201" s="55" t="str">
        <f t="shared" si="3"/>
        <v>200당진#1 ST</v>
      </c>
    </row>
    <row r="202" spans="1:6">
      <c r="A202">
        <v>201</v>
      </c>
      <c r="B202" s="66" t="str">
        <f>EPSIS_RAW!H202</f>
        <v>LNG</v>
      </c>
      <c r="C202" s="66" t="str">
        <f>EPSIS_RAW!B202</f>
        <v>당진#2 GT</v>
      </c>
      <c r="D202" s="56">
        <f>(EPSIS_RAW!E202)*$H$2</f>
        <v>349</v>
      </c>
      <c r="E202" s="65">
        <f>ROUNDDOWN(EPSIS_RAW!F202,0)</f>
        <v>2008</v>
      </c>
      <c r="F202" s="55" t="str">
        <f t="shared" si="3"/>
        <v>201당진#2 GT</v>
      </c>
    </row>
    <row r="203" spans="1:6">
      <c r="A203">
        <v>202</v>
      </c>
      <c r="B203" s="66" t="str">
        <f>EPSIS_RAW!H203</f>
        <v>LNG</v>
      </c>
      <c r="C203" s="66" t="str">
        <f>EPSIS_RAW!B203</f>
        <v>당진#2 ST</v>
      </c>
      <c r="D203" s="56">
        <f>(EPSIS_RAW!E203)*$H$2</f>
        <v>184</v>
      </c>
      <c r="E203" s="65">
        <f>ROUNDDOWN(EPSIS_RAW!F203,0)</f>
        <v>2008</v>
      </c>
      <c r="F203" s="55" t="str">
        <f t="shared" si="3"/>
        <v>202당진#2 ST</v>
      </c>
    </row>
    <row r="204" spans="1:6">
      <c r="A204">
        <v>203</v>
      </c>
      <c r="B204" s="66" t="str">
        <f>EPSIS_RAW!H204</f>
        <v>LNG</v>
      </c>
      <c r="C204" s="66" t="str">
        <f>EPSIS_RAW!B204</f>
        <v>당진#3 GT</v>
      </c>
      <c r="D204" s="56">
        <f>(EPSIS_RAW!E204)*$H$2</f>
        <v>250</v>
      </c>
      <c r="E204" s="65">
        <f>ROUNDDOWN(EPSIS_RAW!F204,0)</f>
        <v>2013</v>
      </c>
      <c r="F204" s="55" t="str">
        <f t="shared" si="3"/>
        <v>203당진#3 GT</v>
      </c>
    </row>
    <row r="205" spans="1:6">
      <c r="A205">
        <v>204</v>
      </c>
      <c r="B205" s="66" t="str">
        <f>EPSIS_RAW!H205</f>
        <v>LNG</v>
      </c>
      <c r="C205" s="66" t="str">
        <f>EPSIS_RAW!B205</f>
        <v>당진#3 ST</v>
      </c>
      <c r="D205" s="56">
        <f>(EPSIS_RAW!E205)*$H$2</f>
        <v>132</v>
      </c>
      <c r="E205" s="65">
        <f>ROUNDDOWN(EPSIS_RAW!F205,0)</f>
        <v>2013</v>
      </c>
      <c r="F205" s="55" t="str">
        <f t="shared" si="3"/>
        <v>204당진#3 ST</v>
      </c>
    </row>
    <row r="206" spans="1:6">
      <c r="A206">
        <v>205</v>
      </c>
      <c r="B206" s="66" t="str">
        <f>EPSIS_RAW!H206</f>
        <v>LNG</v>
      </c>
      <c r="C206" s="66" t="str">
        <f>EPSIS_RAW!B206</f>
        <v>당진#4 GT</v>
      </c>
      <c r="D206" s="56">
        <f>(EPSIS_RAW!E206)*$H$2</f>
        <v>539.6</v>
      </c>
      <c r="E206" s="65">
        <f>ROUNDDOWN(EPSIS_RAW!F206,0)</f>
        <v>2017</v>
      </c>
      <c r="F206" s="55" t="str">
        <f t="shared" si="3"/>
        <v>205당진#4 GT</v>
      </c>
    </row>
    <row r="207" spans="1:6">
      <c r="A207">
        <v>206</v>
      </c>
      <c r="B207" s="66" t="str">
        <f>EPSIS_RAW!H207</f>
        <v>LNG</v>
      </c>
      <c r="C207" s="66" t="str">
        <f>EPSIS_RAW!B207</f>
        <v>당진#4 ST</v>
      </c>
      <c r="D207" s="56">
        <f>(EPSIS_RAW!E207)*$H$2</f>
        <v>306.40000000000003</v>
      </c>
      <c r="E207" s="65">
        <f>ROUNDDOWN(EPSIS_RAW!F207,0)</f>
        <v>2017</v>
      </c>
      <c r="F207" s="55" t="str">
        <f t="shared" si="3"/>
        <v>206당진#4 ST</v>
      </c>
    </row>
    <row r="208" spans="1:6">
      <c r="A208">
        <v>207</v>
      </c>
      <c r="B208" s="66" t="str">
        <f>EPSIS_RAW!H208</f>
        <v>LNG</v>
      </c>
      <c r="C208" s="66" t="str">
        <f>EPSIS_RAW!B208</f>
        <v>대산 GT</v>
      </c>
      <c r="D208" s="56">
        <f>(EPSIS_RAW!E208)*$H$2</f>
        <v>374.8</v>
      </c>
      <c r="E208" s="65">
        <f>ROUNDDOWN(EPSIS_RAW!F208,0)</f>
        <v>1997</v>
      </c>
      <c r="F208" s="55" t="str">
        <f t="shared" si="3"/>
        <v>207대산 GT</v>
      </c>
    </row>
    <row r="209" spans="1:6">
      <c r="A209">
        <v>208</v>
      </c>
      <c r="B209" s="66" t="str">
        <f>EPSIS_RAW!H209</f>
        <v>LNG</v>
      </c>
      <c r="C209" s="66" t="str">
        <f>EPSIS_RAW!B209</f>
        <v>대산 ST</v>
      </c>
      <c r="D209" s="56">
        <f>(EPSIS_RAW!E209)*$H$2</f>
        <v>91</v>
      </c>
      <c r="E209" s="65">
        <f>ROUNDDOWN(EPSIS_RAW!F209,0)</f>
        <v>1998</v>
      </c>
      <c r="F209" s="55" t="str">
        <f t="shared" si="3"/>
        <v>208대산 ST</v>
      </c>
    </row>
    <row r="210" spans="1:6">
      <c r="A210">
        <v>209</v>
      </c>
      <c r="B210" s="66" t="str">
        <f>EPSIS_RAW!H210</f>
        <v>LNG</v>
      </c>
      <c r="C210" s="66" t="str">
        <f>EPSIS_RAW!B210</f>
        <v>동두천#1 GT</v>
      </c>
      <c r="D210" s="56">
        <f>(EPSIS_RAW!E210)*$H$2</f>
        <v>572.6</v>
      </c>
      <c r="E210" s="65">
        <f>ROUNDDOWN(EPSIS_RAW!F210,0)</f>
        <v>2015</v>
      </c>
      <c r="F210" s="55" t="str">
        <f t="shared" si="3"/>
        <v>209동두천#1 GT</v>
      </c>
    </row>
    <row r="211" spans="1:6">
      <c r="A211">
        <v>210</v>
      </c>
      <c r="B211" s="66" t="str">
        <f>EPSIS_RAW!H211</f>
        <v>LNG</v>
      </c>
      <c r="C211" s="66" t="str">
        <f>EPSIS_RAW!B211</f>
        <v>동두천#1 ST</v>
      </c>
      <c r="D211" s="56">
        <f>(EPSIS_RAW!E211)*$H$2</f>
        <v>285.8</v>
      </c>
      <c r="E211" s="65">
        <f>ROUNDDOWN(EPSIS_RAW!F211,0)</f>
        <v>2015</v>
      </c>
      <c r="F211" s="55" t="str">
        <f t="shared" si="3"/>
        <v>210동두천#1 ST</v>
      </c>
    </row>
    <row r="212" spans="1:6">
      <c r="A212">
        <v>211</v>
      </c>
      <c r="B212" s="66" t="str">
        <f>EPSIS_RAW!H212</f>
        <v>LNG</v>
      </c>
      <c r="C212" s="66" t="str">
        <f>EPSIS_RAW!B212</f>
        <v>동두천#2 GT</v>
      </c>
      <c r="D212" s="56">
        <f>(EPSIS_RAW!E212)*$H$2</f>
        <v>572.6</v>
      </c>
      <c r="E212" s="65">
        <f>ROUNDDOWN(EPSIS_RAW!F212,0)</f>
        <v>2015</v>
      </c>
      <c r="F212" s="55" t="str">
        <f t="shared" si="3"/>
        <v>211동두천#2 GT</v>
      </c>
    </row>
    <row r="213" spans="1:6">
      <c r="A213">
        <v>212</v>
      </c>
      <c r="B213" s="66" t="str">
        <f>EPSIS_RAW!H213</f>
        <v>LNG</v>
      </c>
      <c r="C213" s="66" t="str">
        <f>EPSIS_RAW!B213</f>
        <v>동두천#2 ST</v>
      </c>
      <c r="D213" s="56">
        <f>(EPSIS_RAW!E213)*$H$2</f>
        <v>285.8</v>
      </c>
      <c r="E213" s="65">
        <f>ROUNDDOWN(EPSIS_RAW!F213,0)</f>
        <v>2015</v>
      </c>
      <c r="F213" s="55" t="str">
        <f t="shared" si="3"/>
        <v>212동두천#2 ST</v>
      </c>
    </row>
    <row r="214" spans="1:6">
      <c r="A214">
        <v>213</v>
      </c>
      <c r="B214" s="66" t="str">
        <f>EPSIS_RAW!H214</f>
        <v>LNG</v>
      </c>
      <c r="C214" s="66" t="str">
        <f>EPSIS_RAW!B214</f>
        <v>보령#1-3 GT</v>
      </c>
      <c r="D214" s="56">
        <f>(EPSIS_RAW!E214)*$H$2</f>
        <v>900</v>
      </c>
      <c r="E214" s="65">
        <f>ROUNDDOWN(EPSIS_RAW!F214,0)</f>
        <v>1997</v>
      </c>
      <c r="F214" s="55" t="str">
        <f t="shared" si="3"/>
        <v>213보령#1-3 GT</v>
      </c>
    </row>
    <row r="215" spans="1:6">
      <c r="A215">
        <v>214</v>
      </c>
      <c r="B215" s="66" t="str">
        <f>EPSIS_RAW!H215</f>
        <v>LNG</v>
      </c>
      <c r="C215" s="66" t="str">
        <f>EPSIS_RAW!B215</f>
        <v>보령#1-3 ST</v>
      </c>
      <c r="D215" s="56">
        <f>(EPSIS_RAW!E215)*$H$2</f>
        <v>450</v>
      </c>
      <c r="E215" s="65">
        <f>ROUNDDOWN(EPSIS_RAW!F215,0)</f>
        <v>2002</v>
      </c>
      <c r="F215" s="55" t="str">
        <f t="shared" si="3"/>
        <v>214보령#1-3 ST</v>
      </c>
    </row>
    <row r="216" spans="1:6">
      <c r="A216">
        <v>215</v>
      </c>
      <c r="B216" s="66" t="str">
        <f>EPSIS_RAW!H216</f>
        <v>LNG</v>
      </c>
      <c r="C216" s="66" t="str">
        <f>EPSIS_RAW!B216</f>
        <v>부산#1 GT</v>
      </c>
      <c r="D216" s="56">
        <f>(EPSIS_RAW!E216)*$H$2</f>
        <v>300</v>
      </c>
      <c r="E216" s="65">
        <f>ROUNDDOWN(EPSIS_RAW!F216,0)</f>
        <v>2003</v>
      </c>
      <c r="F216" s="55" t="str">
        <f t="shared" si="3"/>
        <v>215부산#1 GT</v>
      </c>
    </row>
    <row r="217" spans="1:6">
      <c r="A217">
        <v>216</v>
      </c>
      <c r="B217" s="66" t="str">
        <f>EPSIS_RAW!H217</f>
        <v>LNG</v>
      </c>
      <c r="C217" s="66" t="str">
        <f>EPSIS_RAW!B217</f>
        <v>부산#1 ST</v>
      </c>
      <c r="D217" s="56">
        <f>(EPSIS_RAW!E217)*$H$2</f>
        <v>150</v>
      </c>
      <c r="E217" s="65">
        <f>ROUNDDOWN(EPSIS_RAW!F217,0)</f>
        <v>2003</v>
      </c>
      <c r="F217" s="55" t="str">
        <f t="shared" si="3"/>
        <v>216부산#1 ST</v>
      </c>
    </row>
    <row r="218" spans="1:6">
      <c r="A218">
        <v>217</v>
      </c>
      <c r="B218" s="66" t="str">
        <f>EPSIS_RAW!H218</f>
        <v>LNG</v>
      </c>
      <c r="C218" s="66" t="str">
        <f>EPSIS_RAW!B218</f>
        <v>부산#2 GT</v>
      </c>
      <c r="D218" s="56">
        <f>(EPSIS_RAW!E218)*$H$2</f>
        <v>300</v>
      </c>
      <c r="E218" s="65">
        <f>ROUNDDOWN(EPSIS_RAW!F218,0)</f>
        <v>2003</v>
      </c>
      <c r="F218" s="55" t="str">
        <f t="shared" si="3"/>
        <v>217부산#2 GT</v>
      </c>
    </row>
    <row r="219" spans="1:6">
      <c r="A219">
        <v>218</v>
      </c>
      <c r="B219" s="66" t="str">
        <f>EPSIS_RAW!H219</f>
        <v>LNG</v>
      </c>
      <c r="C219" s="66" t="str">
        <f>EPSIS_RAW!B219</f>
        <v>부산#2 ST</v>
      </c>
      <c r="D219" s="56">
        <f>(EPSIS_RAW!E219)*$H$2</f>
        <v>150</v>
      </c>
      <c r="E219" s="65">
        <f>ROUNDDOWN(EPSIS_RAW!F219,0)</f>
        <v>2003</v>
      </c>
      <c r="F219" s="55" t="str">
        <f t="shared" si="3"/>
        <v>218부산#2 ST</v>
      </c>
    </row>
    <row r="220" spans="1:6">
      <c r="A220">
        <v>219</v>
      </c>
      <c r="B220" s="66" t="str">
        <f>EPSIS_RAW!H220</f>
        <v>LNG</v>
      </c>
      <c r="C220" s="66" t="str">
        <f>EPSIS_RAW!B220</f>
        <v>부산#3 GT</v>
      </c>
      <c r="D220" s="56">
        <f>(EPSIS_RAW!E220)*$H$2</f>
        <v>300</v>
      </c>
      <c r="E220" s="65">
        <f>ROUNDDOWN(EPSIS_RAW!F220,0)</f>
        <v>2004</v>
      </c>
      <c r="F220" s="55" t="str">
        <f t="shared" si="3"/>
        <v>219부산#3 GT</v>
      </c>
    </row>
    <row r="221" spans="1:6">
      <c r="A221">
        <v>220</v>
      </c>
      <c r="B221" s="66" t="str">
        <f>EPSIS_RAW!H221</f>
        <v>LNG</v>
      </c>
      <c r="C221" s="66" t="str">
        <f>EPSIS_RAW!B221</f>
        <v>부산#3 ST</v>
      </c>
      <c r="D221" s="56">
        <f>(EPSIS_RAW!E221)*$H$2</f>
        <v>150</v>
      </c>
      <c r="E221" s="65">
        <f>ROUNDDOWN(EPSIS_RAW!F221,0)</f>
        <v>2004</v>
      </c>
      <c r="F221" s="55" t="str">
        <f t="shared" si="3"/>
        <v>220부산#3 ST</v>
      </c>
    </row>
    <row r="222" spans="1:6">
      <c r="A222">
        <v>221</v>
      </c>
      <c r="B222" s="66" t="str">
        <f>EPSIS_RAW!H222</f>
        <v>LNG</v>
      </c>
      <c r="C222" s="66" t="str">
        <f>EPSIS_RAW!B222</f>
        <v>부산#4 GT</v>
      </c>
      <c r="D222" s="56">
        <f>(EPSIS_RAW!E222)*$H$2</f>
        <v>300</v>
      </c>
      <c r="E222" s="65">
        <f>ROUNDDOWN(EPSIS_RAW!F222,0)</f>
        <v>2004</v>
      </c>
      <c r="F222" s="55" t="str">
        <f t="shared" si="3"/>
        <v>221부산#4 GT</v>
      </c>
    </row>
    <row r="223" spans="1:6">
      <c r="A223">
        <v>222</v>
      </c>
      <c r="B223" s="66" t="str">
        <f>EPSIS_RAW!H223</f>
        <v>LNG</v>
      </c>
      <c r="C223" s="66" t="str">
        <f>EPSIS_RAW!B223</f>
        <v>부산#4 ST</v>
      </c>
      <c r="D223" s="56">
        <f>(EPSIS_RAW!E223)*$H$2</f>
        <v>150</v>
      </c>
      <c r="E223" s="65">
        <f>ROUNDDOWN(EPSIS_RAW!F223,0)</f>
        <v>2004</v>
      </c>
      <c r="F223" s="55" t="str">
        <f t="shared" si="3"/>
        <v>222부산#4 ST</v>
      </c>
    </row>
    <row r="224" spans="1:6">
      <c r="A224">
        <v>223</v>
      </c>
      <c r="B224" s="66" t="str">
        <f>EPSIS_RAW!H224</f>
        <v>LNG</v>
      </c>
      <c r="C224" s="66" t="str">
        <f>EPSIS_RAW!B224</f>
        <v>부산정관에너지 GT</v>
      </c>
      <c r="D224" s="56">
        <f>(EPSIS_RAW!E224)*$H$2</f>
        <v>26.650000000000002</v>
      </c>
      <c r="E224" s="65">
        <f>ROUNDDOWN(EPSIS_RAW!F224,0)</f>
        <v>2017</v>
      </c>
      <c r="F224" s="55" t="str">
        <f t="shared" si="3"/>
        <v>223부산정관에너지 GT</v>
      </c>
    </row>
    <row r="225" spans="1:6">
      <c r="A225">
        <v>224</v>
      </c>
      <c r="B225" s="66" t="str">
        <f>EPSIS_RAW!H225</f>
        <v>LNG</v>
      </c>
      <c r="C225" s="66" t="str">
        <f>EPSIS_RAW!B225</f>
        <v>부산정관에너지 ST</v>
      </c>
      <c r="D225" s="56">
        <f>(EPSIS_RAW!E225)*$H$2</f>
        <v>19.186</v>
      </c>
      <c r="E225" s="65">
        <f>ROUNDDOWN(EPSIS_RAW!F225,0)</f>
        <v>2017</v>
      </c>
      <c r="F225" s="55" t="str">
        <f t="shared" si="3"/>
        <v>224부산정관에너지 ST</v>
      </c>
    </row>
    <row r="226" spans="1:6">
      <c r="A226">
        <v>225</v>
      </c>
      <c r="B226" s="66" t="str">
        <f>EPSIS_RAW!H226</f>
        <v>LNG</v>
      </c>
      <c r="C226" s="66" t="str">
        <f>EPSIS_RAW!B226</f>
        <v>분당#1 GT</v>
      </c>
      <c r="D226" s="56">
        <f>(EPSIS_RAW!E226)*$H$2</f>
        <v>155.51599999999999</v>
      </c>
      <c r="E226" s="65">
        <f>ROUNDDOWN(EPSIS_RAW!F226,0)</f>
        <v>1992</v>
      </c>
      <c r="F226" s="55" t="str">
        <f t="shared" si="3"/>
        <v>225분당#1 GT</v>
      </c>
    </row>
    <row r="227" spans="1:6">
      <c r="A227">
        <v>226</v>
      </c>
      <c r="B227" s="66" t="str">
        <f>EPSIS_RAW!H227</f>
        <v>LNG</v>
      </c>
      <c r="C227" s="66" t="str">
        <f>EPSIS_RAW!B227</f>
        <v>분당#1 GT</v>
      </c>
      <c r="D227" s="56">
        <f>(EPSIS_RAW!E227)*$H$2</f>
        <v>233.274</v>
      </c>
      <c r="E227" s="65">
        <f>ROUNDDOWN(EPSIS_RAW!F227,0)</f>
        <v>1992</v>
      </c>
      <c r="F227" s="55" t="str">
        <f t="shared" si="3"/>
        <v>226분당#1 GT</v>
      </c>
    </row>
    <row r="228" spans="1:6">
      <c r="A228">
        <v>227</v>
      </c>
      <c r="B228" s="66" t="str">
        <f>EPSIS_RAW!H228</f>
        <v>LNG</v>
      </c>
      <c r="C228" s="66" t="str">
        <f>EPSIS_RAW!B228</f>
        <v>분당#1 ST</v>
      </c>
      <c r="D228" s="56">
        <f>(EPSIS_RAW!E228)*$H$2</f>
        <v>185</v>
      </c>
      <c r="E228" s="65">
        <f>ROUNDDOWN(EPSIS_RAW!F228,0)</f>
        <v>1993</v>
      </c>
      <c r="F228" s="55" t="str">
        <f t="shared" si="3"/>
        <v>227분당#1 ST</v>
      </c>
    </row>
    <row r="229" spans="1:6">
      <c r="A229">
        <v>228</v>
      </c>
      <c r="B229" s="66" t="str">
        <f>EPSIS_RAW!H229</f>
        <v>LNG</v>
      </c>
      <c r="C229" s="66" t="str">
        <f>EPSIS_RAW!B229</f>
        <v>분당#2 GT</v>
      </c>
      <c r="D229" s="56">
        <f>(EPSIS_RAW!E229)*$H$2</f>
        <v>233.274</v>
      </c>
      <c r="E229" s="65">
        <f>ROUNDDOWN(EPSIS_RAW!F229,0)</f>
        <v>1995</v>
      </c>
      <c r="F229" s="55" t="str">
        <f t="shared" si="3"/>
        <v>228분당#2 GT</v>
      </c>
    </row>
    <row r="230" spans="1:6">
      <c r="A230">
        <v>229</v>
      </c>
      <c r="B230" s="66" t="str">
        <f>EPSIS_RAW!H230</f>
        <v>LNG</v>
      </c>
      <c r="C230" s="66" t="str">
        <f>EPSIS_RAW!B230</f>
        <v>분당#2 ST</v>
      </c>
      <c r="D230" s="56">
        <f>(EPSIS_RAW!E230)*$H$2</f>
        <v>115</v>
      </c>
      <c r="E230" s="65">
        <f>ROUNDDOWN(EPSIS_RAW!F230,0)</f>
        <v>1997</v>
      </c>
      <c r="F230" s="55" t="str">
        <f t="shared" si="3"/>
        <v>229분당#2 ST</v>
      </c>
    </row>
    <row r="231" spans="1:6">
      <c r="A231">
        <v>230</v>
      </c>
      <c r="B231" s="66" t="str">
        <f>EPSIS_RAW!H231</f>
        <v>LNG</v>
      </c>
      <c r="C231" s="66" t="str">
        <f>EPSIS_RAW!B231</f>
        <v>서울복합#1 GT</v>
      </c>
      <c r="D231" s="56">
        <f>(EPSIS_RAW!E231)*$H$2</f>
        <v>241.298</v>
      </c>
      <c r="E231" s="65">
        <f>ROUNDDOWN(EPSIS_RAW!F231,0)</f>
        <v>2019</v>
      </c>
      <c r="F231" s="55" t="str">
        <f t="shared" si="3"/>
        <v>230서울복합#1 GT</v>
      </c>
    </row>
    <row r="232" spans="1:6">
      <c r="A232">
        <v>231</v>
      </c>
      <c r="B232" s="66" t="str">
        <f>EPSIS_RAW!H232</f>
        <v>LNG</v>
      </c>
      <c r="C232" s="66" t="str">
        <f>EPSIS_RAW!B232</f>
        <v>서울복합#1 ST</v>
      </c>
      <c r="D232" s="56">
        <f>(EPSIS_RAW!E232)*$H$2</f>
        <v>127.875</v>
      </c>
      <c r="E232" s="65">
        <f>ROUNDDOWN(EPSIS_RAW!F232,0)</f>
        <v>2019</v>
      </c>
      <c r="F232" s="55" t="str">
        <f t="shared" si="3"/>
        <v>231서울복합#1 ST</v>
      </c>
    </row>
    <row r="233" spans="1:6">
      <c r="A233">
        <v>232</v>
      </c>
      <c r="B233" s="66" t="str">
        <f>EPSIS_RAW!H233</f>
        <v>LNG</v>
      </c>
      <c r="C233" s="66" t="str">
        <f>EPSIS_RAW!B233</f>
        <v>서울복합#2 GT</v>
      </c>
      <c r="D233" s="56">
        <f>(EPSIS_RAW!E233)*$H$2</f>
        <v>241.298</v>
      </c>
      <c r="E233" s="65">
        <f>ROUNDDOWN(EPSIS_RAW!F233,0)</f>
        <v>2019</v>
      </c>
      <c r="F233" s="55" t="str">
        <f t="shared" si="3"/>
        <v>232서울복합#2 GT</v>
      </c>
    </row>
    <row r="234" spans="1:6">
      <c r="A234">
        <v>233</v>
      </c>
      <c r="B234" s="66" t="str">
        <f>EPSIS_RAW!H234</f>
        <v>LNG</v>
      </c>
      <c r="C234" s="66" t="str">
        <f>EPSIS_RAW!B234</f>
        <v>서울복합#2 ST</v>
      </c>
      <c r="D234" s="56">
        <f>(EPSIS_RAW!E234)*$H$2</f>
        <v>127.875</v>
      </c>
      <c r="E234" s="65">
        <f>ROUNDDOWN(EPSIS_RAW!F234,0)</f>
        <v>2019</v>
      </c>
      <c r="F234" s="55" t="str">
        <f t="shared" si="3"/>
        <v>233서울복합#2 ST</v>
      </c>
    </row>
    <row r="235" spans="1:6">
      <c r="A235">
        <v>234</v>
      </c>
      <c r="B235" s="66" t="str">
        <f>EPSIS_RAW!H235</f>
        <v>LNG</v>
      </c>
      <c r="C235" s="66" t="str">
        <f>EPSIS_RAW!B235</f>
        <v>서인천 #5-8 GT</v>
      </c>
      <c r="D235" s="56">
        <f>(EPSIS_RAW!E235)*$H$2</f>
        <v>300</v>
      </c>
      <c r="E235" s="65">
        <f>ROUNDDOWN(EPSIS_RAW!F235,0)</f>
        <v>1992</v>
      </c>
      <c r="F235" s="55" t="str">
        <f t="shared" si="3"/>
        <v>234서인천 #5-8 GT</v>
      </c>
    </row>
    <row r="236" spans="1:6">
      <c r="A236">
        <v>235</v>
      </c>
      <c r="B236" s="66" t="str">
        <f>EPSIS_RAW!H236</f>
        <v>LNG</v>
      </c>
      <c r="C236" s="66" t="str">
        <f>EPSIS_RAW!B236</f>
        <v>서인천 #5-8 GT</v>
      </c>
      <c r="D236" s="56">
        <f>(EPSIS_RAW!E236)*$H$2</f>
        <v>300</v>
      </c>
      <c r="E236" s="65">
        <f>ROUNDDOWN(EPSIS_RAW!F236,0)</f>
        <v>1992</v>
      </c>
      <c r="F236" s="55" t="str">
        <f t="shared" si="3"/>
        <v>235서인천 #5-8 GT</v>
      </c>
    </row>
    <row r="237" spans="1:6">
      <c r="A237">
        <v>236</v>
      </c>
      <c r="B237" s="66" t="str">
        <f>EPSIS_RAW!H237</f>
        <v>LNG</v>
      </c>
      <c r="C237" s="66" t="str">
        <f>EPSIS_RAW!B237</f>
        <v>서인천 #5-8 ST</v>
      </c>
      <c r="D237" s="56">
        <f>(EPSIS_RAW!E237)*$H$2</f>
        <v>150</v>
      </c>
      <c r="E237" s="65">
        <f>ROUNDDOWN(EPSIS_RAW!F237,0)</f>
        <v>1992</v>
      </c>
      <c r="F237" s="55" t="str">
        <f t="shared" si="3"/>
        <v>236서인천 #5-8 ST</v>
      </c>
    </row>
    <row r="238" spans="1:6">
      <c r="A238">
        <v>237</v>
      </c>
      <c r="B238" s="66" t="str">
        <f>EPSIS_RAW!H238</f>
        <v>LNG</v>
      </c>
      <c r="C238" s="66" t="str">
        <f>EPSIS_RAW!B238</f>
        <v>서인천 #5-8 ST</v>
      </c>
      <c r="D238" s="56">
        <f>(EPSIS_RAW!E238)*$H$2</f>
        <v>150</v>
      </c>
      <c r="E238" s="65">
        <f>ROUNDDOWN(EPSIS_RAW!F238,0)</f>
        <v>1992</v>
      </c>
      <c r="F238" s="55" t="str">
        <f t="shared" si="3"/>
        <v>237서인천 #5-8 ST</v>
      </c>
    </row>
    <row r="239" spans="1:6">
      <c r="A239">
        <v>238</v>
      </c>
      <c r="B239" s="66" t="str">
        <f>EPSIS_RAW!H239</f>
        <v>LNG</v>
      </c>
      <c r="C239" s="66" t="str">
        <f>EPSIS_RAW!B239</f>
        <v>서인천#1-4 GT</v>
      </c>
      <c r="D239" s="56">
        <f>(EPSIS_RAW!E239)*$H$2</f>
        <v>150</v>
      </c>
      <c r="E239" s="65">
        <f>ROUNDDOWN(EPSIS_RAW!F239,0)</f>
        <v>1992</v>
      </c>
      <c r="F239" s="55" t="str">
        <f t="shared" si="3"/>
        <v>238서인천#1-4 GT</v>
      </c>
    </row>
    <row r="240" spans="1:6">
      <c r="A240">
        <v>239</v>
      </c>
      <c r="B240" s="66" t="str">
        <f>EPSIS_RAW!H240</f>
        <v>LNG</v>
      </c>
      <c r="C240" s="66" t="str">
        <f>EPSIS_RAW!B240</f>
        <v>서인천#1-4 GT</v>
      </c>
      <c r="D240" s="56">
        <f>(EPSIS_RAW!E240)*$H$2</f>
        <v>150</v>
      </c>
      <c r="E240" s="65">
        <f>ROUNDDOWN(EPSIS_RAW!F240,0)</f>
        <v>1992</v>
      </c>
      <c r="F240" s="55" t="str">
        <f t="shared" si="3"/>
        <v>239서인천#1-4 GT</v>
      </c>
    </row>
    <row r="241" spans="1:6">
      <c r="A241">
        <v>240</v>
      </c>
      <c r="B241" s="66" t="str">
        <f>EPSIS_RAW!H241</f>
        <v>LNG</v>
      </c>
      <c r="C241" s="66" t="str">
        <f>EPSIS_RAW!B241</f>
        <v>서인천#1-4 GT</v>
      </c>
      <c r="D241" s="56">
        <f>(EPSIS_RAW!E241)*$H$2</f>
        <v>300</v>
      </c>
      <c r="E241" s="65">
        <f>ROUNDDOWN(EPSIS_RAW!F241,0)</f>
        <v>1992</v>
      </c>
      <c r="F241" s="55" t="str">
        <f t="shared" si="3"/>
        <v>240서인천#1-4 GT</v>
      </c>
    </row>
    <row r="242" spans="1:6">
      <c r="A242">
        <v>241</v>
      </c>
      <c r="B242" s="66" t="str">
        <f>EPSIS_RAW!H242</f>
        <v>LNG</v>
      </c>
      <c r="C242" s="66" t="str">
        <f>EPSIS_RAW!B242</f>
        <v>서인천#1-4 ST</v>
      </c>
      <c r="D242" s="56">
        <f>(EPSIS_RAW!E242)*$H$2</f>
        <v>150</v>
      </c>
      <c r="E242" s="65">
        <f>ROUNDDOWN(EPSIS_RAW!F242,0)</f>
        <v>1992</v>
      </c>
      <c r="F242" s="55" t="str">
        <f t="shared" si="3"/>
        <v>241서인천#1-4 ST</v>
      </c>
    </row>
    <row r="243" spans="1:6">
      <c r="A243">
        <v>242</v>
      </c>
      <c r="B243" s="66" t="str">
        <f>EPSIS_RAW!H243</f>
        <v>LNG</v>
      </c>
      <c r="C243" s="66" t="str">
        <f>EPSIS_RAW!B243</f>
        <v>서인천#1-4 ST</v>
      </c>
      <c r="D243" s="56">
        <f>(EPSIS_RAW!E243)*$H$2</f>
        <v>150</v>
      </c>
      <c r="E243" s="65">
        <f>ROUNDDOWN(EPSIS_RAW!F243,0)</f>
        <v>1992</v>
      </c>
      <c r="F243" s="55" t="str">
        <f t="shared" si="3"/>
        <v>242서인천#1-4 ST</v>
      </c>
    </row>
    <row r="244" spans="1:6">
      <c r="A244">
        <v>243</v>
      </c>
      <c r="B244" s="66" t="str">
        <f>EPSIS_RAW!H244</f>
        <v>LNG</v>
      </c>
      <c r="C244" s="66" t="str">
        <f>EPSIS_RAW!B244</f>
        <v>신인천#1,2 GT</v>
      </c>
      <c r="D244" s="56">
        <f>(EPSIS_RAW!E244)*$H$2</f>
        <v>600</v>
      </c>
      <c r="E244" s="65">
        <f>ROUNDDOWN(EPSIS_RAW!F244,0)</f>
        <v>1996</v>
      </c>
      <c r="F244" s="55" t="str">
        <f t="shared" si="3"/>
        <v>243신인천#1,2 GT</v>
      </c>
    </row>
    <row r="245" spans="1:6">
      <c r="A245">
        <v>244</v>
      </c>
      <c r="B245" s="66" t="str">
        <f>EPSIS_RAW!H245</f>
        <v>LNG</v>
      </c>
      <c r="C245" s="66" t="str">
        <f>EPSIS_RAW!B245</f>
        <v>신인천#1,2 ST</v>
      </c>
      <c r="D245" s="56">
        <f>(EPSIS_RAW!E245)*$H$2</f>
        <v>300</v>
      </c>
      <c r="E245" s="65">
        <f>ROUNDDOWN(EPSIS_RAW!F245,0)</f>
        <v>1997</v>
      </c>
      <c r="F245" s="55" t="str">
        <f t="shared" si="3"/>
        <v>244신인천#1,2 ST</v>
      </c>
    </row>
    <row r="246" spans="1:6">
      <c r="A246">
        <v>245</v>
      </c>
      <c r="B246" s="66" t="str">
        <f>EPSIS_RAW!H246</f>
        <v>LNG</v>
      </c>
      <c r="C246" s="66" t="str">
        <f>EPSIS_RAW!B246</f>
        <v>신인천#3,4 GT</v>
      </c>
      <c r="D246" s="56">
        <f>(EPSIS_RAW!E246)*$H$2</f>
        <v>600</v>
      </c>
      <c r="E246" s="65">
        <f>ROUNDDOWN(EPSIS_RAW!F246,0)</f>
        <v>1996</v>
      </c>
      <c r="F246" s="55" t="str">
        <f t="shared" si="3"/>
        <v>245신인천#3,4 GT</v>
      </c>
    </row>
    <row r="247" spans="1:6">
      <c r="A247">
        <v>246</v>
      </c>
      <c r="B247" s="66" t="str">
        <f>EPSIS_RAW!H247</f>
        <v>LNG</v>
      </c>
      <c r="C247" s="66" t="str">
        <f>EPSIS_RAW!B247</f>
        <v>신인천#3,4 ST</v>
      </c>
      <c r="D247" s="56">
        <f>(EPSIS_RAW!E247)*$H$2</f>
        <v>300</v>
      </c>
      <c r="E247" s="65">
        <f>ROUNDDOWN(EPSIS_RAW!F247,0)</f>
        <v>1997</v>
      </c>
      <c r="F247" s="55" t="str">
        <f t="shared" si="3"/>
        <v>246신인천#3,4 ST</v>
      </c>
    </row>
    <row r="248" spans="1:6">
      <c r="A248">
        <v>247</v>
      </c>
      <c r="B248" s="66" t="str">
        <f>EPSIS_RAW!H248</f>
        <v>LNG</v>
      </c>
      <c r="C248" s="66" t="str">
        <f>EPSIS_RAW!B248</f>
        <v>신평택 GT</v>
      </c>
      <c r="D248" s="56">
        <f>(EPSIS_RAW!E248)*$H$2</f>
        <v>580.4</v>
      </c>
      <c r="E248" s="65">
        <f>ROUNDDOWN(EPSIS_RAW!F248,0)</f>
        <v>2019</v>
      </c>
      <c r="F248" s="55" t="str">
        <f t="shared" si="3"/>
        <v>247신평택 GT</v>
      </c>
    </row>
    <row r="249" spans="1:6">
      <c r="A249">
        <v>248</v>
      </c>
      <c r="B249" s="66" t="str">
        <f>EPSIS_RAW!H249</f>
        <v>LNG</v>
      </c>
      <c r="C249" s="66" t="str">
        <f>EPSIS_RAW!B249</f>
        <v>신평택 ST</v>
      </c>
      <c r="D249" s="56">
        <f>(EPSIS_RAW!E249)*$H$2</f>
        <v>282.90000000000003</v>
      </c>
      <c r="E249" s="65">
        <f>ROUNDDOWN(EPSIS_RAW!F249,0)</f>
        <v>2019</v>
      </c>
      <c r="F249" s="55" t="str">
        <f t="shared" si="3"/>
        <v>248신평택 ST</v>
      </c>
    </row>
    <row r="250" spans="1:6">
      <c r="A250">
        <v>249</v>
      </c>
      <c r="B250" s="66" t="str">
        <f>EPSIS_RAW!H250</f>
        <v>LNG</v>
      </c>
      <c r="C250" s="66" t="str">
        <f>EPSIS_RAW!B250</f>
        <v>안동 GT</v>
      </c>
      <c r="D250" s="56">
        <f>(EPSIS_RAW!E250)*$H$2</f>
        <v>234.5</v>
      </c>
      <c r="E250" s="65">
        <f>ROUNDDOWN(EPSIS_RAW!F250,0)</f>
        <v>2014</v>
      </c>
      <c r="F250" s="55" t="str">
        <f t="shared" si="3"/>
        <v>249안동 GT</v>
      </c>
    </row>
    <row r="251" spans="1:6">
      <c r="A251">
        <v>250</v>
      </c>
      <c r="B251" s="66" t="str">
        <f>EPSIS_RAW!H251</f>
        <v>LNG</v>
      </c>
      <c r="C251" s="66" t="str">
        <f>EPSIS_RAW!B251</f>
        <v>안동 ST</v>
      </c>
      <c r="D251" s="56">
        <f>(EPSIS_RAW!E251)*$H$2</f>
        <v>127.10000000000001</v>
      </c>
      <c r="E251" s="65">
        <f>ROUNDDOWN(EPSIS_RAW!F251,0)</f>
        <v>2014</v>
      </c>
      <c r="F251" s="55" t="str">
        <f t="shared" si="3"/>
        <v>250안동 ST</v>
      </c>
    </row>
    <row r="252" spans="1:6">
      <c r="A252">
        <v>251</v>
      </c>
      <c r="B252" s="66" t="str">
        <f>EPSIS_RAW!H252</f>
        <v>LNG</v>
      </c>
      <c r="C252" s="66" t="str">
        <f>EPSIS_RAW!B252</f>
        <v>안산 GT</v>
      </c>
      <c r="D252" s="56">
        <f>(EPSIS_RAW!E252)*$H$2</f>
        <v>485.8</v>
      </c>
      <c r="E252" s="65">
        <f>ROUNDDOWN(EPSIS_RAW!F252,0)</f>
        <v>2014</v>
      </c>
      <c r="F252" s="55" t="str">
        <f t="shared" si="3"/>
        <v>251안산 GT</v>
      </c>
    </row>
    <row r="253" spans="1:6">
      <c r="A253">
        <v>252</v>
      </c>
      <c r="B253" s="66" t="str">
        <f>EPSIS_RAW!H253</f>
        <v>LNG</v>
      </c>
      <c r="C253" s="66" t="str">
        <f>EPSIS_RAW!B253</f>
        <v>안산 ST</v>
      </c>
      <c r="D253" s="56">
        <f>(EPSIS_RAW!E253)*$H$2</f>
        <v>265.39999999999998</v>
      </c>
      <c r="E253" s="65">
        <f>ROUNDDOWN(EPSIS_RAW!F253,0)</f>
        <v>2014</v>
      </c>
      <c r="F253" s="55" t="str">
        <f t="shared" si="3"/>
        <v>252안산 ST</v>
      </c>
    </row>
    <row r="254" spans="1:6">
      <c r="A254">
        <v>253</v>
      </c>
      <c r="B254" s="66" t="str">
        <f>EPSIS_RAW!H254</f>
        <v>LNG</v>
      </c>
      <c r="C254" s="66" t="str">
        <f>EPSIS_RAW!B254</f>
        <v>여주복합GT#1</v>
      </c>
      <c r="D254" s="56">
        <f>(EPSIS_RAW!E254)*$H$2</f>
        <v>336.02199999999999</v>
      </c>
      <c r="E254" s="65">
        <f>ROUNDDOWN(EPSIS_RAW!F254,0)</f>
        <v>2023</v>
      </c>
      <c r="F254" s="55" t="str">
        <f t="shared" si="3"/>
        <v>253여주복합GT#1</v>
      </c>
    </row>
    <row r="255" spans="1:6">
      <c r="A255">
        <v>254</v>
      </c>
      <c r="B255" s="66" t="str">
        <f>EPSIS_RAW!H255</f>
        <v>LNG</v>
      </c>
      <c r="C255" s="66" t="str">
        <f>EPSIS_RAW!B255</f>
        <v>여주복합GT#2</v>
      </c>
      <c r="D255" s="56">
        <f>(EPSIS_RAW!E255)*$H$2</f>
        <v>336.02199999999999</v>
      </c>
      <c r="E255" s="65">
        <f>ROUNDDOWN(EPSIS_RAW!F255,0)</f>
        <v>2023</v>
      </c>
      <c r="F255" s="55" t="str">
        <f t="shared" si="3"/>
        <v>254여주복합GT#2</v>
      </c>
    </row>
    <row r="256" spans="1:6">
      <c r="A256">
        <v>255</v>
      </c>
      <c r="B256" s="66" t="str">
        <f>EPSIS_RAW!H256</f>
        <v>LNG</v>
      </c>
      <c r="C256" s="66" t="str">
        <f>EPSIS_RAW!B256</f>
        <v>여주복합ST</v>
      </c>
      <c r="D256" s="56">
        <f>(EPSIS_RAW!E256)*$H$2</f>
        <v>353.35599999999999</v>
      </c>
      <c r="E256" s="65">
        <f>ROUNDDOWN(EPSIS_RAW!F256,0)</f>
        <v>2023</v>
      </c>
      <c r="F256" s="55" t="str">
        <f t="shared" si="3"/>
        <v>255여주복합ST</v>
      </c>
    </row>
    <row r="257" spans="1:6">
      <c r="A257">
        <v>256</v>
      </c>
      <c r="B257" s="66" t="str">
        <f>EPSIS_RAW!H257</f>
        <v>LNG</v>
      </c>
      <c r="C257" s="66" t="str">
        <f>EPSIS_RAW!B257</f>
        <v>영남파워 GT</v>
      </c>
      <c r="D257" s="56">
        <f>(EPSIS_RAW!E257)*$H$2</f>
        <v>292</v>
      </c>
      <c r="E257" s="65">
        <f>ROUNDDOWN(EPSIS_RAW!F257,0)</f>
        <v>2017</v>
      </c>
      <c r="F257" s="55" t="str">
        <f t="shared" si="3"/>
        <v>256영남파워 GT</v>
      </c>
    </row>
    <row r="258" spans="1:6">
      <c r="A258">
        <v>257</v>
      </c>
      <c r="B258" s="66" t="str">
        <f>EPSIS_RAW!H258</f>
        <v>LNG</v>
      </c>
      <c r="C258" s="66" t="str">
        <f>EPSIS_RAW!B258</f>
        <v>영남파워 ST</v>
      </c>
      <c r="D258" s="56">
        <f>(EPSIS_RAW!E258)*$H$2</f>
        <v>150.80000000000001</v>
      </c>
      <c r="E258" s="65">
        <f>ROUNDDOWN(EPSIS_RAW!F258,0)</f>
        <v>2017</v>
      </c>
      <c r="F258" s="55" t="str">
        <f t="shared" si="3"/>
        <v>257영남파워 ST</v>
      </c>
    </row>
    <row r="259" spans="1:6">
      <c r="A259">
        <v>258</v>
      </c>
      <c r="B259" s="66" t="str">
        <f>EPSIS_RAW!H259</f>
        <v>LNG</v>
      </c>
      <c r="C259" s="66" t="str">
        <f>EPSIS_RAW!B259</f>
        <v>영월 GT</v>
      </c>
      <c r="D259" s="56">
        <f>(EPSIS_RAW!E259)*$H$2</f>
        <v>549</v>
      </c>
      <c r="E259" s="65">
        <f>ROUNDDOWN(EPSIS_RAW!F259,0)</f>
        <v>2010</v>
      </c>
      <c r="F259" s="55" t="str">
        <f t="shared" ref="F259:F322" si="4">A259&amp;C259</f>
        <v>258영월 GT</v>
      </c>
    </row>
    <row r="260" spans="1:6">
      <c r="A260">
        <v>259</v>
      </c>
      <c r="B260" s="66" t="str">
        <f>EPSIS_RAW!H260</f>
        <v>LNG</v>
      </c>
      <c r="C260" s="66" t="str">
        <f>EPSIS_RAW!B260</f>
        <v>영월 ST</v>
      </c>
      <c r="D260" s="56">
        <f>(EPSIS_RAW!E260)*$H$2</f>
        <v>299</v>
      </c>
      <c r="E260" s="65">
        <f>ROUNDDOWN(EPSIS_RAW!F260,0)</f>
        <v>2010</v>
      </c>
      <c r="F260" s="55" t="str">
        <f t="shared" si="4"/>
        <v>259영월 ST</v>
      </c>
    </row>
    <row r="261" spans="1:6">
      <c r="A261">
        <v>260</v>
      </c>
      <c r="B261" s="66" t="str">
        <f>EPSIS_RAW!H261</f>
        <v>LNG</v>
      </c>
      <c r="C261" s="66" t="str">
        <f>EPSIS_RAW!B261</f>
        <v>오성 GT</v>
      </c>
      <c r="D261" s="56">
        <f>(EPSIS_RAW!E261)*$H$2</f>
        <v>497.04</v>
      </c>
      <c r="E261" s="65">
        <f>ROUNDDOWN(EPSIS_RAW!F261,0)</f>
        <v>2013</v>
      </c>
      <c r="F261" s="55" t="str">
        <f t="shared" si="4"/>
        <v>260오성 GT</v>
      </c>
    </row>
    <row r="262" spans="1:6">
      <c r="A262">
        <v>261</v>
      </c>
      <c r="B262" s="66" t="str">
        <f>EPSIS_RAW!H262</f>
        <v>LNG</v>
      </c>
      <c r="C262" s="66" t="str">
        <f>EPSIS_RAW!B262</f>
        <v>오성 ST</v>
      </c>
      <c r="D262" s="56">
        <f>(EPSIS_RAW!E262)*$H$2</f>
        <v>272.79000000000002</v>
      </c>
      <c r="E262" s="65">
        <f>ROUNDDOWN(EPSIS_RAW!F262,0)</f>
        <v>2013</v>
      </c>
      <c r="F262" s="55" t="str">
        <f t="shared" si="4"/>
        <v>261오성 ST</v>
      </c>
    </row>
    <row r="263" spans="1:6">
      <c r="A263">
        <v>262</v>
      </c>
      <c r="B263" s="66" t="str">
        <f>EPSIS_RAW!H263</f>
        <v>LNG</v>
      </c>
      <c r="C263" s="66" t="str">
        <f>EPSIS_RAW!B263</f>
        <v>울산#1 GT</v>
      </c>
      <c r="D263" s="56">
        <f>(EPSIS_RAW!E263)*$H$2</f>
        <v>200</v>
      </c>
      <c r="E263" s="65">
        <f>ROUNDDOWN(EPSIS_RAW!F263,0)</f>
        <v>1995</v>
      </c>
      <c r="F263" s="55" t="str">
        <f t="shared" si="4"/>
        <v>262울산#1 GT</v>
      </c>
    </row>
    <row r="264" spans="1:6">
      <c r="A264">
        <v>263</v>
      </c>
      <c r="B264" s="66" t="str">
        <f>EPSIS_RAW!H264</f>
        <v>LNG</v>
      </c>
      <c r="C264" s="66" t="str">
        <f>EPSIS_RAW!B264</f>
        <v>울산#1 ST</v>
      </c>
      <c r="D264" s="56">
        <f>(EPSIS_RAW!E264)*$H$2</f>
        <v>100</v>
      </c>
      <c r="E264" s="65">
        <f>ROUNDDOWN(EPSIS_RAW!F264,0)</f>
        <v>1979</v>
      </c>
      <c r="F264" s="55" t="str">
        <f t="shared" si="4"/>
        <v>263울산#1 ST</v>
      </c>
    </row>
    <row r="265" spans="1:6">
      <c r="A265">
        <v>264</v>
      </c>
      <c r="B265" s="66" t="str">
        <f>EPSIS_RAW!H265</f>
        <v>LNG</v>
      </c>
      <c r="C265" s="66" t="str">
        <f>EPSIS_RAW!B265</f>
        <v>울산#1 ST</v>
      </c>
      <c r="D265" s="56">
        <f>(EPSIS_RAW!E265)*$H$2</f>
        <v>0</v>
      </c>
      <c r="E265" s="65">
        <f>ROUNDDOWN(EPSIS_RAW!F265,0)</f>
        <v>1987</v>
      </c>
      <c r="F265" s="55" t="str">
        <f t="shared" si="4"/>
        <v>264울산#1 ST</v>
      </c>
    </row>
    <row r="266" spans="1:6">
      <c r="A266">
        <v>265</v>
      </c>
      <c r="B266" s="66" t="str">
        <f>EPSIS_RAW!H266</f>
        <v>LNG</v>
      </c>
      <c r="C266" s="66" t="str">
        <f>EPSIS_RAW!B266</f>
        <v>울산#2 GT</v>
      </c>
      <c r="D266" s="56">
        <f>(EPSIS_RAW!E266)*$H$2</f>
        <v>300</v>
      </c>
      <c r="E266" s="65">
        <f>ROUNDDOWN(EPSIS_RAW!F266,0)</f>
        <v>1996</v>
      </c>
      <c r="F266" s="55" t="str">
        <f t="shared" si="4"/>
        <v>265울산#2 GT</v>
      </c>
    </row>
    <row r="267" spans="1:6">
      <c r="A267">
        <v>266</v>
      </c>
      <c r="B267" s="66" t="str">
        <f>EPSIS_RAW!H267</f>
        <v>LNG</v>
      </c>
      <c r="C267" s="66" t="str">
        <f>EPSIS_RAW!B267</f>
        <v>울산#2 ST</v>
      </c>
      <c r="D267" s="56">
        <f>(EPSIS_RAW!E267)*$H$2</f>
        <v>150</v>
      </c>
      <c r="E267" s="65">
        <f>ROUNDDOWN(EPSIS_RAW!F267,0)</f>
        <v>1997</v>
      </c>
      <c r="F267" s="55" t="str">
        <f t="shared" si="4"/>
        <v>266울산#2 ST</v>
      </c>
    </row>
    <row r="268" spans="1:6">
      <c r="A268">
        <v>267</v>
      </c>
      <c r="B268" s="66" t="str">
        <f>EPSIS_RAW!H268</f>
        <v>LNG</v>
      </c>
      <c r="C268" s="66" t="str">
        <f>EPSIS_RAW!B268</f>
        <v>울산#3 GT</v>
      </c>
      <c r="D268" s="56">
        <f>(EPSIS_RAW!E268)*$H$2</f>
        <v>300</v>
      </c>
      <c r="E268" s="65">
        <f>ROUNDDOWN(EPSIS_RAW!F268,0)</f>
        <v>1996</v>
      </c>
      <c r="F268" s="55" t="str">
        <f t="shared" si="4"/>
        <v>267울산#3 GT</v>
      </c>
    </row>
    <row r="269" spans="1:6">
      <c r="A269">
        <v>268</v>
      </c>
      <c r="B269" s="66" t="str">
        <f>EPSIS_RAW!H269</f>
        <v>LNG</v>
      </c>
      <c r="C269" s="66" t="str">
        <f>EPSIS_RAW!B269</f>
        <v>울산#3 ST</v>
      </c>
      <c r="D269" s="56">
        <f>(EPSIS_RAW!E269)*$H$2</f>
        <v>150</v>
      </c>
      <c r="E269" s="65">
        <f>ROUNDDOWN(EPSIS_RAW!F269,0)</f>
        <v>1997</v>
      </c>
      <c r="F269" s="55" t="str">
        <f t="shared" si="4"/>
        <v>268울산#3 ST</v>
      </c>
    </row>
    <row r="270" spans="1:6">
      <c r="A270">
        <v>269</v>
      </c>
      <c r="B270" s="66" t="str">
        <f>EPSIS_RAW!H270</f>
        <v>LNG</v>
      </c>
      <c r="C270" s="66" t="str">
        <f>EPSIS_RAW!B270</f>
        <v>울산#4 GT</v>
      </c>
      <c r="D270" s="56">
        <f>(EPSIS_RAW!E270)*$H$2</f>
        <v>573.20000000000005</v>
      </c>
      <c r="E270" s="65">
        <f>ROUNDDOWN(EPSIS_RAW!F270,0)</f>
        <v>2013</v>
      </c>
      <c r="F270" s="55" t="str">
        <f t="shared" si="4"/>
        <v>269울산#4 GT</v>
      </c>
    </row>
    <row r="271" spans="1:6">
      <c r="A271">
        <v>270</v>
      </c>
      <c r="B271" s="66" t="str">
        <f>EPSIS_RAW!H271</f>
        <v>LNG</v>
      </c>
      <c r="C271" s="66" t="str">
        <f>EPSIS_RAW!B271</f>
        <v>울산#4 ST</v>
      </c>
      <c r="D271" s="56">
        <f>(EPSIS_RAW!E271)*$H$2</f>
        <v>298.7</v>
      </c>
      <c r="E271" s="65">
        <f>ROUNDDOWN(EPSIS_RAW!F271,0)</f>
        <v>2014</v>
      </c>
      <c r="F271" s="55" t="str">
        <f t="shared" si="4"/>
        <v>270울산#4 ST</v>
      </c>
    </row>
    <row r="272" spans="1:6">
      <c r="A272">
        <v>271</v>
      </c>
      <c r="B272" s="66" t="str">
        <f>EPSIS_RAW!H272</f>
        <v>LNG</v>
      </c>
      <c r="C272" s="66" t="str">
        <f>EPSIS_RAW!B272</f>
        <v>율촌#1 GT</v>
      </c>
      <c r="D272" s="56">
        <f>(EPSIS_RAW!E272)*$H$2</f>
        <v>327.60000000000002</v>
      </c>
      <c r="E272" s="65">
        <f>ROUNDDOWN(EPSIS_RAW!F272,0)</f>
        <v>2004</v>
      </c>
      <c r="F272" s="55" t="str">
        <f t="shared" si="4"/>
        <v>271율촌#1 GT</v>
      </c>
    </row>
    <row r="273" spans="1:6">
      <c r="A273">
        <v>272</v>
      </c>
      <c r="B273" s="66" t="str">
        <f>EPSIS_RAW!H273</f>
        <v>LNG</v>
      </c>
      <c r="C273" s="66" t="str">
        <f>EPSIS_RAW!B273</f>
        <v>율촌#1 ST</v>
      </c>
      <c r="D273" s="56">
        <f>(EPSIS_RAW!E273)*$H$2</f>
        <v>197.9</v>
      </c>
      <c r="E273" s="65">
        <f>ROUNDDOWN(EPSIS_RAW!F273,0)</f>
        <v>2005</v>
      </c>
      <c r="F273" s="55" t="str">
        <f t="shared" si="4"/>
        <v>272율촌#1 ST</v>
      </c>
    </row>
    <row r="274" spans="1:6">
      <c r="A274">
        <v>273</v>
      </c>
      <c r="B274" s="66" t="str">
        <f>EPSIS_RAW!H274</f>
        <v>LNG</v>
      </c>
      <c r="C274" s="66" t="str">
        <f>EPSIS_RAW!B274</f>
        <v>율촌#2 GT</v>
      </c>
      <c r="D274" s="56">
        <f>(EPSIS_RAW!E274)*$H$2</f>
        <v>571.6</v>
      </c>
      <c r="E274" s="65">
        <f>ROUNDDOWN(EPSIS_RAW!F274,0)</f>
        <v>2013</v>
      </c>
      <c r="F274" s="55" t="str">
        <f t="shared" si="4"/>
        <v>273율촌#2 GT</v>
      </c>
    </row>
    <row r="275" spans="1:6">
      <c r="A275">
        <v>274</v>
      </c>
      <c r="B275" s="66" t="str">
        <f>EPSIS_RAW!H275</f>
        <v>LNG</v>
      </c>
      <c r="C275" s="66" t="str">
        <f>EPSIS_RAW!B275</f>
        <v>율촌#2 ST</v>
      </c>
      <c r="D275" s="56">
        <f>(EPSIS_RAW!E275)*$H$2</f>
        <v>292.60000000000002</v>
      </c>
      <c r="E275" s="65">
        <f>ROUNDDOWN(EPSIS_RAW!F275,0)</f>
        <v>2014</v>
      </c>
      <c r="F275" s="55" t="str">
        <f t="shared" si="4"/>
        <v>274율촌#2 ST</v>
      </c>
    </row>
    <row r="276" spans="1:6">
      <c r="A276">
        <v>275</v>
      </c>
      <c r="B276" s="66" t="str">
        <f>EPSIS_RAW!H276</f>
        <v>LNG</v>
      </c>
      <c r="C276" s="66" t="str">
        <f>EPSIS_RAW!B276</f>
        <v>인천#1 GT</v>
      </c>
      <c r="D276" s="56">
        <f>(EPSIS_RAW!E276)*$H$2</f>
        <v>321.45800000000003</v>
      </c>
      <c r="E276" s="65">
        <f>ROUNDDOWN(EPSIS_RAW!F276,0)</f>
        <v>2005</v>
      </c>
      <c r="F276" s="55" t="str">
        <f t="shared" si="4"/>
        <v>275인천#1 GT</v>
      </c>
    </row>
    <row r="277" spans="1:6">
      <c r="A277">
        <v>276</v>
      </c>
      <c r="B277" s="66" t="str">
        <f>EPSIS_RAW!H277</f>
        <v>LNG</v>
      </c>
      <c r="C277" s="66" t="str">
        <f>EPSIS_RAW!B277</f>
        <v>인천#1 ST</v>
      </c>
      <c r="D277" s="56">
        <f>(EPSIS_RAW!E277)*$H$2</f>
        <v>182.08100000000002</v>
      </c>
      <c r="E277" s="65">
        <f>ROUNDDOWN(EPSIS_RAW!F277,0)</f>
        <v>2005</v>
      </c>
      <c r="F277" s="55" t="str">
        <f t="shared" si="4"/>
        <v>276인천#1 ST</v>
      </c>
    </row>
    <row r="278" spans="1:6">
      <c r="A278">
        <v>277</v>
      </c>
      <c r="B278" s="66" t="str">
        <f>EPSIS_RAW!H278</f>
        <v>LNG</v>
      </c>
      <c r="C278" s="66" t="str">
        <f>EPSIS_RAW!B278</f>
        <v>인천#2 GT</v>
      </c>
      <c r="D278" s="56">
        <f>(EPSIS_RAW!E278)*$H$2</f>
        <v>327.95800000000003</v>
      </c>
      <c r="E278" s="65">
        <f>ROUNDDOWN(EPSIS_RAW!F278,0)</f>
        <v>2009</v>
      </c>
      <c r="F278" s="55" t="str">
        <f t="shared" si="4"/>
        <v>277인천#2 GT</v>
      </c>
    </row>
    <row r="279" spans="1:6">
      <c r="A279">
        <v>278</v>
      </c>
      <c r="B279" s="66" t="str">
        <f>EPSIS_RAW!H279</f>
        <v>LNG</v>
      </c>
      <c r="C279" s="66" t="str">
        <f>EPSIS_RAW!B279</f>
        <v>인천#2 ST</v>
      </c>
      <c r="D279" s="56">
        <f>(EPSIS_RAW!E279)*$H$2</f>
        <v>180.95000000000002</v>
      </c>
      <c r="E279" s="65">
        <f>ROUNDDOWN(EPSIS_RAW!F279,0)</f>
        <v>2009</v>
      </c>
      <c r="F279" s="55" t="str">
        <f t="shared" si="4"/>
        <v>278인천#2 ST</v>
      </c>
    </row>
    <row r="280" spans="1:6">
      <c r="A280">
        <v>279</v>
      </c>
      <c r="B280" s="66" t="str">
        <f>EPSIS_RAW!H280</f>
        <v>LNG</v>
      </c>
      <c r="C280" s="66" t="str">
        <f>EPSIS_RAW!B280</f>
        <v>인천#3 GT</v>
      </c>
      <c r="D280" s="56">
        <f>(EPSIS_RAW!E280)*$H$2</f>
        <v>300</v>
      </c>
      <c r="E280" s="65">
        <f>ROUNDDOWN(EPSIS_RAW!F280,0)</f>
        <v>2012</v>
      </c>
      <c r="F280" s="55" t="str">
        <f t="shared" si="4"/>
        <v>279인천#3 GT</v>
      </c>
    </row>
    <row r="281" spans="1:6">
      <c r="A281">
        <v>280</v>
      </c>
      <c r="B281" s="66" t="str">
        <f>EPSIS_RAW!H281</f>
        <v>LNG</v>
      </c>
      <c r="C281" s="66" t="str">
        <f>EPSIS_RAW!B281</f>
        <v>인천#3 ST</v>
      </c>
      <c r="D281" s="56">
        <f>(EPSIS_RAW!E281)*$H$2</f>
        <v>150</v>
      </c>
      <c r="E281" s="65">
        <f>ROUNDDOWN(EPSIS_RAW!F281,0)</f>
        <v>2012</v>
      </c>
      <c r="F281" s="55" t="str">
        <f t="shared" si="4"/>
        <v>280인천#3 ST</v>
      </c>
    </row>
    <row r="282" spans="1:6">
      <c r="A282">
        <v>281</v>
      </c>
      <c r="B282" s="66" t="str">
        <f>EPSIS_RAW!H282</f>
        <v>LNG</v>
      </c>
      <c r="C282" s="66" t="str">
        <f>EPSIS_RAW!B282</f>
        <v>일산#1 GT</v>
      </c>
      <c r="D282" s="56">
        <f>(EPSIS_RAW!E282)*$H$2</f>
        <v>200</v>
      </c>
      <c r="E282" s="65">
        <f>ROUNDDOWN(EPSIS_RAW!F282,0)</f>
        <v>1993</v>
      </c>
      <c r="F282" s="55" t="str">
        <f t="shared" si="4"/>
        <v>281일산#1 GT</v>
      </c>
    </row>
    <row r="283" spans="1:6">
      <c r="A283">
        <v>282</v>
      </c>
      <c r="B283" s="66" t="str">
        <f>EPSIS_RAW!H283</f>
        <v>LNG</v>
      </c>
      <c r="C283" s="66" t="str">
        <f>EPSIS_RAW!B283</f>
        <v>일산#1 GT</v>
      </c>
      <c r="D283" s="56">
        <f>(EPSIS_RAW!E283)*$H$2</f>
        <v>200</v>
      </c>
      <c r="E283" s="65">
        <f>ROUNDDOWN(EPSIS_RAW!F283,0)</f>
        <v>1993</v>
      </c>
      <c r="F283" s="55" t="str">
        <f t="shared" si="4"/>
        <v>282일산#1 GT</v>
      </c>
    </row>
    <row r="284" spans="1:6">
      <c r="A284">
        <v>283</v>
      </c>
      <c r="B284" s="66" t="str">
        <f>EPSIS_RAW!H284</f>
        <v>LNG</v>
      </c>
      <c r="C284" s="66" t="str">
        <f>EPSIS_RAW!B284</f>
        <v>일산#1 ST</v>
      </c>
      <c r="D284" s="56">
        <f>(EPSIS_RAW!E284)*$H$2</f>
        <v>200</v>
      </c>
      <c r="E284" s="65">
        <f>ROUNDDOWN(EPSIS_RAW!F284,0)</f>
        <v>1993</v>
      </c>
      <c r="F284" s="55" t="str">
        <f t="shared" si="4"/>
        <v>283일산#1 ST</v>
      </c>
    </row>
    <row r="285" spans="1:6">
      <c r="A285">
        <v>284</v>
      </c>
      <c r="B285" s="66" t="str">
        <f>EPSIS_RAW!H285</f>
        <v>LNG</v>
      </c>
      <c r="C285" s="66" t="str">
        <f>EPSIS_RAW!B285</f>
        <v>일산#2 GT</v>
      </c>
      <c r="D285" s="56">
        <f>(EPSIS_RAW!E285)*$H$2</f>
        <v>200</v>
      </c>
      <c r="E285" s="65">
        <f>ROUNDDOWN(EPSIS_RAW!F285,0)</f>
        <v>1995</v>
      </c>
      <c r="F285" s="55" t="str">
        <f t="shared" si="4"/>
        <v>284일산#2 GT</v>
      </c>
    </row>
    <row r="286" spans="1:6">
      <c r="A286">
        <v>285</v>
      </c>
      <c r="B286" s="66" t="str">
        <f>EPSIS_RAW!H286</f>
        <v>LNG</v>
      </c>
      <c r="C286" s="66" t="str">
        <f>EPSIS_RAW!B286</f>
        <v>일산#2 ST</v>
      </c>
      <c r="D286" s="56">
        <f>(EPSIS_RAW!E286)*$H$2</f>
        <v>100</v>
      </c>
      <c r="E286" s="65">
        <f>ROUNDDOWN(EPSIS_RAW!F286,0)</f>
        <v>1996</v>
      </c>
      <c r="F286" s="55" t="str">
        <f t="shared" si="4"/>
        <v>285일산#2 ST</v>
      </c>
    </row>
    <row r="287" spans="1:6">
      <c r="A287">
        <v>286</v>
      </c>
      <c r="B287" s="66" t="str">
        <f>EPSIS_RAW!H287</f>
        <v>유류</v>
      </c>
      <c r="C287" s="66" t="str">
        <f>EPSIS_RAW!B287</f>
        <v>제주복합#1 GT</v>
      </c>
      <c r="D287" s="56">
        <f>(EPSIS_RAW!E287)*$H$2</f>
        <v>71.893000000000001</v>
      </c>
      <c r="E287" s="65">
        <f>ROUNDDOWN(EPSIS_RAW!F287,0)</f>
        <v>2018</v>
      </c>
      <c r="F287" s="55" t="str">
        <f t="shared" si="4"/>
        <v>286제주복합#1 GT</v>
      </c>
    </row>
    <row r="288" spans="1:6">
      <c r="A288">
        <v>287</v>
      </c>
      <c r="B288" s="66" t="str">
        <f>EPSIS_RAW!H288</f>
        <v>유류</v>
      </c>
      <c r="C288" s="66" t="str">
        <f>EPSIS_RAW!B288</f>
        <v>제주복합#1 ST</v>
      </c>
      <c r="D288" s="56">
        <f>(EPSIS_RAW!E288)*$H$2</f>
        <v>42.474000000000004</v>
      </c>
      <c r="E288" s="65">
        <f>ROUNDDOWN(EPSIS_RAW!F288,0)</f>
        <v>2018</v>
      </c>
      <c r="F288" s="55" t="str">
        <f t="shared" si="4"/>
        <v>287제주복합#1 ST</v>
      </c>
    </row>
    <row r="289" spans="1:6">
      <c r="A289">
        <v>288</v>
      </c>
      <c r="B289" s="66" t="str">
        <f>EPSIS_RAW!H289</f>
        <v>LNG</v>
      </c>
      <c r="C289" s="66" t="str">
        <f>EPSIS_RAW!B289</f>
        <v>제주복합#2 GT</v>
      </c>
      <c r="D289" s="56">
        <f>(EPSIS_RAW!E289)*$H$2</f>
        <v>58.947000000000003</v>
      </c>
      <c r="E289" s="65">
        <f>ROUNDDOWN(EPSIS_RAW!F289,0)</f>
        <v>2018</v>
      </c>
      <c r="F289" s="55" t="str">
        <f t="shared" si="4"/>
        <v>288제주복합#2 GT</v>
      </c>
    </row>
    <row r="290" spans="1:6">
      <c r="A290">
        <v>289</v>
      </c>
      <c r="B290" s="66" t="str">
        <f>EPSIS_RAW!H290</f>
        <v>LNG</v>
      </c>
      <c r="C290" s="66" t="str">
        <f>EPSIS_RAW!B290</f>
        <v>제주복합#2 ST</v>
      </c>
      <c r="D290" s="56">
        <f>(EPSIS_RAW!E290)*$H$2</f>
        <v>34.776000000000003</v>
      </c>
      <c r="E290" s="65">
        <f>ROUNDDOWN(EPSIS_RAW!F290,0)</f>
        <v>2018</v>
      </c>
      <c r="F290" s="55" t="str">
        <f t="shared" si="4"/>
        <v>289제주복합#2 ST</v>
      </c>
    </row>
    <row r="291" spans="1:6">
      <c r="A291">
        <v>290</v>
      </c>
      <c r="B291" s="66" t="str">
        <f>EPSIS_RAW!H291</f>
        <v>LNG</v>
      </c>
      <c r="C291" s="66" t="str">
        <f>EPSIS_RAW!B291</f>
        <v>파주문산#1 GT</v>
      </c>
      <c r="D291" s="56">
        <f>(EPSIS_RAW!E291)*$H$2</f>
        <v>551</v>
      </c>
      <c r="E291" s="65">
        <f>ROUNDDOWN(EPSIS_RAW!F291,0)</f>
        <v>2017</v>
      </c>
      <c r="F291" s="55" t="str">
        <f t="shared" si="4"/>
        <v>290파주문산#1 GT</v>
      </c>
    </row>
    <row r="292" spans="1:6">
      <c r="A292">
        <v>291</v>
      </c>
      <c r="B292" s="66" t="str">
        <f>EPSIS_RAW!H292</f>
        <v>LNG</v>
      </c>
      <c r="C292" s="66" t="str">
        <f>EPSIS_RAW!B292</f>
        <v>파주문산#1 ST</v>
      </c>
      <c r="D292" s="56">
        <f>(EPSIS_RAW!E292)*$H$2</f>
        <v>296.60000000000002</v>
      </c>
      <c r="E292" s="65">
        <f>ROUNDDOWN(EPSIS_RAW!F292,0)</f>
        <v>2017</v>
      </c>
      <c r="F292" s="55" t="str">
        <f t="shared" si="4"/>
        <v>291파주문산#1 ST</v>
      </c>
    </row>
    <row r="293" spans="1:6">
      <c r="A293">
        <v>292</v>
      </c>
      <c r="B293" s="66" t="str">
        <f>EPSIS_RAW!H293</f>
        <v>LNG</v>
      </c>
      <c r="C293" s="66" t="str">
        <f>EPSIS_RAW!B293</f>
        <v>파주문산#2 GT</v>
      </c>
      <c r="D293" s="56">
        <f>(EPSIS_RAW!E293)*$H$2</f>
        <v>551</v>
      </c>
      <c r="E293" s="65">
        <f>ROUNDDOWN(EPSIS_RAW!F293,0)</f>
        <v>2017</v>
      </c>
      <c r="F293" s="55" t="str">
        <f t="shared" si="4"/>
        <v>292파주문산#2 GT</v>
      </c>
    </row>
    <row r="294" spans="1:6">
      <c r="A294">
        <v>293</v>
      </c>
      <c r="B294" s="66" t="str">
        <f>EPSIS_RAW!H294</f>
        <v>LNG</v>
      </c>
      <c r="C294" s="66" t="str">
        <f>EPSIS_RAW!B294</f>
        <v>파주문산#2 ST</v>
      </c>
      <c r="D294" s="56">
        <f>(EPSIS_RAW!E294)*$H$2</f>
        <v>296.60000000000002</v>
      </c>
      <c r="E294" s="65">
        <f>ROUNDDOWN(EPSIS_RAW!F294,0)</f>
        <v>2017</v>
      </c>
      <c r="F294" s="55" t="str">
        <f t="shared" si="4"/>
        <v>293파주문산#2 ST</v>
      </c>
    </row>
    <row r="295" spans="1:6">
      <c r="A295">
        <v>294</v>
      </c>
      <c r="B295" s="66" t="str">
        <f>EPSIS_RAW!H295</f>
        <v>LNG</v>
      </c>
      <c r="C295" s="66" t="str">
        <f>EPSIS_RAW!B295</f>
        <v>평택#2 GT</v>
      </c>
      <c r="D295" s="56">
        <f>(EPSIS_RAW!E295)*$H$2</f>
        <v>572.6</v>
      </c>
      <c r="E295" s="65">
        <f>ROUNDDOWN(EPSIS_RAW!F295,0)</f>
        <v>2013</v>
      </c>
      <c r="F295" s="55" t="str">
        <f t="shared" si="4"/>
        <v>294평택#2 GT</v>
      </c>
    </row>
    <row r="296" spans="1:6">
      <c r="A296">
        <v>295</v>
      </c>
      <c r="B296" s="66" t="str">
        <f>EPSIS_RAW!H296</f>
        <v>LNG</v>
      </c>
      <c r="C296" s="66" t="str">
        <f>EPSIS_RAW!B296</f>
        <v>평택#2 ST</v>
      </c>
      <c r="D296" s="56">
        <f>(EPSIS_RAW!E296)*$H$2</f>
        <v>295.90000000000003</v>
      </c>
      <c r="E296" s="65">
        <f>ROUNDDOWN(EPSIS_RAW!F296,0)</f>
        <v>2014</v>
      </c>
      <c r="F296" s="55" t="str">
        <f t="shared" si="4"/>
        <v>295평택#2 ST</v>
      </c>
    </row>
    <row r="297" spans="1:6">
      <c r="A297">
        <v>296</v>
      </c>
      <c r="B297" s="66" t="str">
        <f>EPSIS_RAW!H297</f>
        <v>LNG</v>
      </c>
      <c r="C297" s="66" t="str">
        <f>EPSIS_RAW!B297</f>
        <v>포스코#3 GT</v>
      </c>
      <c r="D297" s="56">
        <f>(EPSIS_RAW!E297)*$H$2</f>
        <v>300</v>
      </c>
      <c r="E297" s="65">
        <f>ROUNDDOWN(EPSIS_RAW!F297,0)</f>
        <v>1996</v>
      </c>
      <c r="F297" s="55" t="str">
        <f t="shared" si="4"/>
        <v>296포스코#3 GT</v>
      </c>
    </row>
    <row r="298" spans="1:6">
      <c r="A298">
        <v>297</v>
      </c>
      <c r="B298" s="66" t="str">
        <f>EPSIS_RAW!H298</f>
        <v>LNG</v>
      </c>
      <c r="C298" s="66" t="str">
        <f>EPSIS_RAW!B298</f>
        <v>포스코#3 ST</v>
      </c>
      <c r="D298" s="56">
        <f>(EPSIS_RAW!E298)*$H$2</f>
        <v>150</v>
      </c>
      <c r="E298" s="65">
        <f>ROUNDDOWN(EPSIS_RAW!F298,0)</f>
        <v>1999</v>
      </c>
      <c r="F298" s="55" t="str">
        <f t="shared" si="4"/>
        <v>297포스코#3 ST</v>
      </c>
    </row>
    <row r="299" spans="1:6">
      <c r="A299">
        <v>298</v>
      </c>
      <c r="B299" s="66" t="str">
        <f>EPSIS_RAW!H299</f>
        <v>LNG</v>
      </c>
      <c r="C299" s="66" t="str">
        <f>EPSIS_RAW!B299</f>
        <v>포스코#4 GT</v>
      </c>
      <c r="D299" s="56">
        <f>(EPSIS_RAW!E299)*$H$2</f>
        <v>300</v>
      </c>
      <c r="E299" s="65">
        <f>ROUNDDOWN(EPSIS_RAW!F299,0)</f>
        <v>1997</v>
      </c>
      <c r="F299" s="55" t="str">
        <f t="shared" si="4"/>
        <v>298포스코#4 GT</v>
      </c>
    </row>
    <row r="300" spans="1:6">
      <c r="A300">
        <v>299</v>
      </c>
      <c r="B300" s="66" t="str">
        <f>EPSIS_RAW!H300</f>
        <v>LNG</v>
      </c>
      <c r="C300" s="66" t="str">
        <f>EPSIS_RAW!B300</f>
        <v>포스코#4 ST</v>
      </c>
      <c r="D300" s="56">
        <f>(EPSIS_RAW!E300)*$H$2</f>
        <v>150</v>
      </c>
      <c r="E300" s="65">
        <f>ROUNDDOWN(EPSIS_RAW!F300,0)</f>
        <v>2001</v>
      </c>
      <c r="F300" s="55" t="str">
        <f t="shared" si="4"/>
        <v>299포스코#4 ST</v>
      </c>
    </row>
    <row r="301" spans="1:6">
      <c r="A301">
        <v>300</v>
      </c>
      <c r="B301" s="66" t="str">
        <f>EPSIS_RAW!H301</f>
        <v>LNG</v>
      </c>
      <c r="C301" s="66" t="str">
        <f>EPSIS_RAW!B301</f>
        <v>포스코#5 GT</v>
      </c>
      <c r="D301" s="56">
        <f>(EPSIS_RAW!E301)*$H$2</f>
        <v>366.40000000000003</v>
      </c>
      <c r="E301" s="65">
        <f>ROUNDDOWN(EPSIS_RAW!F301,0)</f>
        <v>2011</v>
      </c>
      <c r="F301" s="55" t="str">
        <f t="shared" si="4"/>
        <v>300포스코#5 GT</v>
      </c>
    </row>
    <row r="302" spans="1:6">
      <c r="A302">
        <v>301</v>
      </c>
      <c r="B302" s="66" t="str">
        <f>EPSIS_RAW!H302</f>
        <v>LNG</v>
      </c>
      <c r="C302" s="66" t="str">
        <f>EPSIS_RAW!B302</f>
        <v>포스코#5 ST</v>
      </c>
      <c r="D302" s="56">
        <f>(EPSIS_RAW!E302)*$H$2</f>
        <v>208.20000000000002</v>
      </c>
      <c r="E302" s="65">
        <f>ROUNDDOWN(EPSIS_RAW!F302,0)</f>
        <v>2011</v>
      </c>
      <c r="F302" s="55" t="str">
        <f t="shared" si="4"/>
        <v>301포스코#5 ST</v>
      </c>
    </row>
    <row r="303" spans="1:6">
      <c r="A303">
        <v>302</v>
      </c>
      <c r="B303" s="66" t="str">
        <f>EPSIS_RAW!H303</f>
        <v>LNG</v>
      </c>
      <c r="C303" s="66" t="str">
        <f>EPSIS_RAW!B303</f>
        <v>포스코#6 GT</v>
      </c>
      <c r="D303" s="56">
        <f>(EPSIS_RAW!E303)*$H$2</f>
        <v>366.40000000000003</v>
      </c>
      <c r="E303" s="65">
        <f>ROUNDDOWN(EPSIS_RAW!F303,0)</f>
        <v>2011</v>
      </c>
      <c r="F303" s="55" t="str">
        <f t="shared" si="4"/>
        <v>302포스코#6 GT</v>
      </c>
    </row>
    <row r="304" spans="1:6">
      <c r="A304">
        <v>303</v>
      </c>
      <c r="B304" s="66" t="str">
        <f>EPSIS_RAW!H304</f>
        <v>LNG</v>
      </c>
      <c r="C304" s="66" t="str">
        <f>EPSIS_RAW!B304</f>
        <v>포스코#6 ST</v>
      </c>
      <c r="D304" s="56">
        <f>(EPSIS_RAW!E304)*$H$2</f>
        <v>208.20000000000002</v>
      </c>
      <c r="E304" s="65">
        <f>ROUNDDOWN(EPSIS_RAW!F304,0)</f>
        <v>2011</v>
      </c>
      <c r="F304" s="55" t="str">
        <f t="shared" si="4"/>
        <v>303포스코#6 ST</v>
      </c>
    </row>
    <row r="305" spans="1:6">
      <c r="A305">
        <v>304</v>
      </c>
      <c r="B305" s="66" t="str">
        <f>EPSIS_RAW!H305</f>
        <v>LNG</v>
      </c>
      <c r="C305" s="66" t="str">
        <f>EPSIS_RAW!B305</f>
        <v>포스코#7 GT</v>
      </c>
      <c r="D305" s="56">
        <f>(EPSIS_RAW!E305)*$H$2</f>
        <v>242.70000000000002</v>
      </c>
      <c r="E305" s="65">
        <f>ROUNDDOWN(EPSIS_RAW!F305,0)</f>
        <v>2014</v>
      </c>
      <c r="F305" s="55" t="str">
        <f t="shared" si="4"/>
        <v>304포스코#7 GT</v>
      </c>
    </row>
    <row r="306" spans="1:6">
      <c r="A306">
        <v>305</v>
      </c>
      <c r="B306" s="66" t="str">
        <f>EPSIS_RAW!H306</f>
        <v>LNG</v>
      </c>
      <c r="C306" s="66" t="str">
        <f>EPSIS_RAW!B306</f>
        <v>포스코#7 ST</v>
      </c>
      <c r="D306" s="56">
        <f>(EPSIS_RAW!E306)*$H$2</f>
        <v>132.9</v>
      </c>
      <c r="E306" s="65">
        <f>ROUNDDOWN(EPSIS_RAW!F306,0)</f>
        <v>2014</v>
      </c>
      <c r="F306" s="55" t="str">
        <f t="shared" si="4"/>
        <v>305포스코#7 ST</v>
      </c>
    </row>
    <row r="307" spans="1:6">
      <c r="A307">
        <v>306</v>
      </c>
      <c r="B307" s="66" t="str">
        <f>EPSIS_RAW!H307</f>
        <v>LNG</v>
      </c>
      <c r="C307" s="66" t="str">
        <f>EPSIS_RAW!B307</f>
        <v>포스코#8 GT</v>
      </c>
      <c r="D307" s="56">
        <f>(EPSIS_RAW!E307)*$H$2</f>
        <v>242.70000000000002</v>
      </c>
      <c r="E307" s="65">
        <f>ROUNDDOWN(EPSIS_RAW!F307,0)</f>
        <v>2014</v>
      </c>
      <c r="F307" s="55" t="str">
        <f t="shared" si="4"/>
        <v>306포스코#8 GT</v>
      </c>
    </row>
    <row r="308" spans="1:6">
      <c r="A308">
        <v>307</v>
      </c>
      <c r="B308" s="66" t="str">
        <f>EPSIS_RAW!H308</f>
        <v>LNG</v>
      </c>
      <c r="C308" s="66" t="str">
        <f>EPSIS_RAW!B308</f>
        <v>포스코#8 ST</v>
      </c>
      <c r="D308" s="56">
        <f>(EPSIS_RAW!E308)*$H$2</f>
        <v>132.9</v>
      </c>
      <c r="E308" s="65">
        <f>ROUNDDOWN(EPSIS_RAW!F308,0)</f>
        <v>2014</v>
      </c>
      <c r="F308" s="55" t="str">
        <f t="shared" si="4"/>
        <v>307포스코#8 ST</v>
      </c>
    </row>
    <row r="309" spans="1:6">
      <c r="A309">
        <v>308</v>
      </c>
      <c r="B309" s="66" t="str">
        <f>EPSIS_RAW!H309</f>
        <v>LNG</v>
      </c>
      <c r="C309" s="66" t="str">
        <f>EPSIS_RAW!B309</f>
        <v>포스코#9 GT</v>
      </c>
      <c r="D309" s="56">
        <f>(EPSIS_RAW!E309)*$H$2</f>
        <v>242.70000000000002</v>
      </c>
      <c r="E309" s="65">
        <f>ROUNDDOWN(EPSIS_RAW!F309,0)</f>
        <v>2015</v>
      </c>
      <c r="F309" s="55" t="str">
        <f t="shared" si="4"/>
        <v>308포스코#9 GT</v>
      </c>
    </row>
    <row r="310" spans="1:6">
      <c r="A310">
        <v>309</v>
      </c>
      <c r="B310" s="66" t="str">
        <f>EPSIS_RAW!H310</f>
        <v>LNG</v>
      </c>
      <c r="C310" s="66" t="str">
        <f>EPSIS_RAW!B310</f>
        <v>포스코#9 ST</v>
      </c>
      <c r="D310" s="56">
        <f>(EPSIS_RAW!E310)*$H$2</f>
        <v>132.9</v>
      </c>
      <c r="E310" s="65">
        <f>ROUNDDOWN(EPSIS_RAW!F310,0)</f>
        <v>2015</v>
      </c>
      <c r="F310" s="55" t="str">
        <f t="shared" si="4"/>
        <v>309포스코#9 ST</v>
      </c>
    </row>
    <row r="311" spans="1:6">
      <c r="A311">
        <v>310</v>
      </c>
      <c r="B311" s="66" t="str">
        <f>EPSIS_RAW!H311</f>
        <v>LNG</v>
      </c>
      <c r="C311" s="66" t="str">
        <f>EPSIS_RAW!B311</f>
        <v>포천#1 GT</v>
      </c>
      <c r="D311" s="56">
        <f>(EPSIS_RAW!E311)*$H$2</f>
        <v>481</v>
      </c>
      <c r="E311" s="65">
        <f>ROUNDDOWN(EPSIS_RAW!F311,0)</f>
        <v>2014</v>
      </c>
      <c r="F311" s="55" t="str">
        <f t="shared" si="4"/>
        <v>310포천#1 GT</v>
      </c>
    </row>
    <row r="312" spans="1:6">
      <c r="A312">
        <v>311</v>
      </c>
      <c r="B312" s="66" t="str">
        <f>EPSIS_RAW!H312</f>
        <v>LNG</v>
      </c>
      <c r="C312" s="66" t="str">
        <f>EPSIS_RAW!B312</f>
        <v>포천#1 ST</v>
      </c>
      <c r="D312" s="56">
        <f>(EPSIS_RAW!E312)*$H$2</f>
        <v>244</v>
      </c>
      <c r="E312" s="65">
        <f>ROUNDDOWN(EPSIS_RAW!F312,0)</f>
        <v>2014</v>
      </c>
      <c r="F312" s="55" t="str">
        <f t="shared" si="4"/>
        <v>311포천#1 ST</v>
      </c>
    </row>
    <row r="313" spans="1:6">
      <c r="A313">
        <v>312</v>
      </c>
      <c r="B313" s="66" t="str">
        <f>EPSIS_RAW!H313</f>
        <v>LNG</v>
      </c>
      <c r="C313" s="66" t="str">
        <f>EPSIS_RAW!B313</f>
        <v>포천#2 GT</v>
      </c>
      <c r="D313" s="56">
        <f>(EPSIS_RAW!E313)*$H$2</f>
        <v>481</v>
      </c>
      <c r="E313" s="65">
        <f>ROUNDDOWN(EPSIS_RAW!F313,0)</f>
        <v>2014</v>
      </c>
      <c r="F313" s="55" t="str">
        <f t="shared" si="4"/>
        <v>312포천#2 GT</v>
      </c>
    </row>
    <row r="314" spans="1:6">
      <c r="A314">
        <v>313</v>
      </c>
      <c r="B314" s="66" t="str">
        <f>EPSIS_RAW!H314</f>
        <v>LNG</v>
      </c>
      <c r="C314" s="66" t="str">
        <f>EPSIS_RAW!B314</f>
        <v>포천#2 ST</v>
      </c>
      <c r="D314" s="56">
        <f>(EPSIS_RAW!E314)*$H$2</f>
        <v>244</v>
      </c>
      <c r="E314" s="65">
        <f>ROUNDDOWN(EPSIS_RAW!F314,0)</f>
        <v>2014</v>
      </c>
      <c r="F314" s="55" t="str">
        <f t="shared" si="4"/>
        <v>313포천#2 ST</v>
      </c>
    </row>
    <row r="315" spans="1:6">
      <c r="A315">
        <v>314</v>
      </c>
      <c r="B315" s="66" t="str">
        <f>EPSIS_RAW!H315</f>
        <v>LNG</v>
      </c>
      <c r="C315" s="66" t="str">
        <f>EPSIS_RAW!B315</f>
        <v>포천천연 GT</v>
      </c>
      <c r="D315" s="56">
        <f>(EPSIS_RAW!E315)*$H$2</f>
        <v>575.4</v>
      </c>
      <c r="E315" s="65">
        <f>ROUNDDOWN(EPSIS_RAW!F315,0)</f>
        <v>2017</v>
      </c>
      <c r="F315" s="55" t="str">
        <f t="shared" si="4"/>
        <v>314포천천연 GT</v>
      </c>
    </row>
    <row r="316" spans="1:6">
      <c r="A316">
        <v>315</v>
      </c>
      <c r="B316" s="66" t="str">
        <f>EPSIS_RAW!H316</f>
        <v>LNG</v>
      </c>
      <c r="C316" s="66" t="str">
        <f>EPSIS_RAW!B316</f>
        <v>포천천연 ST</v>
      </c>
      <c r="D316" s="56">
        <f>(EPSIS_RAW!E316)*$H$2</f>
        <v>298.8</v>
      </c>
      <c r="E316" s="65">
        <f>ROUNDDOWN(EPSIS_RAW!F316,0)</f>
        <v>2017</v>
      </c>
      <c r="F316" s="55" t="str">
        <f t="shared" si="4"/>
        <v>315포천천연 ST</v>
      </c>
    </row>
    <row r="317" spans="1:6">
      <c r="A317">
        <v>316</v>
      </c>
      <c r="B317" s="66" t="str">
        <f>EPSIS_RAW!H317</f>
        <v>LNG</v>
      </c>
      <c r="C317" s="66" t="str">
        <f>EPSIS_RAW!B317</f>
        <v>한림 GT</v>
      </c>
      <c r="D317" s="56">
        <f>(EPSIS_RAW!E317)*$H$2</f>
        <v>35</v>
      </c>
      <c r="E317" s="65">
        <f>ROUNDDOWN(EPSIS_RAW!F317,0)</f>
        <v>1995</v>
      </c>
      <c r="F317" s="55" t="str">
        <f t="shared" si="4"/>
        <v>316한림 GT</v>
      </c>
    </row>
    <row r="318" spans="1:6">
      <c r="A318">
        <v>317</v>
      </c>
      <c r="B318" s="66" t="str">
        <f>EPSIS_RAW!H318</f>
        <v>LNG</v>
      </c>
      <c r="C318" s="66" t="str">
        <f>EPSIS_RAW!B318</f>
        <v>한림 GT</v>
      </c>
      <c r="D318" s="56">
        <f>(EPSIS_RAW!E318)*$H$2</f>
        <v>35</v>
      </c>
      <c r="E318" s="65">
        <f>ROUNDDOWN(EPSIS_RAW!F318,0)</f>
        <v>1996</v>
      </c>
      <c r="F318" s="55" t="str">
        <f t="shared" si="4"/>
        <v>317한림 GT</v>
      </c>
    </row>
    <row r="319" spans="1:6">
      <c r="A319">
        <v>318</v>
      </c>
      <c r="B319" s="66" t="str">
        <f>EPSIS_RAW!H319</f>
        <v>LNG</v>
      </c>
      <c r="C319" s="66" t="str">
        <f>EPSIS_RAW!B319</f>
        <v>한림 ST</v>
      </c>
      <c r="D319" s="56">
        <f>(EPSIS_RAW!E319)*$H$2</f>
        <v>35</v>
      </c>
      <c r="E319" s="65">
        <f>ROUNDDOWN(EPSIS_RAW!F319,0)</f>
        <v>1997</v>
      </c>
      <c r="F319" s="55" t="str">
        <f t="shared" si="4"/>
        <v>318한림 ST</v>
      </c>
    </row>
    <row r="320" spans="1:6">
      <c r="A320">
        <v>319</v>
      </c>
      <c r="B320" s="66" t="str">
        <f>EPSIS_RAW!H320</f>
        <v>소수력</v>
      </c>
      <c r="C320" s="66" t="str">
        <f>EPSIS_RAW!B320</f>
        <v>KC하이드로</v>
      </c>
      <c r="D320" s="56">
        <f>(EPSIS_RAW!E320)*$H$2</f>
        <v>0.4</v>
      </c>
      <c r="E320" s="65">
        <f>ROUNDDOWN(EPSIS_RAW!F320,0)</f>
        <v>2013</v>
      </c>
      <c r="F320" s="55" t="str">
        <f t="shared" si="4"/>
        <v>319KC하이드로</v>
      </c>
    </row>
    <row r="321" spans="1:6">
      <c r="A321">
        <v>320</v>
      </c>
      <c r="B321" s="66" t="str">
        <f>EPSIS_RAW!H321</f>
        <v>소수력</v>
      </c>
      <c r="C321" s="66" t="str">
        <f>EPSIS_RAW!B321</f>
        <v>가북</v>
      </c>
      <c r="D321" s="56">
        <f>(EPSIS_RAW!E321)*$H$2</f>
        <v>0.65</v>
      </c>
      <c r="E321" s="65">
        <f>ROUNDDOWN(EPSIS_RAW!F321,0)</f>
        <v>2014</v>
      </c>
      <c r="F321" s="55" t="str">
        <f t="shared" si="4"/>
        <v>320가북</v>
      </c>
    </row>
    <row r="322" spans="1:6">
      <c r="A322">
        <v>321</v>
      </c>
      <c r="B322" s="66" t="str">
        <f>EPSIS_RAW!H322</f>
        <v>수력</v>
      </c>
      <c r="C322" s="66" t="str">
        <f>EPSIS_RAW!B322</f>
        <v>강릉</v>
      </c>
      <c r="D322" s="56">
        <f>(EPSIS_RAW!E322)*$H$2</f>
        <v>41</v>
      </c>
      <c r="E322" s="65">
        <f>ROUNDDOWN(EPSIS_RAW!F322,0)</f>
        <v>1990</v>
      </c>
      <c r="F322" s="55" t="str">
        <f t="shared" si="4"/>
        <v>321강릉</v>
      </c>
    </row>
    <row r="323" spans="1:6">
      <c r="A323">
        <v>322</v>
      </c>
      <c r="B323" s="66" t="str">
        <f>EPSIS_RAW!H323</f>
        <v>수력</v>
      </c>
      <c r="C323" s="66" t="str">
        <f>EPSIS_RAW!B323</f>
        <v>강릉</v>
      </c>
      <c r="D323" s="56">
        <f>(EPSIS_RAW!E323)*$H$2</f>
        <v>41</v>
      </c>
      <c r="E323" s="65">
        <f>ROUNDDOWN(EPSIS_RAW!F323,0)</f>
        <v>1991</v>
      </c>
      <c r="F323" s="55" t="str">
        <f t="shared" ref="F323:F386" si="5">A323&amp;C323</f>
        <v>322강릉</v>
      </c>
    </row>
    <row r="324" spans="1:6">
      <c r="A324">
        <v>323</v>
      </c>
      <c r="B324" s="66" t="str">
        <f>EPSIS_RAW!H324</f>
        <v>소수력</v>
      </c>
      <c r="C324" s="66" t="str">
        <f>EPSIS_RAW!B324</f>
        <v>강림</v>
      </c>
      <c r="D324" s="56">
        <f>(EPSIS_RAW!E324)*$H$2</f>
        <v>0.45</v>
      </c>
      <c r="E324" s="65">
        <f>ROUNDDOWN(EPSIS_RAW!F324,0)</f>
        <v>1978</v>
      </c>
      <c r="F324" s="55" t="str">
        <f t="shared" si="5"/>
        <v>323강림</v>
      </c>
    </row>
    <row r="325" spans="1:6">
      <c r="A325">
        <v>324</v>
      </c>
      <c r="B325" s="66" t="str">
        <f>EPSIS_RAW!H325</f>
        <v>소수력</v>
      </c>
      <c r="C325" s="66" t="str">
        <f>EPSIS_RAW!B325</f>
        <v>강정고령보</v>
      </c>
      <c r="D325" s="56">
        <f>(EPSIS_RAW!E325)*$H$2</f>
        <v>3</v>
      </c>
      <c r="E325" s="65">
        <f>ROUNDDOWN(EPSIS_RAW!F325,0)</f>
        <v>2011</v>
      </c>
      <c r="F325" s="55" t="str">
        <f t="shared" si="5"/>
        <v>324강정고령보</v>
      </c>
    </row>
    <row r="326" spans="1:6">
      <c r="A326">
        <v>325</v>
      </c>
      <c r="B326" s="66" t="str">
        <f>EPSIS_RAW!H326</f>
        <v>소수력</v>
      </c>
      <c r="C326" s="66" t="str">
        <f>EPSIS_RAW!B326</f>
        <v>강천보</v>
      </c>
      <c r="D326" s="56">
        <f>(EPSIS_RAW!E326)*$H$2</f>
        <v>4.95</v>
      </c>
      <c r="E326" s="65">
        <f>ROUNDDOWN(EPSIS_RAW!F326,0)</f>
        <v>2011</v>
      </c>
      <c r="F326" s="55" t="str">
        <f t="shared" si="5"/>
        <v>325강천보</v>
      </c>
    </row>
    <row r="327" spans="1:6">
      <c r="A327">
        <v>326</v>
      </c>
      <c r="B327" s="66" t="str">
        <f>EPSIS_RAW!H327</f>
        <v>소수력</v>
      </c>
      <c r="C327" s="66" t="str">
        <f>EPSIS_RAW!B327</f>
        <v>개취보</v>
      </c>
      <c r="D327" s="56">
        <f>(EPSIS_RAW!E327)*$H$2</f>
        <v>0.42</v>
      </c>
      <c r="E327" s="65">
        <f>ROUNDDOWN(EPSIS_RAW!F327,0)</f>
        <v>2013</v>
      </c>
      <c r="F327" s="55" t="str">
        <f t="shared" si="5"/>
        <v>326개취보</v>
      </c>
    </row>
    <row r="328" spans="1:6">
      <c r="A328">
        <v>327</v>
      </c>
      <c r="B328" s="66" t="str">
        <f>EPSIS_RAW!H328</f>
        <v>소수력</v>
      </c>
      <c r="C328" s="66" t="str">
        <f>EPSIS_RAW!B328</f>
        <v>경천#1</v>
      </c>
      <c r="D328" s="56">
        <f>(EPSIS_RAW!E328)*$H$2</f>
        <v>0.8</v>
      </c>
      <c r="E328" s="65">
        <f>ROUNDDOWN(EPSIS_RAW!F328,0)</f>
        <v>1995</v>
      </c>
      <c r="F328" s="55" t="str">
        <f t="shared" si="5"/>
        <v>327경천#1</v>
      </c>
    </row>
    <row r="329" spans="1:6">
      <c r="A329">
        <v>328</v>
      </c>
      <c r="B329" s="66" t="str">
        <f>EPSIS_RAW!H329</f>
        <v>소수력</v>
      </c>
      <c r="C329" s="66" t="str">
        <f>EPSIS_RAW!B329</f>
        <v>경천#2</v>
      </c>
      <c r="D329" s="56">
        <f>(EPSIS_RAW!E329)*$H$2</f>
        <v>2.1</v>
      </c>
      <c r="E329" s="65">
        <f>ROUNDDOWN(EPSIS_RAW!F329,0)</f>
        <v>2010</v>
      </c>
      <c r="F329" s="55" t="str">
        <f t="shared" si="5"/>
        <v>328경천#2</v>
      </c>
    </row>
    <row r="330" spans="1:6">
      <c r="A330">
        <v>329</v>
      </c>
      <c r="B330" s="66" t="str">
        <f>EPSIS_RAW!H330</f>
        <v>소수력</v>
      </c>
      <c r="C330" s="66" t="str">
        <f>EPSIS_RAW!B330</f>
        <v>경천지구</v>
      </c>
      <c r="D330" s="56">
        <f>(EPSIS_RAW!E330)*$H$2</f>
        <v>0.44</v>
      </c>
      <c r="E330" s="65">
        <f>ROUNDDOWN(EPSIS_RAW!F330,0)</f>
        <v>2008</v>
      </c>
      <c r="F330" s="55" t="str">
        <f t="shared" si="5"/>
        <v>329경천지구</v>
      </c>
    </row>
    <row r="331" spans="1:6">
      <c r="A331">
        <v>330</v>
      </c>
      <c r="B331" s="66" t="str">
        <f>EPSIS_RAW!H331</f>
        <v>소수력</v>
      </c>
      <c r="C331" s="66" t="str">
        <f>EPSIS_RAW!B331</f>
        <v>고문</v>
      </c>
      <c r="D331" s="56">
        <f>(EPSIS_RAW!E331)*$H$2</f>
        <v>1.5</v>
      </c>
      <c r="E331" s="65">
        <f>ROUNDDOWN(EPSIS_RAW!F331,0)</f>
        <v>2007</v>
      </c>
      <c r="F331" s="55" t="str">
        <f t="shared" si="5"/>
        <v>330고문</v>
      </c>
    </row>
    <row r="332" spans="1:6">
      <c r="A332">
        <v>331</v>
      </c>
      <c r="B332" s="66" t="str">
        <f>EPSIS_RAW!H332</f>
        <v>소수력</v>
      </c>
      <c r="C332" s="66" t="str">
        <f>EPSIS_RAW!B332</f>
        <v>고산</v>
      </c>
      <c r="D332" s="56">
        <f>(EPSIS_RAW!E332)*$H$2</f>
        <v>0.56000000000000005</v>
      </c>
      <c r="E332" s="65">
        <f>ROUNDDOWN(EPSIS_RAW!F332,0)</f>
        <v>2009</v>
      </c>
      <c r="F332" s="55" t="str">
        <f t="shared" si="5"/>
        <v>331고산</v>
      </c>
    </row>
    <row r="333" spans="1:6">
      <c r="A333">
        <v>332</v>
      </c>
      <c r="B333" s="66" t="str">
        <f>EPSIS_RAW!H333</f>
        <v>소수력</v>
      </c>
      <c r="C333" s="66" t="str">
        <f>EPSIS_RAW!B333</f>
        <v>고수</v>
      </c>
      <c r="D333" s="56">
        <f>(EPSIS_RAW!E333)*$H$2</f>
        <v>9.9000000000000005E-2</v>
      </c>
      <c r="E333" s="65">
        <f>ROUNDDOWN(EPSIS_RAW!F333,0)</f>
        <v>2018</v>
      </c>
      <c r="F333" s="55" t="str">
        <f t="shared" si="5"/>
        <v>332고수</v>
      </c>
    </row>
    <row r="334" spans="1:6">
      <c r="A334">
        <v>333</v>
      </c>
      <c r="B334" s="66" t="str">
        <f>EPSIS_RAW!H334</f>
        <v>소수력</v>
      </c>
      <c r="C334" s="66" t="str">
        <f>EPSIS_RAW!B334</f>
        <v>공주보</v>
      </c>
      <c r="D334" s="56">
        <f>(EPSIS_RAW!E334)*$H$2</f>
        <v>3</v>
      </c>
      <c r="E334" s="65">
        <f>ROUNDDOWN(EPSIS_RAW!F334,0)</f>
        <v>2011</v>
      </c>
      <c r="F334" s="55" t="str">
        <f t="shared" si="5"/>
        <v>333공주보</v>
      </c>
    </row>
    <row r="335" spans="1:6">
      <c r="A335">
        <v>334</v>
      </c>
      <c r="B335" s="66" t="str">
        <f>EPSIS_RAW!H335</f>
        <v>소수력</v>
      </c>
      <c r="C335" s="66" t="str">
        <f>EPSIS_RAW!B335</f>
        <v>광주호</v>
      </c>
      <c r="D335" s="56">
        <f>(EPSIS_RAW!E335)*$H$2</f>
        <v>0.24</v>
      </c>
      <c r="E335" s="65">
        <f>ROUNDDOWN(EPSIS_RAW!F335,0)</f>
        <v>2013</v>
      </c>
      <c r="F335" s="55" t="str">
        <f t="shared" si="5"/>
        <v>334광주호</v>
      </c>
    </row>
    <row r="336" spans="1:6">
      <c r="A336">
        <v>335</v>
      </c>
      <c r="B336" s="66" t="str">
        <f>EPSIS_RAW!H336</f>
        <v>소수력</v>
      </c>
      <c r="C336" s="66" t="str">
        <f>EPSIS_RAW!B336</f>
        <v>광천</v>
      </c>
      <c r="D336" s="56">
        <f>(EPSIS_RAW!E336)*$H$2</f>
        <v>0.45</v>
      </c>
      <c r="E336" s="65">
        <f>ROUNDDOWN(EPSIS_RAW!F336,0)</f>
        <v>1992</v>
      </c>
      <c r="F336" s="55" t="str">
        <f t="shared" si="5"/>
        <v>335광천</v>
      </c>
    </row>
    <row r="337" spans="1:6">
      <c r="A337">
        <v>336</v>
      </c>
      <c r="B337" s="66" t="str">
        <f>EPSIS_RAW!H337</f>
        <v>소수력</v>
      </c>
      <c r="C337" s="66" t="str">
        <f>EPSIS_RAW!B337</f>
        <v>괴산</v>
      </c>
      <c r="D337" s="56">
        <f>(EPSIS_RAW!E337)*$H$2</f>
        <v>2.6</v>
      </c>
      <c r="E337" s="65">
        <f>ROUNDDOWN(EPSIS_RAW!F337,0)</f>
        <v>1957</v>
      </c>
      <c r="F337" s="55" t="str">
        <f t="shared" si="5"/>
        <v>336괴산</v>
      </c>
    </row>
    <row r="338" spans="1:6">
      <c r="A338">
        <v>337</v>
      </c>
      <c r="B338" s="66" t="str">
        <f>EPSIS_RAW!H338</f>
        <v>소수력</v>
      </c>
      <c r="C338" s="66" t="str">
        <f>EPSIS_RAW!B338</f>
        <v>구만</v>
      </c>
      <c r="D338" s="56">
        <f>(EPSIS_RAW!E338)*$H$2</f>
        <v>0.17</v>
      </c>
      <c r="E338" s="65">
        <f>ROUNDDOWN(EPSIS_RAW!F338,0)</f>
        <v>2014</v>
      </c>
      <c r="F338" s="55" t="str">
        <f t="shared" si="5"/>
        <v>337구만</v>
      </c>
    </row>
    <row r="339" spans="1:6">
      <c r="A339">
        <v>338</v>
      </c>
      <c r="B339" s="66" t="str">
        <f>EPSIS_RAW!H339</f>
        <v>소수력</v>
      </c>
      <c r="C339" s="66" t="str">
        <f>EPSIS_RAW!B339</f>
        <v>구미보</v>
      </c>
      <c r="D339" s="56">
        <f>(EPSIS_RAW!E339)*$H$2</f>
        <v>3</v>
      </c>
      <c r="E339" s="65">
        <f>ROUNDDOWN(EPSIS_RAW!F339,0)</f>
        <v>2011</v>
      </c>
      <c r="F339" s="55" t="str">
        <f t="shared" si="5"/>
        <v>338구미보</v>
      </c>
    </row>
    <row r="340" spans="1:6">
      <c r="A340">
        <v>339</v>
      </c>
      <c r="B340" s="66" t="str">
        <f>EPSIS_RAW!H340</f>
        <v>소수력</v>
      </c>
      <c r="C340" s="66" t="str">
        <f>EPSIS_RAW!B340</f>
        <v>군위댐</v>
      </c>
      <c r="D340" s="56">
        <f>(EPSIS_RAW!E340)*$H$2</f>
        <v>0.5</v>
      </c>
      <c r="E340" s="65">
        <f>ROUNDDOWN(EPSIS_RAW!F340,0)</f>
        <v>2010</v>
      </c>
      <c r="F340" s="55" t="str">
        <f t="shared" si="5"/>
        <v>339군위댐</v>
      </c>
    </row>
    <row r="341" spans="1:6">
      <c r="A341">
        <v>340</v>
      </c>
      <c r="B341" s="66" t="str">
        <f>EPSIS_RAW!H341</f>
        <v>소수력</v>
      </c>
      <c r="C341" s="66" t="str">
        <f>EPSIS_RAW!B341</f>
        <v>궁평</v>
      </c>
      <c r="D341" s="56">
        <f>(EPSIS_RAW!E341)*$H$2</f>
        <v>0.18</v>
      </c>
      <c r="E341" s="65">
        <f>ROUNDDOWN(EPSIS_RAW!F341,0)</f>
        <v>2012</v>
      </c>
      <c r="F341" s="55" t="str">
        <f t="shared" si="5"/>
        <v>340궁평</v>
      </c>
    </row>
    <row r="342" spans="1:6">
      <c r="A342">
        <v>341</v>
      </c>
      <c r="B342" s="66" t="str">
        <f>EPSIS_RAW!H342</f>
        <v>소수력</v>
      </c>
      <c r="C342" s="66" t="str">
        <f>EPSIS_RAW!B342</f>
        <v>극동</v>
      </c>
      <c r="D342" s="56">
        <f>(EPSIS_RAW!E342)*$H$2</f>
        <v>1.5</v>
      </c>
      <c r="E342" s="65">
        <f>ROUNDDOWN(EPSIS_RAW!F342,0)</f>
        <v>2011</v>
      </c>
      <c r="F342" s="55" t="str">
        <f t="shared" si="5"/>
        <v>341극동</v>
      </c>
    </row>
    <row r="343" spans="1:6">
      <c r="A343">
        <v>342</v>
      </c>
      <c r="B343" s="66" t="str">
        <f>EPSIS_RAW!H343</f>
        <v>소수력</v>
      </c>
      <c r="C343" s="66" t="str">
        <f>EPSIS_RAW!B343</f>
        <v>극동제2</v>
      </c>
      <c r="D343" s="56">
        <f>(EPSIS_RAW!E343)*$H$2</f>
        <v>0.75</v>
      </c>
      <c r="E343" s="65">
        <f>ROUNDDOWN(EPSIS_RAW!F343,0)</f>
        <v>2013</v>
      </c>
      <c r="F343" s="55" t="str">
        <f t="shared" si="5"/>
        <v>342극동제2</v>
      </c>
    </row>
    <row r="344" spans="1:6">
      <c r="A344">
        <v>343</v>
      </c>
      <c r="B344" s="66" t="str">
        <f>EPSIS_RAW!H344</f>
        <v>소수력</v>
      </c>
      <c r="C344" s="66" t="str">
        <f>EPSIS_RAW!B344</f>
        <v>금강</v>
      </c>
      <c r="D344" s="56">
        <f>(EPSIS_RAW!E344)*$H$2</f>
        <v>1.35</v>
      </c>
      <c r="E344" s="65">
        <f>ROUNDDOWN(EPSIS_RAW!F344,0)</f>
        <v>1988</v>
      </c>
      <c r="F344" s="55" t="str">
        <f t="shared" si="5"/>
        <v>343금강</v>
      </c>
    </row>
    <row r="345" spans="1:6">
      <c r="A345">
        <v>344</v>
      </c>
      <c r="B345" s="66" t="str">
        <f>EPSIS_RAW!H345</f>
        <v>소수력</v>
      </c>
      <c r="C345" s="66" t="str">
        <f>EPSIS_RAW!B345</f>
        <v>금계</v>
      </c>
      <c r="D345" s="56">
        <f>(EPSIS_RAW!E345)*$H$2</f>
        <v>0.28000000000000003</v>
      </c>
      <c r="E345" s="65">
        <f>ROUNDDOWN(EPSIS_RAW!F345,0)</f>
        <v>2014</v>
      </c>
      <c r="F345" s="55" t="str">
        <f t="shared" si="5"/>
        <v>344금계</v>
      </c>
    </row>
    <row r="346" spans="1:6">
      <c r="A346">
        <v>345</v>
      </c>
      <c r="B346" s="66" t="str">
        <f>EPSIS_RAW!H346</f>
        <v>소수력</v>
      </c>
      <c r="C346" s="66" t="str">
        <f>EPSIS_RAW!B346</f>
        <v>낙단보</v>
      </c>
      <c r="D346" s="56">
        <f>(EPSIS_RAW!E346)*$H$2</f>
        <v>3</v>
      </c>
      <c r="E346" s="65">
        <f>ROUNDDOWN(EPSIS_RAW!F346,0)</f>
        <v>2012</v>
      </c>
      <c r="F346" s="55" t="str">
        <f t="shared" si="5"/>
        <v>345낙단보</v>
      </c>
    </row>
    <row r="347" spans="1:6">
      <c r="A347">
        <v>346</v>
      </c>
      <c r="B347" s="66" t="str">
        <f>EPSIS_RAW!H347</f>
        <v>소수력</v>
      </c>
      <c r="C347" s="66" t="str">
        <f>EPSIS_RAW!B347</f>
        <v>낙덕</v>
      </c>
      <c r="D347" s="56">
        <f>(EPSIS_RAW!E347)*$H$2</f>
        <v>0.06</v>
      </c>
      <c r="E347" s="65">
        <f>ROUNDDOWN(EPSIS_RAW!F347,0)</f>
        <v>2014</v>
      </c>
      <c r="F347" s="55" t="str">
        <f t="shared" si="5"/>
        <v>346낙덕</v>
      </c>
    </row>
    <row r="348" spans="1:6">
      <c r="A348">
        <v>347</v>
      </c>
      <c r="B348" s="66" t="str">
        <f>EPSIS_RAW!H348</f>
        <v>소수력</v>
      </c>
      <c r="C348" s="66" t="str">
        <f>EPSIS_RAW!B348</f>
        <v>남강</v>
      </c>
      <c r="D348" s="56">
        <f>(EPSIS_RAW!E348)*$H$2</f>
        <v>18</v>
      </c>
      <c r="E348" s="65">
        <f>ROUNDDOWN(EPSIS_RAW!F348,0)</f>
        <v>1998</v>
      </c>
      <c r="F348" s="55" t="str">
        <f t="shared" si="5"/>
        <v>347남강</v>
      </c>
    </row>
    <row r="349" spans="1:6">
      <c r="A349">
        <v>348</v>
      </c>
      <c r="B349" s="66" t="str">
        <f>EPSIS_RAW!H349</f>
        <v>소수력</v>
      </c>
      <c r="C349" s="66" t="str">
        <f>EPSIS_RAW!B349</f>
        <v>남강#2</v>
      </c>
      <c r="D349" s="56">
        <f>(EPSIS_RAW!E349)*$H$2</f>
        <v>9</v>
      </c>
      <c r="E349" s="65">
        <f>ROUNDDOWN(EPSIS_RAW!F349,0)</f>
        <v>2019</v>
      </c>
      <c r="F349" s="55" t="str">
        <f t="shared" si="5"/>
        <v>348남강#2</v>
      </c>
    </row>
    <row r="350" spans="1:6">
      <c r="A350">
        <v>349</v>
      </c>
      <c r="B350" s="66" t="str">
        <f>EPSIS_RAW!H350</f>
        <v>소수력</v>
      </c>
      <c r="C350" s="66" t="str">
        <f>EPSIS_RAW!B350</f>
        <v>노량진</v>
      </c>
      <c r="D350" s="56">
        <f>(EPSIS_RAW!E350)*$H$2</f>
        <v>0.3</v>
      </c>
      <c r="E350" s="65">
        <f>ROUNDDOWN(EPSIS_RAW!F350,0)</f>
        <v>2013</v>
      </c>
      <c r="F350" s="55" t="str">
        <f t="shared" si="5"/>
        <v>349노량진</v>
      </c>
    </row>
    <row r="351" spans="1:6">
      <c r="A351">
        <v>350</v>
      </c>
      <c r="B351" s="66" t="str">
        <f>EPSIS_RAW!H351</f>
        <v>소수력</v>
      </c>
      <c r="C351" s="66" t="str">
        <f>EPSIS_RAW!B351</f>
        <v>농어촌공사</v>
      </c>
      <c r="D351" s="56">
        <f>(EPSIS_RAW!E351)*$H$2</f>
        <v>0.49</v>
      </c>
      <c r="E351" s="65">
        <f>ROUNDDOWN(EPSIS_RAW!F351,0)</f>
        <v>2010</v>
      </c>
      <c r="F351" s="55" t="str">
        <f t="shared" si="5"/>
        <v>350농어촌공사</v>
      </c>
    </row>
    <row r="352" spans="1:6">
      <c r="A352">
        <v>351</v>
      </c>
      <c r="B352" s="66" t="str">
        <f>EPSIS_RAW!H352</f>
        <v>소수력</v>
      </c>
      <c r="C352" s="66" t="str">
        <f>EPSIS_RAW!B352</f>
        <v>단양수중보</v>
      </c>
      <c r="D352" s="56">
        <f>(EPSIS_RAW!E352)*$H$2</f>
        <v>2.4</v>
      </c>
      <c r="E352" s="65">
        <f>ROUNDDOWN(EPSIS_RAW!F352,0)</f>
        <v>2019</v>
      </c>
      <c r="F352" s="55" t="str">
        <f t="shared" si="5"/>
        <v>351단양수중보</v>
      </c>
    </row>
    <row r="353" spans="1:6">
      <c r="A353">
        <v>352</v>
      </c>
      <c r="B353" s="66" t="str">
        <f>EPSIS_RAW!H353</f>
        <v>소수력</v>
      </c>
      <c r="C353" s="66" t="str">
        <f>EPSIS_RAW!B353</f>
        <v>달방</v>
      </c>
      <c r="D353" s="56">
        <f>(EPSIS_RAW!E353)*$H$2</f>
        <v>0.17</v>
      </c>
      <c r="E353" s="65">
        <f>ROUNDDOWN(EPSIS_RAW!F353,0)</f>
        <v>2007</v>
      </c>
      <c r="F353" s="55" t="str">
        <f t="shared" si="5"/>
        <v>352달방</v>
      </c>
    </row>
    <row r="354" spans="1:6">
      <c r="A354">
        <v>353</v>
      </c>
      <c r="B354" s="66" t="str">
        <f>EPSIS_RAW!H354</f>
        <v>소수력</v>
      </c>
      <c r="C354" s="66" t="str">
        <f>EPSIS_RAW!B354</f>
        <v>달성보</v>
      </c>
      <c r="D354" s="56">
        <f>(EPSIS_RAW!E354)*$H$2</f>
        <v>2.8559999999999999</v>
      </c>
      <c r="E354" s="65">
        <f>ROUNDDOWN(EPSIS_RAW!F354,0)</f>
        <v>2012</v>
      </c>
      <c r="F354" s="55" t="str">
        <f t="shared" si="5"/>
        <v>353달성보</v>
      </c>
    </row>
    <row r="355" spans="1:6">
      <c r="A355">
        <v>354</v>
      </c>
      <c r="B355" s="66" t="str">
        <f>EPSIS_RAW!H355</f>
        <v>소수력</v>
      </c>
      <c r="C355" s="66" t="str">
        <f>EPSIS_RAW!B355</f>
        <v>담양</v>
      </c>
      <c r="D355" s="56">
        <f>(EPSIS_RAW!E355)*$H$2</f>
        <v>1.274</v>
      </c>
      <c r="E355" s="65">
        <f>ROUNDDOWN(EPSIS_RAW!F355,0)</f>
        <v>2007</v>
      </c>
      <c r="F355" s="55" t="str">
        <f t="shared" si="5"/>
        <v>354담양</v>
      </c>
    </row>
    <row r="356" spans="1:6">
      <c r="A356">
        <v>355</v>
      </c>
      <c r="B356" s="66" t="str">
        <f>EPSIS_RAW!H356</f>
        <v>소수력</v>
      </c>
      <c r="C356" s="66" t="str">
        <f>EPSIS_RAW!B356</f>
        <v>당진화력#1</v>
      </c>
      <c r="D356" s="56">
        <f>(EPSIS_RAW!E356)*$H$2</f>
        <v>4.9980000000000002</v>
      </c>
      <c r="E356" s="65">
        <f>ROUNDDOWN(EPSIS_RAW!F356,0)</f>
        <v>2010</v>
      </c>
      <c r="F356" s="55" t="str">
        <f t="shared" si="5"/>
        <v>355당진화력#1</v>
      </c>
    </row>
    <row r="357" spans="1:6">
      <c r="A357">
        <v>356</v>
      </c>
      <c r="B357" s="66" t="str">
        <f>EPSIS_RAW!H357</f>
        <v>소수력</v>
      </c>
      <c r="C357" s="66" t="str">
        <f>EPSIS_RAW!B357</f>
        <v>당진화력2소수력</v>
      </c>
      <c r="D357" s="56">
        <f>(EPSIS_RAW!E357)*$H$2</f>
        <v>3.2</v>
      </c>
      <c r="E357" s="65">
        <f>ROUNDDOWN(EPSIS_RAW!F357,0)</f>
        <v>2014</v>
      </c>
      <c r="F357" s="55" t="str">
        <f t="shared" si="5"/>
        <v>356당진화력2소수력</v>
      </c>
    </row>
    <row r="358" spans="1:6">
      <c r="A358">
        <v>357</v>
      </c>
      <c r="B358" s="66" t="str">
        <f>EPSIS_RAW!H358</f>
        <v>소수력</v>
      </c>
      <c r="C358" s="66" t="str">
        <f>EPSIS_RAW!B358</f>
        <v>대곡</v>
      </c>
      <c r="D358" s="56">
        <f>(EPSIS_RAW!E358)*$H$2</f>
        <v>0.3</v>
      </c>
      <c r="E358" s="65">
        <f>ROUNDDOWN(EPSIS_RAW!F358,0)</f>
        <v>2005</v>
      </c>
      <c r="F358" s="55" t="str">
        <f t="shared" si="5"/>
        <v>357대곡</v>
      </c>
    </row>
    <row r="359" spans="1:6">
      <c r="A359">
        <v>358</v>
      </c>
      <c r="B359" s="66" t="str">
        <f>EPSIS_RAW!H359</f>
        <v>소수력</v>
      </c>
      <c r="C359" s="66" t="str">
        <f>EPSIS_RAW!B359</f>
        <v>대아</v>
      </c>
      <c r="D359" s="56">
        <f>(EPSIS_RAW!E359)*$H$2</f>
        <v>3</v>
      </c>
      <c r="E359" s="65">
        <f>ROUNDDOWN(EPSIS_RAW!F359,0)</f>
        <v>1993</v>
      </c>
      <c r="F359" s="55" t="str">
        <f t="shared" si="5"/>
        <v>358대아</v>
      </c>
    </row>
    <row r="360" spans="1:6">
      <c r="A360">
        <v>359</v>
      </c>
      <c r="B360" s="66" t="str">
        <f>EPSIS_RAW!H360</f>
        <v>소수력</v>
      </c>
      <c r="C360" s="66" t="str">
        <f>EPSIS_RAW!B360</f>
        <v>대아</v>
      </c>
      <c r="D360" s="56">
        <f>(EPSIS_RAW!E360)*$H$2</f>
        <v>0</v>
      </c>
      <c r="E360" s="65">
        <f>ROUNDDOWN(EPSIS_RAW!F360,0)</f>
        <v>1994</v>
      </c>
      <c r="F360" s="55" t="str">
        <f t="shared" si="5"/>
        <v>359대아</v>
      </c>
    </row>
    <row r="361" spans="1:6">
      <c r="A361">
        <v>360</v>
      </c>
      <c r="B361" s="66" t="str">
        <f>EPSIS_RAW!H361</f>
        <v>수력</v>
      </c>
      <c r="C361" s="66" t="str">
        <f>EPSIS_RAW!B361</f>
        <v>대청</v>
      </c>
      <c r="D361" s="56">
        <f>(EPSIS_RAW!E361)*$H$2</f>
        <v>45</v>
      </c>
      <c r="E361" s="65">
        <f>ROUNDDOWN(EPSIS_RAW!F361,0)</f>
        <v>1980</v>
      </c>
      <c r="F361" s="55" t="str">
        <f t="shared" si="5"/>
        <v>360대청</v>
      </c>
    </row>
    <row r="362" spans="1:6">
      <c r="A362">
        <v>361</v>
      </c>
      <c r="B362" s="66" t="str">
        <f>EPSIS_RAW!H362</f>
        <v>수력</v>
      </c>
      <c r="C362" s="66" t="str">
        <f>EPSIS_RAW!B362</f>
        <v>대청</v>
      </c>
      <c r="D362" s="56">
        <f>(EPSIS_RAW!E362)*$H$2</f>
        <v>45</v>
      </c>
      <c r="E362" s="65">
        <f>ROUNDDOWN(EPSIS_RAW!F362,0)</f>
        <v>1980</v>
      </c>
      <c r="F362" s="55" t="str">
        <f t="shared" si="5"/>
        <v>361대청</v>
      </c>
    </row>
    <row r="363" spans="1:6">
      <c r="A363">
        <v>362</v>
      </c>
      <c r="B363" s="66" t="str">
        <f>EPSIS_RAW!H363</f>
        <v>소수력</v>
      </c>
      <c r="C363" s="66" t="str">
        <f>EPSIS_RAW!B363</f>
        <v>대청댐#1</v>
      </c>
      <c r="D363" s="56">
        <f>(EPSIS_RAW!E363)*$H$2</f>
        <v>0.8</v>
      </c>
      <c r="E363" s="65">
        <f>ROUNDDOWN(EPSIS_RAW!F363,0)</f>
        <v>2008</v>
      </c>
      <c r="F363" s="55" t="str">
        <f t="shared" si="5"/>
        <v>362대청댐#1</v>
      </c>
    </row>
    <row r="364" spans="1:6">
      <c r="A364">
        <v>363</v>
      </c>
      <c r="B364" s="66" t="str">
        <f>EPSIS_RAW!H364</f>
        <v>소수력</v>
      </c>
      <c r="C364" s="66" t="str">
        <f>EPSIS_RAW!B364</f>
        <v>대청댐2</v>
      </c>
      <c r="D364" s="56">
        <f>(EPSIS_RAW!E364)*$H$2</f>
        <v>0.9</v>
      </c>
      <c r="E364" s="65">
        <f>ROUNDDOWN(EPSIS_RAW!F364,0)</f>
        <v>2017</v>
      </c>
      <c r="F364" s="55" t="str">
        <f t="shared" si="5"/>
        <v>363대청댐2</v>
      </c>
    </row>
    <row r="365" spans="1:6">
      <c r="A365">
        <v>364</v>
      </c>
      <c r="B365" s="66" t="str">
        <f>EPSIS_RAW!H365</f>
        <v>소수력</v>
      </c>
      <c r="C365" s="66" t="str">
        <f>EPSIS_RAW!B365</f>
        <v>덕남정수장</v>
      </c>
      <c r="D365" s="56">
        <f>(EPSIS_RAW!E365)*$H$2</f>
        <v>0.27</v>
      </c>
      <c r="E365" s="65">
        <f>ROUNDDOWN(EPSIS_RAW!F365,0)</f>
        <v>2014</v>
      </c>
      <c r="F365" s="55" t="str">
        <f t="shared" si="5"/>
        <v>364덕남정수장</v>
      </c>
    </row>
    <row r="366" spans="1:6">
      <c r="A366">
        <v>365</v>
      </c>
      <c r="B366" s="66" t="str">
        <f>EPSIS_RAW!H366</f>
        <v>소수력</v>
      </c>
      <c r="C366" s="66" t="str">
        <f>EPSIS_RAW!B366</f>
        <v>동상</v>
      </c>
      <c r="D366" s="56">
        <f>(EPSIS_RAW!E366)*$H$2</f>
        <v>0.59</v>
      </c>
      <c r="E366" s="65">
        <f>ROUNDDOWN(EPSIS_RAW!F366,0)</f>
        <v>2012</v>
      </c>
      <c r="F366" s="55" t="str">
        <f t="shared" si="5"/>
        <v>365동상</v>
      </c>
    </row>
    <row r="367" spans="1:6">
      <c r="A367">
        <v>366</v>
      </c>
      <c r="B367" s="66" t="str">
        <f>EPSIS_RAW!H367</f>
        <v>소수력</v>
      </c>
      <c r="C367" s="66" t="str">
        <f>EPSIS_RAW!B367</f>
        <v>동화댐</v>
      </c>
      <c r="D367" s="56">
        <f>(EPSIS_RAW!E367)*$H$2</f>
        <v>1</v>
      </c>
      <c r="E367" s="65">
        <f>ROUNDDOWN(EPSIS_RAW!F367,0)</f>
        <v>2005</v>
      </c>
      <c r="F367" s="55" t="str">
        <f t="shared" si="5"/>
        <v>366동화댐</v>
      </c>
    </row>
    <row r="368" spans="1:6">
      <c r="A368">
        <v>367</v>
      </c>
      <c r="B368" s="66" t="str">
        <f>EPSIS_RAW!H368</f>
        <v>소수력</v>
      </c>
      <c r="C368" s="66" t="str">
        <f>EPSIS_RAW!B368</f>
        <v>동화정수장</v>
      </c>
      <c r="D368" s="56">
        <f>(EPSIS_RAW!E368)*$H$2</f>
        <v>0.12</v>
      </c>
      <c r="E368" s="65">
        <f>ROUNDDOWN(EPSIS_RAW!F368,0)</f>
        <v>2015</v>
      </c>
      <c r="F368" s="55" t="str">
        <f t="shared" si="5"/>
        <v>367동화정수장</v>
      </c>
    </row>
    <row r="369" spans="1:6">
      <c r="A369">
        <v>368</v>
      </c>
      <c r="B369" s="66" t="str">
        <f>EPSIS_RAW!H369</f>
        <v>소수력</v>
      </c>
      <c r="C369" s="66" t="str">
        <f>EPSIS_RAW!B369</f>
        <v>맹동</v>
      </c>
      <c r="D369" s="56">
        <f>(EPSIS_RAW!E369)*$H$2</f>
        <v>0.36</v>
      </c>
      <c r="E369" s="65">
        <f>ROUNDDOWN(EPSIS_RAW!F369,0)</f>
        <v>2016</v>
      </c>
      <c r="F369" s="55" t="str">
        <f t="shared" si="5"/>
        <v>368맹동</v>
      </c>
    </row>
    <row r="370" spans="1:6">
      <c r="A370">
        <v>369</v>
      </c>
      <c r="B370" s="66" t="str">
        <f>EPSIS_RAW!H370</f>
        <v>소수력</v>
      </c>
      <c r="C370" s="66" t="str">
        <f>EPSIS_RAW!B370</f>
        <v>무주소수력</v>
      </c>
      <c r="D370" s="56">
        <f>(EPSIS_RAW!E370)*$H$2</f>
        <v>0.4</v>
      </c>
      <c r="E370" s="65">
        <f>ROUNDDOWN(EPSIS_RAW!F370,0)</f>
        <v>2003</v>
      </c>
      <c r="F370" s="55" t="str">
        <f t="shared" si="5"/>
        <v>369무주소수력</v>
      </c>
    </row>
    <row r="371" spans="1:6">
      <c r="A371">
        <v>370</v>
      </c>
      <c r="B371" s="66" t="str">
        <f>EPSIS_RAW!H371</f>
        <v>양수</v>
      </c>
      <c r="C371" s="66" t="str">
        <f>EPSIS_RAW!B371</f>
        <v>무주양수</v>
      </c>
      <c r="D371" s="56">
        <f>(EPSIS_RAW!E371)*$H$2</f>
        <v>300</v>
      </c>
      <c r="E371" s="65">
        <f>ROUNDDOWN(EPSIS_RAW!F371,0)</f>
        <v>1995</v>
      </c>
      <c r="F371" s="55" t="str">
        <f t="shared" si="5"/>
        <v>370무주양수</v>
      </c>
    </row>
    <row r="372" spans="1:6">
      <c r="A372">
        <v>371</v>
      </c>
      <c r="B372" s="66" t="str">
        <f>EPSIS_RAW!H372</f>
        <v>양수</v>
      </c>
      <c r="C372" s="66" t="str">
        <f>EPSIS_RAW!B372</f>
        <v>무주양수</v>
      </c>
      <c r="D372" s="56">
        <f>(EPSIS_RAW!E372)*$H$2</f>
        <v>300</v>
      </c>
      <c r="E372" s="65">
        <f>ROUNDDOWN(EPSIS_RAW!F372,0)</f>
        <v>1995</v>
      </c>
      <c r="F372" s="55" t="str">
        <f t="shared" si="5"/>
        <v>371무주양수</v>
      </c>
    </row>
    <row r="373" spans="1:6">
      <c r="A373">
        <v>372</v>
      </c>
      <c r="B373" s="66" t="str">
        <f>EPSIS_RAW!H373</f>
        <v>소수력</v>
      </c>
      <c r="C373" s="66" t="str">
        <f>EPSIS_RAW!B373</f>
        <v>물야</v>
      </c>
      <c r="D373" s="56">
        <f>(EPSIS_RAW!E373)*$H$2</f>
        <v>0.41000000000000003</v>
      </c>
      <c r="E373" s="65">
        <f>ROUNDDOWN(EPSIS_RAW!F373,0)</f>
        <v>2011</v>
      </c>
      <c r="F373" s="55" t="str">
        <f t="shared" si="5"/>
        <v>372물야</v>
      </c>
    </row>
    <row r="374" spans="1:6">
      <c r="A374">
        <v>373</v>
      </c>
      <c r="B374" s="66" t="str">
        <f>EPSIS_RAW!H374</f>
        <v>소수력</v>
      </c>
      <c r="C374" s="66" t="str">
        <f>EPSIS_RAW!B374</f>
        <v>밀양</v>
      </c>
      <c r="D374" s="56">
        <f>(EPSIS_RAW!E374)*$H$2</f>
        <v>1.3</v>
      </c>
      <c r="E374" s="65">
        <f>ROUNDDOWN(EPSIS_RAW!F374,0)</f>
        <v>2001</v>
      </c>
      <c r="F374" s="55" t="str">
        <f t="shared" si="5"/>
        <v>373밀양</v>
      </c>
    </row>
    <row r="375" spans="1:6">
      <c r="A375">
        <v>374</v>
      </c>
      <c r="B375" s="66" t="str">
        <f>EPSIS_RAW!H375</f>
        <v>소수력</v>
      </c>
      <c r="C375" s="66" t="str">
        <f>EPSIS_RAW!B375</f>
        <v>반변</v>
      </c>
      <c r="D375" s="56">
        <f>(EPSIS_RAW!E375)*$H$2</f>
        <v>1.06</v>
      </c>
      <c r="E375" s="65">
        <f>ROUNDDOWN(EPSIS_RAW!F375,0)</f>
        <v>1996</v>
      </c>
      <c r="F375" s="55" t="str">
        <f t="shared" si="5"/>
        <v>374반변</v>
      </c>
    </row>
    <row r="376" spans="1:6">
      <c r="A376">
        <v>375</v>
      </c>
      <c r="B376" s="66" t="str">
        <f>EPSIS_RAW!H376</f>
        <v>소수력</v>
      </c>
      <c r="C376" s="66" t="str">
        <f>EPSIS_RAW!B376</f>
        <v>방우리</v>
      </c>
      <c r="D376" s="56">
        <f>(EPSIS_RAW!E376)*$H$2</f>
        <v>2.12</v>
      </c>
      <c r="E376" s="65">
        <f>ROUNDDOWN(EPSIS_RAW!F376,0)</f>
        <v>1987</v>
      </c>
      <c r="F376" s="55" t="str">
        <f t="shared" si="5"/>
        <v>375방우리</v>
      </c>
    </row>
    <row r="377" spans="1:6">
      <c r="A377">
        <v>376</v>
      </c>
      <c r="B377" s="66" t="str">
        <f>EPSIS_RAW!H377</f>
        <v>소수력</v>
      </c>
      <c r="C377" s="66" t="str">
        <f>EPSIS_RAW!B377</f>
        <v>백곡</v>
      </c>
      <c r="D377" s="56">
        <f>(EPSIS_RAW!E377)*$H$2</f>
        <v>0.43</v>
      </c>
      <c r="E377" s="65">
        <f>ROUNDDOWN(EPSIS_RAW!F377,0)</f>
        <v>2007</v>
      </c>
      <c r="F377" s="55" t="str">
        <f t="shared" si="5"/>
        <v>376백곡</v>
      </c>
    </row>
    <row r="378" spans="1:6">
      <c r="A378">
        <v>377</v>
      </c>
      <c r="B378" s="66" t="str">
        <f>EPSIS_RAW!H378</f>
        <v>소수력</v>
      </c>
      <c r="C378" s="66" t="str">
        <f>EPSIS_RAW!B378</f>
        <v>백운제#1</v>
      </c>
      <c r="D378" s="56">
        <f>(EPSIS_RAW!E378)*$H$2</f>
        <v>0.16</v>
      </c>
      <c r="E378" s="65">
        <f>ROUNDDOWN(EPSIS_RAW!F378,0)</f>
        <v>2014</v>
      </c>
      <c r="F378" s="55" t="str">
        <f t="shared" si="5"/>
        <v>377백운제#1</v>
      </c>
    </row>
    <row r="379" spans="1:6">
      <c r="A379">
        <v>378</v>
      </c>
      <c r="B379" s="66" t="str">
        <f>EPSIS_RAW!H379</f>
        <v>소수력</v>
      </c>
      <c r="C379" s="66" t="str">
        <f>EPSIS_RAW!B379</f>
        <v>백제보</v>
      </c>
      <c r="D379" s="56">
        <f>(EPSIS_RAW!E379)*$H$2</f>
        <v>2.64</v>
      </c>
      <c r="E379" s="65">
        <f>ROUNDDOWN(EPSIS_RAW!F379,0)</f>
        <v>2011</v>
      </c>
      <c r="F379" s="55" t="str">
        <f t="shared" si="5"/>
        <v>378백제보</v>
      </c>
    </row>
    <row r="380" spans="1:6">
      <c r="A380">
        <v>379</v>
      </c>
      <c r="B380" s="66" t="str">
        <f>EPSIS_RAW!H380</f>
        <v>소수력</v>
      </c>
      <c r="C380" s="66" t="str">
        <f>EPSIS_RAW!B380</f>
        <v>보령</v>
      </c>
      <c r="D380" s="56">
        <f>(EPSIS_RAW!E380)*$H$2</f>
        <v>0.14499999999999999</v>
      </c>
      <c r="E380" s="65">
        <f>ROUNDDOWN(EPSIS_RAW!F380,0)</f>
        <v>1997</v>
      </c>
      <c r="F380" s="55" t="str">
        <f t="shared" si="5"/>
        <v>379보령</v>
      </c>
    </row>
    <row r="381" spans="1:6">
      <c r="A381">
        <v>380</v>
      </c>
      <c r="B381" s="66" t="str">
        <f>EPSIS_RAW!H381</f>
        <v>소수력</v>
      </c>
      <c r="C381" s="66" t="str">
        <f>EPSIS_RAW!B381</f>
        <v>보령</v>
      </c>
      <c r="D381" s="56">
        <f>(EPSIS_RAW!E381)*$H$2</f>
        <v>0.55600000000000005</v>
      </c>
      <c r="E381" s="65">
        <f>ROUNDDOWN(EPSIS_RAW!F381,0)</f>
        <v>1999</v>
      </c>
      <c r="F381" s="55" t="str">
        <f t="shared" si="5"/>
        <v>380보령</v>
      </c>
    </row>
    <row r="382" spans="1:6">
      <c r="A382">
        <v>381</v>
      </c>
      <c r="B382" s="66" t="str">
        <f>EPSIS_RAW!H382</f>
        <v>소수력</v>
      </c>
      <c r="C382" s="66" t="str">
        <f>EPSIS_RAW!B382</f>
        <v>보령화력#1</v>
      </c>
      <c r="D382" s="56">
        <f>(EPSIS_RAW!E382)*$H$2</f>
        <v>5</v>
      </c>
      <c r="E382" s="65">
        <f>ROUNDDOWN(EPSIS_RAW!F382,0)</f>
        <v>2009</v>
      </c>
      <c r="F382" s="55" t="str">
        <f t="shared" si="5"/>
        <v>381보령화력#1</v>
      </c>
    </row>
    <row r="383" spans="1:6">
      <c r="A383">
        <v>382</v>
      </c>
      <c r="B383" s="66" t="str">
        <f>EPSIS_RAW!H383</f>
        <v>소수력</v>
      </c>
      <c r="C383" s="66" t="str">
        <f>EPSIS_RAW!B383</f>
        <v>보령화력#2</v>
      </c>
      <c r="D383" s="56">
        <f>(EPSIS_RAW!E383)*$H$2</f>
        <v>2.5</v>
      </c>
      <c r="E383" s="65">
        <f>ROUNDDOWN(EPSIS_RAW!F383,0)</f>
        <v>2008</v>
      </c>
      <c r="F383" s="55" t="str">
        <f t="shared" si="5"/>
        <v>382보령화력#2</v>
      </c>
    </row>
    <row r="384" spans="1:6">
      <c r="A384">
        <v>383</v>
      </c>
      <c r="B384" s="66" t="str">
        <f>EPSIS_RAW!H384</f>
        <v>소수력</v>
      </c>
      <c r="C384" s="66" t="str">
        <f>EPSIS_RAW!B384</f>
        <v>보성</v>
      </c>
      <c r="D384" s="56">
        <f>(EPSIS_RAW!E384)*$H$2</f>
        <v>1.1000000000000001</v>
      </c>
      <c r="E384" s="65">
        <f>ROUNDDOWN(EPSIS_RAW!F384,0)</f>
        <v>2009</v>
      </c>
      <c r="F384" s="55" t="str">
        <f t="shared" si="5"/>
        <v>383보성</v>
      </c>
    </row>
    <row r="385" spans="1:6">
      <c r="A385">
        <v>384</v>
      </c>
      <c r="B385" s="66" t="str">
        <f>EPSIS_RAW!H385</f>
        <v>소수력</v>
      </c>
      <c r="C385" s="66" t="str">
        <f>EPSIS_RAW!B385</f>
        <v>보성강</v>
      </c>
      <c r="D385" s="56">
        <f>(EPSIS_RAW!E385)*$H$2</f>
        <v>4.5</v>
      </c>
      <c r="E385" s="65">
        <f>ROUNDDOWN(EPSIS_RAW!F385,0)</f>
        <v>1990</v>
      </c>
      <c r="F385" s="55" t="str">
        <f t="shared" si="5"/>
        <v>384보성강</v>
      </c>
    </row>
    <row r="386" spans="1:6">
      <c r="A386">
        <v>385</v>
      </c>
      <c r="B386" s="66" t="str">
        <f>EPSIS_RAW!H386</f>
        <v>소수력</v>
      </c>
      <c r="C386" s="66" t="str">
        <f>EPSIS_RAW!B386</f>
        <v>보청</v>
      </c>
      <c r="D386" s="56">
        <f>(EPSIS_RAW!E386)*$H$2</f>
        <v>0.35000000000000003</v>
      </c>
      <c r="E386" s="65">
        <f>ROUNDDOWN(EPSIS_RAW!F386,0)</f>
        <v>2016</v>
      </c>
      <c r="F386" s="55" t="str">
        <f t="shared" si="5"/>
        <v>385보청</v>
      </c>
    </row>
    <row r="387" spans="1:6">
      <c r="A387">
        <v>386</v>
      </c>
      <c r="B387" s="66" t="str">
        <f>EPSIS_RAW!H387</f>
        <v>소수력</v>
      </c>
      <c r="C387" s="66" t="str">
        <f>EPSIS_RAW!B387</f>
        <v>보현산댐</v>
      </c>
      <c r="D387" s="56">
        <f>(EPSIS_RAW!E387)*$H$2</f>
        <v>0.17</v>
      </c>
      <c r="E387" s="65">
        <f>ROUNDDOWN(EPSIS_RAW!F387,0)</f>
        <v>2017</v>
      </c>
      <c r="F387" s="55" t="str">
        <f t="shared" ref="F387:F450" si="6">A387&amp;C387</f>
        <v>386보현산댐</v>
      </c>
    </row>
    <row r="388" spans="1:6">
      <c r="A388">
        <v>387</v>
      </c>
      <c r="B388" s="66" t="str">
        <f>EPSIS_RAW!H388</f>
        <v>소수력</v>
      </c>
      <c r="C388" s="66" t="str">
        <f>EPSIS_RAW!B388</f>
        <v>봉화</v>
      </c>
      <c r="D388" s="56">
        <f>(EPSIS_RAW!E388)*$H$2</f>
        <v>2.1</v>
      </c>
      <c r="E388" s="65">
        <f>ROUNDDOWN(EPSIS_RAW!F388,0)</f>
        <v>1988</v>
      </c>
      <c r="F388" s="55" t="str">
        <f t="shared" si="6"/>
        <v>387봉화</v>
      </c>
    </row>
    <row r="389" spans="1:6">
      <c r="A389">
        <v>388</v>
      </c>
      <c r="B389" s="66" t="str">
        <f>EPSIS_RAW!H389</f>
        <v>소수력</v>
      </c>
      <c r="C389" s="66" t="str">
        <f>EPSIS_RAW!B389</f>
        <v>봉화</v>
      </c>
      <c r="D389" s="56">
        <f>(EPSIS_RAW!E389)*$H$2</f>
        <v>0</v>
      </c>
      <c r="E389" s="65">
        <f>ROUNDDOWN(EPSIS_RAW!F389,0)</f>
        <v>2011</v>
      </c>
      <c r="F389" s="55" t="str">
        <f t="shared" si="6"/>
        <v>388봉화</v>
      </c>
    </row>
    <row r="390" spans="1:6">
      <c r="A390">
        <v>389</v>
      </c>
      <c r="B390" s="66" t="str">
        <f>EPSIS_RAW!H390</f>
        <v>소수력</v>
      </c>
      <c r="C390" s="66" t="str">
        <f>EPSIS_RAW!B390</f>
        <v>부안</v>
      </c>
      <c r="D390" s="56">
        <f>(EPSIS_RAW!E390)*$H$2</f>
        <v>0.193</v>
      </c>
      <c r="E390" s="65">
        <f>ROUNDDOWN(EPSIS_RAW!F390,0)</f>
        <v>1998</v>
      </c>
      <c r="F390" s="55" t="str">
        <f t="shared" si="6"/>
        <v>389부안</v>
      </c>
    </row>
    <row r="391" spans="1:6">
      <c r="A391">
        <v>390</v>
      </c>
      <c r="B391" s="66" t="str">
        <f>EPSIS_RAW!H391</f>
        <v>소수력</v>
      </c>
      <c r="C391" s="66" t="str">
        <f>EPSIS_RAW!B391</f>
        <v>부항댐</v>
      </c>
      <c r="D391" s="56">
        <f>(EPSIS_RAW!E391)*$H$2</f>
        <v>0.6</v>
      </c>
      <c r="E391" s="65">
        <f>ROUNDDOWN(EPSIS_RAW!F391,0)</f>
        <v>2013</v>
      </c>
      <c r="F391" s="55" t="str">
        <f t="shared" si="6"/>
        <v>390부항댐</v>
      </c>
    </row>
    <row r="392" spans="1:6">
      <c r="A392">
        <v>391</v>
      </c>
      <c r="B392" s="66" t="str">
        <f>EPSIS_RAW!H392</f>
        <v>소수력</v>
      </c>
      <c r="C392" s="66" t="str">
        <f>EPSIS_RAW!B392</f>
        <v>북평해양수력</v>
      </c>
      <c r="D392" s="56">
        <f>(EPSIS_RAW!E392)*$H$2</f>
        <v>5</v>
      </c>
      <c r="E392" s="65">
        <f>ROUNDDOWN(EPSIS_RAW!F392,0)</f>
        <v>2016</v>
      </c>
      <c r="F392" s="55" t="str">
        <f t="shared" si="6"/>
        <v>391북평해양수력</v>
      </c>
    </row>
    <row r="393" spans="1:6">
      <c r="A393">
        <v>392</v>
      </c>
      <c r="B393" s="66" t="str">
        <f>EPSIS_RAW!H393</f>
        <v>소수력</v>
      </c>
      <c r="C393" s="66" t="str">
        <f>EPSIS_RAW!B393</f>
        <v>산내</v>
      </c>
      <c r="D393" s="56">
        <f>(EPSIS_RAW!E393)*$H$2</f>
        <v>0.82000000000000006</v>
      </c>
      <c r="E393" s="65">
        <f>ROUNDDOWN(EPSIS_RAW!F393,0)</f>
        <v>1989</v>
      </c>
      <c r="F393" s="55" t="str">
        <f t="shared" si="6"/>
        <v>392산내</v>
      </c>
    </row>
    <row r="394" spans="1:6">
      <c r="A394">
        <v>393</v>
      </c>
      <c r="B394" s="66" t="str">
        <f>EPSIS_RAW!H394</f>
        <v>소수력</v>
      </c>
      <c r="C394" s="66" t="str">
        <f>EPSIS_RAW!B394</f>
        <v>산청소수력*</v>
      </c>
      <c r="D394" s="56">
        <f>(EPSIS_RAW!E394)*$H$2</f>
        <v>0.995</v>
      </c>
      <c r="E394" s="65">
        <f>ROUNDDOWN(EPSIS_RAW!F394,0)</f>
        <v>2001</v>
      </c>
      <c r="F394" s="55" t="str">
        <f t="shared" si="6"/>
        <v>393산청소수력*</v>
      </c>
    </row>
    <row r="395" spans="1:6">
      <c r="A395">
        <v>394</v>
      </c>
      <c r="B395" s="66" t="str">
        <f>EPSIS_RAW!H395</f>
        <v>소수력</v>
      </c>
      <c r="C395" s="66" t="str">
        <f>EPSIS_RAW!B395</f>
        <v>산청소수력*</v>
      </c>
      <c r="D395" s="56">
        <f>(EPSIS_RAW!E395)*$H$2</f>
        <v>0</v>
      </c>
      <c r="E395" s="65">
        <f>ROUNDDOWN(EPSIS_RAW!F395,0)</f>
        <v>2010</v>
      </c>
      <c r="F395" s="55" t="str">
        <f t="shared" si="6"/>
        <v>394산청소수력*</v>
      </c>
    </row>
    <row r="396" spans="1:6">
      <c r="A396">
        <v>395</v>
      </c>
      <c r="B396" s="66" t="str">
        <f>EPSIS_RAW!H396</f>
        <v>양수</v>
      </c>
      <c r="C396" s="66" t="str">
        <f>EPSIS_RAW!B396</f>
        <v>산청양수</v>
      </c>
      <c r="D396" s="56">
        <f>(EPSIS_RAW!E396)*$H$2</f>
        <v>350</v>
      </c>
      <c r="E396" s="65">
        <f>ROUNDDOWN(EPSIS_RAW!F396,0)</f>
        <v>2001</v>
      </c>
      <c r="F396" s="55" t="str">
        <f t="shared" si="6"/>
        <v>395산청양수</v>
      </c>
    </row>
    <row r="397" spans="1:6">
      <c r="A397">
        <v>396</v>
      </c>
      <c r="B397" s="66" t="str">
        <f>EPSIS_RAW!H397</f>
        <v>양수</v>
      </c>
      <c r="C397" s="66" t="str">
        <f>EPSIS_RAW!B397</f>
        <v>산청양수</v>
      </c>
      <c r="D397" s="56">
        <f>(EPSIS_RAW!E397)*$H$2</f>
        <v>350</v>
      </c>
      <c r="E397" s="65">
        <f>ROUNDDOWN(EPSIS_RAW!F397,0)</f>
        <v>2001</v>
      </c>
      <c r="F397" s="55" t="str">
        <f t="shared" si="6"/>
        <v>396산청양수</v>
      </c>
    </row>
    <row r="398" spans="1:6">
      <c r="A398">
        <v>397</v>
      </c>
      <c r="B398" s="66" t="str">
        <f>EPSIS_RAW!H398</f>
        <v>양수</v>
      </c>
      <c r="C398" s="66" t="str">
        <f>EPSIS_RAW!B398</f>
        <v>삼랑진양수</v>
      </c>
      <c r="D398" s="56">
        <f>(EPSIS_RAW!E398)*$H$2</f>
        <v>300</v>
      </c>
      <c r="E398" s="65">
        <f>ROUNDDOWN(EPSIS_RAW!F398,0)</f>
        <v>1985</v>
      </c>
      <c r="F398" s="55" t="str">
        <f t="shared" si="6"/>
        <v>397삼랑진양수</v>
      </c>
    </row>
    <row r="399" spans="1:6">
      <c r="A399">
        <v>398</v>
      </c>
      <c r="B399" s="66" t="str">
        <f>EPSIS_RAW!H399</f>
        <v>양수</v>
      </c>
      <c r="C399" s="66" t="str">
        <f>EPSIS_RAW!B399</f>
        <v>삼랑진양수</v>
      </c>
      <c r="D399" s="56">
        <f>(EPSIS_RAW!E399)*$H$2</f>
        <v>300</v>
      </c>
      <c r="E399" s="65">
        <f>ROUNDDOWN(EPSIS_RAW!F399,0)</f>
        <v>1985</v>
      </c>
      <c r="F399" s="55" t="str">
        <f t="shared" si="6"/>
        <v>398삼랑진양수</v>
      </c>
    </row>
    <row r="400" spans="1:6">
      <c r="A400">
        <v>399</v>
      </c>
      <c r="B400" s="66" t="str">
        <f>EPSIS_RAW!H400</f>
        <v>소수력</v>
      </c>
      <c r="C400" s="66" t="str">
        <f>EPSIS_RAW!B400</f>
        <v>삼척그린파워 해양소수력</v>
      </c>
      <c r="D400" s="56">
        <f>(EPSIS_RAW!E400)*$H$2</f>
        <v>2.75</v>
      </c>
      <c r="E400" s="65">
        <f>ROUNDDOWN(EPSIS_RAW!F400,0)</f>
        <v>2017</v>
      </c>
      <c r="F400" s="55" t="str">
        <f t="shared" si="6"/>
        <v>399삼척그린파워 해양소수력</v>
      </c>
    </row>
    <row r="401" spans="1:6">
      <c r="A401">
        <v>400</v>
      </c>
      <c r="B401" s="66" t="str">
        <f>EPSIS_RAW!H401</f>
        <v>소수력</v>
      </c>
      <c r="C401" s="66" t="str">
        <f>EPSIS_RAW!B401</f>
        <v>삼천포 해양</v>
      </c>
      <c r="D401" s="56">
        <f>(EPSIS_RAW!E401)*$H$2</f>
        <v>6</v>
      </c>
      <c r="E401" s="65">
        <f>ROUNDDOWN(EPSIS_RAW!F401,0)</f>
        <v>2007</v>
      </c>
      <c r="F401" s="55" t="str">
        <f t="shared" si="6"/>
        <v>400삼천포 해양</v>
      </c>
    </row>
    <row r="402" spans="1:6">
      <c r="A402">
        <v>401</v>
      </c>
      <c r="B402" s="66" t="str">
        <f>EPSIS_RAW!H402</f>
        <v>소수력</v>
      </c>
      <c r="C402" s="66" t="str">
        <f>EPSIS_RAW!B402</f>
        <v>삼한에너지</v>
      </c>
      <c r="D402" s="56">
        <f>(EPSIS_RAW!E402)*$H$2</f>
        <v>2.8000000000000003</v>
      </c>
      <c r="E402" s="65">
        <f>ROUNDDOWN(EPSIS_RAW!F402,0)</f>
        <v>2014</v>
      </c>
      <c r="F402" s="55" t="str">
        <f t="shared" si="6"/>
        <v>401삼한에너지</v>
      </c>
    </row>
    <row r="403" spans="1:6">
      <c r="A403">
        <v>402</v>
      </c>
      <c r="B403" s="66" t="str">
        <f>EPSIS_RAW!H403</f>
        <v>소수력</v>
      </c>
      <c r="C403" s="66" t="str">
        <f>EPSIS_RAW!B403</f>
        <v>삿갓보</v>
      </c>
      <c r="D403" s="56">
        <f>(EPSIS_RAW!E403)*$H$2</f>
        <v>0.4</v>
      </c>
      <c r="E403" s="65">
        <f>ROUNDDOWN(EPSIS_RAW!F403,0)</f>
        <v>2011</v>
      </c>
      <c r="F403" s="55" t="str">
        <f t="shared" si="6"/>
        <v>402삿갓보</v>
      </c>
    </row>
    <row r="404" spans="1:6">
      <c r="A404">
        <v>403</v>
      </c>
      <c r="B404" s="66" t="str">
        <f>EPSIS_RAW!H404</f>
        <v>소수력</v>
      </c>
      <c r="C404" s="66" t="str">
        <f>EPSIS_RAW!B404</f>
        <v>상주보</v>
      </c>
      <c r="D404" s="56">
        <f>(EPSIS_RAW!E404)*$H$2</f>
        <v>3</v>
      </c>
      <c r="E404" s="65">
        <f>ROUNDDOWN(EPSIS_RAW!F404,0)</f>
        <v>2012</v>
      </c>
      <c r="F404" s="55" t="str">
        <f t="shared" si="6"/>
        <v>403상주보</v>
      </c>
    </row>
    <row r="405" spans="1:6">
      <c r="A405">
        <v>404</v>
      </c>
      <c r="B405" s="66" t="str">
        <f>EPSIS_RAW!H405</f>
        <v>소수력</v>
      </c>
      <c r="C405" s="66" t="str">
        <f>EPSIS_RAW!B405</f>
        <v>서리보</v>
      </c>
      <c r="D405" s="56">
        <f>(EPSIS_RAW!E405)*$H$2</f>
        <v>1.5</v>
      </c>
      <c r="E405" s="65">
        <f>ROUNDDOWN(EPSIS_RAW!F405,0)</f>
        <v>2010</v>
      </c>
      <c r="F405" s="55" t="str">
        <f t="shared" si="6"/>
        <v>404서리보</v>
      </c>
    </row>
    <row r="406" spans="1:6">
      <c r="A406">
        <v>405</v>
      </c>
      <c r="B406" s="66" t="str">
        <f>EPSIS_RAW!H406</f>
        <v>소수력</v>
      </c>
      <c r="C406" s="66" t="str">
        <f>EPSIS_RAW!B406</f>
        <v>서포</v>
      </c>
      <c r="D406" s="56">
        <f>(EPSIS_RAW!E406)*$H$2</f>
        <v>0.35000000000000003</v>
      </c>
      <c r="E406" s="65">
        <f>ROUNDDOWN(EPSIS_RAW!F406,0)</f>
        <v>2014</v>
      </c>
      <c r="F406" s="55" t="str">
        <f t="shared" si="6"/>
        <v>405서포</v>
      </c>
    </row>
    <row r="407" spans="1:6">
      <c r="A407">
        <v>406</v>
      </c>
      <c r="B407" s="66" t="str">
        <f>EPSIS_RAW!H407</f>
        <v>소수력</v>
      </c>
      <c r="C407" s="66" t="str">
        <f>EPSIS_RAW!B407</f>
        <v>섬진강댐</v>
      </c>
      <c r="D407" s="56">
        <f>(EPSIS_RAW!E407)*$H$2</f>
        <v>1.6500000000000001</v>
      </c>
      <c r="E407" s="65">
        <f>ROUNDDOWN(EPSIS_RAW!F407,0)</f>
        <v>2016</v>
      </c>
      <c r="F407" s="55" t="str">
        <f t="shared" si="6"/>
        <v>406섬진강댐</v>
      </c>
    </row>
    <row r="408" spans="1:6">
      <c r="A408">
        <v>407</v>
      </c>
      <c r="B408" s="66" t="str">
        <f>EPSIS_RAW!H408</f>
        <v>소수력</v>
      </c>
      <c r="C408" s="66" t="str">
        <f>EPSIS_RAW!B408</f>
        <v>성남</v>
      </c>
      <c r="D408" s="56">
        <f>(EPSIS_RAW!E408)*$H$2</f>
        <v>0.34</v>
      </c>
      <c r="E408" s="65">
        <f>ROUNDDOWN(EPSIS_RAW!F408,0)</f>
        <v>2004</v>
      </c>
      <c r="F408" s="55" t="str">
        <f t="shared" si="6"/>
        <v>407성남</v>
      </c>
    </row>
    <row r="409" spans="1:6">
      <c r="A409">
        <v>408</v>
      </c>
      <c r="B409" s="66" t="str">
        <f>EPSIS_RAW!H409</f>
        <v>소수력</v>
      </c>
      <c r="C409" s="66" t="str">
        <f>EPSIS_RAW!B409</f>
        <v>성남 제2소수력</v>
      </c>
      <c r="D409" s="56">
        <f>(EPSIS_RAW!E409)*$H$2</f>
        <v>0.36</v>
      </c>
      <c r="E409" s="65">
        <f>ROUNDDOWN(EPSIS_RAW!F409,0)</f>
        <v>2008</v>
      </c>
      <c r="F409" s="55" t="str">
        <f t="shared" si="6"/>
        <v>408성남 제2소수력</v>
      </c>
    </row>
    <row r="410" spans="1:6">
      <c r="A410">
        <v>409</v>
      </c>
      <c r="B410" s="66" t="str">
        <f>EPSIS_RAW!H410</f>
        <v>소수력</v>
      </c>
      <c r="C410" s="66" t="str">
        <f>EPSIS_RAW!B410</f>
        <v>성덕댐</v>
      </c>
      <c r="D410" s="56">
        <f>(EPSIS_RAW!E410)*$H$2</f>
        <v>0.23</v>
      </c>
      <c r="E410" s="65">
        <f>ROUNDDOWN(EPSIS_RAW!F410,0)</f>
        <v>2014</v>
      </c>
      <c r="F410" s="55" t="str">
        <f t="shared" si="6"/>
        <v>409성덕댐</v>
      </c>
    </row>
    <row r="411" spans="1:6">
      <c r="A411">
        <v>410</v>
      </c>
      <c r="B411" s="66" t="str">
        <f>EPSIS_RAW!H411</f>
        <v>소수력</v>
      </c>
      <c r="C411" s="66" t="str">
        <f>EPSIS_RAW!B411</f>
        <v>성주</v>
      </c>
      <c r="D411" s="56">
        <f>(EPSIS_RAW!E411)*$H$2</f>
        <v>1.8</v>
      </c>
      <c r="E411" s="65">
        <f>ROUNDDOWN(EPSIS_RAW!F411,0)</f>
        <v>1999</v>
      </c>
      <c r="F411" s="55" t="str">
        <f t="shared" si="6"/>
        <v>410성주</v>
      </c>
    </row>
    <row r="412" spans="1:6">
      <c r="A412">
        <v>411</v>
      </c>
      <c r="B412" s="66" t="str">
        <f>EPSIS_RAW!H412</f>
        <v>소수력</v>
      </c>
      <c r="C412" s="66" t="str">
        <f>EPSIS_RAW!B412</f>
        <v>세종보</v>
      </c>
      <c r="D412" s="56">
        <f>(EPSIS_RAW!E412)*$H$2</f>
        <v>2.31</v>
      </c>
      <c r="E412" s="65">
        <f>ROUNDDOWN(EPSIS_RAW!F412,0)</f>
        <v>2011</v>
      </c>
      <c r="F412" s="55" t="str">
        <f t="shared" si="6"/>
        <v>411세종보</v>
      </c>
    </row>
    <row r="413" spans="1:6">
      <c r="A413">
        <v>412</v>
      </c>
      <c r="B413" s="66" t="str">
        <f>EPSIS_RAW!H413</f>
        <v>수력</v>
      </c>
      <c r="C413" s="66" t="str">
        <f>EPSIS_RAW!B413</f>
        <v>소양강</v>
      </c>
      <c r="D413" s="56">
        <f>(EPSIS_RAW!E413)*$H$2</f>
        <v>200</v>
      </c>
      <c r="E413" s="65">
        <f>ROUNDDOWN(EPSIS_RAW!F413,0)</f>
        <v>1973</v>
      </c>
      <c r="F413" s="55" t="str">
        <f t="shared" si="6"/>
        <v>412소양강</v>
      </c>
    </row>
    <row r="414" spans="1:6">
      <c r="A414">
        <v>413</v>
      </c>
      <c r="B414" s="66" t="str">
        <f>EPSIS_RAW!H414</f>
        <v>수력</v>
      </c>
      <c r="C414" s="66" t="str">
        <f>EPSIS_RAW!B414</f>
        <v>소양강</v>
      </c>
      <c r="D414" s="56">
        <f>(EPSIS_RAW!E414)*$H$2</f>
        <v>200</v>
      </c>
      <c r="E414" s="65">
        <f>ROUNDDOWN(EPSIS_RAW!F414,0)</f>
        <v>1973</v>
      </c>
      <c r="F414" s="55" t="str">
        <f t="shared" si="6"/>
        <v>413소양강</v>
      </c>
    </row>
    <row r="415" spans="1:6">
      <c r="A415">
        <v>414</v>
      </c>
      <c r="B415" s="66" t="str">
        <f>EPSIS_RAW!H415</f>
        <v>소수력</v>
      </c>
      <c r="C415" s="66" t="str">
        <f>EPSIS_RAW!B415</f>
        <v>소천</v>
      </c>
      <c r="D415" s="56">
        <f>(EPSIS_RAW!E415)*$H$2</f>
        <v>2.4</v>
      </c>
      <c r="E415" s="65">
        <f>ROUNDDOWN(EPSIS_RAW!F415,0)</f>
        <v>1987</v>
      </c>
      <c r="F415" s="55" t="str">
        <f t="shared" si="6"/>
        <v>414소천</v>
      </c>
    </row>
    <row r="416" spans="1:6">
      <c r="A416">
        <v>415</v>
      </c>
      <c r="B416" s="66" t="str">
        <f>EPSIS_RAW!H416</f>
        <v>소수력</v>
      </c>
      <c r="C416" s="66" t="str">
        <f>EPSIS_RAW!B416</f>
        <v>소향</v>
      </c>
      <c r="D416" s="56">
        <f>(EPSIS_RAW!E416)*$H$2</f>
        <v>3</v>
      </c>
      <c r="E416" s="65">
        <f>ROUNDDOWN(EPSIS_RAW!F416,0)</f>
        <v>2018</v>
      </c>
      <c r="F416" s="55" t="str">
        <f t="shared" si="6"/>
        <v>415소향</v>
      </c>
    </row>
    <row r="417" spans="1:6">
      <c r="A417">
        <v>416</v>
      </c>
      <c r="B417" s="66" t="str">
        <f>EPSIS_RAW!H417</f>
        <v>소수력</v>
      </c>
      <c r="C417" s="66" t="str">
        <f>EPSIS_RAW!B417</f>
        <v>솔향강릉</v>
      </c>
      <c r="D417" s="56">
        <f>(EPSIS_RAW!E417)*$H$2</f>
        <v>0.34</v>
      </c>
      <c r="E417" s="65">
        <f>ROUNDDOWN(EPSIS_RAW!F417,0)</f>
        <v>2011</v>
      </c>
      <c r="F417" s="55" t="str">
        <f t="shared" si="6"/>
        <v>416솔향강릉</v>
      </c>
    </row>
    <row r="418" spans="1:6">
      <c r="A418">
        <v>417</v>
      </c>
      <c r="B418" s="66" t="str">
        <f>EPSIS_RAW!H418</f>
        <v>소수력</v>
      </c>
      <c r="C418" s="66" t="str">
        <f>EPSIS_RAW!B418</f>
        <v>승촌보</v>
      </c>
      <c r="D418" s="56">
        <f>(EPSIS_RAW!E418)*$H$2</f>
        <v>0.8</v>
      </c>
      <c r="E418" s="65">
        <f>ROUNDDOWN(EPSIS_RAW!F418,0)</f>
        <v>2011</v>
      </c>
      <c r="F418" s="55" t="str">
        <f t="shared" si="6"/>
        <v>417승촌보</v>
      </c>
    </row>
    <row r="419" spans="1:6">
      <c r="A419">
        <v>418</v>
      </c>
      <c r="B419" s="66" t="str">
        <f>EPSIS_RAW!H419</f>
        <v>소수력</v>
      </c>
      <c r="C419" s="66" t="str">
        <f>EPSIS_RAW!B419</f>
        <v>신보령</v>
      </c>
      <c r="D419" s="56">
        <f>(EPSIS_RAW!E419)*$H$2</f>
        <v>5</v>
      </c>
      <c r="E419" s="65">
        <f>ROUNDDOWN(EPSIS_RAW!F419,0)</f>
        <v>2016</v>
      </c>
      <c r="F419" s="55" t="str">
        <f t="shared" si="6"/>
        <v>418신보령</v>
      </c>
    </row>
    <row r="420" spans="1:6">
      <c r="A420">
        <v>419</v>
      </c>
      <c r="B420" s="66" t="str">
        <f>EPSIS_RAW!H420</f>
        <v>소수력</v>
      </c>
      <c r="C420" s="66" t="str">
        <f>EPSIS_RAW!B420</f>
        <v>안계</v>
      </c>
      <c r="D420" s="56">
        <f>(EPSIS_RAW!E420)*$H$2</f>
        <v>0.99</v>
      </c>
      <c r="E420" s="65">
        <f>ROUNDDOWN(EPSIS_RAW!F420,0)</f>
        <v>2013</v>
      </c>
      <c r="F420" s="55" t="str">
        <f t="shared" si="6"/>
        <v>419안계</v>
      </c>
    </row>
    <row r="421" spans="1:6">
      <c r="A421">
        <v>420</v>
      </c>
      <c r="B421" s="66" t="str">
        <f>EPSIS_RAW!H421</f>
        <v>수력</v>
      </c>
      <c r="C421" s="66" t="str">
        <f>EPSIS_RAW!B421</f>
        <v>안동</v>
      </c>
      <c r="D421" s="56">
        <f>(EPSIS_RAW!E421)*$H$2</f>
        <v>90</v>
      </c>
      <c r="E421" s="65">
        <f>ROUNDDOWN(EPSIS_RAW!F421,0)</f>
        <v>1976</v>
      </c>
      <c r="F421" s="55" t="str">
        <f t="shared" si="6"/>
        <v>420안동</v>
      </c>
    </row>
    <row r="422" spans="1:6">
      <c r="A422">
        <v>421</v>
      </c>
      <c r="B422" s="66" t="str">
        <f>EPSIS_RAW!H422</f>
        <v>소수력</v>
      </c>
      <c r="C422" s="66" t="str">
        <f>EPSIS_RAW!B422</f>
        <v>안동소수력</v>
      </c>
      <c r="D422" s="56">
        <f>(EPSIS_RAW!E422)*$H$2</f>
        <v>1.5</v>
      </c>
      <c r="E422" s="65">
        <f>ROUNDDOWN(EPSIS_RAW!F422,0)</f>
        <v>2003</v>
      </c>
      <c r="F422" s="55" t="str">
        <f t="shared" si="6"/>
        <v>421안동소수력</v>
      </c>
    </row>
    <row r="423" spans="1:6">
      <c r="A423">
        <v>422</v>
      </c>
      <c r="B423" s="66" t="str">
        <f>EPSIS_RAW!H423</f>
        <v>소수력</v>
      </c>
      <c r="C423" s="66" t="str">
        <f>EPSIS_RAW!B423</f>
        <v>양양소수력</v>
      </c>
      <c r="D423" s="56">
        <f>(EPSIS_RAW!E423)*$H$2</f>
        <v>1.4000000000000001</v>
      </c>
      <c r="E423" s="65">
        <f>ROUNDDOWN(EPSIS_RAW!F423,0)</f>
        <v>2005</v>
      </c>
      <c r="F423" s="55" t="str">
        <f t="shared" si="6"/>
        <v>422양양소수력</v>
      </c>
    </row>
    <row r="424" spans="1:6">
      <c r="A424">
        <v>423</v>
      </c>
      <c r="B424" s="66" t="str">
        <f>EPSIS_RAW!H424</f>
        <v>양수</v>
      </c>
      <c r="C424" s="66" t="str">
        <f>EPSIS_RAW!B424</f>
        <v>양양양수</v>
      </c>
      <c r="D424" s="56">
        <f>(EPSIS_RAW!E424)*$H$2</f>
        <v>250</v>
      </c>
      <c r="E424" s="65">
        <f>ROUNDDOWN(EPSIS_RAW!F424,0)</f>
        <v>2006</v>
      </c>
      <c r="F424" s="55" t="str">
        <f t="shared" si="6"/>
        <v>423양양양수</v>
      </c>
    </row>
    <row r="425" spans="1:6">
      <c r="A425">
        <v>424</v>
      </c>
      <c r="B425" s="66" t="str">
        <f>EPSIS_RAW!H425</f>
        <v>양수</v>
      </c>
      <c r="C425" s="66" t="str">
        <f>EPSIS_RAW!B425</f>
        <v>양양양수</v>
      </c>
      <c r="D425" s="56">
        <f>(EPSIS_RAW!E425)*$H$2</f>
        <v>250</v>
      </c>
      <c r="E425" s="65">
        <f>ROUNDDOWN(EPSIS_RAW!F425,0)</f>
        <v>2006</v>
      </c>
      <c r="F425" s="55" t="str">
        <f t="shared" si="6"/>
        <v>424양양양수</v>
      </c>
    </row>
    <row r="426" spans="1:6">
      <c r="A426">
        <v>425</v>
      </c>
      <c r="B426" s="66" t="str">
        <f>EPSIS_RAW!H426</f>
        <v>양수</v>
      </c>
      <c r="C426" s="66" t="str">
        <f>EPSIS_RAW!B426</f>
        <v>양양양수</v>
      </c>
      <c r="D426" s="56">
        <f>(EPSIS_RAW!E426)*$H$2</f>
        <v>250</v>
      </c>
      <c r="E426" s="65">
        <f>ROUNDDOWN(EPSIS_RAW!F426,0)</f>
        <v>2006</v>
      </c>
      <c r="F426" s="55" t="str">
        <f t="shared" si="6"/>
        <v>425양양양수</v>
      </c>
    </row>
    <row r="427" spans="1:6">
      <c r="A427">
        <v>426</v>
      </c>
      <c r="B427" s="66" t="str">
        <f>EPSIS_RAW!H427</f>
        <v>양수</v>
      </c>
      <c r="C427" s="66" t="str">
        <f>EPSIS_RAW!B427</f>
        <v>양양양수</v>
      </c>
      <c r="D427" s="56">
        <f>(EPSIS_RAW!E427)*$H$2</f>
        <v>250</v>
      </c>
      <c r="E427" s="65">
        <f>ROUNDDOWN(EPSIS_RAW!F427,0)</f>
        <v>2006</v>
      </c>
      <c r="F427" s="55" t="str">
        <f t="shared" si="6"/>
        <v>426양양양수</v>
      </c>
    </row>
    <row r="428" spans="1:6">
      <c r="A428">
        <v>427</v>
      </c>
      <c r="B428" s="66" t="str">
        <f>EPSIS_RAW!H428</f>
        <v>소수력</v>
      </c>
      <c r="C428" s="66" t="str">
        <f>EPSIS_RAW!B428</f>
        <v>양양양수신소수력</v>
      </c>
      <c r="D428" s="56">
        <f>(EPSIS_RAW!E428)*$H$2</f>
        <v>0.15</v>
      </c>
      <c r="E428" s="65">
        <f>ROUNDDOWN(EPSIS_RAW!F428,0)</f>
        <v>2020</v>
      </c>
      <c r="F428" s="55" t="str">
        <f t="shared" si="6"/>
        <v>427양양양수신소수력</v>
      </c>
    </row>
    <row r="429" spans="1:6">
      <c r="A429">
        <v>428</v>
      </c>
      <c r="B429" s="66" t="str">
        <f>EPSIS_RAW!H429</f>
        <v>소수력</v>
      </c>
      <c r="C429" s="66" t="str">
        <f>EPSIS_RAW!B429</f>
        <v>어승생</v>
      </c>
      <c r="D429" s="56">
        <f>(EPSIS_RAW!E429)*$H$2</f>
        <v>0.28700000000000003</v>
      </c>
      <c r="E429" s="65">
        <f>ROUNDDOWN(EPSIS_RAW!F429,0)</f>
        <v>2020</v>
      </c>
      <c r="F429" s="55" t="str">
        <f t="shared" si="6"/>
        <v>428어승생</v>
      </c>
    </row>
    <row r="430" spans="1:6">
      <c r="A430">
        <v>429</v>
      </c>
      <c r="B430" s="66" t="str">
        <f>EPSIS_RAW!H430</f>
        <v>소수력</v>
      </c>
      <c r="C430" s="66" t="str">
        <f>EPSIS_RAW!B430</f>
        <v>여주보</v>
      </c>
      <c r="D430" s="56">
        <f>(EPSIS_RAW!E430)*$H$2</f>
        <v>4.95</v>
      </c>
      <c r="E430" s="65">
        <f>ROUNDDOWN(EPSIS_RAW!F430,0)</f>
        <v>2012</v>
      </c>
      <c r="F430" s="55" t="str">
        <f t="shared" si="6"/>
        <v>429여주보</v>
      </c>
    </row>
    <row r="431" spans="1:6">
      <c r="A431">
        <v>430</v>
      </c>
      <c r="B431" s="66" t="str">
        <f>EPSIS_RAW!H431</f>
        <v>소수력</v>
      </c>
      <c r="C431" s="66" t="str">
        <f>EPSIS_RAW!B431</f>
        <v>영주댐</v>
      </c>
      <c r="D431" s="56">
        <f>(EPSIS_RAW!E431)*$H$2</f>
        <v>5</v>
      </c>
      <c r="E431" s="65">
        <f>ROUNDDOWN(EPSIS_RAW!F431,0)</f>
        <v>2016</v>
      </c>
      <c r="F431" s="55" t="str">
        <f t="shared" si="6"/>
        <v>430영주댐</v>
      </c>
    </row>
    <row r="432" spans="1:6">
      <c r="A432">
        <v>431</v>
      </c>
      <c r="B432" s="66" t="str">
        <f>EPSIS_RAW!H432</f>
        <v>소수력</v>
      </c>
      <c r="C432" s="66" t="str">
        <f>EPSIS_RAW!B432</f>
        <v>영천</v>
      </c>
      <c r="D432" s="56">
        <f>(EPSIS_RAW!E432)*$H$2</f>
        <v>1</v>
      </c>
      <c r="E432" s="65">
        <f>ROUNDDOWN(EPSIS_RAW!F432,0)</f>
        <v>2001</v>
      </c>
      <c r="F432" s="55" t="str">
        <f t="shared" si="6"/>
        <v>431영천</v>
      </c>
    </row>
    <row r="433" spans="1:6">
      <c r="A433">
        <v>432</v>
      </c>
      <c r="B433" s="66" t="str">
        <f>EPSIS_RAW!H433</f>
        <v>소수력</v>
      </c>
      <c r="C433" s="66" t="str">
        <f>EPSIS_RAW!B433</f>
        <v>영흥해양#1</v>
      </c>
      <c r="D433" s="56">
        <f>(EPSIS_RAW!E433)*$H$2</f>
        <v>3</v>
      </c>
      <c r="E433" s="65">
        <f>ROUNDDOWN(EPSIS_RAW!F433,0)</f>
        <v>2008</v>
      </c>
      <c r="F433" s="55" t="str">
        <f t="shared" si="6"/>
        <v>432영흥해양#1</v>
      </c>
    </row>
    <row r="434" spans="1:6">
      <c r="A434">
        <v>433</v>
      </c>
      <c r="B434" s="66" t="str">
        <f>EPSIS_RAW!H434</f>
        <v>소수력</v>
      </c>
      <c r="C434" s="66" t="str">
        <f>EPSIS_RAW!B434</f>
        <v>영흥해양#2</v>
      </c>
      <c r="D434" s="56">
        <f>(EPSIS_RAW!E434)*$H$2</f>
        <v>4.5990000000000002</v>
      </c>
      <c r="E434" s="65">
        <f>ROUNDDOWN(EPSIS_RAW!F434,0)</f>
        <v>2011</v>
      </c>
      <c r="F434" s="55" t="str">
        <f t="shared" si="6"/>
        <v>433영흥해양#2</v>
      </c>
    </row>
    <row r="435" spans="1:6">
      <c r="A435">
        <v>434</v>
      </c>
      <c r="B435" s="66" t="str">
        <f>EPSIS_RAW!H435</f>
        <v>소수력</v>
      </c>
      <c r="C435" s="66" t="str">
        <f>EPSIS_RAW!B435</f>
        <v>영흥해양#3</v>
      </c>
      <c r="D435" s="56">
        <f>(EPSIS_RAW!E435)*$H$2</f>
        <v>5</v>
      </c>
      <c r="E435" s="65">
        <f>ROUNDDOWN(EPSIS_RAW!F435,0)</f>
        <v>2014</v>
      </c>
      <c r="F435" s="55" t="str">
        <f t="shared" si="6"/>
        <v>434영흥해양#3</v>
      </c>
    </row>
    <row r="436" spans="1:6">
      <c r="A436">
        <v>435</v>
      </c>
      <c r="B436" s="66" t="str">
        <f>EPSIS_RAW!H436</f>
        <v>소수력</v>
      </c>
      <c r="C436" s="66" t="str">
        <f>EPSIS_RAW!B436</f>
        <v>예당</v>
      </c>
      <c r="D436" s="56">
        <f>(EPSIS_RAW!E436)*$H$2</f>
        <v>0.48</v>
      </c>
      <c r="E436" s="65">
        <f>ROUNDDOWN(EPSIS_RAW!F436,0)</f>
        <v>2012</v>
      </c>
      <c r="F436" s="55" t="str">
        <f t="shared" si="6"/>
        <v>435예당</v>
      </c>
    </row>
    <row r="437" spans="1:6">
      <c r="A437">
        <v>436</v>
      </c>
      <c r="B437" s="66" t="str">
        <f>EPSIS_RAW!H437</f>
        <v>소수력</v>
      </c>
      <c r="C437" s="66" t="str">
        <f>EPSIS_RAW!B437</f>
        <v>예천소수력</v>
      </c>
      <c r="D437" s="56">
        <f>(EPSIS_RAW!E437)*$H$2</f>
        <v>0.9</v>
      </c>
      <c r="E437" s="65">
        <f>ROUNDDOWN(EPSIS_RAW!F437,0)</f>
        <v>2011</v>
      </c>
      <c r="F437" s="55" t="str">
        <f t="shared" si="6"/>
        <v>436예천소수력</v>
      </c>
    </row>
    <row r="438" spans="1:6">
      <c r="A438">
        <v>437</v>
      </c>
      <c r="B438" s="66" t="str">
        <f>EPSIS_RAW!H438</f>
        <v>소수력</v>
      </c>
      <c r="C438" s="66" t="str">
        <f>EPSIS_RAW!B438</f>
        <v>예천양수</v>
      </c>
      <c r="D438" s="56">
        <f>(EPSIS_RAW!E438)*$H$2</f>
        <v>2.5000000000000001E-2</v>
      </c>
      <c r="E438" s="65">
        <f>ROUNDDOWN(EPSIS_RAW!F438,0)</f>
        <v>2018</v>
      </c>
      <c r="F438" s="55" t="str">
        <f t="shared" si="6"/>
        <v>437예천양수</v>
      </c>
    </row>
    <row r="439" spans="1:6">
      <c r="A439">
        <v>438</v>
      </c>
      <c r="B439" s="66" t="str">
        <f>EPSIS_RAW!H439</f>
        <v>양수</v>
      </c>
      <c r="C439" s="66" t="str">
        <f>EPSIS_RAW!B439</f>
        <v>예천양수#1</v>
      </c>
      <c r="D439" s="56">
        <f>(EPSIS_RAW!E439)*$H$2</f>
        <v>400</v>
      </c>
      <c r="E439" s="65">
        <f>ROUNDDOWN(EPSIS_RAW!F439,0)</f>
        <v>2011</v>
      </c>
      <c r="F439" s="55" t="str">
        <f t="shared" si="6"/>
        <v>438예천양수#1</v>
      </c>
    </row>
    <row r="440" spans="1:6">
      <c r="A440">
        <v>439</v>
      </c>
      <c r="B440" s="66" t="str">
        <f>EPSIS_RAW!H440</f>
        <v>양수</v>
      </c>
      <c r="C440" s="66" t="str">
        <f>EPSIS_RAW!B440</f>
        <v>예천양수#2</v>
      </c>
      <c r="D440" s="56">
        <f>(EPSIS_RAW!E440)*$H$2</f>
        <v>400</v>
      </c>
      <c r="E440" s="65">
        <f>ROUNDDOWN(EPSIS_RAW!F440,0)</f>
        <v>2011</v>
      </c>
      <c r="F440" s="55" t="str">
        <f t="shared" si="6"/>
        <v>439예천양수#2</v>
      </c>
    </row>
    <row r="441" spans="1:6">
      <c r="A441">
        <v>440</v>
      </c>
      <c r="B441" s="66" t="str">
        <f>EPSIS_RAW!H441</f>
        <v>소수력</v>
      </c>
      <c r="C441" s="66" t="str">
        <f>EPSIS_RAW!B441</f>
        <v>오봉지구</v>
      </c>
      <c r="D441" s="56">
        <f>(EPSIS_RAW!E441)*$H$2</f>
        <v>0.53</v>
      </c>
      <c r="E441" s="65">
        <f>ROUNDDOWN(EPSIS_RAW!F441,0)</f>
        <v>2012</v>
      </c>
      <c r="F441" s="55" t="str">
        <f t="shared" si="6"/>
        <v>440오봉지구</v>
      </c>
    </row>
    <row r="442" spans="1:6">
      <c r="A442">
        <v>441</v>
      </c>
      <c r="B442" s="66" t="str">
        <f>EPSIS_RAW!H442</f>
        <v>소수력</v>
      </c>
      <c r="C442" s="66" t="str">
        <f>EPSIS_RAW!B442</f>
        <v>용담</v>
      </c>
      <c r="D442" s="56">
        <f>(EPSIS_RAW!E442)*$H$2</f>
        <v>2.3000000000000003</v>
      </c>
      <c r="E442" s="65">
        <f>ROUNDDOWN(EPSIS_RAW!F442,0)</f>
        <v>2001</v>
      </c>
      <c r="F442" s="55" t="str">
        <f t="shared" si="6"/>
        <v>441용담</v>
      </c>
    </row>
    <row r="443" spans="1:6">
      <c r="A443">
        <v>442</v>
      </c>
      <c r="B443" s="66" t="str">
        <f>EPSIS_RAW!H443</f>
        <v>소수력</v>
      </c>
      <c r="C443" s="66" t="str">
        <f>EPSIS_RAW!B443</f>
        <v>용담</v>
      </c>
      <c r="D443" s="56">
        <f>(EPSIS_RAW!E443)*$H$2</f>
        <v>2.13</v>
      </c>
      <c r="E443" s="65">
        <f>ROUNDDOWN(EPSIS_RAW!F443,0)</f>
        <v>2020</v>
      </c>
      <c r="F443" s="55" t="str">
        <f t="shared" si="6"/>
        <v>442용담</v>
      </c>
    </row>
    <row r="444" spans="1:6">
      <c r="A444">
        <v>443</v>
      </c>
      <c r="B444" s="66" t="str">
        <f>EPSIS_RAW!H444</f>
        <v>소수력</v>
      </c>
      <c r="C444" s="66" t="str">
        <f>EPSIS_RAW!B444</f>
        <v>용담</v>
      </c>
      <c r="D444" s="56">
        <f>(EPSIS_RAW!E444)*$H$2</f>
        <v>1.8</v>
      </c>
      <c r="E444" s="65">
        <f>ROUNDDOWN(EPSIS_RAW!F444,0)</f>
        <v>2004</v>
      </c>
      <c r="F444" s="55" t="str">
        <f t="shared" si="6"/>
        <v>443용담</v>
      </c>
    </row>
    <row r="445" spans="1:6">
      <c r="A445">
        <v>444</v>
      </c>
      <c r="B445" s="66" t="str">
        <f>EPSIS_RAW!H445</f>
        <v>수력</v>
      </c>
      <c r="C445" s="66" t="str">
        <f>EPSIS_RAW!B445</f>
        <v>용담1수력</v>
      </c>
      <c r="D445" s="56">
        <f>(EPSIS_RAW!E445)*$H$2</f>
        <v>22.1</v>
      </c>
      <c r="E445" s="65">
        <f>ROUNDDOWN(EPSIS_RAW!F445,0)</f>
        <v>2001</v>
      </c>
      <c r="F445" s="55" t="str">
        <f t="shared" si="6"/>
        <v>444용담1수력</v>
      </c>
    </row>
    <row r="446" spans="1:6">
      <c r="A446">
        <v>445</v>
      </c>
      <c r="B446" s="66" t="str">
        <f>EPSIS_RAW!H446</f>
        <v>소수력</v>
      </c>
      <c r="C446" s="66" t="str">
        <f>EPSIS_RAW!B446</f>
        <v>용담고산#1</v>
      </c>
      <c r="D446" s="56">
        <f>(EPSIS_RAW!E446)*$H$2</f>
        <v>0.8</v>
      </c>
      <c r="E446" s="65">
        <f>ROUNDDOWN(EPSIS_RAW!F446,0)</f>
        <v>2016</v>
      </c>
      <c r="F446" s="55" t="str">
        <f t="shared" si="6"/>
        <v>445용담고산#1</v>
      </c>
    </row>
    <row r="447" spans="1:6">
      <c r="A447">
        <v>446</v>
      </c>
      <c r="B447" s="66" t="str">
        <f>EPSIS_RAW!H447</f>
        <v>소수력</v>
      </c>
      <c r="C447" s="66" t="str">
        <f>EPSIS_RAW!B447</f>
        <v>용림</v>
      </c>
      <c r="D447" s="56">
        <f>(EPSIS_RAW!E447)*$H$2</f>
        <v>0.6</v>
      </c>
      <c r="E447" s="65">
        <f>ROUNDDOWN(EPSIS_RAW!F447,0)</f>
        <v>2011</v>
      </c>
      <c r="F447" s="55" t="str">
        <f t="shared" si="6"/>
        <v>446용림</v>
      </c>
    </row>
    <row r="448" spans="1:6">
      <c r="A448">
        <v>447</v>
      </c>
      <c r="B448" s="66" t="str">
        <f>EPSIS_RAW!H448</f>
        <v>소수력</v>
      </c>
      <c r="C448" s="66" t="str">
        <f>EPSIS_RAW!B448</f>
        <v>용연 정수장</v>
      </c>
      <c r="D448" s="56">
        <f>(EPSIS_RAW!E448)*$H$2</f>
        <v>0.76</v>
      </c>
      <c r="E448" s="65">
        <f>ROUNDDOWN(EPSIS_RAW!F448,0)</f>
        <v>2016</v>
      </c>
      <c r="F448" s="55" t="str">
        <f t="shared" si="6"/>
        <v>447용연 정수장</v>
      </c>
    </row>
    <row r="449" spans="1:6">
      <c r="A449">
        <v>448</v>
      </c>
      <c r="B449" s="66" t="str">
        <f>EPSIS_RAW!H449</f>
        <v>소수력</v>
      </c>
      <c r="C449" s="66" t="str">
        <f>EPSIS_RAW!B449</f>
        <v>운문</v>
      </c>
      <c r="D449" s="56">
        <f>(EPSIS_RAW!E449)*$H$2</f>
        <v>0.36</v>
      </c>
      <c r="E449" s="65">
        <f>ROUNDDOWN(EPSIS_RAW!F449,0)</f>
        <v>1998</v>
      </c>
      <c r="F449" s="55" t="str">
        <f t="shared" si="6"/>
        <v>448운문</v>
      </c>
    </row>
    <row r="450" spans="1:6">
      <c r="A450">
        <v>449</v>
      </c>
      <c r="B450" s="66" t="str">
        <f>EPSIS_RAW!H450</f>
        <v>소수력</v>
      </c>
      <c r="C450" s="66" t="str">
        <f>EPSIS_RAW!B450</f>
        <v>운서보</v>
      </c>
      <c r="D450" s="56">
        <f>(EPSIS_RAW!E450)*$H$2</f>
        <v>0.4</v>
      </c>
      <c r="E450" s="65">
        <f>ROUNDDOWN(EPSIS_RAW!F450,0)</f>
        <v>2014</v>
      </c>
      <c r="F450" s="55" t="str">
        <f t="shared" si="6"/>
        <v>449운서보</v>
      </c>
    </row>
    <row r="451" spans="1:6">
      <c r="A451">
        <v>450</v>
      </c>
      <c r="B451" s="66" t="str">
        <f>EPSIS_RAW!H451</f>
        <v>소수력</v>
      </c>
      <c r="C451" s="66" t="str">
        <f>EPSIS_RAW!B451</f>
        <v>원정수</v>
      </c>
      <c r="D451" s="56">
        <f>(EPSIS_RAW!E451)*$H$2</f>
        <v>0.6</v>
      </c>
      <c r="E451" s="65">
        <f>ROUNDDOWN(EPSIS_RAW!F451,0)</f>
        <v>2007</v>
      </c>
      <c r="F451" s="55" t="str">
        <f t="shared" ref="F451:F514" si="7">A451&amp;C451</f>
        <v>450원정수</v>
      </c>
    </row>
    <row r="452" spans="1:6">
      <c r="A452">
        <v>451</v>
      </c>
      <c r="B452" s="66" t="str">
        <f>EPSIS_RAW!H452</f>
        <v>소수력</v>
      </c>
      <c r="C452" s="66" t="str">
        <f>EPSIS_RAW!B452</f>
        <v>원통보</v>
      </c>
      <c r="D452" s="56">
        <f>(EPSIS_RAW!E452)*$H$2</f>
        <v>0.2</v>
      </c>
      <c r="E452" s="65">
        <f>ROUNDDOWN(EPSIS_RAW!F452,0)</f>
        <v>2011</v>
      </c>
      <c r="F452" s="55" t="str">
        <f t="shared" si="7"/>
        <v>451원통보</v>
      </c>
    </row>
    <row r="453" spans="1:6">
      <c r="A453">
        <v>452</v>
      </c>
      <c r="B453" s="66" t="str">
        <f>EPSIS_RAW!H453</f>
        <v>소수력</v>
      </c>
      <c r="C453" s="66" t="str">
        <f>EPSIS_RAW!B453</f>
        <v>율현</v>
      </c>
      <c r="D453" s="56">
        <f>(EPSIS_RAW!E453)*$H$2</f>
        <v>0.56000000000000005</v>
      </c>
      <c r="E453" s="65">
        <f>ROUNDDOWN(EPSIS_RAW!F453,0)</f>
        <v>2008</v>
      </c>
      <c r="F453" s="55" t="str">
        <f t="shared" si="7"/>
        <v>452율현</v>
      </c>
    </row>
    <row r="454" spans="1:6">
      <c r="A454">
        <v>453</v>
      </c>
      <c r="B454" s="66" t="str">
        <f>EPSIS_RAW!H454</f>
        <v>소수력</v>
      </c>
      <c r="C454" s="66" t="str">
        <f>EPSIS_RAW!B454</f>
        <v>읍애</v>
      </c>
      <c r="D454" s="56">
        <f>(EPSIS_RAW!E454)*$H$2</f>
        <v>0.17699999999999999</v>
      </c>
      <c r="E454" s="65">
        <f>ROUNDDOWN(EPSIS_RAW!F454,0)</f>
        <v>2020</v>
      </c>
      <c r="F454" s="55" t="str">
        <f t="shared" si="7"/>
        <v>453읍애</v>
      </c>
    </row>
    <row r="455" spans="1:6">
      <c r="A455">
        <v>454</v>
      </c>
      <c r="B455" s="66" t="str">
        <f>EPSIS_RAW!H455</f>
        <v>수력</v>
      </c>
      <c r="C455" s="66" t="str">
        <f>EPSIS_RAW!B455</f>
        <v>의암</v>
      </c>
      <c r="D455" s="56">
        <f>(EPSIS_RAW!E455)*$H$2</f>
        <v>48</v>
      </c>
      <c r="E455" s="65">
        <f>ROUNDDOWN(EPSIS_RAW!F455,0)</f>
        <v>1967</v>
      </c>
      <c r="F455" s="55" t="str">
        <f t="shared" si="7"/>
        <v>454의암</v>
      </c>
    </row>
    <row r="456" spans="1:6">
      <c r="A456">
        <v>455</v>
      </c>
      <c r="B456" s="66" t="str">
        <f>EPSIS_RAW!H456</f>
        <v>소수력</v>
      </c>
      <c r="C456" s="66" t="str">
        <f>EPSIS_RAW!B456</f>
        <v>이포보</v>
      </c>
      <c r="D456" s="56">
        <f>(EPSIS_RAW!E456)*$H$2</f>
        <v>3</v>
      </c>
      <c r="E456" s="65">
        <f>ROUNDDOWN(EPSIS_RAW!F456,0)</f>
        <v>2011</v>
      </c>
      <c r="F456" s="55" t="str">
        <f t="shared" si="7"/>
        <v>455이포보</v>
      </c>
    </row>
    <row r="457" spans="1:6">
      <c r="A457">
        <v>456</v>
      </c>
      <c r="B457" s="66" t="str">
        <f>EPSIS_RAW!H457</f>
        <v>소수력</v>
      </c>
      <c r="C457" s="66" t="str">
        <f>EPSIS_RAW!B457</f>
        <v>일산정수장</v>
      </c>
      <c r="D457" s="56">
        <f>(EPSIS_RAW!E457)*$H$2</f>
        <v>0.25</v>
      </c>
      <c r="E457" s="65">
        <f>ROUNDDOWN(EPSIS_RAW!F457,0)</f>
        <v>2017</v>
      </c>
      <c r="F457" s="55" t="str">
        <f t="shared" si="7"/>
        <v>456일산정수장</v>
      </c>
    </row>
    <row r="458" spans="1:6">
      <c r="A458">
        <v>457</v>
      </c>
      <c r="B458" s="66" t="str">
        <f>EPSIS_RAW!H458</f>
        <v>소수력</v>
      </c>
      <c r="C458" s="66" t="str">
        <f>EPSIS_RAW!B458</f>
        <v>임기</v>
      </c>
      <c r="D458" s="56">
        <f>(EPSIS_RAW!E458)*$H$2</f>
        <v>1.2</v>
      </c>
      <c r="E458" s="65">
        <f>ROUNDDOWN(EPSIS_RAW!F458,0)</f>
        <v>1986</v>
      </c>
      <c r="F458" s="55" t="str">
        <f t="shared" si="7"/>
        <v>457임기</v>
      </c>
    </row>
    <row r="459" spans="1:6">
      <c r="A459">
        <v>458</v>
      </c>
      <c r="B459" s="66" t="str">
        <f>EPSIS_RAW!H459</f>
        <v>수력</v>
      </c>
      <c r="C459" s="66" t="str">
        <f>EPSIS_RAW!B459</f>
        <v>임하</v>
      </c>
      <c r="D459" s="56">
        <f>(EPSIS_RAW!E459)*$H$2</f>
        <v>50</v>
      </c>
      <c r="E459" s="65">
        <f>ROUNDDOWN(EPSIS_RAW!F459,0)</f>
        <v>1992</v>
      </c>
      <c r="F459" s="55" t="str">
        <f t="shared" si="7"/>
        <v>458임하</v>
      </c>
    </row>
    <row r="460" spans="1:6">
      <c r="A460">
        <v>459</v>
      </c>
      <c r="B460" s="66" t="str">
        <f>EPSIS_RAW!H460</f>
        <v>소수력</v>
      </c>
      <c r="C460" s="66" t="str">
        <f>EPSIS_RAW!B460</f>
        <v>자인정</v>
      </c>
      <c r="D460" s="56">
        <f>(EPSIS_RAW!E460)*$H$2</f>
        <v>6.5000000000000002E-2</v>
      </c>
      <c r="E460" s="65">
        <f>ROUNDDOWN(EPSIS_RAW!F460,0)</f>
        <v>2012</v>
      </c>
      <c r="F460" s="55" t="str">
        <f t="shared" si="7"/>
        <v>459자인정</v>
      </c>
    </row>
    <row r="461" spans="1:6">
      <c r="A461">
        <v>460</v>
      </c>
      <c r="B461" s="66" t="str">
        <f>EPSIS_RAW!H461</f>
        <v>소수력</v>
      </c>
      <c r="C461" s="66" t="str">
        <f>EPSIS_RAW!B461</f>
        <v>장성</v>
      </c>
      <c r="D461" s="56">
        <f>(EPSIS_RAW!E461)*$H$2</f>
        <v>1.3920000000000001</v>
      </c>
      <c r="E461" s="65">
        <f>ROUNDDOWN(EPSIS_RAW!F461,0)</f>
        <v>2013</v>
      </c>
      <c r="F461" s="55" t="str">
        <f t="shared" si="7"/>
        <v>460장성</v>
      </c>
    </row>
    <row r="462" spans="1:6">
      <c r="A462">
        <v>461</v>
      </c>
      <c r="B462" s="66" t="str">
        <f>EPSIS_RAW!H462</f>
        <v>소수력</v>
      </c>
      <c r="C462" s="66" t="str">
        <f>EPSIS_RAW!B462</f>
        <v>장흥</v>
      </c>
      <c r="D462" s="56">
        <f>(EPSIS_RAW!E462)*$H$2</f>
        <v>0.8</v>
      </c>
      <c r="E462" s="65">
        <f>ROUNDDOWN(EPSIS_RAW!F462,0)</f>
        <v>2005</v>
      </c>
      <c r="F462" s="55" t="str">
        <f t="shared" si="7"/>
        <v>461장흥</v>
      </c>
    </row>
    <row r="463" spans="1:6">
      <c r="A463">
        <v>462</v>
      </c>
      <c r="B463" s="66" t="str">
        <f>EPSIS_RAW!H463</f>
        <v>소수력</v>
      </c>
      <c r="C463" s="66" t="str">
        <f>EPSIS_RAW!B463</f>
        <v>정선(봉정)</v>
      </c>
      <c r="D463" s="56">
        <f>(EPSIS_RAW!E463)*$H$2</f>
        <v>1.92</v>
      </c>
      <c r="E463" s="65">
        <f>ROUNDDOWN(EPSIS_RAW!F463,0)</f>
        <v>1993</v>
      </c>
      <c r="F463" s="55" t="str">
        <f t="shared" si="7"/>
        <v>462정선(봉정)</v>
      </c>
    </row>
    <row r="464" spans="1:6">
      <c r="A464">
        <v>463</v>
      </c>
      <c r="B464" s="66" t="str">
        <f>EPSIS_RAW!H464</f>
        <v>소수력</v>
      </c>
      <c r="C464" s="66" t="str">
        <f>EPSIS_RAW!B464</f>
        <v>정우#2</v>
      </c>
      <c r="D464" s="56">
        <f>(EPSIS_RAW!E464)*$H$2</f>
        <v>7.4999999999999997E-2</v>
      </c>
      <c r="E464" s="65">
        <f>ROUNDDOWN(EPSIS_RAW!F464,0)</f>
        <v>2013</v>
      </c>
      <c r="F464" s="55" t="str">
        <f t="shared" si="7"/>
        <v>463정우#2</v>
      </c>
    </row>
    <row r="465" spans="1:6">
      <c r="A465">
        <v>464</v>
      </c>
      <c r="B465" s="66" t="str">
        <f>EPSIS_RAW!H465</f>
        <v>수력</v>
      </c>
      <c r="C465" s="66" t="str">
        <f>EPSIS_RAW!B465</f>
        <v>주암</v>
      </c>
      <c r="D465" s="56">
        <f>(EPSIS_RAW!E465)*$H$2</f>
        <v>22.5</v>
      </c>
      <c r="E465" s="65">
        <f>ROUNDDOWN(EPSIS_RAW!F465,0)</f>
        <v>1991</v>
      </c>
      <c r="F465" s="55" t="str">
        <f t="shared" si="7"/>
        <v>464주암</v>
      </c>
    </row>
    <row r="466" spans="1:6">
      <c r="A466">
        <v>465</v>
      </c>
      <c r="B466" s="66" t="str">
        <f>EPSIS_RAW!H466</f>
        <v>소수력</v>
      </c>
      <c r="C466" s="66" t="str">
        <f>EPSIS_RAW!B466</f>
        <v>주암</v>
      </c>
      <c r="D466" s="56">
        <f>(EPSIS_RAW!E466)*$H$2</f>
        <v>1</v>
      </c>
      <c r="E466" s="65">
        <f>ROUNDDOWN(EPSIS_RAW!F466,0)</f>
        <v>2007</v>
      </c>
      <c r="F466" s="55" t="str">
        <f t="shared" si="7"/>
        <v>465주암</v>
      </c>
    </row>
    <row r="467" spans="1:6">
      <c r="A467">
        <v>466</v>
      </c>
      <c r="B467" s="66" t="str">
        <f>EPSIS_RAW!H467</f>
        <v>소수력</v>
      </c>
      <c r="C467" s="66" t="str">
        <f>EPSIS_RAW!B467</f>
        <v>주암 역조정지댐</v>
      </c>
      <c r="D467" s="56">
        <f>(EPSIS_RAW!E467)*$H$2</f>
        <v>5.5E-2</v>
      </c>
      <c r="E467" s="65">
        <f>ROUNDDOWN(EPSIS_RAW!F467,0)</f>
        <v>2012</v>
      </c>
      <c r="F467" s="55" t="str">
        <f t="shared" si="7"/>
        <v>466주암 역조정지댐</v>
      </c>
    </row>
    <row r="468" spans="1:6">
      <c r="A468">
        <v>467</v>
      </c>
      <c r="B468" s="66" t="str">
        <f>EPSIS_RAW!H468</f>
        <v>소수력</v>
      </c>
      <c r="C468" s="66" t="str">
        <f>EPSIS_RAW!B468</f>
        <v>죽산보</v>
      </c>
      <c r="D468" s="56">
        <f>(EPSIS_RAW!E468)*$H$2</f>
        <v>1.22</v>
      </c>
      <c r="E468" s="65">
        <f>ROUNDDOWN(EPSIS_RAW!F468,0)</f>
        <v>2011</v>
      </c>
      <c r="F468" s="55" t="str">
        <f t="shared" si="7"/>
        <v>467죽산보</v>
      </c>
    </row>
    <row r="469" spans="1:6">
      <c r="A469">
        <v>468</v>
      </c>
      <c r="B469" s="66" t="str">
        <f>EPSIS_RAW!H469</f>
        <v>소수력</v>
      </c>
      <c r="C469" s="66" t="str">
        <f>EPSIS_RAW!B469</f>
        <v>죽전</v>
      </c>
      <c r="D469" s="56">
        <f>(EPSIS_RAW!E469)*$H$2</f>
        <v>0.19</v>
      </c>
      <c r="E469" s="65">
        <f>ROUNDDOWN(EPSIS_RAW!F469,0)</f>
        <v>2014</v>
      </c>
      <c r="F469" s="55" t="str">
        <f t="shared" si="7"/>
        <v>468죽전</v>
      </c>
    </row>
    <row r="470" spans="1:6">
      <c r="A470">
        <v>469</v>
      </c>
      <c r="B470" s="66" t="str">
        <f>EPSIS_RAW!H470</f>
        <v>양수</v>
      </c>
      <c r="C470" s="66" t="str">
        <f>EPSIS_RAW!B470</f>
        <v>청송양수</v>
      </c>
      <c r="D470" s="56">
        <f>(EPSIS_RAW!E470)*$H$2</f>
        <v>300</v>
      </c>
      <c r="E470" s="65">
        <f>ROUNDDOWN(EPSIS_RAW!F470,0)</f>
        <v>2006</v>
      </c>
      <c r="F470" s="55" t="str">
        <f t="shared" si="7"/>
        <v>469청송양수</v>
      </c>
    </row>
    <row r="471" spans="1:6">
      <c r="A471">
        <v>470</v>
      </c>
      <c r="B471" s="66" t="str">
        <f>EPSIS_RAW!H471</f>
        <v>양수</v>
      </c>
      <c r="C471" s="66" t="str">
        <f>EPSIS_RAW!B471</f>
        <v>청송양수</v>
      </c>
      <c r="D471" s="56">
        <f>(EPSIS_RAW!E471)*$H$2</f>
        <v>300</v>
      </c>
      <c r="E471" s="65">
        <f>ROUNDDOWN(EPSIS_RAW!F471,0)</f>
        <v>2006</v>
      </c>
      <c r="F471" s="55" t="str">
        <f t="shared" si="7"/>
        <v>470청송양수</v>
      </c>
    </row>
    <row r="472" spans="1:6">
      <c r="A472">
        <v>471</v>
      </c>
      <c r="B472" s="66" t="str">
        <f>EPSIS_RAW!H472</f>
        <v>수력</v>
      </c>
      <c r="C472" s="66" t="str">
        <f>EPSIS_RAW!B472</f>
        <v>청평</v>
      </c>
      <c r="D472" s="56">
        <f>(EPSIS_RAW!E472)*$H$2</f>
        <v>39.6</v>
      </c>
      <c r="E472" s="65">
        <f>ROUNDDOWN(EPSIS_RAW!F472,0)</f>
        <v>1943</v>
      </c>
      <c r="F472" s="55" t="str">
        <f t="shared" si="7"/>
        <v>471청평</v>
      </c>
    </row>
    <row r="473" spans="1:6">
      <c r="A473">
        <v>472</v>
      </c>
      <c r="B473" s="66" t="str">
        <f>EPSIS_RAW!H473</f>
        <v>수력</v>
      </c>
      <c r="C473" s="66" t="str">
        <f>EPSIS_RAW!B473</f>
        <v>청평</v>
      </c>
      <c r="D473" s="56">
        <f>(EPSIS_RAW!E473)*$H$2</f>
        <v>40.5</v>
      </c>
      <c r="E473" s="65">
        <f>ROUNDDOWN(EPSIS_RAW!F473,0)</f>
        <v>1968</v>
      </c>
      <c r="F473" s="55" t="str">
        <f t="shared" si="7"/>
        <v>472청평</v>
      </c>
    </row>
    <row r="474" spans="1:6">
      <c r="A474">
        <v>473</v>
      </c>
      <c r="B474" s="66" t="str">
        <f>EPSIS_RAW!H474</f>
        <v>수력</v>
      </c>
      <c r="C474" s="66" t="str">
        <f>EPSIS_RAW!B474</f>
        <v>청평</v>
      </c>
      <c r="D474" s="56">
        <f>(EPSIS_RAW!E474)*$H$2</f>
        <v>60</v>
      </c>
      <c r="E474" s="65">
        <f>ROUNDDOWN(EPSIS_RAW!F474,0)</f>
        <v>2011</v>
      </c>
      <c r="F474" s="55" t="str">
        <f t="shared" si="7"/>
        <v>473청평</v>
      </c>
    </row>
    <row r="475" spans="1:6">
      <c r="A475">
        <v>474</v>
      </c>
      <c r="B475" s="66" t="str">
        <f>EPSIS_RAW!H475</f>
        <v>양수</v>
      </c>
      <c r="C475" s="66" t="str">
        <f>EPSIS_RAW!B475</f>
        <v>청평양수</v>
      </c>
      <c r="D475" s="56">
        <f>(EPSIS_RAW!E475)*$H$2</f>
        <v>200</v>
      </c>
      <c r="E475" s="65">
        <f>ROUNDDOWN(EPSIS_RAW!F475,0)</f>
        <v>1979</v>
      </c>
      <c r="F475" s="55" t="str">
        <f t="shared" si="7"/>
        <v>474청평양수</v>
      </c>
    </row>
    <row r="476" spans="1:6">
      <c r="A476">
        <v>475</v>
      </c>
      <c r="B476" s="66" t="str">
        <f>EPSIS_RAW!H476</f>
        <v>양수</v>
      </c>
      <c r="C476" s="66" t="str">
        <f>EPSIS_RAW!B476</f>
        <v>청평양수</v>
      </c>
      <c r="D476" s="56">
        <f>(EPSIS_RAW!E476)*$H$2</f>
        <v>200</v>
      </c>
      <c r="E476" s="65">
        <f>ROUNDDOWN(EPSIS_RAW!F476,0)</f>
        <v>1980</v>
      </c>
      <c r="F476" s="55" t="str">
        <f t="shared" si="7"/>
        <v>475청평양수</v>
      </c>
    </row>
    <row r="477" spans="1:6">
      <c r="A477">
        <v>476</v>
      </c>
      <c r="B477" s="66" t="str">
        <f>EPSIS_RAW!H477</f>
        <v>소수력</v>
      </c>
      <c r="C477" s="66" t="str">
        <f>EPSIS_RAW!B477</f>
        <v>추산</v>
      </c>
      <c r="D477" s="56">
        <f>(EPSIS_RAW!E477)*$H$2</f>
        <v>0.6</v>
      </c>
      <c r="E477" s="65">
        <f>ROUNDDOWN(EPSIS_RAW!F477,0)</f>
        <v>1969</v>
      </c>
      <c r="F477" s="55" t="str">
        <f t="shared" si="7"/>
        <v>476추산</v>
      </c>
    </row>
    <row r="478" spans="1:6">
      <c r="A478">
        <v>477</v>
      </c>
      <c r="B478" s="66" t="str">
        <f>EPSIS_RAW!H478</f>
        <v>소수력</v>
      </c>
      <c r="C478" s="66" t="str">
        <f>EPSIS_RAW!B478</f>
        <v>추산</v>
      </c>
      <c r="D478" s="56">
        <f>(EPSIS_RAW!E478)*$H$2</f>
        <v>0.1</v>
      </c>
      <c r="E478" s="65">
        <f>ROUNDDOWN(EPSIS_RAW!F478,0)</f>
        <v>1978</v>
      </c>
      <c r="F478" s="55" t="str">
        <f t="shared" si="7"/>
        <v>477추산</v>
      </c>
    </row>
    <row r="479" spans="1:6">
      <c r="A479">
        <v>478</v>
      </c>
      <c r="B479" s="66" t="str">
        <f>EPSIS_RAW!H479</f>
        <v>수력</v>
      </c>
      <c r="C479" s="66" t="str">
        <f>EPSIS_RAW!B479</f>
        <v>춘천</v>
      </c>
      <c r="D479" s="56">
        <f>(EPSIS_RAW!E479)*$H$2</f>
        <v>31.14</v>
      </c>
      <c r="E479" s="65">
        <f>ROUNDDOWN(EPSIS_RAW!F479,0)</f>
        <v>1965</v>
      </c>
      <c r="F479" s="55" t="str">
        <f t="shared" si="7"/>
        <v>478춘천</v>
      </c>
    </row>
    <row r="480" spans="1:6">
      <c r="A480">
        <v>479</v>
      </c>
      <c r="B480" s="66" t="str">
        <f>EPSIS_RAW!H480</f>
        <v>수력</v>
      </c>
      <c r="C480" s="66" t="str">
        <f>EPSIS_RAW!B480</f>
        <v>춘천</v>
      </c>
      <c r="D480" s="56">
        <f>(EPSIS_RAW!E480)*$H$2</f>
        <v>31.14</v>
      </c>
      <c r="E480" s="65">
        <f>ROUNDDOWN(EPSIS_RAW!F480,0)</f>
        <v>1965</v>
      </c>
      <c r="F480" s="55" t="str">
        <f t="shared" si="7"/>
        <v>479춘천</v>
      </c>
    </row>
    <row r="481" spans="1:6">
      <c r="A481">
        <v>480</v>
      </c>
      <c r="B481" s="66" t="str">
        <f>EPSIS_RAW!H481</f>
        <v>수력</v>
      </c>
      <c r="C481" s="66" t="str">
        <f>EPSIS_RAW!B481</f>
        <v>충주</v>
      </c>
      <c r="D481" s="56">
        <f>(EPSIS_RAW!E481)*$H$2</f>
        <v>200</v>
      </c>
      <c r="E481" s="65">
        <f>ROUNDDOWN(EPSIS_RAW!F481,0)</f>
        <v>1985</v>
      </c>
      <c r="F481" s="55" t="str">
        <f t="shared" si="7"/>
        <v>480충주</v>
      </c>
    </row>
    <row r="482" spans="1:6">
      <c r="A482">
        <v>481</v>
      </c>
      <c r="B482" s="66" t="str">
        <f>EPSIS_RAW!H482</f>
        <v>수력</v>
      </c>
      <c r="C482" s="66" t="str">
        <f>EPSIS_RAW!B482</f>
        <v>충주</v>
      </c>
      <c r="D482" s="56">
        <f>(EPSIS_RAW!E482)*$H$2</f>
        <v>200</v>
      </c>
      <c r="E482" s="65">
        <f>ROUNDDOWN(EPSIS_RAW!F482,0)</f>
        <v>1985</v>
      </c>
      <c r="F482" s="55" t="str">
        <f t="shared" si="7"/>
        <v>481충주</v>
      </c>
    </row>
    <row r="483" spans="1:6">
      <c r="A483">
        <v>482</v>
      </c>
      <c r="B483" s="66" t="str">
        <f>EPSIS_RAW!H483</f>
        <v>수력</v>
      </c>
      <c r="C483" s="66" t="str">
        <f>EPSIS_RAW!B483</f>
        <v>충주</v>
      </c>
      <c r="D483" s="56">
        <f>(EPSIS_RAW!E483)*$H$2</f>
        <v>6</v>
      </c>
      <c r="E483" s="65">
        <f>ROUNDDOWN(EPSIS_RAW!F483,0)</f>
        <v>1985</v>
      </c>
      <c r="F483" s="55" t="str">
        <f t="shared" si="7"/>
        <v>482충주</v>
      </c>
    </row>
    <row r="484" spans="1:6">
      <c r="A484">
        <v>483</v>
      </c>
      <c r="B484" s="66" t="str">
        <f>EPSIS_RAW!H484</f>
        <v>수력</v>
      </c>
      <c r="C484" s="66" t="str">
        <f>EPSIS_RAW!B484</f>
        <v>충주</v>
      </c>
      <c r="D484" s="56">
        <f>(EPSIS_RAW!E484)*$H$2</f>
        <v>6</v>
      </c>
      <c r="E484" s="65">
        <f>ROUNDDOWN(EPSIS_RAW!F484,0)</f>
        <v>1985</v>
      </c>
      <c r="F484" s="55" t="str">
        <f t="shared" si="7"/>
        <v>483충주</v>
      </c>
    </row>
    <row r="485" spans="1:6">
      <c r="A485">
        <v>484</v>
      </c>
      <c r="B485" s="66" t="str">
        <f>EPSIS_RAW!H485</f>
        <v>소수력</v>
      </c>
      <c r="C485" s="66" t="str">
        <f>EPSIS_RAW!B485</f>
        <v>칠곡보</v>
      </c>
      <c r="D485" s="56">
        <f>(EPSIS_RAW!E485)*$H$2</f>
        <v>3</v>
      </c>
      <c r="E485" s="65">
        <f>ROUNDDOWN(EPSIS_RAW!F485,0)</f>
        <v>2012</v>
      </c>
      <c r="F485" s="55" t="str">
        <f t="shared" si="7"/>
        <v>484칠곡보</v>
      </c>
    </row>
    <row r="486" spans="1:6">
      <c r="A486">
        <v>485</v>
      </c>
      <c r="B486" s="66" t="str">
        <f>EPSIS_RAW!H486</f>
        <v>수력</v>
      </c>
      <c r="C486" s="66" t="str">
        <f>EPSIS_RAW!B486</f>
        <v>칠보</v>
      </c>
      <c r="D486" s="56">
        <f>(EPSIS_RAW!E486)*$H$2</f>
        <v>14.4</v>
      </c>
      <c r="E486" s="65">
        <f>ROUNDDOWN(EPSIS_RAW!F486,0)</f>
        <v>1945</v>
      </c>
      <c r="F486" s="55" t="str">
        <f t="shared" si="7"/>
        <v>485칠보</v>
      </c>
    </row>
    <row r="487" spans="1:6">
      <c r="A487">
        <v>486</v>
      </c>
      <c r="B487" s="66" t="str">
        <f>EPSIS_RAW!H487</f>
        <v>수력</v>
      </c>
      <c r="C487" s="66" t="str">
        <f>EPSIS_RAW!B487</f>
        <v>칠보</v>
      </c>
      <c r="D487" s="56">
        <f>(EPSIS_RAW!E487)*$H$2</f>
        <v>14.6</v>
      </c>
      <c r="E487" s="65">
        <f>ROUNDDOWN(EPSIS_RAW!F487,0)</f>
        <v>1965</v>
      </c>
      <c r="F487" s="55" t="str">
        <f t="shared" si="7"/>
        <v>486칠보</v>
      </c>
    </row>
    <row r="488" spans="1:6">
      <c r="A488">
        <v>487</v>
      </c>
      <c r="B488" s="66" t="str">
        <f>EPSIS_RAW!H488</f>
        <v>수력</v>
      </c>
      <c r="C488" s="66" t="str">
        <f>EPSIS_RAW!B488</f>
        <v>칠보</v>
      </c>
      <c r="D488" s="56">
        <f>(EPSIS_RAW!E488)*$H$2</f>
        <v>6</v>
      </c>
      <c r="E488" s="65">
        <f>ROUNDDOWN(EPSIS_RAW!F488,0)</f>
        <v>1985</v>
      </c>
      <c r="F488" s="55" t="str">
        <f t="shared" si="7"/>
        <v>487칠보</v>
      </c>
    </row>
    <row r="489" spans="1:6">
      <c r="A489">
        <v>488</v>
      </c>
      <c r="B489" s="66" t="str">
        <f>EPSIS_RAW!H489</f>
        <v>소수력</v>
      </c>
      <c r="C489" s="66" t="str">
        <f>EPSIS_RAW!B489</f>
        <v>탑정</v>
      </c>
      <c r="D489" s="56">
        <f>(EPSIS_RAW!E489)*$H$2</f>
        <v>0.32</v>
      </c>
      <c r="E489" s="65">
        <f>ROUNDDOWN(EPSIS_RAW!F489,0)</f>
        <v>2010</v>
      </c>
      <c r="F489" s="55" t="str">
        <f t="shared" si="7"/>
        <v>488탑정</v>
      </c>
    </row>
    <row r="490" spans="1:6">
      <c r="A490">
        <v>489</v>
      </c>
      <c r="B490" s="66" t="str">
        <f>EPSIS_RAW!H490</f>
        <v>소수력</v>
      </c>
      <c r="C490" s="66" t="str">
        <f>EPSIS_RAW!B490</f>
        <v>태안소수력</v>
      </c>
      <c r="D490" s="56">
        <f>(EPSIS_RAW!E490)*$H$2</f>
        <v>2.2000000000000002</v>
      </c>
      <c r="E490" s="65">
        <f>ROUNDDOWN(EPSIS_RAW!F490,0)</f>
        <v>2008</v>
      </c>
      <c r="F490" s="55" t="str">
        <f t="shared" si="7"/>
        <v>489태안소수력</v>
      </c>
    </row>
    <row r="491" spans="1:6">
      <c r="A491">
        <v>490</v>
      </c>
      <c r="B491" s="66" t="str">
        <f>EPSIS_RAW!H491</f>
        <v>소수력</v>
      </c>
      <c r="C491" s="66" t="str">
        <f>EPSIS_RAW!B491</f>
        <v>토평</v>
      </c>
      <c r="D491" s="56">
        <f>(EPSIS_RAW!E491)*$H$2</f>
        <v>4.4999999999999998E-2</v>
      </c>
      <c r="E491" s="65">
        <f>ROUNDDOWN(EPSIS_RAW!F491,0)</f>
        <v>2011</v>
      </c>
      <c r="F491" s="55" t="str">
        <f t="shared" si="7"/>
        <v>490토평</v>
      </c>
    </row>
    <row r="492" spans="1:6">
      <c r="A492">
        <v>491</v>
      </c>
      <c r="B492" s="66" t="str">
        <f>EPSIS_RAW!H492</f>
        <v>소수력</v>
      </c>
      <c r="C492" s="66" t="str">
        <f>EPSIS_RAW!B492</f>
        <v>판교가압장</v>
      </c>
      <c r="D492" s="56">
        <f>(EPSIS_RAW!E492)*$H$2</f>
        <v>0.2</v>
      </c>
      <c r="E492" s="65">
        <f>ROUNDDOWN(EPSIS_RAW!F492,0)</f>
        <v>2011</v>
      </c>
      <c r="F492" s="55" t="str">
        <f t="shared" si="7"/>
        <v>491판교가압장</v>
      </c>
    </row>
    <row r="493" spans="1:6">
      <c r="A493">
        <v>492</v>
      </c>
      <c r="B493" s="66" t="str">
        <f>EPSIS_RAW!H493</f>
        <v>수력</v>
      </c>
      <c r="C493" s="66" t="str">
        <f>EPSIS_RAW!B493</f>
        <v>팔당</v>
      </c>
      <c r="D493" s="56">
        <f>(EPSIS_RAW!E493)*$H$2</f>
        <v>120</v>
      </c>
      <c r="E493" s="65">
        <f>ROUNDDOWN(EPSIS_RAW!F493,0)</f>
        <v>1973</v>
      </c>
      <c r="F493" s="55" t="str">
        <f t="shared" si="7"/>
        <v>492팔당</v>
      </c>
    </row>
    <row r="494" spans="1:6">
      <c r="A494">
        <v>493</v>
      </c>
      <c r="B494" s="66" t="str">
        <f>EPSIS_RAW!H494</f>
        <v>수력</v>
      </c>
      <c r="C494" s="66" t="str">
        <f>EPSIS_RAW!B494</f>
        <v>팔당</v>
      </c>
      <c r="D494" s="56">
        <f>(EPSIS_RAW!E494)*$H$2</f>
        <v>120</v>
      </c>
      <c r="E494" s="65">
        <f>ROUNDDOWN(EPSIS_RAW!F494,0)</f>
        <v>1973</v>
      </c>
      <c r="F494" s="55" t="str">
        <f t="shared" si="7"/>
        <v>493팔당</v>
      </c>
    </row>
    <row r="495" spans="1:6">
      <c r="A495">
        <v>494</v>
      </c>
      <c r="B495" s="66" t="str">
        <f>EPSIS_RAW!H495</f>
        <v>소수력</v>
      </c>
      <c r="C495" s="66" t="str">
        <f>EPSIS_RAW!B495</f>
        <v>하동호</v>
      </c>
      <c r="D495" s="56">
        <f>(EPSIS_RAW!E495)*$H$2</f>
        <v>0.82500000000000007</v>
      </c>
      <c r="E495" s="65">
        <f>ROUNDDOWN(EPSIS_RAW!F495,0)</f>
        <v>2006</v>
      </c>
      <c r="F495" s="55" t="str">
        <f t="shared" si="7"/>
        <v>494하동호</v>
      </c>
    </row>
    <row r="496" spans="1:6">
      <c r="A496">
        <v>495</v>
      </c>
      <c r="B496" s="66" t="str">
        <f>EPSIS_RAW!H496</f>
        <v>해양에너지</v>
      </c>
      <c r="C496" s="66" t="str">
        <f>EPSIS_RAW!B496</f>
        <v>한국해양울돌목조류</v>
      </c>
      <c r="D496" s="56">
        <f>(EPSIS_RAW!E496)*$H$2</f>
        <v>1</v>
      </c>
      <c r="E496" s="65">
        <f>ROUNDDOWN(EPSIS_RAW!F496,0)</f>
        <v>2009</v>
      </c>
      <c r="F496" s="55" t="str">
        <f t="shared" si="7"/>
        <v>495한국해양울돌목조류</v>
      </c>
    </row>
    <row r="497" spans="1:6">
      <c r="A497">
        <v>496</v>
      </c>
      <c r="B497" s="66" t="str">
        <f>EPSIS_RAW!H497</f>
        <v>소수력</v>
      </c>
      <c r="C497" s="66" t="str">
        <f>EPSIS_RAW!B497</f>
        <v>한석</v>
      </c>
      <c r="D497" s="56">
        <f>(EPSIS_RAW!E497)*$H$2</f>
        <v>2.214</v>
      </c>
      <c r="E497" s="65">
        <f>ROUNDDOWN(EPSIS_RAW!F497,0)</f>
        <v>1989</v>
      </c>
      <c r="F497" s="55" t="str">
        <f t="shared" si="7"/>
        <v>496한석</v>
      </c>
    </row>
    <row r="498" spans="1:6">
      <c r="A498">
        <v>497</v>
      </c>
      <c r="B498" s="66" t="str">
        <f>EPSIS_RAW!H498</f>
        <v>소수력</v>
      </c>
      <c r="C498" s="66" t="str">
        <f>EPSIS_RAW!B498</f>
        <v>함안보</v>
      </c>
      <c r="D498" s="56">
        <f>(EPSIS_RAW!E498)*$H$2</f>
        <v>5</v>
      </c>
      <c r="E498" s="65">
        <f>ROUNDDOWN(EPSIS_RAW!F498,0)</f>
        <v>2012</v>
      </c>
      <c r="F498" s="55" t="str">
        <f t="shared" si="7"/>
        <v>497함안보</v>
      </c>
    </row>
    <row r="499" spans="1:6">
      <c r="A499">
        <v>498</v>
      </c>
      <c r="B499" s="66" t="str">
        <f>EPSIS_RAW!H499</f>
        <v>수력</v>
      </c>
      <c r="C499" s="66" t="str">
        <f>EPSIS_RAW!B499</f>
        <v>합천</v>
      </c>
      <c r="D499" s="56">
        <f>(EPSIS_RAW!E499)*$H$2</f>
        <v>100</v>
      </c>
      <c r="E499" s="65">
        <f>ROUNDDOWN(EPSIS_RAW!F499,0)</f>
        <v>1989</v>
      </c>
      <c r="F499" s="55" t="str">
        <f t="shared" si="7"/>
        <v>498합천</v>
      </c>
    </row>
    <row r="500" spans="1:6">
      <c r="A500">
        <v>499</v>
      </c>
      <c r="B500" s="66" t="str">
        <f>EPSIS_RAW!H500</f>
        <v>소수력</v>
      </c>
      <c r="C500" s="66" t="str">
        <f>EPSIS_RAW!B500</f>
        <v>합천·창녕보</v>
      </c>
      <c r="D500" s="56">
        <f>(EPSIS_RAW!E500)*$H$2</f>
        <v>5</v>
      </c>
      <c r="E500" s="65">
        <f>ROUNDDOWN(EPSIS_RAW!F500,0)</f>
        <v>2012</v>
      </c>
      <c r="F500" s="55" t="str">
        <f t="shared" si="7"/>
        <v>499합천·창녕보</v>
      </c>
    </row>
    <row r="501" spans="1:6">
      <c r="A501">
        <v>500</v>
      </c>
      <c r="B501" s="66" t="str">
        <f>EPSIS_RAW!H501</f>
        <v>소수력</v>
      </c>
      <c r="C501" s="66" t="str">
        <f>EPSIS_RAW!B501</f>
        <v>합천2수력</v>
      </c>
      <c r="D501" s="56">
        <f>(EPSIS_RAW!E501)*$H$2</f>
        <v>1.8</v>
      </c>
      <c r="E501" s="65">
        <f>ROUNDDOWN(EPSIS_RAW!F501,0)</f>
        <v>2017</v>
      </c>
      <c r="F501" s="55" t="str">
        <f t="shared" si="7"/>
        <v>500합천2수력</v>
      </c>
    </row>
    <row r="502" spans="1:6">
      <c r="A502">
        <v>501</v>
      </c>
      <c r="B502" s="66" t="str">
        <f>EPSIS_RAW!H502</f>
        <v>소수력</v>
      </c>
      <c r="C502" s="66" t="str">
        <f>EPSIS_RAW!B502</f>
        <v>행원</v>
      </c>
      <c r="D502" s="56">
        <f>(EPSIS_RAW!E502)*$H$2</f>
        <v>0.06</v>
      </c>
      <c r="E502" s="65">
        <f>ROUNDDOWN(EPSIS_RAW!F502,0)</f>
        <v>2010</v>
      </c>
      <c r="F502" s="55" t="str">
        <f t="shared" si="7"/>
        <v>501행원</v>
      </c>
    </row>
    <row r="503" spans="1:6">
      <c r="A503">
        <v>502</v>
      </c>
      <c r="B503" s="66" t="str">
        <f>EPSIS_RAW!H503</f>
        <v>소수력</v>
      </c>
      <c r="C503" s="66" t="str">
        <f>EPSIS_RAW!B503</f>
        <v>홍익동진</v>
      </c>
      <c r="D503" s="56">
        <f>(EPSIS_RAW!E503)*$H$2</f>
        <v>0.85</v>
      </c>
      <c r="E503" s="65">
        <f>ROUNDDOWN(EPSIS_RAW!F503,0)</f>
        <v>2008</v>
      </c>
      <c r="F503" s="55" t="str">
        <f t="shared" si="7"/>
        <v>502홍익동진</v>
      </c>
    </row>
    <row r="504" spans="1:6">
      <c r="A504">
        <v>503</v>
      </c>
      <c r="B504" s="66" t="str">
        <f>EPSIS_RAW!H504</f>
        <v>수력</v>
      </c>
      <c r="C504" s="66" t="str">
        <f>EPSIS_RAW!B504</f>
        <v>화천</v>
      </c>
      <c r="D504" s="56">
        <f>(EPSIS_RAW!E504)*$H$2</f>
        <v>54</v>
      </c>
      <c r="E504" s="65">
        <f>ROUNDDOWN(EPSIS_RAW!F504,0)</f>
        <v>1944</v>
      </c>
      <c r="F504" s="55" t="str">
        <f t="shared" si="7"/>
        <v>503화천</v>
      </c>
    </row>
    <row r="505" spans="1:6">
      <c r="A505">
        <v>504</v>
      </c>
      <c r="B505" s="66" t="str">
        <f>EPSIS_RAW!H505</f>
        <v>수력</v>
      </c>
      <c r="C505" s="66" t="str">
        <f>EPSIS_RAW!B505</f>
        <v>화천</v>
      </c>
      <c r="D505" s="56">
        <f>(EPSIS_RAW!E505)*$H$2</f>
        <v>27</v>
      </c>
      <c r="E505" s="65">
        <f>ROUNDDOWN(EPSIS_RAW!F505,0)</f>
        <v>1957</v>
      </c>
      <c r="F505" s="55" t="str">
        <f t="shared" si="7"/>
        <v>504화천</v>
      </c>
    </row>
    <row r="506" spans="1:6">
      <c r="A506">
        <v>505</v>
      </c>
      <c r="B506" s="66" t="str">
        <f>EPSIS_RAW!H506</f>
        <v>수력</v>
      </c>
      <c r="C506" s="66" t="str">
        <f>EPSIS_RAW!B506</f>
        <v>화천</v>
      </c>
      <c r="D506" s="56">
        <f>(EPSIS_RAW!E506)*$H$2</f>
        <v>27</v>
      </c>
      <c r="E506" s="65">
        <f>ROUNDDOWN(EPSIS_RAW!F506,0)</f>
        <v>1968</v>
      </c>
      <c r="F506" s="55" t="str">
        <f t="shared" si="7"/>
        <v>505화천</v>
      </c>
    </row>
    <row r="507" spans="1:6">
      <c r="A507">
        <v>506</v>
      </c>
      <c r="B507" s="66" t="str">
        <f>EPSIS_RAW!H507</f>
        <v>소수력</v>
      </c>
      <c r="C507" s="66" t="str">
        <f>EPSIS_RAW!B507</f>
        <v>회동댐</v>
      </c>
      <c r="D507" s="56">
        <f>(EPSIS_RAW!E507)*$H$2</f>
        <v>5.5E-2</v>
      </c>
      <c r="E507" s="65">
        <f>ROUNDDOWN(EPSIS_RAW!F507,0)</f>
        <v>2012</v>
      </c>
      <c r="F507" s="55" t="str">
        <f t="shared" si="7"/>
        <v>506회동댐</v>
      </c>
    </row>
    <row r="508" spans="1:6">
      <c r="A508">
        <v>507</v>
      </c>
      <c r="B508" s="66" t="str">
        <f>EPSIS_RAW!H508</f>
        <v>소수력</v>
      </c>
      <c r="C508" s="66" t="str">
        <f>EPSIS_RAW!B508</f>
        <v>횡성</v>
      </c>
      <c r="D508" s="56">
        <f>(EPSIS_RAW!E508)*$H$2</f>
        <v>1</v>
      </c>
      <c r="E508" s="65">
        <f>ROUNDDOWN(EPSIS_RAW!F508,0)</f>
        <v>2000</v>
      </c>
      <c r="F508" s="55" t="str">
        <f t="shared" si="7"/>
        <v>507횡성</v>
      </c>
    </row>
    <row r="509" spans="1:6">
      <c r="A509">
        <v>508</v>
      </c>
      <c r="B509" s="66" t="str">
        <f>EPSIS_RAW!H509</f>
        <v>소수력</v>
      </c>
      <c r="C509" s="66" t="str">
        <f>EPSIS_RAW!B509</f>
        <v>횡성댐2</v>
      </c>
      <c r="D509" s="56">
        <f>(EPSIS_RAW!E509)*$H$2</f>
        <v>0.3</v>
      </c>
      <c r="E509" s="65">
        <f>ROUNDDOWN(EPSIS_RAW!F509,0)</f>
        <v>2011</v>
      </c>
      <c r="F509" s="55" t="str">
        <f t="shared" si="7"/>
        <v>508횡성댐2</v>
      </c>
    </row>
    <row r="510" spans="1:6">
      <c r="A510">
        <v>509</v>
      </c>
      <c r="B510" s="66" t="str">
        <f>EPSIS_RAW!H510</f>
        <v>농축U</v>
      </c>
      <c r="C510" s="66" t="str">
        <f>EPSIS_RAW!B510</f>
        <v>고 리 #2</v>
      </c>
      <c r="D510" s="56">
        <f>(EPSIS_RAW!E510)*$H$2</f>
        <v>650</v>
      </c>
      <c r="E510" s="65">
        <f>ROUNDDOWN(EPSIS_RAW!F510,0)</f>
        <v>1983</v>
      </c>
      <c r="F510" s="55" t="str">
        <f t="shared" si="7"/>
        <v>509고 리 #2</v>
      </c>
    </row>
    <row r="511" spans="1:6">
      <c r="A511">
        <v>510</v>
      </c>
      <c r="B511" s="66" t="str">
        <f>EPSIS_RAW!H511</f>
        <v>농축U</v>
      </c>
      <c r="C511" s="66" t="str">
        <f>EPSIS_RAW!B511</f>
        <v>고 리 #3</v>
      </c>
      <c r="D511" s="56">
        <f>(EPSIS_RAW!E511)*$H$2</f>
        <v>950</v>
      </c>
      <c r="E511" s="65">
        <f>ROUNDDOWN(EPSIS_RAW!F511,0)</f>
        <v>1985</v>
      </c>
      <c r="F511" s="55" t="str">
        <f t="shared" si="7"/>
        <v>510고 리 #3</v>
      </c>
    </row>
    <row r="512" spans="1:6">
      <c r="A512">
        <v>511</v>
      </c>
      <c r="B512" s="66" t="str">
        <f>EPSIS_RAW!H512</f>
        <v>농축U</v>
      </c>
      <c r="C512" s="66" t="str">
        <f>EPSIS_RAW!B512</f>
        <v>고 리 #4</v>
      </c>
      <c r="D512" s="56">
        <f>(EPSIS_RAW!E512)*$H$2</f>
        <v>950</v>
      </c>
      <c r="E512" s="65">
        <f>ROUNDDOWN(EPSIS_RAW!F512,0)</f>
        <v>1986</v>
      </c>
      <c r="F512" s="55" t="str">
        <f t="shared" si="7"/>
        <v>511고 리 #4</v>
      </c>
    </row>
    <row r="513" spans="1:6">
      <c r="A513">
        <v>512</v>
      </c>
      <c r="B513" s="66" t="str">
        <f>EPSIS_RAW!H513</f>
        <v>농축U</v>
      </c>
      <c r="C513" s="66" t="str">
        <f>EPSIS_RAW!B513</f>
        <v>신고리#1</v>
      </c>
      <c r="D513" s="56">
        <f>(EPSIS_RAW!E513)*$H$2</f>
        <v>1000</v>
      </c>
      <c r="E513" s="65">
        <f>ROUNDDOWN(EPSIS_RAW!F513,0)</f>
        <v>2011</v>
      </c>
      <c r="F513" s="55" t="str">
        <f t="shared" si="7"/>
        <v>512신고리#1</v>
      </c>
    </row>
    <row r="514" spans="1:6">
      <c r="A514">
        <v>513</v>
      </c>
      <c r="B514" s="66" t="str">
        <f>EPSIS_RAW!H514</f>
        <v>농축U</v>
      </c>
      <c r="C514" s="66" t="str">
        <f>EPSIS_RAW!B514</f>
        <v>신고리#2</v>
      </c>
      <c r="D514" s="56">
        <f>(EPSIS_RAW!E514)*$H$2</f>
        <v>1000</v>
      </c>
      <c r="E514" s="65">
        <f>ROUNDDOWN(EPSIS_RAW!F514,0)</f>
        <v>2012</v>
      </c>
      <c r="F514" s="55" t="str">
        <f t="shared" si="7"/>
        <v>513신고리#2</v>
      </c>
    </row>
    <row r="515" spans="1:6">
      <c r="A515">
        <v>514</v>
      </c>
      <c r="B515" s="66" t="str">
        <f>EPSIS_RAW!H515</f>
        <v>농축U</v>
      </c>
      <c r="C515" s="66" t="str">
        <f>EPSIS_RAW!B515</f>
        <v>신고리#3</v>
      </c>
      <c r="D515" s="56">
        <f>(EPSIS_RAW!E515)*$H$2</f>
        <v>1400</v>
      </c>
      <c r="E515" s="65">
        <f>ROUNDDOWN(EPSIS_RAW!F515,0)</f>
        <v>2016</v>
      </c>
      <c r="F515" s="55" t="str">
        <f t="shared" ref="F515:F578" si="8">A515&amp;C515</f>
        <v>514신고리#3</v>
      </c>
    </row>
    <row r="516" spans="1:6">
      <c r="A516">
        <v>515</v>
      </c>
      <c r="B516" s="66" t="str">
        <f>EPSIS_RAW!H516</f>
        <v>농축U</v>
      </c>
      <c r="C516" s="66" t="str">
        <f>EPSIS_RAW!B516</f>
        <v>신고리#4</v>
      </c>
      <c r="D516" s="56">
        <f>(EPSIS_RAW!E516)*$H$2</f>
        <v>1400</v>
      </c>
      <c r="E516" s="65">
        <f>ROUNDDOWN(EPSIS_RAW!F516,0)</f>
        <v>2019</v>
      </c>
      <c r="F516" s="55" t="str">
        <f t="shared" si="8"/>
        <v>515신고리#4</v>
      </c>
    </row>
    <row r="517" spans="1:6">
      <c r="A517">
        <v>516</v>
      </c>
      <c r="B517" s="66" t="str">
        <f>EPSIS_RAW!H517</f>
        <v>농축U</v>
      </c>
      <c r="C517" s="66" t="str">
        <f>EPSIS_RAW!B517</f>
        <v>신월성#1</v>
      </c>
      <c r="D517" s="56">
        <f>(EPSIS_RAW!E517)*$H$2</f>
        <v>1000</v>
      </c>
      <c r="E517" s="65">
        <f>ROUNDDOWN(EPSIS_RAW!F517,0)</f>
        <v>2012</v>
      </c>
      <c r="F517" s="55" t="str">
        <f t="shared" si="8"/>
        <v>516신월성#1</v>
      </c>
    </row>
    <row r="518" spans="1:6">
      <c r="A518">
        <v>517</v>
      </c>
      <c r="B518" s="66" t="str">
        <f>EPSIS_RAW!H518</f>
        <v>농축U</v>
      </c>
      <c r="C518" s="66" t="str">
        <f>EPSIS_RAW!B518</f>
        <v>신월성#2</v>
      </c>
      <c r="D518" s="56">
        <f>(EPSIS_RAW!E518)*$H$2</f>
        <v>1000</v>
      </c>
      <c r="E518" s="65">
        <f>ROUNDDOWN(EPSIS_RAW!F518,0)</f>
        <v>2015</v>
      </c>
      <c r="F518" s="55" t="str">
        <f t="shared" si="8"/>
        <v>517신월성#2</v>
      </c>
    </row>
    <row r="519" spans="1:6">
      <c r="A519">
        <v>518</v>
      </c>
      <c r="B519" s="66" t="str">
        <f>EPSIS_RAW!H519</f>
        <v>농축U</v>
      </c>
      <c r="C519" s="66" t="str">
        <f>EPSIS_RAW!B519</f>
        <v>신한울 #1</v>
      </c>
      <c r="D519" s="56">
        <f>(EPSIS_RAW!E519)*$H$2</f>
        <v>1400</v>
      </c>
      <c r="E519" s="65">
        <f>ROUNDDOWN(EPSIS_RAW!F519,0)</f>
        <v>2022</v>
      </c>
      <c r="F519" s="55" t="str">
        <f t="shared" si="8"/>
        <v>518신한울 #1</v>
      </c>
    </row>
    <row r="520" spans="1:6">
      <c r="A520">
        <v>519</v>
      </c>
      <c r="B520" s="66" t="str">
        <f>EPSIS_RAW!H520</f>
        <v>천연U</v>
      </c>
      <c r="C520" s="66" t="str">
        <f>EPSIS_RAW!B520</f>
        <v>월 성 #2</v>
      </c>
      <c r="D520" s="56">
        <f>(EPSIS_RAW!E520)*$H$2</f>
        <v>700</v>
      </c>
      <c r="E520" s="65">
        <f>ROUNDDOWN(EPSIS_RAW!F520,0)</f>
        <v>1997</v>
      </c>
      <c r="F520" s="55" t="str">
        <f t="shared" si="8"/>
        <v>519월 성 #2</v>
      </c>
    </row>
    <row r="521" spans="1:6">
      <c r="A521">
        <v>520</v>
      </c>
      <c r="B521" s="66" t="str">
        <f>EPSIS_RAW!H521</f>
        <v>천연U</v>
      </c>
      <c r="C521" s="66" t="str">
        <f>EPSIS_RAW!B521</f>
        <v>월 성 #3</v>
      </c>
      <c r="D521" s="56">
        <f>(EPSIS_RAW!E521)*$H$2</f>
        <v>700</v>
      </c>
      <c r="E521" s="65">
        <f>ROUNDDOWN(EPSIS_RAW!F521,0)</f>
        <v>1998</v>
      </c>
      <c r="F521" s="55" t="str">
        <f t="shared" si="8"/>
        <v>520월 성 #3</v>
      </c>
    </row>
    <row r="522" spans="1:6">
      <c r="A522">
        <v>521</v>
      </c>
      <c r="B522" s="66" t="str">
        <f>EPSIS_RAW!H522</f>
        <v>천연U</v>
      </c>
      <c r="C522" s="66" t="str">
        <f>EPSIS_RAW!B522</f>
        <v>월 성 #4</v>
      </c>
      <c r="D522" s="56">
        <f>(EPSIS_RAW!E522)*$H$2</f>
        <v>700</v>
      </c>
      <c r="E522" s="65">
        <f>ROUNDDOWN(EPSIS_RAW!F522,0)</f>
        <v>1999</v>
      </c>
      <c r="F522" s="55" t="str">
        <f t="shared" si="8"/>
        <v>521월 성 #4</v>
      </c>
    </row>
    <row r="523" spans="1:6">
      <c r="A523">
        <v>522</v>
      </c>
      <c r="B523" s="66" t="str">
        <f>EPSIS_RAW!H523</f>
        <v>농축U</v>
      </c>
      <c r="C523" s="66" t="str">
        <f>EPSIS_RAW!B523</f>
        <v>한 빛 #1</v>
      </c>
      <c r="D523" s="56">
        <f>(EPSIS_RAW!E523)*$H$2</f>
        <v>950</v>
      </c>
      <c r="E523" s="65">
        <f>ROUNDDOWN(EPSIS_RAW!F523,0)</f>
        <v>1986</v>
      </c>
      <c r="F523" s="55" t="str">
        <f t="shared" si="8"/>
        <v>522한 빛 #1</v>
      </c>
    </row>
    <row r="524" spans="1:6">
      <c r="A524">
        <v>523</v>
      </c>
      <c r="B524" s="66" t="str">
        <f>EPSIS_RAW!H524</f>
        <v>농축U</v>
      </c>
      <c r="C524" s="66" t="str">
        <f>EPSIS_RAW!B524</f>
        <v>한 빛 #2</v>
      </c>
      <c r="D524" s="56">
        <f>(EPSIS_RAW!E524)*$H$2</f>
        <v>950</v>
      </c>
      <c r="E524" s="65">
        <f>ROUNDDOWN(EPSIS_RAW!F524,0)</f>
        <v>1987</v>
      </c>
      <c r="F524" s="55" t="str">
        <f t="shared" si="8"/>
        <v>523한 빛 #2</v>
      </c>
    </row>
    <row r="525" spans="1:6">
      <c r="A525">
        <v>524</v>
      </c>
      <c r="B525" s="66" t="str">
        <f>EPSIS_RAW!H525</f>
        <v>농축U</v>
      </c>
      <c r="C525" s="66" t="str">
        <f>EPSIS_RAW!B525</f>
        <v>한 빛 #3</v>
      </c>
      <c r="D525" s="56">
        <f>(EPSIS_RAW!E525)*$H$2</f>
        <v>1000</v>
      </c>
      <c r="E525" s="65">
        <f>ROUNDDOWN(EPSIS_RAW!F525,0)</f>
        <v>1995</v>
      </c>
      <c r="F525" s="55" t="str">
        <f t="shared" si="8"/>
        <v>524한 빛 #3</v>
      </c>
    </row>
    <row r="526" spans="1:6">
      <c r="A526">
        <v>525</v>
      </c>
      <c r="B526" s="66" t="str">
        <f>EPSIS_RAW!H526</f>
        <v>농축U</v>
      </c>
      <c r="C526" s="66" t="str">
        <f>EPSIS_RAW!B526</f>
        <v>한 빛 #4</v>
      </c>
      <c r="D526" s="56">
        <f>(EPSIS_RAW!E526)*$H$2</f>
        <v>1000</v>
      </c>
      <c r="E526" s="65">
        <f>ROUNDDOWN(EPSIS_RAW!F526,0)</f>
        <v>1996</v>
      </c>
      <c r="F526" s="55" t="str">
        <f t="shared" si="8"/>
        <v>525한 빛 #4</v>
      </c>
    </row>
    <row r="527" spans="1:6">
      <c r="A527">
        <v>526</v>
      </c>
      <c r="B527" s="66" t="str">
        <f>EPSIS_RAW!H527</f>
        <v>농축U</v>
      </c>
      <c r="C527" s="66" t="str">
        <f>EPSIS_RAW!B527</f>
        <v>한 빛 #5</v>
      </c>
      <c r="D527" s="56">
        <f>(EPSIS_RAW!E527)*$H$2</f>
        <v>1000</v>
      </c>
      <c r="E527" s="65">
        <f>ROUNDDOWN(EPSIS_RAW!F527,0)</f>
        <v>2002</v>
      </c>
      <c r="F527" s="55" t="str">
        <f t="shared" si="8"/>
        <v>526한 빛 #5</v>
      </c>
    </row>
    <row r="528" spans="1:6">
      <c r="A528">
        <v>527</v>
      </c>
      <c r="B528" s="66" t="str">
        <f>EPSIS_RAW!H528</f>
        <v>농축U</v>
      </c>
      <c r="C528" s="66" t="str">
        <f>EPSIS_RAW!B528</f>
        <v>한 빛 #6</v>
      </c>
      <c r="D528" s="56">
        <f>(EPSIS_RAW!E528)*$H$2</f>
        <v>1000</v>
      </c>
      <c r="E528" s="65">
        <f>ROUNDDOWN(EPSIS_RAW!F528,0)</f>
        <v>2002</v>
      </c>
      <c r="F528" s="55" t="str">
        <f t="shared" si="8"/>
        <v>527한 빛 #6</v>
      </c>
    </row>
    <row r="529" spans="1:6">
      <c r="A529">
        <v>528</v>
      </c>
      <c r="B529" s="66" t="str">
        <f>EPSIS_RAW!H529</f>
        <v>농축U</v>
      </c>
      <c r="C529" s="66" t="str">
        <f>EPSIS_RAW!B529</f>
        <v>한 울 #1</v>
      </c>
      <c r="D529" s="56">
        <f>(EPSIS_RAW!E529)*$H$2</f>
        <v>950</v>
      </c>
      <c r="E529" s="65">
        <f>ROUNDDOWN(EPSIS_RAW!F529,0)</f>
        <v>1988</v>
      </c>
      <c r="F529" s="55" t="str">
        <f t="shared" si="8"/>
        <v>528한 울 #1</v>
      </c>
    </row>
    <row r="530" spans="1:6">
      <c r="A530">
        <v>529</v>
      </c>
      <c r="B530" s="66" t="str">
        <f>EPSIS_RAW!H530</f>
        <v>농축U</v>
      </c>
      <c r="C530" s="66" t="str">
        <f>EPSIS_RAW!B530</f>
        <v>한 울 #2</v>
      </c>
      <c r="D530" s="56">
        <f>(EPSIS_RAW!E530)*$H$2</f>
        <v>950</v>
      </c>
      <c r="E530" s="65">
        <f>ROUNDDOWN(EPSIS_RAW!F530,0)</f>
        <v>1989</v>
      </c>
      <c r="F530" s="55" t="str">
        <f t="shared" si="8"/>
        <v>529한 울 #2</v>
      </c>
    </row>
    <row r="531" spans="1:6">
      <c r="A531">
        <v>530</v>
      </c>
      <c r="B531" s="66" t="str">
        <f>EPSIS_RAW!H531</f>
        <v>농축U</v>
      </c>
      <c r="C531" s="66" t="str">
        <f>EPSIS_RAW!B531</f>
        <v>한 울 #3</v>
      </c>
      <c r="D531" s="56">
        <f>(EPSIS_RAW!E531)*$H$2</f>
        <v>1000</v>
      </c>
      <c r="E531" s="65">
        <f>ROUNDDOWN(EPSIS_RAW!F531,0)</f>
        <v>1998</v>
      </c>
      <c r="F531" s="55" t="str">
        <f t="shared" si="8"/>
        <v>530한 울 #3</v>
      </c>
    </row>
    <row r="532" spans="1:6">
      <c r="A532">
        <v>531</v>
      </c>
      <c r="B532" s="66" t="str">
        <f>EPSIS_RAW!H532</f>
        <v>농축U</v>
      </c>
      <c r="C532" s="66" t="str">
        <f>EPSIS_RAW!B532</f>
        <v>한 울 #4</v>
      </c>
      <c r="D532" s="56">
        <f>(EPSIS_RAW!E532)*$H$2</f>
        <v>1000</v>
      </c>
      <c r="E532" s="65">
        <f>ROUNDDOWN(EPSIS_RAW!F532,0)</f>
        <v>1999</v>
      </c>
      <c r="F532" s="55" t="str">
        <f t="shared" si="8"/>
        <v>531한 울 #4</v>
      </c>
    </row>
    <row r="533" spans="1:6">
      <c r="A533">
        <v>532</v>
      </c>
      <c r="B533" s="66" t="str">
        <f>EPSIS_RAW!H533</f>
        <v>농축U</v>
      </c>
      <c r="C533" s="66" t="str">
        <f>EPSIS_RAW!B533</f>
        <v>한 울 #5</v>
      </c>
      <c r="D533" s="56">
        <f>(EPSIS_RAW!E533)*$H$2</f>
        <v>1000</v>
      </c>
      <c r="E533" s="65">
        <f>ROUNDDOWN(EPSIS_RAW!F533,0)</f>
        <v>2004</v>
      </c>
      <c r="F533" s="55" t="str">
        <f t="shared" si="8"/>
        <v>532한 울 #5</v>
      </c>
    </row>
    <row r="534" spans="1:6">
      <c r="A534">
        <v>533</v>
      </c>
      <c r="B534" s="66" t="str">
        <f>EPSIS_RAW!H534</f>
        <v>농축U</v>
      </c>
      <c r="C534" s="66" t="str">
        <f>EPSIS_RAW!B534</f>
        <v>한 울 #6</v>
      </c>
      <c r="D534" s="56">
        <f>(EPSIS_RAW!E534)*$H$2</f>
        <v>1000</v>
      </c>
      <c r="E534" s="65">
        <f>ROUNDDOWN(EPSIS_RAW!F534,0)</f>
        <v>2005</v>
      </c>
      <c r="F534" s="55" t="str">
        <f t="shared" si="8"/>
        <v>533한 울 #6</v>
      </c>
    </row>
    <row r="535" spans="1:6">
      <c r="A535">
        <v>534</v>
      </c>
      <c r="B535" s="66" t="str">
        <f>EPSIS_RAW!H535</f>
        <v>역청탄</v>
      </c>
      <c r="C535" s="66" t="str">
        <f>EPSIS_RAW!B535</f>
        <v>SGC에너지#1</v>
      </c>
      <c r="D535" s="56">
        <f>(EPSIS_RAW!E535)*$H$2</f>
        <v>54.529000000000003</v>
      </c>
      <c r="E535" s="65">
        <f>ROUNDDOWN(EPSIS_RAW!F535,0)</f>
        <v>2008</v>
      </c>
      <c r="F535" s="55" t="str">
        <f t="shared" si="8"/>
        <v>534SGC에너지#1</v>
      </c>
    </row>
    <row r="536" spans="1:6">
      <c r="A536">
        <v>535</v>
      </c>
      <c r="B536" s="66" t="str">
        <f>EPSIS_RAW!H536</f>
        <v>역청탄</v>
      </c>
      <c r="C536" s="66" t="str">
        <f>EPSIS_RAW!B536</f>
        <v>SGC에너지#2</v>
      </c>
      <c r="D536" s="56">
        <f>(EPSIS_RAW!E536)*$H$2</f>
        <v>30.54</v>
      </c>
      <c r="E536" s="65">
        <f>ROUNDDOWN(EPSIS_RAW!F536,0)</f>
        <v>2009</v>
      </c>
      <c r="F536" s="55" t="str">
        <f t="shared" si="8"/>
        <v>535SGC에너지#2</v>
      </c>
    </row>
    <row r="537" spans="1:6">
      <c r="A537">
        <v>536</v>
      </c>
      <c r="B537" s="66" t="str">
        <f>EPSIS_RAW!H537</f>
        <v>기타</v>
      </c>
      <c r="C537" s="66" t="str">
        <f>EPSIS_RAW!B537</f>
        <v>SGC에너지#3</v>
      </c>
      <c r="D537" s="56">
        <f>(EPSIS_RAW!E537)*$H$2</f>
        <v>60</v>
      </c>
      <c r="E537" s="65">
        <f>ROUNDDOWN(EPSIS_RAW!F537,0)</f>
        <v>2014</v>
      </c>
      <c r="F537" s="55" t="str">
        <f t="shared" si="8"/>
        <v>536SGC에너지#3</v>
      </c>
    </row>
    <row r="538" spans="1:6">
      <c r="A538">
        <v>537</v>
      </c>
      <c r="B538" s="66" t="str">
        <f>EPSIS_RAW!H538</f>
        <v>유연탄</v>
      </c>
      <c r="C538" s="66" t="str">
        <f>EPSIS_RAW!B538</f>
        <v>SGC에너지#4</v>
      </c>
      <c r="D538" s="56">
        <f>(EPSIS_RAW!E538)*$H$2</f>
        <v>250</v>
      </c>
      <c r="E538" s="65">
        <f>ROUNDDOWN(EPSIS_RAW!F538,0)</f>
        <v>2016</v>
      </c>
      <c r="F538" s="55" t="str">
        <f t="shared" si="8"/>
        <v>537SGC에너지#4</v>
      </c>
    </row>
    <row r="539" spans="1:6">
      <c r="A539">
        <v>538</v>
      </c>
      <c r="B539" s="66" t="str">
        <f>EPSIS_RAW!H539</f>
        <v>유연탄</v>
      </c>
      <c r="C539" s="66" t="str">
        <f>EPSIS_RAW!B539</f>
        <v>SGC에너지#5</v>
      </c>
      <c r="D539" s="56">
        <f>(EPSIS_RAW!E539)*$H$2</f>
        <v>28.5</v>
      </c>
      <c r="E539" s="65">
        <f>ROUNDDOWN(EPSIS_RAW!F539,0)</f>
        <v>2017</v>
      </c>
      <c r="F539" s="55" t="str">
        <f t="shared" si="8"/>
        <v>538SGC에너지#5</v>
      </c>
    </row>
    <row r="540" spans="1:6">
      <c r="A540">
        <v>539</v>
      </c>
      <c r="B540" s="66" t="str">
        <f>EPSIS_RAW!H540</f>
        <v>LNG</v>
      </c>
      <c r="C540" s="66" t="str">
        <f>EPSIS_RAW!B540</f>
        <v>광교열병합</v>
      </c>
      <c r="D540" s="56">
        <f>(EPSIS_RAW!E540)*$H$2</f>
        <v>102.58800000000001</v>
      </c>
      <c r="E540" s="65">
        <f>ROUNDDOWN(EPSIS_RAW!F540,0)</f>
        <v>2012</v>
      </c>
      <c r="F540" s="55" t="str">
        <f t="shared" si="8"/>
        <v>539광교열병합</v>
      </c>
    </row>
    <row r="541" spans="1:6">
      <c r="A541">
        <v>540</v>
      </c>
      <c r="B541" s="66" t="str">
        <f>EPSIS_RAW!H541</f>
        <v>LNG</v>
      </c>
      <c r="C541" s="66" t="str">
        <f>EPSIS_RAW!B541</f>
        <v>광교열병합</v>
      </c>
      <c r="D541" s="56">
        <f>(EPSIS_RAW!E541)*$H$2</f>
        <v>42.2</v>
      </c>
      <c r="E541" s="65">
        <f>ROUNDDOWN(EPSIS_RAW!F541,0)</f>
        <v>2012</v>
      </c>
      <c r="F541" s="55" t="str">
        <f t="shared" si="8"/>
        <v>540광교열병합</v>
      </c>
    </row>
    <row r="542" spans="1:6">
      <c r="A542">
        <v>541</v>
      </c>
      <c r="B542" s="66" t="str">
        <f>EPSIS_RAW!H542</f>
        <v>유연탄</v>
      </c>
      <c r="C542" s="66" t="str">
        <f>EPSIS_RAW!B542</f>
        <v>구미열병합</v>
      </c>
      <c r="D542" s="56">
        <f>(EPSIS_RAW!E542)*$H$2</f>
        <v>97.100000000000009</v>
      </c>
      <c r="E542" s="65">
        <f>ROUNDDOWN(EPSIS_RAW!F542,0)</f>
        <v>1991</v>
      </c>
      <c r="F542" s="55" t="str">
        <f t="shared" si="8"/>
        <v>541구미열병합</v>
      </c>
    </row>
    <row r="543" spans="1:6">
      <c r="A543">
        <v>542</v>
      </c>
      <c r="B543" s="66" t="str">
        <f>EPSIS_RAW!H543</f>
        <v>유연탄</v>
      </c>
      <c r="C543" s="66" t="str">
        <f>EPSIS_RAW!B543</f>
        <v>금호여수열병합</v>
      </c>
      <c r="D543" s="56">
        <f>(EPSIS_RAW!E543)*$H$2</f>
        <v>119.13</v>
      </c>
      <c r="E543" s="65">
        <f>ROUNDDOWN(EPSIS_RAW!F543,0)</f>
        <v>2009</v>
      </c>
      <c r="F543" s="55" t="str">
        <f t="shared" si="8"/>
        <v>542금호여수열병합</v>
      </c>
    </row>
    <row r="544" spans="1:6">
      <c r="A544">
        <v>543</v>
      </c>
      <c r="B544" s="66" t="str">
        <f>EPSIS_RAW!H544</f>
        <v>유연탄</v>
      </c>
      <c r="C544" s="66" t="str">
        <f>EPSIS_RAW!B544</f>
        <v>금호여수열병합</v>
      </c>
      <c r="D544" s="56">
        <f>(EPSIS_RAW!E544)*$H$2</f>
        <v>144.97</v>
      </c>
      <c r="E544" s="65">
        <f>ROUNDDOWN(EPSIS_RAW!F544,0)</f>
        <v>2016</v>
      </c>
      <c r="F544" s="55" t="str">
        <f t="shared" si="8"/>
        <v>543금호여수열병합</v>
      </c>
    </row>
    <row r="545" spans="1:6">
      <c r="A545">
        <v>544</v>
      </c>
      <c r="B545" s="66" t="str">
        <f>EPSIS_RAW!H545</f>
        <v>유연탄</v>
      </c>
      <c r="C545" s="66" t="str">
        <f>EPSIS_RAW!B545</f>
        <v>김천열병합</v>
      </c>
      <c r="D545" s="56">
        <f>(EPSIS_RAW!E545)*$H$2</f>
        <v>59</v>
      </c>
      <c r="E545" s="65">
        <f>ROUNDDOWN(EPSIS_RAW!F545,0)</f>
        <v>2013</v>
      </c>
      <c r="F545" s="55" t="str">
        <f t="shared" si="8"/>
        <v>544김천열병합</v>
      </c>
    </row>
    <row r="546" spans="1:6">
      <c r="A546">
        <v>545</v>
      </c>
      <c r="B546" s="66" t="str">
        <f>EPSIS_RAW!H546</f>
        <v>LNG</v>
      </c>
      <c r="C546" s="66" t="str">
        <f>EPSIS_RAW!B546</f>
        <v>김포열병합GT</v>
      </c>
      <c r="D546" s="56">
        <f>(EPSIS_RAW!E546)*$H$2</f>
        <v>229.62</v>
      </c>
      <c r="E546" s="65">
        <f>ROUNDDOWN(EPSIS_RAW!F546,0)</f>
        <v>2023</v>
      </c>
      <c r="F546" s="55" t="str">
        <f t="shared" si="8"/>
        <v>545김포열병합GT</v>
      </c>
    </row>
    <row r="547" spans="1:6">
      <c r="A547">
        <v>546</v>
      </c>
      <c r="B547" s="66" t="str">
        <f>EPSIS_RAW!H547</f>
        <v>LNG</v>
      </c>
      <c r="C547" s="66" t="str">
        <f>EPSIS_RAW!B547</f>
        <v>김포열병합ST</v>
      </c>
      <c r="D547" s="56">
        <f>(EPSIS_RAW!E547)*$H$2</f>
        <v>120.84</v>
      </c>
      <c r="E547" s="65">
        <f>ROUNDDOWN(EPSIS_RAW!F547,0)</f>
        <v>2023</v>
      </c>
      <c r="F547" s="55" t="str">
        <f t="shared" si="8"/>
        <v>546김포열병합ST</v>
      </c>
    </row>
    <row r="548" spans="1:6">
      <c r="A548">
        <v>547</v>
      </c>
      <c r="B548" s="66" t="str">
        <f>EPSIS_RAW!H548</f>
        <v>LNG</v>
      </c>
      <c r="C548" s="66" t="str">
        <f>EPSIS_RAW!B548</f>
        <v>내포그린열병합 GT</v>
      </c>
      <c r="D548" s="56">
        <f>(EPSIS_RAW!E548)*$H$2</f>
        <v>329</v>
      </c>
      <c r="E548" s="65">
        <f>ROUNDDOWN(EPSIS_RAW!F548,0)</f>
        <v>2023</v>
      </c>
      <c r="F548" s="55" t="str">
        <f t="shared" si="8"/>
        <v>547내포그린열병합 GT</v>
      </c>
    </row>
    <row r="549" spans="1:6">
      <c r="A549">
        <v>548</v>
      </c>
      <c r="B549" s="66" t="str">
        <f>EPSIS_RAW!H549</f>
        <v>LNG</v>
      </c>
      <c r="C549" s="66" t="str">
        <f>EPSIS_RAW!B549</f>
        <v>내포그린열병합 ST</v>
      </c>
      <c r="D549" s="56">
        <f>(EPSIS_RAW!E549)*$H$2</f>
        <v>166</v>
      </c>
      <c r="E549" s="65">
        <f>ROUNDDOWN(EPSIS_RAW!F549,0)</f>
        <v>2023</v>
      </c>
      <c r="F549" s="55" t="str">
        <f t="shared" si="8"/>
        <v>548내포그린열병합 ST</v>
      </c>
    </row>
    <row r="550" spans="1:6">
      <c r="A550">
        <v>549</v>
      </c>
      <c r="B550" s="66" t="str">
        <f>EPSIS_RAW!H550</f>
        <v>LNG</v>
      </c>
      <c r="C550" s="66" t="str">
        <f>EPSIS_RAW!B550</f>
        <v>노원열병합</v>
      </c>
      <c r="D550" s="56">
        <f>(EPSIS_RAW!E550)*$H$2</f>
        <v>37</v>
      </c>
      <c r="E550" s="65">
        <f>ROUNDDOWN(EPSIS_RAW!F550,0)</f>
        <v>1994</v>
      </c>
      <c r="F550" s="55" t="str">
        <f t="shared" si="8"/>
        <v>549노원열병합</v>
      </c>
    </row>
    <row r="551" spans="1:6">
      <c r="A551">
        <v>550</v>
      </c>
      <c r="B551" s="66" t="str">
        <f>EPSIS_RAW!H551</f>
        <v>LNG</v>
      </c>
      <c r="C551" s="66" t="str">
        <f>EPSIS_RAW!B551</f>
        <v>논현열병합</v>
      </c>
      <c r="D551" s="56">
        <f>(EPSIS_RAW!E551)*$H$2</f>
        <v>24</v>
      </c>
      <c r="E551" s="65">
        <f>ROUNDDOWN(EPSIS_RAW!F551,0)</f>
        <v>2007</v>
      </c>
      <c r="F551" s="55" t="str">
        <f t="shared" si="8"/>
        <v>550논현열병합</v>
      </c>
    </row>
    <row r="552" spans="1:6">
      <c r="A552">
        <v>551</v>
      </c>
      <c r="B552" s="66" t="str">
        <f>EPSIS_RAW!H552</f>
        <v>LNG</v>
      </c>
      <c r="C552" s="66" t="str">
        <f>EPSIS_RAW!B552</f>
        <v>대구그린파워</v>
      </c>
      <c r="D552" s="56">
        <f>(EPSIS_RAW!E552)*$H$2</f>
        <v>239.9</v>
      </c>
      <c r="E552" s="65">
        <f>ROUNDDOWN(EPSIS_RAW!F552,0)</f>
        <v>2014</v>
      </c>
      <c r="F552" s="55" t="str">
        <f t="shared" si="8"/>
        <v>551대구그린파워</v>
      </c>
    </row>
    <row r="553" spans="1:6">
      <c r="A553">
        <v>552</v>
      </c>
      <c r="B553" s="66" t="str">
        <f>EPSIS_RAW!H553</f>
        <v>LNG</v>
      </c>
      <c r="C553" s="66" t="str">
        <f>EPSIS_RAW!B553</f>
        <v>대구그린파워</v>
      </c>
      <c r="D553" s="56">
        <f>(EPSIS_RAW!E553)*$H$2</f>
        <v>130.80000000000001</v>
      </c>
      <c r="E553" s="65">
        <f>ROUNDDOWN(EPSIS_RAW!F553,0)</f>
        <v>2014</v>
      </c>
      <c r="F553" s="55" t="str">
        <f t="shared" si="8"/>
        <v>552대구그린파워</v>
      </c>
    </row>
    <row r="554" spans="1:6">
      <c r="A554">
        <v>553</v>
      </c>
      <c r="B554" s="66" t="str">
        <f>EPSIS_RAW!H554</f>
        <v>중유</v>
      </c>
      <c r="C554" s="66" t="str">
        <f>EPSIS_RAW!B554</f>
        <v>대구열병합</v>
      </c>
      <c r="D554" s="56">
        <f>(EPSIS_RAW!E554)*$H$2</f>
        <v>43.5</v>
      </c>
      <c r="E554" s="65">
        <f>ROUNDDOWN(EPSIS_RAW!F554,0)</f>
        <v>1997</v>
      </c>
      <c r="F554" s="55" t="str">
        <f t="shared" si="8"/>
        <v>553대구열병합</v>
      </c>
    </row>
    <row r="555" spans="1:6">
      <c r="A555">
        <v>554</v>
      </c>
      <c r="B555" s="66" t="str">
        <f>EPSIS_RAW!H555</f>
        <v>유연탄</v>
      </c>
      <c r="C555" s="66" t="str">
        <f>EPSIS_RAW!B555</f>
        <v>대구염색</v>
      </c>
      <c r="D555" s="56">
        <f>(EPSIS_RAW!E555)*$H$2</f>
        <v>72.900000000000006</v>
      </c>
      <c r="E555" s="65">
        <f>ROUNDDOWN(EPSIS_RAW!F555,0)</f>
        <v>2004</v>
      </c>
      <c r="F555" s="55" t="str">
        <f t="shared" si="8"/>
        <v>554대구염색</v>
      </c>
    </row>
    <row r="556" spans="1:6">
      <c r="A556">
        <v>555</v>
      </c>
      <c r="B556" s="66" t="str">
        <f>EPSIS_RAW!H556</f>
        <v>LNG</v>
      </c>
      <c r="C556" s="66" t="str">
        <f>EPSIS_RAW!B556</f>
        <v>대전서남부</v>
      </c>
      <c r="D556" s="56">
        <f>(EPSIS_RAW!E556)*$H$2</f>
        <v>48.300000000000004</v>
      </c>
      <c r="E556" s="65">
        <f>ROUNDDOWN(EPSIS_RAW!F556,0)</f>
        <v>2011</v>
      </c>
      <c r="F556" s="55" t="str">
        <f t="shared" si="8"/>
        <v>555대전서남부</v>
      </c>
    </row>
    <row r="557" spans="1:6">
      <c r="A557">
        <v>556</v>
      </c>
      <c r="B557" s="66" t="str">
        <f>EPSIS_RAW!H557</f>
        <v>중유</v>
      </c>
      <c r="C557" s="66" t="str">
        <f>EPSIS_RAW!B557</f>
        <v>대전열병합</v>
      </c>
      <c r="D557" s="56">
        <f>(EPSIS_RAW!E557)*$H$2</f>
        <v>88</v>
      </c>
      <c r="E557" s="65">
        <f>ROUNDDOWN(EPSIS_RAW!F557,0)</f>
        <v>1997</v>
      </c>
      <c r="F557" s="55" t="str">
        <f t="shared" si="8"/>
        <v>556대전열병합</v>
      </c>
    </row>
    <row r="558" spans="1:6">
      <c r="A558">
        <v>557</v>
      </c>
      <c r="B558" s="66" t="str">
        <f>EPSIS_RAW!H558</f>
        <v>유연탄</v>
      </c>
      <c r="C558" s="66" t="str">
        <f>EPSIS_RAW!B558</f>
        <v>데이원열병합</v>
      </c>
      <c r="D558" s="56">
        <f>(EPSIS_RAW!E558)*$H$2</f>
        <v>48.4</v>
      </c>
      <c r="E558" s="65">
        <f>ROUNDDOWN(EPSIS_RAW!F558,0)</f>
        <v>2013</v>
      </c>
      <c r="F558" s="55" t="str">
        <f t="shared" si="8"/>
        <v>557데이원열병합</v>
      </c>
    </row>
    <row r="559" spans="1:6">
      <c r="A559">
        <v>558</v>
      </c>
      <c r="B559" s="66" t="str">
        <f>EPSIS_RAW!H559</f>
        <v>LNG</v>
      </c>
      <c r="C559" s="66" t="str">
        <f>EPSIS_RAW!B559</f>
        <v>동탄열병합 #1 GT</v>
      </c>
      <c r="D559" s="56">
        <f>(EPSIS_RAW!E559)*$H$2</f>
        <v>246.47</v>
      </c>
      <c r="E559" s="65">
        <f>ROUNDDOWN(EPSIS_RAW!F559,0)</f>
        <v>2017</v>
      </c>
      <c r="F559" s="55" t="str">
        <f t="shared" si="8"/>
        <v>558동탄열병합 #1 GT</v>
      </c>
    </row>
    <row r="560" spans="1:6">
      <c r="A560">
        <v>559</v>
      </c>
      <c r="B560" s="66" t="str">
        <f>EPSIS_RAW!H560</f>
        <v>LNG</v>
      </c>
      <c r="C560" s="66" t="str">
        <f>EPSIS_RAW!B560</f>
        <v>동탄열병합 #1 ST</v>
      </c>
      <c r="D560" s="56">
        <f>(EPSIS_RAW!E560)*$H$2</f>
        <v>131.91</v>
      </c>
      <c r="E560" s="65">
        <f>ROUNDDOWN(EPSIS_RAW!F560,0)</f>
        <v>2017</v>
      </c>
      <c r="F560" s="55" t="str">
        <f t="shared" si="8"/>
        <v>559동탄열병합 #1 ST</v>
      </c>
    </row>
    <row r="561" spans="1:6">
      <c r="A561">
        <v>560</v>
      </c>
      <c r="B561" s="66" t="str">
        <f>EPSIS_RAW!H561</f>
        <v>LNG</v>
      </c>
      <c r="C561" s="66" t="str">
        <f>EPSIS_RAW!B561</f>
        <v>동탄열병합 #2 GT</v>
      </c>
      <c r="D561" s="56">
        <f>(EPSIS_RAW!E561)*$H$2</f>
        <v>246.47</v>
      </c>
      <c r="E561" s="65">
        <f>ROUNDDOWN(EPSIS_RAW!F561,0)</f>
        <v>2017</v>
      </c>
      <c r="F561" s="55" t="str">
        <f t="shared" si="8"/>
        <v>560동탄열병합 #2 GT</v>
      </c>
    </row>
    <row r="562" spans="1:6">
      <c r="A562">
        <v>561</v>
      </c>
      <c r="B562" s="66" t="str">
        <f>EPSIS_RAW!H562</f>
        <v>LNG</v>
      </c>
      <c r="C562" s="66" t="str">
        <f>EPSIS_RAW!B562</f>
        <v>동탄열병합 #2 ST</v>
      </c>
      <c r="D562" s="56">
        <f>(EPSIS_RAW!E562)*$H$2</f>
        <v>131.91</v>
      </c>
      <c r="E562" s="65">
        <f>ROUNDDOWN(EPSIS_RAW!F562,0)</f>
        <v>2017</v>
      </c>
      <c r="F562" s="55" t="str">
        <f t="shared" si="8"/>
        <v>561동탄열병합 #2 ST</v>
      </c>
    </row>
    <row r="563" spans="1:6">
      <c r="A563">
        <v>562</v>
      </c>
      <c r="B563" s="66" t="str">
        <f>EPSIS_RAW!H563</f>
        <v>LNG</v>
      </c>
      <c r="C563" s="66" t="str">
        <f>EPSIS_RAW!B563</f>
        <v>명품오산열병합</v>
      </c>
      <c r="D563" s="56">
        <f>(EPSIS_RAW!E563)*$H$2</f>
        <v>289.3</v>
      </c>
      <c r="E563" s="65">
        <f>ROUNDDOWN(EPSIS_RAW!F563,0)</f>
        <v>2016</v>
      </c>
      <c r="F563" s="55" t="str">
        <f t="shared" si="8"/>
        <v>562명품오산열병합</v>
      </c>
    </row>
    <row r="564" spans="1:6">
      <c r="A564">
        <v>563</v>
      </c>
      <c r="B564" s="66" t="str">
        <f>EPSIS_RAW!H564</f>
        <v>LNG</v>
      </c>
      <c r="C564" s="66" t="str">
        <f>EPSIS_RAW!B564</f>
        <v>명품오산열병합</v>
      </c>
      <c r="D564" s="56">
        <f>(EPSIS_RAW!E564)*$H$2</f>
        <v>146.80000000000001</v>
      </c>
      <c r="E564" s="65">
        <f>ROUNDDOWN(EPSIS_RAW!F564,0)</f>
        <v>2016</v>
      </c>
      <c r="F564" s="55" t="str">
        <f t="shared" si="8"/>
        <v>563명품오산열병합</v>
      </c>
    </row>
    <row r="565" spans="1:6">
      <c r="A565">
        <v>564</v>
      </c>
      <c r="B565" s="66" t="str">
        <f>EPSIS_RAW!H565</f>
        <v>LNG</v>
      </c>
      <c r="C565" s="66" t="str">
        <f>EPSIS_RAW!B565</f>
        <v>목동열병합</v>
      </c>
      <c r="D565" s="56">
        <f>(EPSIS_RAW!E565)*$H$2</f>
        <v>21</v>
      </c>
      <c r="E565" s="65">
        <f>ROUNDDOWN(EPSIS_RAW!F565,0)</f>
        <v>1987</v>
      </c>
      <c r="F565" s="55" t="str">
        <f t="shared" si="8"/>
        <v>564목동열병합</v>
      </c>
    </row>
    <row r="566" spans="1:6">
      <c r="A566">
        <v>565</v>
      </c>
      <c r="B566" s="66" t="str">
        <f>EPSIS_RAW!H566</f>
        <v>중유</v>
      </c>
      <c r="C566" s="66" t="str">
        <f>EPSIS_RAW!B566</f>
        <v>무림파워텍열병합</v>
      </c>
      <c r="D566" s="56">
        <f>(EPSIS_RAW!E566)*$H$2</f>
        <v>26.3</v>
      </c>
      <c r="E566" s="65">
        <f>ROUNDDOWN(EPSIS_RAW!F566,0)</f>
        <v>1999</v>
      </c>
      <c r="F566" s="55" t="str">
        <f t="shared" si="8"/>
        <v>565무림파워텍열병합</v>
      </c>
    </row>
    <row r="567" spans="1:6">
      <c r="A567">
        <v>566</v>
      </c>
      <c r="B567" s="66" t="str">
        <f>EPSIS_RAW!H567</f>
        <v>유연탄</v>
      </c>
      <c r="C567" s="66" t="str">
        <f>EPSIS_RAW!B567</f>
        <v>반원열병합</v>
      </c>
      <c r="D567" s="56">
        <f>(EPSIS_RAW!E567)*$H$2</f>
        <v>76.954999999999998</v>
      </c>
      <c r="E567" s="65">
        <f>ROUNDDOWN(EPSIS_RAW!F567,0)</f>
        <v>1990</v>
      </c>
      <c r="F567" s="55" t="str">
        <f t="shared" si="8"/>
        <v>566반원열병합</v>
      </c>
    </row>
    <row r="568" spans="1:6">
      <c r="A568">
        <v>567</v>
      </c>
      <c r="B568" s="66" t="str">
        <f>EPSIS_RAW!H568</f>
        <v>LNG</v>
      </c>
      <c r="C568" s="66" t="str">
        <f>EPSIS_RAW!B568</f>
        <v>별내열병합</v>
      </c>
      <c r="D568" s="56">
        <f>(EPSIS_RAW!E568)*$H$2</f>
        <v>80.06</v>
      </c>
      <c r="E568" s="65">
        <f>ROUNDDOWN(EPSIS_RAW!F568,0)</f>
        <v>2013</v>
      </c>
      <c r="F568" s="55" t="str">
        <f t="shared" si="8"/>
        <v>567별내열병합</v>
      </c>
    </row>
    <row r="569" spans="1:6">
      <c r="A569">
        <v>568</v>
      </c>
      <c r="B569" s="66" t="str">
        <f>EPSIS_RAW!H569</f>
        <v>LNG</v>
      </c>
      <c r="C569" s="66" t="str">
        <f>EPSIS_RAW!B569</f>
        <v>별내열병합</v>
      </c>
      <c r="D569" s="56">
        <f>(EPSIS_RAW!E569)*$H$2</f>
        <v>35.35</v>
      </c>
      <c r="E569" s="65">
        <f>ROUNDDOWN(EPSIS_RAW!F569,0)</f>
        <v>2013</v>
      </c>
      <c r="F569" s="55" t="str">
        <f t="shared" si="8"/>
        <v>568별내열병합</v>
      </c>
    </row>
    <row r="570" spans="1:6">
      <c r="A570">
        <v>569</v>
      </c>
      <c r="B570" s="66" t="str">
        <f>EPSIS_RAW!H570</f>
        <v>유연탄</v>
      </c>
      <c r="C570" s="66" t="str">
        <f>EPSIS_RAW!B570</f>
        <v>부산염색</v>
      </c>
      <c r="D570" s="56">
        <f>(EPSIS_RAW!E570)*$H$2</f>
        <v>19</v>
      </c>
      <c r="E570" s="65">
        <f>ROUNDDOWN(EPSIS_RAW!F570,0)</f>
        <v>1993</v>
      </c>
      <c r="F570" s="55" t="str">
        <f t="shared" si="8"/>
        <v>569부산염색</v>
      </c>
    </row>
    <row r="571" spans="1:6">
      <c r="A571">
        <v>570</v>
      </c>
      <c r="B571" s="66" t="str">
        <f>EPSIS_RAW!H571</f>
        <v>LNG</v>
      </c>
      <c r="C571" s="66" t="str">
        <f>EPSIS_RAW!B571</f>
        <v>부천 GT</v>
      </c>
      <c r="D571" s="56">
        <f>(EPSIS_RAW!E571)*$H$2</f>
        <v>200</v>
      </c>
      <c r="E571" s="65">
        <f>ROUNDDOWN(EPSIS_RAW!F571,0)</f>
        <v>1993</v>
      </c>
      <c r="F571" s="55" t="str">
        <f t="shared" si="8"/>
        <v>570부천 GT</v>
      </c>
    </row>
    <row r="572" spans="1:6">
      <c r="A572">
        <v>571</v>
      </c>
      <c r="B572" s="66" t="str">
        <f>EPSIS_RAW!H572</f>
        <v>LNG</v>
      </c>
      <c r="C572" s="66" t="str">
        <f>EPSIS_RAW!B572</f>
        <v>부천 GT</v>
      </c>
      <c r="D572" s="56">
        <f>(EPSIS_RAW!E572)*$H$2</f>
        <v>100</v>
      </c>
      <c r="E572" s="65">
        <f>ROUNDDOWN(EPSIS_RAW!F572,0)</f>
        <v>1993</v>
      </c>
      <c r="F572" s="55" t="str">
        <f t="shared" si="8"/>
        <v>571부천 GT</v>
      </c>
    </row>
    <row r="573" spans="1:6">
      <c r="A573">
        <v>572</v>
      </c>
      <c r="B573" s="66" t="str">
        <f>EPSIS_RAW!H573</f>
        <v>LNG</v>
      </c>
      <c r="C573" s="66" t="str">
        <f>EPSIS_RAW!B573</f>
        <v>부천 ST</v>
      </c>
      <c r="D573" s="56">
        <f>(EPSIS_RAW!E573)*$H$2</f>
        <v>150</v>
      </c>
      <c r="E573" s="65">
        <f>ROUNDDOWN(EPSIS_RAW!F573,0)</f>
        <v>1993</v>
      </c>
      <c r="F573" s="55" t="str">
        <f t="shared" si="8"/>
        <v>572부천 ST</v>
      </c>
    </row>
    <row r="574" spans="1:6">
      <c r="A574">
        <v>573</v>
      </c>
      <c r="B574" s="66" t="str">
        <f>EPSIS_RAW!H574</f>
        <v>유연탄</v>
      </c>
      <c r="C574" s="66" t="str">
        <f>EPSIS_RAW!B574</f>
        <v>상공에너지열병합</v>
      </c>
      <c r="D574" s="56">
        <f>(EPSIS_RAW!E574)*$H$2</f>
        <v>9.8000000000000007</v>
      </c>
      <c r="E574" s="65">
        <f>ROUNDDOWN(EPSIS_RAW!F574,0)</f>
        <v>2012</v>
      </c>
      <c r="F574" s="55" t="str">
        <f t="shared" si="8"/>
        <v>573상공에너지열병합</v>
      </c>
    </row>
    <row r="575" spans="1:6">
      <c r="A575">
        <v>574</v>
      </c>
      <c r="B575" s="66" t="str">
        <f>EPSIS_RAW!H575</f>
        <v>유연탄</v>
      </c>
      <c r="C575" s="66" t="str">
        <f>EPSIS_RAW!B575</f>
        <v>새만금열병합</v>
      </c>
      <c r="D575" s="56">
        <f>(EPSIS_RAW!E575)*$H$2</f>
        <v>151.5</v>
      </c>
      <c r="E575" s="65">
        <f>ROUNDDOWN(EPSIS_RAW!F575,0)</f>
        <v>2015</v>
      </c>
      <c r="F575" s="55" t="str">
        <f t="shared" si="8"/>
        <v>574새만금열병합</v>
      </c>
    </row>
    <row r="576" spans="1:6">
      <c r="A576">
        <v>575</v>
      </c>
      <c r="B576" s="66" t="str">
        <f>EPSIS_RAW!H576</f>
        <v>유연탄</v>
      </c>
      <c r="C576" s="66" t="str">
        <f>EPSIS_RAW!B576</f>
        <v>새만금열병합</v>
      </c>
      <c r="D576" s="56">
        <f>(EPSIS_RAW!E576)*$H$2</f>
        <v>151.5</v>
      </c>
      <c r="E576" s="65">
        <f>ROUNDDOWN(EPSIS_RAW!F576,0)</f>
        <v>2015</v>
      </c>
      <c r="F576" s="55" t="str">
        <f t="shared" si="8"/>
        <v>575새만금열병합</v>
      </c>
    </row>
    <row r="577" spans="1:6">
      <c r="A577">
        <v>576</v>
      </c>
      <c r="B577" s="66" t="str">
        <f>EPSIS_RAW!H577</f>
        <v>LNG</v>
      </c>
      <c r="C577" s="66" t="str">
        <f>EPSIS_RAW!B577</f>
        <v>세종천연가스</v>
      </c>
      <c r="D577" s="56">
        <f>(EPSIS_RAW!E577)*$H$2</f>
        <v>334.20800000000003</v>
      </c>
      <c r="E577" s="65">
        <f>ROUNDDOWN(EPSIS_RAW!F577,0)</f>
        <v>2013</v>
      </c>
      <c r="F577" s="55" t="str">
        <f t="shared" si="8"/>
        <v>576세종천연가스</v>
      </c>
    </row>
    <row r="578" spans="1:6">
      <c r="A578">
        <v>577</v>
      </c>
      <c r="B578" s="66" t="str">
        <f>EPSIS_RAW!H578</f>
        <v>LNG</v>
      </c>
      <c r="C578" s="66" t="str">
        <f>EPSIS_RAW!B578</f>
        <v>세종천연가스</v>
      </c>
      <c r="D578" s="56">
        <f>(EPSIS_RAW!E578)*$H$2</f>
        <v>196.233</v>
      </c>
      <c r="E578" s="65">
        <f>ROUNDDOWN(EPSIS_RAW!F578,0)</f>
        <v>2013</v>
      </c>
      <c r="F578" s="55" t="str">
        <f t="shared" si="8"/>
        <v>577세종천연가스</v>
      </c>
    </row>
    <row r="579" spans="1:6">
      <c r="A579">
        <v>578</v>
      </c>
      <c r="B579" s="66" t="str">
        <f>EPSIS_RAW!H579</f>
        <v>LNG</v>
      </c>
      <c r="C579" s="66" t="str">
        <f>EPSIS_RAW!B579</f>
        <v>송도복합</v>
      </c>
      <c r="D579" s="56">
        <f>(EPSIS_RAW!E579)*$H$2</f>
        <v>134.9</v>
      </c>
      <c r="E579" s="65">
        <f>ROUNDDOWN(EPSIS_RAW!F579,0)</f>
        <v>2010</v>
      </c>
      <c r="F579" s="55" t="str">
        <f t="shared" ref="F579:F603" si="9">A579&amp;C579</f>
        <v>578송도복합</v>
      </c>
    </row>
    <row r="580" spans="1:6">
      <c r="A580">
        <v>579</v>
      </c>
      <c r="B580" s="66" t="str">
        <f>EPSIS_RAW!H580</f>
        <v>LNG</v>
      </c>
      <c r="C580" s="66" t="str">
        <f>EPSIS_RAW!B580</f>
        <v>송도복합</v>
      </c>
      <c r="D580" s="56">
        <f>(EPSIS_RAW!E580)*$H$2</f>
        <v>52.4</v>
      </c>
      <c r="E580" s="65">
        <f>ROUNDDOWN(EPSIS_RAW!F580,0)</f>
        <v>2010</v>
      </c>
      <c r="F580" s="55" t="str">
        <f t="shared" si="9"/>
        <v>579송도복합</v>
      </c>
    </row>
    <row r="581" spans="1:6">
      <c r="A581">
        <v>580</v>
      </c>
      <c r="B581" s="66" t="str">
        <f>EPSIS_RAW!H581</f>
        <v>LNG</v>
      </c>
      <c r="C581" s="66" t="str">
        <f>EPSIS_RAW!B581</f>
        <v>수완에너지</v>
      </c>
      <c r="D581" s="56">
        <f>(EPSIS_RAW!E581)*$H$2</f>
        <v>80.066000000000003</v>
      </c>
      <c r="E581" s="65">
        <f>ROUNDDOWN(EPSIS_RAW!F581,0)</f>
        <v>2010</v>
      </c>
      <c r="F581" s="55" t="str">
        <f t="shared" si="9"/>
        <v>580수완에너지</v>
      </c>
    </row>
    <row r="582" spans="1:6">
      <c r="A582">
        <v>581</v>
      </c>
      <c r="B582" s="66" t="str">
        <f>EPSIS_RAW!H582</f>
        <v>LNG</v>
      </c>
      <c r="C582" s="66" t="str">
        <f>EPSIS_RAW!B582</f>
        <v>수완에너지</v>
      </c>
      <c r="D582" s="56">
        <f>(EPSIS_RAW!E582)*$H$2</f>
        <v>0</v>
      </c>
      <c r="E582" s="65">
        <f>ROUNDDOWN(EPSIS_RAW!F582,0)</f>
        <v>2013</v>
      </c>
      <c r="F582" s="55" t="str">
        <f t="shared" si="9"/>
        <v>581수완에너지</v>
      </c>
    </row>
    <row r="583" spans="1:6">
      <c r="A583">
        <v>582</v>
      </c>
      <c r="B583" s="66" t="str">
        <f>EPSIS_RAW!H583</f>
        <v>LNG</v>
      </c>
      <c r="C583" s="66" t="str">
        <f>EPSIS_RAW!B583</f>
        <v>수완에너지</v>
      </c>
      <c r="D583" s="56">
        <f>(EPSIS_RAW!E583)*$H$2</f>
        <v>35.18</v>
      </c>
      <c r="E583" s="65">
        <f>ROUNDDOWN(EPSIS_RAW!F583,0)</f>
        <v>2010</v>
      </c>
      <c r="F583" s="55" t="str">
        <f t="shared" si="9"/>
        <v>582수완에너지</v>
      </c>
    </row>
    <row r="584" spans="1:6">
      <c r="A584">
        <v>583</v>
      </c>
      <c r="B584" s="66" t="str">
        <f>EPSIS_RAW!H584</f>
        <v>LNG</v>
      </c>
      <c r="C584" s="66" t="str">
        <f>EPSIS_RAW!B584</f>
        <v>수완에너지</v>
      </c>
      <c r="D584" s="56">
        <f>(EPSIS_RAW!E584)*$H$2</f>
        <v>0</v>
      </c>
      <c r="E584" s="65">
        <f>ROUNDDOWN(EPSIS_RAW!F584,0)</f>
        <v>2013</v>
      </c>
      <c r="F584" s="55" t="str">
        <f t="shared" si="9"/>
        <v>583수완에너지</v>
      </c>
    </row>
    <row r="585" spans="1:6">
      <c r="A585">
        <v>584</v>
      </c>
      <c r="B585" s="66" t="str">
        <f>EPSIS_RAW!H585</f>
        <v>중유</v>
      </c>
      <c r="C585" s="66" t="str">
        <f>EPSIS_RAW!B585</f>
        <v>수원열병합</v>
      </c>
      <c r="D585" s="56">
        <f>(EPSIS_RAW!E585)*$H$2</f>
        <v>43.2</v>
      </c>
      <c r="E585" s="65">
        <f>ROUNDDOWN(EPSIS_RAW!F585,0)</f>
        <v>1997</v>
      </c>
      <c r="F585" s="55" t="str">
        <f t="shared" si="9"/>
        <v>584수원열병합</v>
      </c>
    </row>
    <row r="586" spans="1:6">
      <c r="A586">
        <v>585</v>
      </c>
      <c r="B586" s="66" t="str">
        <f>EPSIS_RAW!H586</f>
        <v>LNG</v>
      </c>
      <c r="C586" s="66" t="str">
        <f>EPSIS_RAW!B586</f>
        <v>신정열병합</v>
      </c>
      <c r="D586" s="56">
        <f>(EPSIS_RAW!E586)*$H$2</f>
        <v>6</v>
      </c>
      <c r="E586" s="65">
        <f>ROUNDDOWN(EPSIS_RAW!F586,0)</f>
        <v>2011</v>
      </c>
      <c r="F586" s="55" t="str">
        <f t="shared" si="9"/>
        <v>585신정열병합</v>
      </c>
    </row>
    <row r="587" spans="1:6">
      <c r="A587">
        <v>586</v>
      </c>
      <c r="B587" s="66" t="str">
        <f>EPSIS_RAW!H587</f>
        <v>LNG</v>
      </c>
      <c r="C587" s="66" t="str">
        <f>EPSIS_RAW!B587</f>
        <v>아산배방열병합</v>
      </c>
      <c r="D587" s="56">
        <f>(EPSIS_RAW!E587)*$H$2</f>
        <v>79.3</v>
      </c>
      <c r="E587" s="65">
        <f>ROUNDDOWN(EPSIS_RAW!F587,0)</f>
        <v>2011</v>
      </c>
      <c r="F587" s="55" t="str">
        <f t="shared" si="9"/>
        <v>586아산배방열병합</v>
      </c>
    </row>
    <row r="588" spans="1:6">
      <c r="A588">
        <v>587</v>
      </c>
      <c r="B588" s="66" t="str">
        <f>EPSIS_RAW!H588</f>
        <v>LNG</v>
      </c>
      <c r="C588" s="66" t="str">
        <f>EPSIS_RAW!B588</f>
        <v>아산배방열병합</v>
      </c>
      <c r="D588" s="56">
        <f>(EPSIS_RAW!E588)*$H$2</f>
        <v>0</v>
      </c>
      <c r="E588" s="65">
        <f>ROUNDDOWN(EPSIS_RAW!F588,0)</f>
        <v>2014</v>
      </c>
      <c r="F588" s="55" t="str">
        <f t="shared" si="9"/>
        <v>587아산배방열병합</v>
      </c>
    </row>
    <row r="589" spans="1:6">
      <c r="A589">
        <v>588</v>
      </c>
      <c r="B589" s="66" t="str">
        <f>EPSIS_RAW!H589</f>
        <v>LNG</v>
      </c>
      <c r="C589" s="66" t="str">
        <f>EPSIS_RAW!B589</f>
        <v>아산배방열병합</v>
      </c>
      <c r="D589" s="56">
        <f>(EPSIS_RAW!E589)*$H$2</f>
        <v>22.400000000000002</v>
      </c>
      <c r="E589" s="65">
        <f>ROUNDDOWN(EPSIS_RAW!F589,0)</f>
        <v>2011</v>
      </c>
      <c r="F589" s="55" t="str">
        <f t="shared" si="9"/>
        <v>588아산배방열병합</v>
      </c>
    </row>
    <row r="590" spans="1:6">
      <c r="A590">
        <v>589</v>
      </c>
      <c r="B590" s="66" t="str">
        <f>EPSIS_RAW!H590</f>
        <v>LNG</v>
      </c>
      <c r="C590" s="66" t="str">
        <f>EPSIS_RAW!B590</f>
        <v>아산배방열병합</v>
      </c>
      <c r="D590" s="56">
        <f>(EPSIS_RAW!E590)*$H$2</f>
        <v>0</v>
      </c>
      <c r="E590" s="65">
        <f>ROUNDDOWN(EPSIS_RAW!F590,0)</f>
        <v>2014</v>
      </c>
      <c r="F590" s="55" t="str">
        <f t="shared" si="9"/>
        <v>589아산배방열병합</v>
      </c>
    </row>
    <row r="591" spans="1:6">
      <c r="A591">
        <v>590</v>
      </c>
      <c r="B591" s="66" t="str">
        <f>EPSIS_RAW!H591</f>
        <v>LNG</v>
      </c>
      <c r="C591" s="66" t="str">
        <f>EPSIS_RAW!B591</f>
        <v>안산열병합</v>
      </c>
      <c r="D591" s="56">
        <f>(EPSIS_RAW!E591)*$H$2</f>
        <v>60</v>
      </c>
      <c r="E591" s="65">
        <f>ROUNDDOWN(EPSIS_RAW!F591,0)</f>
        <v>2001</v>
      </c>
      <c r="F591" s="55" t="str">
        <f t="shared" si="9"/>
        <v>590안산열병합</v>
      </c>
    </row>
    <row r="592" spans="1:6">
      <c r="A592">
        <v>591</v>
      </c>
      <c r="B592" s="66" t="str">
        <f>EPSIS_RAW!H592</f>
        <v>LNG</v>
      </c>
      <c r="C592" s="66" t="str">
        <f>EPSIS_RAW!B592</f>
        <v>안양 GT</v>
      </c>
      <c r="D592" s="56">
        <f>(EPSIS_RAW!E592)*$H$2</f>
        <v>300</v>
      </c>
      <c r="E592" s="65">
        <f>ROUNDDOWN(EPSIS_RAW!F592,0)</f>
        <v>1992</v>
      </c>
      <c r="F592" s="55" t="str">
        <f t="shared" si="9"/>
        <v>591안양 GT</v>
      </c>
    </row>
    <row r="593" spans="1:6">
      <c r="A593">
        <v>592</v>
      </c>
      <c r="B593" s="66" t="str">
        <f>EPSIS_RAW!H593</f>
        <v>LNG</v>
      </c>
      <c r="C593" s="66" t="str">
        <f>EPSIS_RAW!B593</f>
        <v>안양 ST</v>
      </c>
      <c r="D593" s="56">
        <f>(EPSIS_RAW!E593)*$H$2</f>
        <v>150</v>
      </c>
      <c r="E593" s="65">
        <f>ROUNDDOWN(EPSIS_RAW!F593,0)</f>
        <v>1993</v>
      </c>
      <c r="F593" s="55" t="str">
        <f t="shared" si="9"/>
        <v>592안양 ST</v>
      </c>
    </row>
    <row r="594" spans="1:6">
      <c r="A594">
        <v>593</v>
      </c>
      <c r="B594" s="66" t="str">
        <f>EPSIS_RAW!H594</f>
        <v>LNG</v>
      </c>
      <c r="C594" s="66" t="str">
        <f>EPSIS_RAW!B594</f>
        <v>안양열병합#2-1 GT</v>
      </c>
      <c r="D594" s="56">
        <f>(EPSIS_RAW!E594)*$H$2</f>
        <v>320.72000000000003</v>
      </c>
      <c r="E594" s="65">
        <f>ROUNDDOWN(EPSIS_RAW!F594,0)</f>
        <v>2018</v>
      </c>
      <c r="F594" s="55" t="str">
        <f t="shared" si="9"/>
        <v>593안양열병합#2-1 GT</v>
      </c>
    </row>
    <row r="595" spans="1:6">
      <c r="A595">
        <v>594</v>
      </c>
      <c r="B595" s="66" t="str">
        <f>EPSIS_RAW!H595</f>
        <v>LNG</v>
      </c>
      <c r="C595" s="66" t="str">
        <f>EPSIS_RAW!B595</f>
        <v>안양열병합#2-1 ST</v>
      </c>
      <c r="D595" s="56">
        <f>(EPSIS_RAW!E595)*$H$2</f>
        <v>160.97</v>
      </c>
      <c r="E595" s="65">
        <f>ROUNDDOWN(EPSIS_RAW!F595,0)</f>
        <v>2018</v>
      </c>
      <c r="F595" s="55" t="str">
        <f t="shared" si="9"/>
        <v>594안양열병합#2-1 ST</v>
      </c>
    </row>
    <row r="596" spans="1:6">
      <c r="A596">
        <v>595</v>
      </c>
      <c r="B596" s="66" t="str">
        <f>EPSIS_RAW!H596</f>
        <v>LNG</v>
      </c>
      <c r="C596" s="66" t="str">
        <f>EPSIS_RAW!B596</f>
        <v>양산열병합GT</v>
      </c>
      <c r="D596" s="56">
        <f>(EPSIS_RAW!E596)*$H$2</f>
        <v>78.012</v>
      </c>
      <c r="E596" s="65">
        <f>ROUNDDOWN(EPSIS_RAW!F596,0)</f>
        <v>2023</v>
      </c>
      <c r="F596" s="55" t="str">
        <f t="shared" si="9"/>
        <v>595양산열병합GT</v>
      </c>
    </row>
    <row r="597" spans="1:6">
      <c r="A597">
        <v>596</v>
      </c>
      <c r="B597" s="66" t="str">
        <f>EPSIS_RAW!H597</f>
        <v>LNG</v>
      </c>
      <c r="C597" s="66" t="str">
        <f>EPSIS_RAW!B597</f>
        <v>양산열병합ST</v>
      </c>
      <c r="D597" s="56">
        <f>(EPSIS_RAW!E597)*$H$2</f>
        <v>40.96</v>
      </c>
      <c r="E597" s="65">
        <f>ROUNDDOWN(EPSIS_RAW!F597,0)</f>
        <v>2023</v>
      </c>
      <c r="F597" s="55" t="str">
        <f t="shared" si="9"/>
        <v>596양산열병합ST</v>
      </c>
    </row>
    <row r="598" spans="1:6">
      <c r="A598">
        <v>597</v>
      </c>
      <c r="B598" s="66" t="str">
        <f>EPSIS_RAW!H598</f>
        <v>LNG</v>
      </c>
      <c r="C598" s="66" t="str">
        <f>EPSIS_RAW!B598</f>
        <v>양주열병합</v>
      </c>
      <c r="D598" s="56">
        <f>(EPSIS_RAW!E598)*$H$2</f>
        <v>330</v>
      </c>
      <c r="E598" s="65">
        <f>ROUNDDOWN(EPSIS_RAW!F598,0)</f>
        <v>2014</v>
      </c>
      <c r="F598" s="55" t="str">
        <f t="shared" si="9"/>
        <v>597양주열병합</v>
      </c>
    </row>
    <row r="599" spans="1:6">
      <c r="A599">
        <v>598</v>
      </c>
      <c r="B599" s="66" t="str">
        <f>EPSIS_RAW!H599</f>
        <v>LNG</v>
      </c>
      <c r="C599" s="66" t="str">
        <f>EPSIS_RAW!B599</f>
        <v>양주열병합</v>
      </c>
      <c r="D599" s="56">
        <f>(EPSIS_RAW!E599)*$H$2</f>
        <v>194.3</v>
      </c>
      <c r="E599" s="65">
        <f>ROUNDDOWN(EPSIS_RAW!F599,0)</f>
        <v>2014</v>
      </c>
      <c r="F599" s="55" t="str">
        <f t="shared" si="9"/>
        <v>598양주열병합</v>
      </c>
    </row>
    <row r="600" spans="1:6">
      <c r="A600">
        <v>599</v>
      </c>
      <c r="B600" s="66" t="str">
        <f>EPSIS_RAW!H600</f>
        <v>LNG</v>
      </c>
      <c r="C600" s="66" t="str">
        <f>EPSIS_RAW!B600</f>
        <v>위례열병합</v>
      </c>
      <c r="D600" s="56">
        <f>(EPSIS_RAW!E600)*$H$2</f>
        <v>270.39999999999998</v>
      </c>
      <c r="E600" s="65">
        <f>ROUNDDOWN(EPSIS_RAW!F600,0)</f>
        <v>2017</v>
      </c>
      <c r="F600" s="55" t="str">
        <f t="shared" si="9"/>
        <v>599위례열병합</v>
      </c>
    </row>
    <row r="601" spans="1:6">
      <c r="A601">
        <v>600</v>
      </c>
      <c r="B601" s="66" t="str">
        <f>EPSIS_RAW!H601</f>
        <v>LNG</v>
      </c>
      <c r="C601" s="66" t="str">
        <f>EPSIS_RAW!B601</f>
        <v>위례열병합</v>
      </c>
      <c r="D601" s="56">
        <f>(EPSIS_RAW!E601)*$H$2</f>
        <v>142.20000000000002</v>
      </c>
      <c r="E601" s="65">
        <f>ROUNDDOWN(EPSIS_RAW!F601,0)</f>
        <v>2017</v>
      </c>
      <c r="F601" s="55" t="str">
        <f t="shared" si="9"/>
        <v>600위례열병합</v>
      </c>
    </row>
    <row r="602" spans="1:6">
      <c r="A602">
        <v>601</v>
      </c>
      <c r="B602" s="66" t="str">
        <f>EPSIS_RAW!H602</f>
        <v>LNG</v>
      </c>
      <c r="C602" s="66" t="str">
        <f>EPSIS_RAW!B602</f>
        <v>인천공항</v>
      </c>
      <c r="D602" s="56">
        <f>(EPSIS_RAW!E602)*$H$2</f>
        <v>94</v>
      </c>
      <c r="E602" s="65">
        <f>ROUNDDOWN(EPSIS_RAW!F602,0)</f>
        <v>2001</v>
      </c>
      <c r="F602" s="55" t="str">
        <f t="shared" si="9"/>
        <v>601인천공항</v>
      </c>
    </row>
    <row r="603" spans="1:6">
      <c r="A603">
        <v>602</v>
      </c>
      <c r="B603" s="66" t="str">
        <f>EPSIS_RAW!H603</f>
        <v>LNG</v>
      </c>
      <c r="C603" s="66" t="str">
        <f>EPSIS_RAW!B603</f>
        <v>인천공항</v>
      </c>
      <c r="D603" s="56">
        <f>(EPSIS_RAW!E603)*$H$2</f>
        <v>33</v>
      </c>
      <c r="E603" s="65">
        <f>ROUNDDOWN(EPSIS_RAW!F603,0)</f>
        <v>2001</v>
      </c>
      <c r="F603" s="55" t="str">
        <f t="shared" si="9"/>
        <v>602인천공항</v>
      </c>
    </row>
  </sheetData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6B02-3FF4-475E-98CA-040F0A948F2C}">
  <dimension ref="A1:X380"/>
  <sheetViews>
    <sheetView topLeftCell="A51" zoomScale="85" zoomScaleNormal="85" workbookViewId="0">
      <selection activeCell="H77" sqref="H77"/>
    </sheetView>
  </sheetViews>
  <sheetFormatPr defaultColWidth="11.6328125" defaultRowHeight="14.5"/>
  <cols>
    <col min="1" max="1" width="9.6328125" style="53" customWidth="1"/>
    <col min="2" max="2" width="17.6328125" style="53" customWidth="1"/>
    <col min="3" max="3" width="11.6328125" style="70" customWidth="1"/>
    <col min="4" max="4" width="12.6328125" style="16" customWidth="1"/>
    <col min="5" max="5" width="11.6328125" style="16" customWidth="1"/>
    <col min="6" max="6" width="5.26953125" style="16" customWidth="1"/>
    <col min="7" max="7" width="11.6328125" style="16"/>
    <col min="8" max="8" width="26.26953125" style="16" customWidth="1"/>
    <col min="9" max="9" width="11.6328125" style="16"/>
    <col min="10" max="11" width="5.6328125" style="16" customWidth="1"/>
    <col min="12" max="12" width="11.6328125" style="16"/>
    <col min="13" max="13" width="16.08984375" style="16" customWidth="1"/>
    <col min="14" max="14" width="13.08984375" style="70" customWidth="1"/>
    <col min="15" max="16" width="11.6328125" style="16"/>
    <col min="17" max="17" width="5.26953125" style="16" customWidth="1"/>
    <col min="18" max="18" width="12.26953125" style="16" customWidth="1"/>
    <col min="19" max="19" width="15.26953125" style="16" customWidth="1"/>
    <col min="20" max="16384" width="11.6328125" style="16"/>
  </cols>
  <sheetData>
    <row r="1" spans="1:24" ht="27" customHeight="1">
      <c r="A1" s="57" t="s">
        <v>1449</v>
      </c>
      <c r="E1" s="71" t="s">
        <v>378</v>
      </c>
      <c r="F1" s="72">
        <v>30</v>
      </c>
      <c r="G1" s="16" t="s">
        <v>379</v>
      </c>
      <c r="H1" s="71" t="s">
        <v>383</v>
      </c>
      <c r="I1" s="72">
        <v>2034</v>
      </c>
      <c r="L1" s="82" t="s">
        <v>1459</v>
      </c>
      <c r="M1" s="53"/>
      <c r="P1" s="71" t="s">
        <v>378</v>
      </c>
      <c r="Q1" s="72">
        <v>30</v>
      </c>
      <c r="R1" s="16" t="s">
        <v>379</v>
      </c>
    </row>
    <row r="2" spans="1:24" ht="27" customHeight="1">
      <c r="E2" s="71" t="s">
        <v>381</v>
      </c>
      <c r="F2" s="73">
        <f>$I$1-F1</f>
        <v>2004</v>
      </c>
      <c r="G2" s="16" t="s">
        <v>382</v>
      </c>
      <c r="M2" s="53"/>
      <c r="P2" s="71" t="s">
        <v>381</v>
      </c>
      <c r="Q2" s="73">
        <f>$I$1-Q1</f>
        <v>2004</v>
      </c>
      <c r="R2" s="16" t="s">
        <v>382</v>
      </c>
      <c r="X2" s="16" t="s">
        <v>1460</v>
      </c>
    </row>
    <row r="3" spans="1:24">
      <c r="A3" s="60" t="s">
        <v>1451</v>
      </c>
      <c r="B3" s="60" t="str">
        <f>EPSIS!I15</f>
        <v>농축U</v>
      </c>
      <c r="C3" s="74" t="str">
        <f>EPSIS!I16</f>
        <v>천연U</v>
      </c>
      <c r="E3" s="53"/>
      <c r="L3" s="60" t="s">
        <v>1451</v>
      </c>
      <c r="M3" s="60" t="str">
        <f>EPSIS!I10</f>
        <v>LNG</v>
      </c>
      <c r="N3" s="75"/>
      <c r="P3" s="53"/>
    </row>
    <row r="4" spans="1:24">
      <c r="A4" s="53" t="s">
        <v>1458</v>
      </c>
      <c r="B4" s="53" t="s">
        <v>1457</v>
      </c>
      <c r="C4" s="75" t="s">
        <v>1456</v>
      </c>
      <c r="D4" s="53" t="s">
        <v>380</v>
      </c>
      <c r="G4" s="16" t="s">
        <v>384</v>
      </c>
      <c r="H4" s="53" t="s">
        <v>385</v>
      </c>
      <c r="L4" s="53" t="s">
        <v>1458</v>
      </c>
      <c r="M4" s="53" t="s">
        <v>1457</v>
      </c>
      <c r="N4" s="75" t="s">
        <v>1456</v>
      </c>
      <c r="O4" s="53" t="s">
        <v>380</v>
      </c>
      <c r="R4" s="16" t="s">
        <v>384</v>
      </c>
      <c r="S4" s="53" t="s">
        <v>385</v>
      </c>
    </row>
    <row r="5" spans="1:24">
      <c r="A5" s="53" t="str">
        <f>IFERROR(INDEX(EPSIS!$B$2:'EPSIS'!$B$603,MATCH($B5,EPSIS!$F$2:'EPSIS'!$F$603,0)),"")</f>
        <v>농축U</v>
      </c>
      <c r="B5" s="53" t="str">
        <f t="array" ref="B5">IFERROR(INDEX(EPSIS!$F$2:'EPSIS'!$F$603,SMALL(IF(($B$3=EPSIS!$B$2:'EPSIS'!$B$603),MATCH(ROW(EPSIS!$B$2:'EPSIS'!$B$603), ROW(EPSIS!$B$2:'EPSIS'!$B$603)), ""), ROWS($A$1:A1))),"")</f>
        <v>509고 리 #2</v>
      </c>
      <c r="C5" s="70">
        <f>IFERROR(INDEX(EPSIS!D$2:'EPSIS'!D$603,MATCH($B5,EPSIS!$F$2:'EPSIS'!$F$603,0)),"")</f>
        <v>650</v>
      </c>
      <c r="D5" s="16">
        <f>IFERROR(INDEX(EPSIS!E$2:'EPSIS'!E$603,MATCH($B5,EPSIS!$F$2:'EPSIS'!$F$603,0)),"")</f>
        <v>1983</v>
      </c>
      <c r="G5" s="53" t="str">
        <f>IF(D5&gt;$F$2,TRUE,"-")</f>
        <v>-</v>
      </c>
      <c r="H5" s="53" t="str">
        <f>IF(G5=TRUE,D5+30,"-")</f>
        <v>-</v>
      </c>
      <c r="L5" s="53" t="str">
        <f>IFERROR(INDEX(EPSIS!$B$2:'EPSIS'!$B$603,MATCH($M5,EPSIS!$F$2:'EPSIS'!$F$603,0)),"")</f>
        <v>LNG</v>
      </c>
      <c r="M5" s="53" t="str">
        <f t="array" ref="M5">IFERROR(INDEX(EPSIS!$F$2:'EPSIS'!$F$603,SMALL(IF(($M$3=EPSIS!$B$2:'EPSIS'!$B$603),MATCH(ROW(EPSIS!$B$2:'EPSIS'!$B$603), ROW(EPSIS!$B$2:'EPSIS'!$B$603)), ""), ROWS($A$1:A1))),"")</f>
        <v>61평택#1</v>
      </c>
      <c r="N5" s="70">
        <f>IFERROR(INDEX(EPSIS!D$2:'EPSIS'!D$603,MATCH($M5,EPSIS!$F$2:'EPSIS'!$F$603,0)),"")</f>
        <v>350</v>
      </c>
      <c r="O5" s="16">
        <f>IFERROR(INDEX(EPSIS!E$2:'EPSIS'!E$603,MATCH($M5,EPSIS!$F$2:'EPSIS'!$F$603,0)),"")</f>
        <v>1980</v>
      </c>
      <c r="R5" s="53" t="str">
        <f>IF(O5&gt;$F$2,TRUE,"-")</f>
        <v>-</v>
      </c>
      <c r="S5" s="53" t="str">
        <f>IF(R5=TRUE,O5+30,"-")</f>
        <v>-</v>
      </c>
    </row>
    <row r="6" spans="1:24">
      <c r="A6" s="53" t="str">
        <f>IFERROR(INDEX(EPSIS!$B$2:'EPSIS'!$B$603,MATCH($B6,EPSIS!$F$2:'EPSIS'!$F$603,0)),"")</f>
        <v>농축U</v>
      </c>
      <c r="B6" s="53" t="str">
        <f t="array" ref="B6">IFERROR(INDEX(EPSIS!$F$2:'EPSIS'!$F$603,SMALL(IF(($B$3=EPSIS!$B$2:'EPSIS'!$B$603),MATCH(ROW(EPSIS!$B$2:'EPSIS'!$B$603), ROW(EPSIS!$B$2:'EPSIS'!$B$603)), ""), ROWS($A$1:A2))),"")</f>
        <v>510고 리 #3</v>
      </c>
      <c r="C6" s="70">
        <f>IFERROR(INDEX(EPSIS!D$2:'EPSIS'!D$603,MATCH($B6,EPSIS!$F$2:'EPSIS'!$F$603,0)),"")</f>
        <v>950</v>
      </c>
      <c r="D6" s="16">
        <f>IFERROR(INDEX(EPSIS!E$2:'EPSIS'!E$603,MATCH($B6,EPSIS!$F$2:'EPSIS'!$F$603,0)),"")</f>
        <v>1985</v>
      </c>
      <c r="G6" s="53" t="str">
        <f t="shared" ref="G6:G28" si="0">IF(D6&gt;$F$2,TRUE,"-")</f>
        <v>-</v>
      </c>
      <c r="H6" s="53" t="str">
        <f t="shared" ref="H6:H28" si="1">IF(G6=TRUE,D6+30,"-")</f>
        <v>-</v>
      </c>
      <c r="L6" s="53" t="str">
        <f>IFERROR(INDEX(EPSIS!$B$2:'EPSIS'!$B$603,MATCH($M6,EPSIS!$F$2:'EPSIS'!$F$603,0)),"")</f>
        <v>LNG</v>
      </c>
      <c r="M6" s="53" t="str">
        <f t="array" ref="M6">IFERROR(INDEX(EPSIS!$F$2:'EPSIS'!$F$603,SMALL(IF(($M$3=EPSIS!$B$2:'EPSIS'!$B$603),MATCH(ROW(EPSIS!$B$2:'EPSIS'!$B$603), ROW(EPSIS!$B$2:'EPSIS'!$B$603)), ""), ROWS($A$1:A2))),"")</f>
        <v>62평택#2</v>
      </c>
      <c r="N6" s="70">
        <f>IFERROR(INDEX(EPSIS!D$2:'EPSIS'!D$603,MATCH($M6,EPSIS!$F$2:'EPSIS'!$F$603,0)),"")</f>
        <v>350</v>
      </c>
      <c r="O6" s="16">
        <f>IFERROR(INDEX(EPSIS!E$2:'EPSIS'!E$603,MATCH($M6,EPSIS!$F$2:'EPSIS'!$F$603,0)),"")</f>
        <v>1980</v>
      </c>
      <c r="R6" s="53" t="str">
        <f t="shared" ref="R6:R69" si="2">IF(O6&gt;$F$2,TRUE,"-")</f>
        <v>-</v>
      </c>
      <c r="S6" s="53" t="str">
        <f t="shared" ref="S6:S69" si="3">IF(R6=TRUE,O6+30,"-")</f>
        <v>-</v>
      </c>
    </row>
    <row r="7" spans="1:24">
      <c r="A7" s="53" t="str">
        <f>IFERROR(INDEX(EPSIS!$B$2:'EPSIS'!$B$603,MATCH($B7,EPSIS!$F$2:'EPSIS'!$F$603,0)),"")</f>
        <v>농축U</v>
      </c>
      <c r="B7" s="53" t="str">
        <f t="array" ref="B7">IFERROR(INDEX(EPSIS!$F$2:'EPSIS'!$F$603,SMALL(IF(($B$3=EPSIS!$B$2:'EPSIS'!$B$603),MATCH(ROW(EPSIS!$B$2:'EPSIS'!$B$603), ROW(EPSIS!$B$2:'EPSIS'!$B$603)), ""), ROWS($A$1:A3))),"")</f>
        <v>511고 리 #4</v>
      </c>
      <c r="C7" s="70">
        <f>IFERROR(INDEX(EPSIS!D$2:'EPSIS'!D$603,MATCH($B7,EPSIS!$F$2:'EPSIS'!$F$603,0)),"")</f>
        <v>950</v>
      </c>
      <c r="D7" s="16">
        <f>IFERROR(INDEX(EPSIS!E$2:'EPSIS'!E$603,MATCH($B7,EPSIS!$F$2:'EPSIS'!$F$603,0)),"")</f>
        <v>1986</v>
      </c>
      <c r="G7" s="53" t="str">
        <f t="shared" si="0"/>
        <v>-</v>
      </c>
      <c r="H7" s="53" t="str">
        <f t="shared" si="1"/>
        <v>-</v>
      </c>
      <c r="I7" s="76"/>
      <c r="L7" s="53" t="str">
        <f>IFERROR(INDEX(EPSIS!$B$2:'EPSIS'!$B$603,MATCH($M7,EPSIS!$F$2:'EPSIS'!$F$603,0)),"")</f>
        <v>LNG</v>
      </c>
      <c r="M7" s="53" t="str">
        <f t="array" ref="M7">IFERROR(INDEX(EPSIS!$F$2:'EPSIS'!$F$603,SMALL(IF(($M$3=EPSIS!$B$2:'EPSIS'!$B$603),MATCH(ROW(EPSIS!$B$2:'EPSIS'!$B$603), ROW(EPSIS!$B$2:'EPSIS'!$B$603)), ""), ROWS($A$1:A3))),"")</f>
        <v>63평택#3</v>
      </c>
      <c r="N7" s="70">
        <f>IFERROR(INDEX(EPSIS!D$2:'EPSIS'!D$603,MATCH($M7,EPSIS!$F$2:'EPSIS'!$F$603,0)),"")</f>
        <v>350</v>
      </c>
      <c r="O7" s="16">
        <f>IFERROR(INDEX(EPSIS!E$2:'EPSIS'!E$603,MATCH($M7,EPSIS!$F$2:'EPSIS'!$F$603,0)),"")</f>
        <v>1983</v>
      </c>
      <c r="R7" s="53" t="str">
        <f t="shared" si="2"/>
        <v>-</v>
      </c>
      <c r="S7" s="53" t="str">
        <f t="shared" si="3"/>
        <v>-</v>
      </c>
    </row>
    <row r="8" spans="1:24">
      <c r="A8" s="53" t="str">
        <f>IFERROR(INDEX(EPSIS!$B$2:'EPSIS'!$B$603,MATCH($B8,EPSIS!$F$2:'EPSIS'!$F$603,0)),"")</f>
        <v>농축U</v>
      </c>
      <c r="B8" s="53" t="str">
        <f t="array" ref="B8">IFERROR(INDEX(EPSIS!$F$2:'EPSIS'!$F$603,SMALL(IF(($B$3=EPSIS!$B$2:'EPSIS'!$B$603),MATCH(ROW(EPSIS!$B$2:'EPSIS'!$B$603), ROW(EPSIS!$B$2:'EPSIS'!$B$603)), ""), ROWS($A$1:A4))),"")</f>
        <v>512신고리#1</v>
      </c>
      <c r="C8" s="70">
        <f>IFERROR(INDEX(EPSIS!D$2:'EPSIS'!D$603,MATCH($B8,EPSIS!$F$2:'EPSIS'!$F$603,0)),"")</f>
        <v>1000</v>
      </c>
      <c r="D8" s="16">
        <f>IFERROR(INDEX(EPSIS!E$2:'EPSIS'!E$603,MATCH($B8,EPSIS!$F$2:'EPSIS'!$F$603,0)),"")</f>
        <v>2011</v>
      </c>
      <c r="G8" s="53" t="b">
        <f t="shared" si="0"/>
        <v>1</v>
      </c>
      <c r="H8" s="53">
        <f t="shared" si="1"/>
        <v>2041</v>
      </c>
      <c r="I8" s="76"/>
      <c r="L8" s="53" t="str">
        <f>IFERROR(INDEX(EPSIS!$B$2:'EPSIS'!$B$603,MATCH($M8,EPSIS!$F$2:'EPSIS'!$F$603,0)),"")</f>
        <v>LNG</v>
      </c>
      <c r="M8" s="53" t="str">
        <f t="array" ref="M8">IFERROR(INDEX(EPSIS!$F$2:'EPSIS'!$F$603,SMALL(IF(($M$3=EPSIS!$B$2:'EPSIS'!$B$603),MATCH(ROW(EPSIS!$B$2:'EPSIS'!$B$603), ROW(EPSIS!$B$2:'EPSIS'!$B$603)), ""), ROWS($A$1:A4))),"")</f>
        <v>64평택#4</v>
      </c>
      <c r="N8" s="70">
        <f>IFERROR(INDEX(EPSIS!D$2:'EPSIS'!D$603,MATCH($M8,EPSIS!$F$2:'EPSIS'!$F$603,0)),"")</f>
        <v>350</v>
      </c>
      <c r="O8" s="16">
        <f>IFERROR(INDEX(EPSIS!E$2:'EPSIS'!E$603,MATCH($M8,EPSIS!$F$2:'EPSIS'!$F$603,0)),"")</f>
        <v>1983</v>
      </c>
      <c r="R8" s="53" t="str">
        <f t="shared" si="2"/>
        <v>-</v>
      </c>
      <c r="S8" s="53" t="str">
        <f t="shared" si="3"/>
        <v>-</v>
      </c>
    </row>
    <row r="9" spans="1:24">
      <c r="A9" s="53" t="str">
        <f>IFERROR(INDEX(EPSIS!$B$2:'EPSIS'!$B$603,MATCH($B9,EPSIS!$F$2:'EPSIS'!$F$603,0)),"")</f>
        <v>농축U</v>
      </c>
      <c r="B9" s="53" t="str">
        <f t="array" ref="B9">IFERROR(INDEX(EPSIS!$F$2:'EPSIS'!$F$603,SMALL(IF(($B$3=EPSIS!$B$2:'EPSIS'!$B$603),MATCH(ROW(EPSIS!$B$2:'EPSIS'!$B$603), ROW(EPSIS!$B$2:'EPSIS'!$B$603)), ""), ROWS($A$1:A5))),"")</f>
        <v>513신고리#2</v>
      </c>
      <c r="C9" s="70">
        <f>IFERROR(INDEX(EPSIS!D$2:'EPSIS'!D$603,MATCH($B9,EPSIS!$F$2:'EPSIS'!$F$603,0)),"")</f>
        <v>1000</v>
      </c>
      <c r="D9" s="16">
        <f>IFERROR(INDEX(EPSIS!E$2:'EPSIS'!E$603,MATCH($B9,EPSIS!$F$2:'EPSIS'!$F$603,0)),"")</f>
        <v>2012</v>
      </c>
      <c r="G9" s="53" t="b">
        <f t="shared" si="0"/>
        <v>1</v>
      </c>
      <c r="H9" s="53">
        <f t="shared" si="1"/>
        <v>2042</v>
      </c>
      <c r="I9" s="76"/>
      <c r="L9" s="53" t="str">
        <f>IFERROR(INDEX(EPSIS!$B$2:'EPSIS'!$B$603,MATCH($M9,EPSIS!$F$2:'EPSIS'!$F$603,0)),"")</f>
        <v>LNG</v>
      </c>
      <c r="M9" s="53" t="str">
        <f t="array" ref="M9">IFERROR(INDEX(EPSIS!$F$2:'EPSIS'!$F$603,SMALL(IF(($M$3=EPSIS!$B$2:'EPSIS'!$B$603),MATCH(ROW(EPSIS!$B$2:'EPSIS'!$B$603), ROW(EPSIS!$B$2:'EPSIS'!$B$603)), ""), ROWS($A$1:A5))),"")</f>
        <v>191광양#1 GT</v>
      </c>
      <c r="N9" s="70">
        <f>IFERROR(INDEX(EPSIS!D$2:'EPSIS'!D$603,MATCH($M9,EPSIS!$F$2:'EPSIS'!$F$603,0)),"")</f>
        <v>306.2</v>
      </c>
      <c r="O9" s="16">
        <f>IFERROR(INDEX(EPSIS!E$2:'EPSIS'!E$603,MATCH($M9,EPSIS!$F$2:'EPSIS'!$F$603,0)),"")</f>
        <v>2006</v>
      </c>
      <c r="R9" s="53" t="b">
        <f t="shared" si="2"/>
        <v>1</v>
      </c>
      <c r="S9" s="53">
        <f t="shared" si="3"/>
        <v>2036</v>
      </c>
    </row>
    <row r="10" spans="1:24">
      <c r="A10" s="53" t="str">
        <f>IFERROR(INDEX(EPSIS!$B$2:'EPSIS'!$B$603,MATCH($B10,EPSIS!$F$2:'EPSIS'!$F$603,0)),"")</f>
        <v>농축U</v>
      </c>
      <c r="B10" s="53" t="str">
        <f t="array" ref="B10">IFERROR(INDEX(EPSIS!$F$2:'EPSIS'!$F$603,SMALL(IF(($B$3=EPSIS!$B$2:'EPSIS'!$B$603),MATCH(ROW(EPSIS!$B$2:'EPSIS'!$B$603), ROW(EPSIS!$B$2:'EPSIS'!$B$603)), ""), ROWS($A$1:A6))),"")</f>
        <v>514신고리#3</v>
      </c>
      <c r="C10" s="70">
        <f>IFERROR(INDEX(EPSIS!D$2:'EPSIS'!D$603,MATCH($B10,EPSIS!$F$2:'EPSIS'!$F$603,0)),"")</f>
        <v>1400</v>
      </c>
      <c r="D10" s="16">
        <f>IFERROR(INDEX(EPSIS!E$2:'EPSIS'!E$603,MATCH($B10,EPSIS!$F$2:'EPSIS'!$F$603,0)),"")</f>
        <v>2016</v>
      </c>
      <c r="G10" s="53" t="b">
        <f t="shared" si="0"/>
        <v>1</v>
      </c>
      <c r="H10" s="53">
        <f t="shared" si="1"/>
        <v>2046</v>
      </c>
      <c r="I10" s="76"/>
      <c r="L10" s="53" t="str">
        <f>IFERROR(INDEX(EPSIS!$B$2:'EPSIS'!$B$603,MATCH($M10,EPSIS!$F$2:'EPSIS'!$F$603,0)),"")</f>
        <v>LNG</v>
      </c>
      <c r="M10" s="53" t="str">
        <f t="array" ref="M10">IFERROR(INDEX(EPSIS!$F$2:'EPSIS'!$F$603,SMALL(IF(($M$3=EPSIS!$B$2:'EPSIS'!$B$603),MATCH(ROW(EPSIS!$B$2:'EPSIS'!$B$603), ROW(EPSIS!$B$2:'EPSIS'!$B$603)), ""), ROWS($A$1:A6))),"")</f>
        <v>192광양#1 ST</v>
      </c>
      <c r="N10" s="70">
        <f>IFERROR(INDEX(EPSIS!D$2:'EPSIS'!D$603,MATCH($M10,EPSIS!$F$2:'EPSIS'!$F$603,0)),"")</f>
        <v>188.4</v>
      </c>
      <c r="O10" s="16">
        <f>IFERROR(INDEX(EPSIS!E$2:'EPSIS'!E$603,MATCH($M10,EPSIS!$F$2:'EPSIS'!$F$603,0)),"")</f>
        <v>2006</v>
      </c>
      <c r="R10" s="53" t="b">
        <f t="shared" si="2"/>
        <v>1</v>
      </c>
      <c r="S10" s="53">
        <f t="shared" si="3"/>
        <v>2036</v>
      </c>
    </row>
    <row r="11" spans="1:24">
      <c r="A11" s="53" t="str">
        <f>IFERROR(INDEX(EPSIS!$B$2:'EPSIS'!$B$603,MATCH($B11,EPSIS!$F$2:'EPSIS'!$F$603,0)),"")</f>
        <v>농축U</v>
      </c>
      <c r="B11" s="53" t="str">
        <f t="array" ref="B11">IFERROR(INDEX(EPSIS!$F$2:'EPSIS'!$F$603,SMALL(IF(($B$3=EPSIS!$B$2:'EPSIS'!$B$603),MATCH(ROW(EPSIS!$B$2:'EPSIS'!$B$603), ROW(EPSIS!$B$2:'EPSIS'!$B$603)), ""), ROWS($A$1:A7))),"")</f>
        <v>515신고리#4</v>
      </c>
      <c r="C11" s="70">
        <f>IFERROR(INDEX(EPSIS!D$2:'EPSIS'!D$603,MATCH($B11,EPSIS!$F$2:'EPSIS'!$F$603,0)),"")</f>
        <v>1400</v>
      </c>
      <c r="D11" s="16">
        <f>IFERROR(INDEX(EPSIS!E$2:'EPSIS'!E$603,MATCH($B11,EPSIS!$F$2:'EPSIS'!$F$603,0)),"")</f>
        <v>2019</v>
      </c>
      <c r="G11" s="53" t="b">
        <f t="shared" si="0"/>
        <v>1</v>
      </c>
      <c r="H11" s="53">
        <f t="shared" si="1"/>
        <v>2049</v>
      </c>
      <c r="I11" s="76"/>
      <c r="L11" s="53" t="str">
        <f>IFERROR(INDEX(EPSIS!$B$2:'EPSIS'!$B$603,MATCH($M11,EPSIS!$F$2:'EPSIS'!$F$603,0)),"")</f>
        <v>LNG</v>
      </c>
      <c r="M11" s="53" t="str">
        <f t="array" ref="M11">IFERROR(INDEX(EPSIS!$F$2:'EPSIS'!$F$603,SMALL(IF(($M$3=EPSIS!$B$2:'EPSIS'!$B$603),MATCH(ROW(EPSIS!$B$2:'EPSIS'!$B$603), ROW(EPSIS!$B$2:'EPSIS'!$B$603)), ""), ROWS($A$1:A7))),"")</f>
        <v>193광양#2 GT</v>
      </c>
      <c r="N11" s="70">
        <f>IFERROR(INDEX(EPSIS!D$2:'EPSIS'!D$603,MATCH($M11,EPSIS!$F$2:'EPSIS'!$F$603,0)),"")</f>
        <v>306.2</v>
      </c>
      <c r="O11" s="16">
        <f>IFERROR(INDEX(EPSIS!E$2:'EPSIS'!E$603,MATCH($M11,EPSIS!$F$2:'EPSIS'!$F$603,0)),"")</f>
        <v>2006</v>
      </c>
      <c r="R11" s="53" t="b">
        <f t="shared" si="2"/>
        <v>1</v>
      </c>
      <c r="S11" s="53">
        <f t="shared" si="3"/>
        <v>2036</v>
      </c>
    </row>
    <row r="12" spans="1:24">
      <c r="A12" s="53" t="str">
        <f>IFERROR(INDEX(EPSIS!$B$2:'EPSIS'!$B$603,MATCH($B12,EPSIS!$F$2:'EPSIS'!$F$603,0)),"")</f>
        <v>농축U</v>
      </c>
      <c r="B12" s="53" t="str">
        <f t="array" ref="B12">IFERROR(INDEX(EPSIS!$F$2:'EPSIS'!$F$603,SMALL(IF(($B$3=EPSIS!$B$2:'EPSIS'!$B$603),MATCH(ROW(EPSIS!$B$2:'EPSIS'!$B$603), ROW(EPSIS!$B$2:'EPSIS'!$B$603)), ""), ROWS($A$1:A8))),"")</f>
        <v>516신월성#1</v>
      </c>
      <c r="C12" s="70">
        <f>IFERROR(INDEX(EPSIS!D$2:'EPSIS'!D$603,MATCH($B12,EPSIS!$F$2:'EPSIS'!$F$603,0)),"")</f>
        <v>1000</v>
      </c>
      <c r="D12" s="16">
        <f>IFERROR(INDEX(EPSIS!E$2:'EPSIS'!E$603,MATCH($B12,EPSIS!$F$2:'EPSIS'!$F$603,0)),"")</f>
        <v>2012</v>
      </c>
      <c r="G12" s="53" t="b">
        <f t="shared" si="0"/>
        <v>1</v>
      </c>
      <c r="H12" s="53">
        <f t="shared" si="1"/>
        <v>2042</v>
      </c>
      <c r="I12" s="76"/>
      <c r="L12" s="53" t="str">
        <f>IFERROR(INDEX(EPSIS!$B$2:'EPSIS'!$B$603,MATCH($M12,EPSIS!$F$2:'EPSIS'!$F$603,0)),"")</f>
        <v>LNG</v>
      </c>
      <c r="M12" s="53" t="str">
        <f t="array" ref="M12">IFERROR(INDEX(EPSIS!$F$2:'EPSIS'!$F$603,SMALL(IF(($M$3=EPSIS!$B$2:'EPSIS'!$B$603),MATCH(ROW(EPSIS!$B$2:'EPSIS'!$B$603), ROW(EPSIS!$B$2:'EPSIS'!$B$603)), ""), ROWS($A$1:A8))),"")</f>
        <v>194광양#2 ST</v>
      </c>
      <c r="N12" s="70">
        <f>IFERROR(INDEX(EPSIS!D$2:'EPSIS'!D$603,MATCH($M12,EPSIS!$F$2:'EPSIS'!$F$603,0)),"")</f>
        <v>188.4</v>
      </c>
      <c r="O12" s="16">
        <f>IFERROR(INDEX(EPSIS!E$2:'EPSIS'!E$603,MATCH($M12,EPSIS!$F$2:'EPSIS'!$F$603,0)),"")</f>
        <v>2006</v>
      </c>
      <c r="R12" s="53" t="b">
        <f t="shared" si="2"/>
        <v>1</v>
      </c>
      <c r="S12" s="53">
        <f t="shared" si="3"/>
        <v>2036</v>
      </c>
    </row>
    <row r="13" spans="1:24">
      <c r="A13" s="53" t="str">
        <f>IFERROR(INDEX(EPSIS!$B$2:'EPSIS'!$B$603,MATCH($B13,EPSIS!$F$2:'EPSIS'!$F$603,0)),"")</f>
        <v>농축U</v>
      </c>
      <c r="B13" s="53" t="str">
        <f t="array" ref="B13">IFERROR(INDEX(EPSIS!$F$2:'EPSIS'!$F$603,SMALL(IF(($B$3=EPSIS!$B$2:'EPSIS'!$B$603),MATCH(ROW(EPSIS!$B$2:'EPSIS'!$B$603), ROW(EPSIS!$B$2:'EPSIS'!$B$603)), ""), ROWS($A$1:A9))),"")</f>
        <v>517신월성#2</v>
      </c>
      <c r="C13" s="70">
        <f>IFERROR(INDEX(EPSIS!D$2:'EPSIS'!D$603,MATCH($B13,EPSIS!$F$2:'EPSIS'!$F$603,0)),"")</f>
        <v>1000</v>
      </c>
      <c r="D13" s="16">
        <f>IFERROR(INDEX(EPSIS!E$2:'EPSIS'!E$603,MATCH($B13,EPSIS!$F$2:'EPSIS'!$F$603,0)),"")</f>
        <v>2015</v>
      </c>
      <c r="G13" s="53" t="b">
        <f t="shared" si="0"/>
        <v>1</v>
      </c>
      <c r="H13" s="53">
        <f t="shared" si="1"/>
        <v>2045</v>
      </c>
      <c r="I13" s="76"/>
      <c r="L13" s="53" t="str">
        <f>IFERROR(INDEX(EPSIS!$B$2:'EPSIS'!$B$603,MATCH($M13,EPSIS!$F$2:'EPSIS'!$F$603,0)),"")</f>
        <v>LNG</v>
      </c>
      <c r="M13" s="53" t="str">
        <f t="array" ref="M13">IFERROR(INDEX(EPSIS!$F$2:'EPSIS'!$F$603,SMALL(IF(($M$3=EPSIS!$B$2:'EPSIS'!$B$603),MATCH(ROW(EPSIS!$B$2:'EPSIS'!$B$603), ROW(EPSIS!$B$2:'EPSIS'!$B$603)), ""), ROWS($A$1:A9))),"")</f>
        <v>195군산 GT</v>
      </c>
      <c r="N13" s="70">
        <f>IFERROR(INDEX(EPSIS!D$2:'EPSIS'!D$603,MATCH($M13,EPSIS!$F$2:'EPSIS'!$F$603,0)),"")</f>
        <v>466.6</v>
      </c>
      <c r="O13" s="16">
        <f>IFERROR(INDEX(EPSIS!E$2:'EPSIS'!E$603,MATCH($M13,EPSIS!$F$2:'EPSIS'!$F$603,0)),"")</f>
        <v>2010</v>
      </c>
      <c r="R13" s="53" t="b">
        <f t="shared" si="2"/>
        <v>1</v>
      </c>
      <c r="S13" s="53">
        <f t="shared" si="3"/>
        <v>2040</v>
      </c>
    </row>
    <row r="14" spans="1:24">
      <c r="A14" s="53" t="str">
        <f>IFERROR(INDEX(EPSIS!$B$2:'EPSIS'!$B$603,MATCH($B14,EPSIS!$F$2:'EPSIS'!$F$603,0)),"")</f>
        <v>농축U</v>
      </c>
      <c r="B14" s="53" t="str">
        <f t="array" ref="B14">IFERROR(INDEX(EPSIS!$F$2:'EPSIS'!$F$603,SMALL(IF(($B$3=EPSIS!$B$2:'EPSIS'!$B$603),MATCH(ROW(EPSIS!$B$2:'EPSIS'!$B$603), ROW(EPSIS!$B$2:'EPSIS'!$B$603)), ""), ROWS($A$1:A10))),"")</f>
        <v>518신한울 #1</v>
      </c>
      <c r="C14" s="70">
        <f>IFERROR(INDEX(EPSIS!D$2:'EPSIS'!D$603,MATCH($B14,EPSIS!$F$2:'EPSIS'!$F$603,0)),"")</f>
        <v>1400</v>
      </c>
      <c r="D14" s="16">
        <f>IFERROR(INDEX(EPSIS!E$2:'EPSIS'!E$603,MATCH($B14,EPSIS!$F$2:'EPSIS'!$F$603,0)),"")</f>
        <v>2022</v>
      </c>
      <c r="G14" s="53" t="b">
        <f t="shared" si="0"/>
        <v>1</v>
      </c>
      <c r="H14" s="53">
        <f t="shared" si="1"/>
        <v>2052</v>
      </c>
      <c r="I14" s="76"/>
      <c r="L14" s="53" t="str">
        <f>IFERROR(INDEX(EPSIS!$B$2:'EPSIS'!$B$603,MATCH($M14,EPSIS!$F$2:'EPSIS'!$F$603,0)),"")</f>
        <v>LNG</v>
      </c>
      <c r="M14" s="53" t="str">
        <f t="array" ref="M14">IFERROR(INDEX(EPSIS!$F$2:'EPSIS'!$F$603,SMALL(IF(($M$3=EPSIS!$B$2:'EPSIS'!$B$603),MATCH(ROW(EPSIS!$B$2:'EPSIS'!$B$603), ROW(EPSIS!$B$2:'EPSIS'!$B$603)), ""), ROWS($A$1:A10))),"")</f>
        <v>196군산 ST</v>
      </c>
      <c r="N14" s="70">
        <f>IFERROR(INDEX(EPSIS!D$2:'EPSIS'!D$603,MATCH($M14,EPSIS!$F$2:'EPSIS'!$F$603,0)),"")</f>
        <v>251.8</v>
      </c>
      <c r="O14" s="16">
        <f>IFERROR(INDEX(EPSIS!E$2:'EPSIS'!E$603,MATCH($M14,EPSIS!$F$2:'EPSIS'!$F$603,0)),"")</f>
        <v>2010</v>
      </c>
      <c r="R14" s="53" t="b">
        <f t="shared" si="2"/>
        <v>1</v>
      </c>
      <c r="S14" s="53">
        <f t="shared" si="3"/>
        <v>2040</v>
      </c>
    </row>
    <row r="15" spans="1:24">
      <c r="A15" s="53" t="str">
        <f>IFERROR(INDEX(EPSIS!$B$2:'EPSIS'!$B$603,MATCH($B15,EPSIS!$F$2:'EPSIS'!$F$603,0)),"")</f>
        <v>농축U</v>
      </c>
      <c r="B15" s="53" t="str">
        <f t="array" ref="B15">IFERROR(INDEX(EPSIS!$F$2:'EPSIS'!$F$603,SMALL(IF(($B$3=EPSIS!$B$2:'EPSIS'!$B$603),MATCH(ROW(EPSIS!$B$2:'EPSIS'!$B$603), ROW(EPSIS!$B$2:'EPSIS'!$B$603)), ""), ROWS($A$1:A11))),"")</f>
        <v>522한 빛 #1</v>
      </c>
      <c r="C15" s="70">
        <f>IFERROR(INDEX(EPSIS!D$2:'EPSIS'!D$603,MATCH($B15,EPSIS!$F$2:'EPSIS'!$F$603,0)),"")</f>
        <v>950</v>
      </c>
      <c r="D15" s="16">
        <f>IFERROR(INDEX(EPSIS!E$2:'EPSIS'!E$603,MATCH($B15,EPSIS!$F$2:'EPSIS'!$F$603,0)),"")</f>
        <v>1986</v>
      </c>
      <c r="G15" s="53" t="str">
        <f t="shared" si="0"/>
        <v>-</v>
      </c>
      <c r="H15" s="53" t="str">
        <f t="shared" si="1"/>
        <v>-</v>
      </c>
      <c r="I15" s="46"/>
      <c r="L15" s="53" t="str">
        <f>IFERROR(INDEX(EPSIS!$B$2:'EPSIS'!$B$603,MATCH($M15,EPSIS!$F$2:'EPSIS'!$F$603,0)),"")</f>
        <v>LNG</v>
      </c>
      <c r="M15" s="53" t="str">
        <f t="array" ref="M15">IFERROR(INDEX(EPSIS!$F$2:'EPSIS'!$F$603,SMALL(IF(($M$3=EPSIS!$B$2:'EPSIS'!$B$603),MATCH(ROW(EPSIS!$B$2:'EPSIS'!$B$603), ROW(EPSIS!$B$2:'EPSIS'!$B$603)), ""), ROWS($A$1:A11))),"")</f>
        <v>197남제주복합 GT</v>
      </c>
      <c r="N15" s="70">
        <f>IFERROR(INDEX(EPSIS!D$2:'EPSIS'!D$603,MATCH($M15,EPSIS!$F$2:'EPSIS'!$F$603,0)),"")</f>
        <v>97.028000000000006</v>
      </c>
      <c r="O15" s="16">
        <f>IFERROR(INDEX(EPSIS!E$2:'EPSIS'!E$603,MATCH($M15,EPSIS!$F$2:'EPSIS'!$F$603,0)),"")</f>
        <v>2020</v>
      </c>
      <c r="R15" s="53" t="b">
        <f t="shared" si="2"/>
        <v>1</v>
      </c>
      <c r="S15" s="53">
        <f t="shared" si="3"/>
        <v>2050</v>
      </c>
    </row>
    <row r="16" spans="1:24">
      <c r="A16" s="53" t="str">
        <f>IFERROR(INDEX(EPSIS!$B$2:'EPSIS'!$B$603,MATCH($B16,EPSIS!$F$2:'EPSIS'!$F$603,0)),"")</f>
        <v>농축U</v>
      </c>
      <c r="B16" s="53" t="str">
        <f t="array" ref="B16">IFERROR(INDEX(EPSIS!$F$2:'EPSIS'!$F$603,SMALL(IF(($B$3=EPSIS!$B$2:'EPSIS'!$B$603),MATCH(ROW(EPSIS!$B$2:'EPSIS'!$B$603), ROW(EPSIS!$B$2:'EPSIS'!$B$603)), ""), ROWS($A$1:A12))),"")</f>
        <v>523한 빛 #2</v>
      </c>
      <c r="C16" s="70">
        <f>IFERROR(INDEX(EPSIS!D$2:'EPSIS'!D$603,MATCH($B16,EPSIS!$F$2:'EPSIS'!$F$603,0)),"")</f>
        <v>950</v>
      </c>
      <c r="D16" s="16">
        <f>IFERROR(INDEX(EPSIS!E$2:'EPSIS'!E$603,MATCH($B16,EPSIS!$F$2:'EPSIS'!$F$603,0)),"")</f>
        <v>1987</v>
      </c>
      <c r="G16" s="53" t="str">
        <f t="shared" si="0"/>
        <v>-</v>
      </c>
      <c r="H16" s="53" t="str">
        <f t="shared" si="1"/>
        <v>-</v>
      </c>
      <c r="I16" s="76"/>
      <c r="L16" s="53" t="str">
        <f>IFERROR(INDEX(EPSIS!$B$2:'EPSIS'!$B$603,MATCH($M16,EPSIS!$F$2:'EPSIS'!$F$603,0)),"")</f>
        <v>LNG</v>
      </c>
      <c r="M16" s="53" t="str">
        <f t="array" ref="M16">IFERROR(INDEX(EPSIS!$F$2:'EPSIS'!$F$603,SMALL(IF(($M$3=EPSIS!$B$2:'EPSIS'!$B$603),MATCH(ROW(EPSIS!$B$2:'EPSIS'!$B$603), ROW(EPSIS!$B$2:'EPSIS'!$B$603)), ""), ROWS($A$1:A12))),"")</f>
        <v>198남제주복합 ST</v>
      </c>
      <c r="N16" s="70">
        <f>IFERROR(INDEX(EPSIS!D$2:'EPSIS'!D$603,MATCH($M16,EPSIS!$F$2:'EPSIS'!$F$603,0)),"")</f>
        <v>49.216999999999999</v>
      </c>
      <c r="O16" s="16">
        <f>IFERROR(INDEX(EPSIS!E$2:'EPSIS'!E$603,MATCH($M16,EPSIS!$F$2:'EPSIS'!$F$603,0)),"")</f>
        <v>2020</v>
      </c>
      <c r="R16" s="53" t="b">
        <f t="shared" si="2"/>
        <v>1</v>
      </c>
      <c r="S16" s="53">
        <f t="shared" si="3"/>
        <v>2050</v>
      </c>
    </row>
    <row r="17" spans="1:19">
      <c r="A17" s="53" t="str">
        <f>IFERROR(INDEX(EPSIS!$B$2:'EPSIS'!$B$603,MATCH($B17,EPSIS!$F$2:'EPSIS'!$F$603,0)),"")</f>
        <v>농축U</v>
      </c>
      <c r="B17" s="53" t="str">
        <f t="array" ref="B17">IFERROR(INDEX(EPSIS!$F$2:'EPSIS'!$F$603,SMALL(IF(($B$3=EPSIS!$B$2:'EPSIS'!$B$603),MATCH(ROW(EPSIS!$B$2:'EPSIS'!$B$603), ROW(EPSIS!$B$2:'EPSIS'!$B$603)), ""), ROWS($A$1:A13))),"")</f>
        <v>524한 빛 #3</v>
      </c>
      <c r="C17" s="70">
        <f>IFERROR(INDEX(EPSIS!D$2:'EPSIS'!D$603,MATCH($B17,EPSIS!$F$2:'EPSIS'!$F$603,0)),"")</f>
        <v>1000</v>
      </c>
      <c r="D17" s="16">
        <f>IFERROR(INDEX(EPSIS!E$2:'EPSIS'!E$603,MATCH($B17,EPSIS!$F$2:'EPSIS'!$F$603,0)),"")</f>
        <v>1995</v>
      </c>
      <c r="G17" s="53" t="str">
        <f t="shared" si="0"/>
        <v>-</v>
      </c>
      <c r="H17" s="53" t="str">
        <f t="shared" si="1"/>
        <v>-</v>
      </c>
      <c r="I17" s="76"/>
      <c r="L17" s="53" t="str">
        <f>IFERROR(INDEX(EPSIS!$B$2:'EPSIS'!$B$603,MATCH($M17,EPSIS!$F$2:'EPSIS'!$F$603,0)),"")</f>
        <v>LNG</v>
      </c>
      <c r="M17" s="53" t="str">
        <f t="array" ref="M17">IFERROR(INDEX(EPSIS!$F$2:'EPSIS'!$F$603,SMALL(IF(($M$3=EPSIS!$B$2:'EPSIS'!$B$603),MATCH(ROW(EPSIS!$B$2:'EPSIS'!$B$603), ROW(EPSIS!$B$2:'EPSIS'!$B$603)), ""), ROWS($A$1:A13))),"")</f>
        <v>199당진#1 GT</v>
      </c>
      <c r="N17" s="70">
        <f>IFERROR(INDEX(EPSIS!D$2:'EPSIS'!D$603,MATCH($M17,EPSIS!$F$2:'EPSIS'!$F$603,0)),"")</f>
        <v>321.92</v>
      </c>
      <c r="O17" s="16">
        <f>IFERROR(INDEX(EPSIS!E$2:'EPSIS'!E$603,MATCH($M17,EPSIS!$F$2:'EPSIS'!$F$603,0)),"")</f>
        <v>2000</v>
      </c>
      <c r="R17" s="53" t="str">
        <f t="shared" si="2"/>
        <v>-</v>
      </c>
      <c r="S17" s="53" t="str">
        <f t="shared" si="3"/>
        <v>-</v>
      </c>
    </row>
    <row r="18" spans="1:19">
      <c r="A18" s="53" t="str">
        <f>IFERROR(INDEX(EPSIS!$B$2:'EPSIS'!$B$603,MATCH($B18,EPSIS!$F$2:'EPSIS'!$F$603,0)),"")</f>
        <v>농축U</v>
      </c>
      <c r="B18" s="53" t="str">
        <f t="array" ref="B18">IFERROR(INDEX(EPSIS!$F$2:'EPSIS'!$F$603,SMALL(IF(($B$3=EPSIS!$B$2:'EPSIS'!$B$603),MATCH(ROW(EPSIS!$B$2:'EPSIS'!$B$603), ROW(EPSIS!$B$2:'EPSIS'!$B$603)), ""), ROWS($A$1:A14))),"")</f>
        <v>525한 빛 #4</v>
      </c>
      <c r="C18" s="70">
        <f>IFERROR(INDEX(EPSIS!D$2:'EPSIS'!D$603,MATCH($B18,EPSIS!$F$2:'EPSIS'!$F$603,0)),"")</f>
        <v>1000</v>
      </c>
      <c r="D18" s="16">
        <f>IFERROR(INDEX(EPSIS!E$2:'EPSIS'!E$603,MATCH($B18,EPSIS!$F$2:'EPSIS'!$F$603,0)),"")</f>
        <v>1996</v>
      </c>
      <c r="G18" s="53" t="str">
        <f t="shared" si="0"/>
        <v>-</v>
      </c>
      <c r="H18" s="53" t="str">
        <f t="shared" si="1"/>
        <v>-</v>
      </c>
      <c r="I18" s="76"/>
      <c r="L18" s="53" t="str">
        <f>IFERROR(INDEX(EPSIS!$B$2:'EPSIS'!$B$603,MATCH($M18,EPSIS!$F$2:'EPSIS'!$F$603,0)),"")</f>
        <v>LNG</v>
      </c>
      <c r="M18" s="53" t="str">
        <f t="array" ref="M18">IFERROR(INDEX(EPSIS!$F$2:'EPSIS'!$F$603,SMALL(IF(($M$3=EPSIS!$B$2:'EPSIS'!$B$603),MATCH(ROW(EPSIS!$B$2:'EPSIS'!$B$603), ROW(EPSIS!$B$2:'EPSIS'!$B$603)), ""), ROWS($A$1:A14))),"")</f>
        <v>200당진#1 ST</v>
      </c>
      <c r="N18" s="70">
        <f>IFERROR(INDEX(EPSIS!D$2:'EPSIS'!D$603,MATCH($M18,EPSIS!$F$2:'EPSIS'!$F$603,0)),"")</f>
        <v>178.83</v>
      </c>
      <c r="O18" s="16">
        <f>IFERROR(INDEX(EPSIS!E$2:'EPSIS'!E$603,MATCH($M18,EPSIS!$F$2:'EPSIS'!$F$603,0)),"")</f>
        <v>2001</v>
      </c>
      <c r="R18" s="53" t="str">
        <f t="shared" si="2"/>
        <v>-</v>
      </c>
      <c r="S18" s="53" t="str">
        <f t="shared" si="3"/>
        <v>-</v>
      </c>
    </row>
    <row r="19" spans="1:19">
      <c r="A19" s="53" t="str">
        <f>IFERROR(INDEX(EPSIS!$B$2:'EPSIS'!$B$603,MATCH($B19,EPSIS!$F$2:'EPSIS'!$F$603,0)),"")</f>
        <v>농축U</v>
      </c>
      <c r="B19" s="53" t="str">
        <f t="array" ref="B19">IFERROR(INDEX(EPSIS!$F$2:'EPSIS'!$F$603,SMALL(IF(($B$3=EPSIS!$B$2:'EPSIS'!$B$603),MATCH(ROW(EPSIS!$B$2:'EPSIS'!$B$603), ROW(EPSIS!$B$2:'EPSIS'!$B$603)), ""), ROWS($A$1:A15))),"")</f>
        <v>526한 빛 #5</v>
      </c>
      <c r="C19" s="70">
        <f>IFERROR(INDEX(EPSIS!D$2:'EPSIS'!D$603,MATCH($B19,EPSIS!$F$2:'EPSIS'!$F$603,0)),"")</f>
        <v>1000</v>
      </c>
      <c r="D19" s="16">
        <f>IFERROR(INDEX(EPSIS!E$2:'EPSIS'!E$603,MATCH($B19,EPSIS!$F$2:'EPSIS'!$F$603,0)),"")</f>
        <v>2002</v>
      </c>
      <c r="G19" s="53" t="str">
        <f t="shared" si="0"/>
        <v>-</v>
      </c>
      <c r="H19" s="53" t="str">
        <f t="shared" si="1"/>
        <v>-</v>
      </c>
      <c r="I19" s="76"/>
      <c r="L19" s="53" t="str">
        <f>IFERROR(INDEX(EPSIS!$B$2:'EPSIS'!$B$603,MATCH($M19,EPSIS!$F$2:'EPSIS'!$F$603,0)),"")</f>
        <v>LNG</v>
      </c>
      <c r="M19" s="53" t="str">
        <f t="array" ref="M19">IFERROR(INDEX(EPSIS!$F$2:'EPSIS'!$F$603,SMALL(IF(($M$3=EPSIS!$B$2:'EPSIS'!$B$603),MATCH(ROW(EPSIS!$B$2:'EPSIS'!$B$603), ROW(EPSIS!$B$2:'EPSIS'!$B$603)), ""), ROWS($A$1:A15))),"")</f>
        <v>201당진#2 GT</v>
      </c>
      <c r="N19" s="70">
        <f>IFERROR(INDEX(EPSIS!D$2:'EPSIS'!D$603,MATCH($M19,EPSIS!$F$2:'EPSIS'!$F$603,0)),"")</f>
        <v>349</v>
      </c>
      <c r="O19" s="16">
        <f>IFERROR(INDEX(EPSIS!E$2:'EPSIS'!E$603,MATCH($M19,EPSIS!$F$2:'EPSIS'!$F$603,0)),"")</f>
        <v>2008</v>
      </c>
      <c r="R19" s="53" t="b">
        <f t="shared" si="2"/>
        <v>1</v>
      </c>
      <c r="S19" s="53">
        <f t="shared" si="3"/>
        <v>2038</v>
      </c>
    </row>
    <row r="20" spans="1:19">
      <c r="A20" s="53" t="str">
        <f>IFERROR(INDEX(EPSIS!$B$2:'EPSIS'!$B$603,MATCH($B20,EPSIS!$F$2:'EPSIS'!$F$603,0)),"")</f>
        <v>농축U</v>
      </c>
      <c r="B20" s="53" t="str">
        <f t="array" ref="B20">IFERROR(INDEX(EPSIS!$F$2:'EPSIS'!$F$603,SMALL(IF(($B$3=EPSIS!$B$2:'EPSIS'!$B$603),MATCH(ROW(EPSIS!$B$2:'EPSIS'!$B$603), ROW(EPSIS!$B$2:'EPSIS'!$B$603)), ""), ROWS($A$1:A16))),"")</f>
        <v>527한 빛 #6</v>
      </c>
      <c r="C20" s="70">
        <f>IFERROR(INDEX(EPSIS!D$2:'EPSIS'!D$603,MATCH($B20,EPSIS!$F$2:'EPSIS'!$F$603,0)),"")</f>
        <v>1000</v>
      </c>
      <c r="D20" s="16">
        <f>IFERROR(INDEX(EPSIS!E$2:'EPSIS'!E$603,MATCH($B20,EPSIS!$F$2:'EPSIS'!$F$603,0)),"")</f>
        <v>2002</v>
      </c>
      <c r="G20" s="53" t="str">
        <f t="shared" si="0"/>
        <v>-</v>
      </c>
      <c r="H20" s="53" t="str">
        <f t="shared" si="1"/>
        <v>-</v>
      </c>
      <c r="I20" s="46"/>
      <c r="L20" s="53" t="str">
        <f>IFERROR(INDEX(EPSIS!$B$2:'EPSIS'!$B$603,MATCH($M20,EPSIS!$F$2:'EPSIS'!$F$603,0)),"")</f>
        <v>LNG</v>
      </c>
      <c r="M20" s="53" t="str">
        <f t="array" ref="M20">IFERROR(INDEX(EPSIS!$F$2:'EPSIS'!$F$603,SMALL(IF(($M$3=EPSIS!$B$2:'EPSIS'!$B$603),MATCH(ROW(EPSIS!$B$2:'EPSIS'!$B$603), ROW(EPSIS!$B$2:'EPSIS'!$B$603)), ""), ROWS($A$1:A16))),"")</f>
        <v>202당진#2 ST</v>
      </c>
      <c r="N20" s="70">
        <f>IFERROR(INDEX(EPSIS!D$2:'EPSIS'!D$603,MATCH($M20,EPSIS!$F$2:'EPSIS'!$F$603,0)),"")</f>
        <v>184</v>
      </c>
      <c r="O20" s="16">
        <f>IFERROR(INDEX(EPSIS!E$2:'EPSIS'!E$603,MATCH($M20,EPSIS!$F$2:'EPSIS'!$F$603,0)),"")</f>
        <v>2008</v>
      </c>
      <c r="R20" s="53" t="b">
        <f t="shared" si="2"/>
        <v>1</v>
      </c>
      <c r="S20" s="53">
        <f t="shared" si="3"/>
        <v>2038</v>
      </c>
    </row>
    <row r="21" spans="1:19">
      <c r="A21" s="53" t="str">
        <f>IFERROR(INDEX(EPSIS!$B$2:'EPSIS'!$B$603,MATCH($B21,EPSIS!$F$2:'EPSIS'!$F$603,0)),"")</f>
        <v>농축U</v>
      </c>
      <c r="B21" s="53" t="str">
        <f t="array" ref="B21">IFERROR(INDEX(EPSIS!$F$2:'EPSIS'!$F$603,SMALL(IF(($B$3=EPSIS!$B$2:'EPSIS'!$B$603),MATCH(ROW(EPSIS!$B$2:'EPSIS'!$B$603), ROW(EPSIS!$B$2:'EPSIS'!$B$603)), ""), ROWS($A$1:A17))),"")</f>
        <v>528한 울 #1</v>
      </c>
      <c r="C21" s="70">
        <f>IFERROR(INDEX(EPSIS!D$2:'EPSIS'!D$603,MATCH($B21,EPSIS!$F$2:'EPSIS'!$F$603,0)),"")</f>
        <v>950</v>
      </c>
      <c r="D21" s="16">
        <f>IFERROR(INDEX(EPSIS!E$2:'EPSIS'!E$603,MATCH($B21,EPSIS!$F$2:'EPSIS'!$F$603,0)),"")</f>
        <v>1988</v>
      </c>
      <c r="G21" s="53" t="str">
        <f t="shared" si="0"/>
        <v>-</v>
      </c>
      <c r="H21" s="53" t="str">
        <f t="shared" si="1"/>
        <v>-</v>
      </c>
      <c r="I21" s="76"/>
      <c r="L21" s="53" t="str">
        <f>IFERROR(INDEX(EPSIS!$B$2:'EPSIS'!$B$603,MATCH($M21,EPSIS!$F$2:'EPSIS'!$F$603,0)),"")</f>
        <v>LNG</v>
      </c>
      <c r="M21" s="53" t="str">
        <f t="array" ref="M21">IFERROR(INDEX(EPSIS!$F$2:'EPSIS'!$F$603,SMALL(IF(($M$3=EPSIS!$B$2:'EPSIS'!$B$603),MATCH(ROW(EPSIS!$B$2:'EPSIS'!$B$603), ROW(EPSIS!$B$2:'EPSIS'!$B$603)), ""), ROWS($A$1:A17))),"")</f>
        <v>203당진#3 GT</v>
      </c>
      <c r="N21" s="70">
        <f>IFERROR(INDEX(EPSIS!D$2:'EPSIS'!D$603,MATCH($M21,EPSIS!$F$2:'EPSIS'!$F$603,0)),"")</f>
        <v>250</v>
      </c>
      <c r="O21" s="16">
        <f>IFERROR(INDEX(EPSIS!E$2:'EPSIS'!E$603,MATCH($M21,EPSIS!$F$2:'EPSIS'!$F$603,0)),"")</f>
        <v>2013</v>
      </c>
      <c r="R21" s="53" t="b">
        <f t="shared" si="2"/>
        <v>1</v>
      </c>
      <c r="S21" s="53">
        <f t="shared" si="3"/>
        <v>2043</v>
      </c>
    </row>
    <row r="22" spans="1:19">
      <c r="A22" s="53" t="str">
        <f>IFERROR(INDEX(EPSIS!$B$2:'EPSIS'!$B$603,MATCH($B22,EPSIS!$F$2:'EPSIS'!$F$603,0)),"")</f>
        <v>농축U</v>
      </c>
      <c r="B22" s="53" t="str">
        <f t="array" ref="B22">IFERROR(INDEX(EPSIS!$F$2:'EPSIS'!$F$603,SMALL(IF(($B$3=EPSIS!$B$2:'EPSIS'!$B$603),MATCH(ROW(EPSIS!$B$2:'EPSIS'!$B$603), ROW(EPSIS!$B$2:'EPSIS'!$B$603)), ""), ROWS($A$1:A18))),"")</f>
        <v>529한 울 #2</v>
      </c>
      <c r="C22" s="70">
        <f>IFERROR(INDEX(EPSIS!D$2:'EPSIS'!D$603,MATCH($B22,EPSIS!$F$2:'EPSIS'!$F$603,0)),"")</f>
        <v>950</v>
      </c>
      <c r="D22" s="16">
        <f>IFERROR(INDEX(EPSIS!E$2:'EPSIS'!E$603,MATCH($B22,EPSIS!$F$2:'EPSIS'!$F$603,0)),"")</f>
        <v>1989</v>
      </c>
      <c r="G22" s="53" t="str">
        <f t="shared" si="0"/>
        <v>-</v>
      </c>
      <c r="H22" s="53" t="str">
        <f t="shared" si="1"/>
        <v>-</v>
      </c>
      <c r="I22" s="76"/>
      <c r="L22" s="53" t="str">
        <f>IFERROR(INDEX(EPSIS!$B$2:'EPSIS'!$B$603,MATCH($M22,EPSIS!$F$2:'EPSIS'!$F$603,0)),"")</f>
        <v>LNG</v>
      </c>
      <c r="M22" s="53" t="str">
        <f t="array" ref="M22">IFERROR(INDEX(EPSIS!$F$2:'EPSIS'!$F$603,SMALL(IF(($M$3=EPSIS!$B$2:'EPSIS'!$B$603),MATCH(ROW(EPSIS!$B$2:'EPSIS'!$B$603), ROW(EPSIS!$B$2:'EPSIS'!$B$603)), ""), ROWS($A$1:A18))),"")</f>
        <v>204당진#3 ST</v>
      </c>
      <c r="N22" s="70">
        <f>IFERROR(INDEX(EPSIS!D$2:'EPSIS'!D$603,MATCH($M22,EPSIS!$F$2:'EPSIS'!$F$603,0)),"")</f>
        <v>132</v>
      </c>
      <c r="O22" s="16">
        <f>IFERROR(INDEX(EPSIS!E$2:'EPSIS'!E$603,MATCH($M22,EPSIS!$F$2:'EPSIS'!$F$603,0)),"")</f>
        <v>2013</v>
      </c>
      <c r="R22" s="53" t="b">
        <f t="shared" si="2"/>
        <v>1</v>
      </c>
      <c r="S22" s="53">
        <f t="shared" si="3"/>
        <v>2043</v>
      </c>
    </row>
    <row r="23" spans="1:19">
      <c r="A23" s="53" t="str">
        <f>IFERROR(INDEX(EPSIS!$B$2:'EPSIS'!$B$603,MATCH($B23,EPSIS!$F$2:'EPSIS'!$F$603,0)),"")</f>
        <v>농축U</v>
      </c>
      <c r="B23" s="53" t="str">
        <f t="array" ref="B23">IFERROR(INDEX(EPSIS!$F$2:'EPSIS'!$F$603,SMALL(IF(($B$3=EPSIS!$B$2:'EPSIS'!$B$603),MATCH(ROW(EPSIS!$B$2:'EPSIS'!$B$603), ROW(EPSIS!$B$2:'EPSIS'!$B$603)), ""), ROWS($A$1:A19))),"")</f>
        <v>530한 울 #3</v>
      </c>
      <c r="C23" s="70">
        <f>IFERROR(INDEX(EPSIS!D$2:'EPSIS'!D$603,MATCH($B23,EPSIS!$F$2:'EPSIS'!$F$603,0)),"")</f>
        <v>1000</v>
      </c>
      <c r="D23" s="16">
        <f>IFERROR(INDEX(EPSIS!E$2:'EPSIS'!E$603,MATCH($B23,EPSIS!$F$2:'EPSIS'!$F$603,0)),"")</f>
        <v>1998</v>
      </c>
      <c r="G23" s="53" t="str">
        <f t="shared" si="0"/>
        <v>-</v>
      </c>
      <c r="H23" s="53" t="str">
        <f t="shared" si="1"/>
        <v>-</v>
      </c>
      <c r="L23" s="53" t="str">
        <f>IFERROR(INDEX(EPSIS!$B$2:'EPSIS'!$B$603,MATCH($M23,EPSIS!$F$2:'EPSIS'!$F$603,0)),"")</f>
        <v>LNG</v>
      </c>
      <c r="M23" s="53" t="str">
        <f t="array" ref="M23">IFERROR(INDEX(EPSIS!$F$2:'EPSIS'!$F$603,SMALL(IF(($M$3=EPSIS!$B$2:'EPSIS'!$B$603),MATCH(ROW(EPSIS!$B$2:'EPSIS'!$B$603), ROW(EPSIS!$B$2:'EPSIS'!$B$603)), ""), ROWS($A$1:A19))),"")</f>
        <v>205당진#4 GT</v>
      </c>
      <c r="N23" s="70">
        <f>IFERROR(INDEX(EPSIS!D$2:'EPSIS'!D$603,MATCH($M23,EPSIS!$F$2:'EPSIS'!$F$603,0)),"")</f>
        <v>539.6</v>
      </c>
      <c r="O23" s="16">
        <f>IFERROR(INDEX(EPSIS!E$2:'EPSIS'!E$603,MATCH($M23,EPSIS!$F$2:'EPSIS'!$F$603,0)),"")</f>
        <v>2017</v>
      </c>
      <c r="R23" s="53" t="b">
        <f t="shared" si="2"/>
        <v>1</v>
      </c>
      <c r="S23" s="53">
        <f t="shared" si="3"/>
        <v>2047</v>
      </c>
    </row>
    <row r="24" spans="1:19">
      <c r="A24" s="53" t="str">
        <f>IFERROR(INDEX(EPSIS!$B$2:'EPSIS'!$B$603,MATCH($B24,EPSIS!$F$2:'EPSIS'!$F$603,0)),"")</f>
        <v>농축U</v>
      </c>
      <c r="B24" s="53" t="str">
        <f t="array" ref="B24">IFERROR(INDEX(EPSIS!$F$2:'EPSIS'!$F$603,SMALL(IF(($B$3=EPSIS!$B$2:'EPSIS'!$B$603),MATCH(ROW(EPSIS!$B$2:'EPSIS'!$B$603), ROW(EPSIS!$B$2:'EPSIS'!$B$603)), ""), ROWS($A$1:A20))),"")</f>
        <v>531한 울 #4</v>
      </c>
      <c r="C24" s="70">
        <f>IFERROR(INDEX(EPSIS!D$2:'EPSIS'!D$603,MATCH($B24,EPSIS!$F$2:'EPSIS'!$F$603,0)),"")</f>
        <v>1000</v>
      </c>
      <c r="D24" s="16">
        <f>IFERROR(INDEX(EPSIS!E$2:'EPSIS'!E$603,MATCH($B24,EPSIS!$F$2:'EPSIS'!$F$603,0)),"")</f>
        <v>1999</v>
      </c>
      <c r="G24" s="53" t="str">
        <f t="shared" si="0"/>
        <v>-</v>
      </c>
      <c r="H24" s="53" t="str">
        <f t="shared" si="1"/>
        <v>-</v>
      </c>
      <c r="L24" s="53" t="str">
        <f>IFERROR(INDEX(EPSIS!$B$2:'EPSIS'!$B$603,MATCH($M24,EPSIS!$F$2:'EPSIS'!$F$603,0)),"")</f>
        <v>LNG</v>
      </c>
      <c r="M24" s="53" t="str">
        <f t="array" ref="M24">IFERROR(INDEX(EPSIS!$F$2:'EPSIS'!$F$603,SMALL(IF(($M$3=EPSIS!$B$2:'EPSIS'!$B$603),MATCH(ROW(EPSIS!$B$2:'EPSIS'!$B$603), ROW(EPSIS!$B$2:'EPSIS'!$B$603)), ""), ROWS($A$1:A20))),"")</f>
        <v>206당진#4 ST</v>
      </c>
      <c r="N24" s="70">
        <f>IFERROR(INDEX(EPSIS!D$2:'EPSIS'!D$603,MATCH($M24,EPSIS!$F$2:'EPSIS'!$F$603,0)),"")</f>
        <v>306.40000000000003</v>
      </c>
      <c r="O24" s="16">
        <f>IFERROR(INDEX(EPSIS!E$2:'EPSIS'!E$603,MATCH($M24,EPSIS!$F$2:'EPSIS'!$F$603,0)),"")</f>
        <v>2017</v>
      </c>
      <c r="R24" s="53" t="b">
        <f t="shared" si="2"/>
        <v>1</v>
      </c>
      <c r="S24" s="53">
        <f t="shared" si="3"/>
        <v>2047</v>
      </c>
    </row>
    <row r="25" spans="1:19">
      <c r="A25" s="53" t="str">
        <f>IFERROR(INDEX(EPSIS!$B$2:'EPSIS'!$B$603,MATCH($B25,EPSIS!$F$2:'EPSIS'!$F$603,0)),"")</f>
        <v>농축U</v>
      </c>
      <c r="B25" s="53" t="str">
        <f t="array" ref="B25">IFERROR(INDEX(EPSIS!$F$2:'EPSIS'!$F$603,SMALL(IF(($B$3=EPSIS!$B$2:'EPSIS'!$B$603),MATCH(ROW(EPSIS!$B$2:'EPSIS'!$B$603), ROW(EPSIS!$B$2:'EPSIS'!$B$603)), ""), ROWS($A$1:A21))),"")</f>
        <v>532한 울 #5</v>
      </c>
      <c r="C25" s="70">
        <f>IFERROR(INDEX(EPSIS!D$2:'EPSIS'!D$603,MATCH($B25,EPSIS!$F$2:'EPSIS'!$F$603,0)),"")</f>
        <v>1000</v>
      </c>
      <c r="D25" s="16">
        <f>IFERROR(INDEX(EPSIS!E$2:'EPSIS'!E$603,MATCH($B25,EPSIS!$F$2:'EPSIS'!$F$603,0)),"")</f>
        <v>2004</v>
      </c>
      <c r="G25" s="53" t="str">
        <f t="shared" si="0"/>
        <v>-</v>
      </c>
      <c r="H25" s="53" t="str">
        <f t="shared" si="1"/>
        <v>-</v>
      </c>
      <c r="L25" s="53" t="str">
        <f>$M$3</f>
        <v>LNG</v>
      </c>
      <c r="M25" s="53" t="str">
        <f t="array" ref="M25">IFERROR(INDEX(EPSIS!$F$2:'EPSIS'!$F$603,SMALL(IF(($M$3=EPSIS!$B$2:'EPSIS'!$B$603),MATCH(ROW(EPSIS!$B$2:'EPSIS'!$B$603), ROW(EPSIS!$B$2:'EPSIS'!$B$603)), ""), ROWS($A$1:A21))),"")</f>
        <v>207대산 GT</v>
      </c>
      <c r="N25" s="70">
        <f>(EPSIS_RAW!E211)*EPSIS!$H$2</f>
        <v>285.8</v>
      </c>
      <c r="O25" s="71">
        <f>ROUNDDOWN(EPSIS_RAW!F211,0)</f>
        <v>2015</v>
      </c>
      <c r="R25" s="53" t="b">
        <f t="shared" si="2"/>
        <v>1</v>
      </c>
      <c r="S25" s="53">
        <f t="shared" si="3"/>
        <v>2045</v>
      </c>
    </row>
    <row r="26" spans="1:19">
      <c r="A26" s="53" t="str">
        <f>IFERROR(INDEX(EPSIS!$B$2:'EPSIS'!$B$603,MATCH($B26,EPSIS!$F$2:'EPSIS'!$F$603,0)),"")</f>
        <v>천연U</v>
      </c>
      <c r="B26" s="53" t="str">
        <f t="array" ref="B26">IFERROR(INDEX(EPSIS!$F$2:'EPSIS'!$F$603,SMALL(IF(($C$3=EPSIS!$B$2:'EPSIS'!$B$603),MATCH(ROW(EPSIS!$B$2:'EPSIS'!$B$603), ROW(EPSIS!$B$2:'EPSIS'!$B$603)), ""), ROWS($A$1:A1))),"")</f>
        <v>519월 성 #2</v>
      </c>
      <c r="C26" s="70">
        <f>IFERROR(INDEX(EPSIS!D$2:'EPSIS'!D$603,MATCH($B26,EPSIS!$F$2:'EPSIS'!$F$603,0)),"")</f>
        <v>700</v>
      </c>
      <c r="D26" s="16">
        <f>IFERROR(INDEX(EPSIS!E$2:'EPSIS'!E$603,MATCH($B26,EPSIS!$F$2:'EPSIS'!$F$603,0)),"")</f>
        <v>1997</v>
      </c>
      <c r="G26" s="53" t="str">
        <f t="shared" si="0"/>
        <v>-</v>
      </c>
      <c r="H26" s="53" t="str">
        <f t="shared" si="1"/>
        <v>-</v>
      </c>
      <c r="L26" s="53" t="str">
        <f>$M$3</f>
        <v>LNG</v>
      </c>
      <c r="M26" s="53" t="str">
        <f t="array" ref="M26">IFERROR(INDEX(EPSIS!$F$2:'EPSIS'!$F$603,SMALL(IF(($M$3=EPSIS!$B$2:'EPSIS'!$B$603),MATCH(ROW(EPSIS!$B$2:'EPSIS'!$B$603), ROW(EPSIS!$B$2:'EPSIS'!$B$603)), ""), ROWS($A$1:A22))),"")</f>
        <v>208대산 ST</v>
      </c>
      <c r="N26" s="70">
        <f>(EPSIS_RAW!E212)*EPSIS!$H$2</f>
        <v>572.6</v>
      </c>
      <c r="O26" s="71">
        <f>ROUNDDOWN(EPSIS_RAW!F212,0)</f>
        <v>2015</v>
      </c>
      <c r="R26" s="53" t="b">
        <f t="shared" si="2"/>
        <v>1</v>
      </c>
      <c r="S26" s="53">
        <f t="shared" si="3"/>
        <v>2045</v>
      </c>
    </row>
    <row r="27" spans="1:19">
      <c r="A27" s="53" t="str">
        <f>IFERROR(INDEX(EPSIS!$B$2:'EPSIS'!$B$603,MATCH($B27,EPSIS!$F$2:'EPSIS'!$F$603,0)),"")</f>
        <v>천연U</v>
      </c>
      <c r="B27" s="53" t="str">
        <f t="array" ref="B27">IFERROR(INDEX(EPSIS!$F$2:'EPSIS'!$F$603,SMALL(IF(($C$3=EPSIS!$B$2:'EPSIS'!$B$603),MATCH(ROW(EPSIS!$B$2:'EPSIS'!$B$603), ROW(EPSIS!$B$2:'EPSIS'!$B$603)), ""), ROWS($A$1:A2))),"")</f>
        <v>520월 성 #3</v>
      </c>
      <c r="C27" s="70">
        <f>IFERROR(INDEX(EPSIS!D$2:'EPSIS'!D$603,MATCH($B27,EPSIS!$F$2:'EPSIS'!$F$603,0)),"")</f>
        <v>700</v>
      </c>
      <c r="D27" s="16">
        <f>IFERROR(INDEX(EPSIS!E$2:'EPSIS'!E$603,MATCH($B27,EPSIS!$F$2:'EPSIS'!$F$603,0)),"")</f>
        <v>1998</v>
      </c>
      <c r="G27" s="53" t="str">
        <f t="shared" si="0"/>
        <v>-</v>
      </c>
      <c r="H27" s="53" t="str">
        <f t="shared" si="1"/>
        <v>-</v>
      </c>
      <c r="L27" s="53" t="str">
        <f>IFERROR(INDEX(EPSIS!$B$2:'EPSIS'!$B$603,MATCH($M27,EPSIS!$F$2:'EPSIS'!$F$603,0)),"")</f>
        <v>LNG</v>
      </c>
      <c r="M27" s="53" t="str">
        <f t="array" ref="M27">IFERROR(INDEX(EPSIS!$F$2:'EPSIS'!$F$603,SMALL(IF(($M$3=EPSIS!$B$2:'EPSIS'!$B$603),MATCH(ROW(EPSIS!$B$2:'EPSIS'!$B$603), ROW(EPSIS!$B$2:'EPSIS'!$B$603)), ""), ROWS($A$1:A23))),"")</f>
        <v>209동두천#1 GT</v>
      </c>
      <c r="N27" s="70">
        <f>IFERROR(INDEX(EPSIS!D$2:'EPSIS'!D$603,MATCH($M27,EPSIS!$F$2:'EPSIS'!$F$603,0)),"")</f>
        <v>572.6</v>
      </c>
      <c r="O27" s="16">
        <f>IFERROR(INDEX(EPSIS!E$2:'EPSIS'!E$603,MATCH($M27,EPSIS!$F$2:'EPSIS'!$F$603,0)),"")</f>
        <v>2015</v>
      </c>
      <c r="R27" s="53" t="b">
        <f t="shared" si="2"/>
        <v>1</v>
      </c>
      <c r="S27" s="53">
        <f t="shared" si="3"/>
        <v>2045</v>
      </c>
    </row>
    <row r="28" spans="1:19">
      <c r="A28" s="53" t="str">
        <f>IFERROR(INDEX(EPSIS!$B$2:'EPSIS'!$B$603,MATCH($B28,EPSIS!$F$2:'EPSIS'!$F$603,0)),"")</f>
        <v>천연U</v>
      </c>
      <c r="B28" s="53" t="str">
        <f t="array" ref="B28">IFERROR(INDEX(EPSIS!$F$2:'EPSIS'!$F$603,SMALL(IF(($C$3=EPSIS!$B$2:'EPSIS'!$B$603),MATCH(ROW(EPSIS!$B$2:'EPSIS'!$B$603), ROW(EPSIS!$B$2:'EPSIS'!$B$603)), ""), ROWS($A$1:A3))),"")</f>
        <v>521월 성 #4</v>
      </c>
      <c r="C28" s="70">
        <f>IFERROR(INDEX(EPSIS!D$2:'EPSIS'!D$603,MATCH($B28,EPSIS!$F$2:'EPSIS'!$F$603,0)),"")</f>
        <v>700</v>
      </c>
      <c r="D28" s="16">
        <f>IFERROR(INDEX(EPSIS!E$2:'EPSIS'!E$603,MATCH($B28,EPSIS!$F$2:'EPSIS'!$F$603,0)),"")</f>
        <v>1999</v>
      </c>
      <c r="G28" s="53" t="str">
        <f t="shared" si="0"/>
        <v>-</v>
      </c>
      <c r="H28" s="53" t="str">
        <f t="shared" si="1"/>
        <v>-</v>
      </c>
      <c r="L28" s="53" t="str">
        <f>IFERROR(INDEX(EPSIS!$B$2:'EPSIS'!$B$603,MATCH($M28,EPSIS!$F$2:'EPSIS'!$F$603,0)),"")</f>
        <v>LNG</v>
      </c>
      <c r="M28" s="53" t="str">
        <f t="array" ref="M28">IFERROR(INDEX(EPSIS!$F$2:'EPSIS'!$F$603,SMALL(IF(($M$3=EPSIS!$B$2:'EPSIS'!$B$603),MATCH(ROW(EPSIS!$B$2:'EPSIS'!$B$603), ROW(EPSIS!$B$2:'EPSIS'!$B$603)), ""), ROWS($A$1:A24))),"")</f>
        <v>210동두천#1 ST</v>
      </c>
      <c r="N28" s="70">
        <f>IFERROR(INDEX(EPSIS!D$2:'EPSIS'!D$603,MATCH($M28,EPSIS!$F$2:'EPSIS'!$F$603,0)),"")</f>
        <v>285.8</v>
      </c>
      <c r="O28" s="16">
        <f>IFERROR(INDEX(EPSIS!E$2:'EPSIS'!E$603,MATCH($M28,EPSIS!$F$2:'EPSIS'!$F$603,0)),"")</f>
        <v>2015</v>
      </c>
      <c r="R28" s="53" t="b">
        <f t="shared" si="2"/>
        <v>1</v>
      </c>
      <c r="S28" s="53">
        <f t="shared" si="3"/>
        <v>2045</v>
      </c>
    </row>
    <row r="29" spans="1:19">
      <c r="L29" s="53" t="str">
        <f>IFERROR(INDEX(EPSIS!$B$2:'EPSIS'!$B$603,MATCH($M29,EPSIS!$F$2:'EPSIS'!$F$603,0)),"")</f>
        <v>LNG</v>
      </c>
      <c r="M29" s="53" t="str">
        <f t="array" ref="M29">IFERROR(INDEX(EPSIS!$F$2:'EPSIS'!$F$603,SMALL(IF(($M$3=EPSIS!$B$2:'EPSIS'!$B$603),MATCH(ROW(EPSIS!$B$2:'EPSIS'!$B$603), ROW(EPSIS!$B$2:'EPSIS'!$B$603)), ""), ROWS($A$1:A25))),"")</f>
        <v>211동두천#2 GT</v>
      </c>
      <c r="N29" s="70">
        <f>IFERROR(INDEX(EPSIS!D$2:'EPSIS'!D$603,MATCH($M29,EPSIS!$F$2:'EPSIS'!$F$603,0)),"")</f>
        <v>572.6</v>
      </c>
      <c r="O29" s="16">
        <f>IFERROR(INDEX(EPSIS!E$2:'EPSIS'!E$603,MATCH($M29,EPSIS!$F$2:'EPSIS'!$F$603,0)),"")</f>
        <v>2015</v>
      </c>
      <c r="R29" s="53" t="b">
        <f t="shared" si="2"/>
        <v>1</v>
      </c>
      <c r="S29" s="53">
        <f t="shared" si="3"/>
        <v>2045</v>
      </c>
    </row>
    <row r="30" spans="1:19">
      <c r="L30" s="53" t="str">
        <f>IFERROR(INDEX(EPSIS!$B$2:'EPSIS'!$B$603,MATCH($M30,EPSIS!$F$2:'EPSIS'!$F$603,0)),"")</f>
        <v>LNG</v>
      </c>
      <c r="M30" s="53" t="str">
        <f t="array" ref="M30">IFERROR(INDEX(EPSIS!$F$2:'EPSIS'!$F$603,SMALL(IF(($M$3=EPSIS!$B$2:'EPSIS'!$B$603),MATCH(ROW(EPSIS!$B$2:'EPSIS'!$B$603), ROW(EPSIS!$B$2:'EPSIS'!$B$603)), ""), ROWS($A$1:A26))),"")</f>
        <v>212동두천#2 ST</v>
      </c>
      <c r="N30" s="70">
        <f>IFERROR(INDEX(EPSIS!D$2:'EPSIS'!D$603,MATCH($M30,EPSIS!$F$2:'EPSIS'!$F$603,0)),"")</f>
        <v>285.8</v>
      </c>
      <c r="O30" s="16">
        <f>IFERROR(INDEX(EPSIS!E$2:'EPSIS'!E$603,MATCH($M30,EPSIS!$F$2:'EPSIS'!$F$603,0)),"")</f>
        <v>2015</v>
      </c>
      <c r="R30" s="53" t="b">
        <f t="shared" si="2"/>
        <v>1</v>
      </c>
      <c r="S30" s="53">
        <f t="shared" si="3"/>
        <v>2045</v>
      </c>
    </row>
    <row r="31" spans="1:19" ht="23.5">
      <c r="A31" s="57" t="s">
        <v>1450</v>
      </c>
      <c r="E31" s="71" t="s">
        <v>378</v>
      </c>
      <c r="F31" s="72">
        <v>30</v>
      </c>
      <c r="G31" s="16" t="s">
        <v>379</v>
      </c>
      <c r="H31" s="71"/>
      <c r="I31" s="46"/>
      <c r="L31" s="53" t="str">
        <f>IFERROR(INDEX(EPSIS!$B$2:'EPSIS'!$B$603,MATCH($M31,EPSIS!$F$2:'EPSIS'!$F$603,0)),"")</f>
        <v>LNG</v>
      </c>
      <c r="M31" s="53" t="str">
        <f t="array" ref="M31">IFERROR(INDEX(EPSIS!$F$2:'EPSIS'!$F$603,SMALL(IF(($M$3=EPSIS!$B$2:'EPSIS'!$B$603),MATCH(ROW(EPSIS!$B$2:'EPSIS'!$B$603), ROW(EPSIS!$B$2:'EPSIS'!$B$603)), ""), ROWS($A$1:A27))),"")</f>
        <v>213보령#1-3 GT</v>
      </c>
      <c r="N31" s="70">
        <f>IFERROR(INDEX(EPSIS!D$2:'EPSIS'!D$603,MATCH($M31,EPSIS!$F$2:'EPSIS'!$F$603,0)),"")</f>
        <v>900</v>
      </c>
      <c r="O31" s="16">
        <f>IFERROR(INDEX(EPSIS!E$2:'EPSIS'!E$603,MATCH($M31,EPSIS!$F$2:'EPSIS'!$F$603,0)),"")</f>
        <v>1997</v>
      </c>
      <c r="P31" s="71"/>
      <c r="Q31" s="46"/>
      <c r="R31" s="53" t="str">
        <f t="shared" si="2"/>
        <v>-</v>
      </c>
      <c r="S31" s="53" t="str">
        <f t="shared" si="3"/>
        <v>-</v>
      </c>
    </row>
    <row r="32" spans="1:19">
      <c r="E32" s="71" t="s">
        <v>381</v>
      </c>
      <c r="F32" s="73">
        <f>$I$1-F31</f>
        <v>2004</v>
      </c>
      <c r="G32" s="16" t="s">
        <v>382</v>
      </c>
      <c r="L32" s="53" t="str">
        <f>IFERROR(INDEX(EPSIS!$B$2:'EPSIS'!$B$603,MATCH($M32,EPSIS!$F$2:'EPSIS'!$F$603,0)),"")</f>
        <v>LNG</v>
      </c>
      <c r="M32" s="53" t="str">
        <f t="array" ref="M32">IFERROR(INDEX(EPSIS!$F$2:'EPSIS'!$F$603,SMALL(IF(($M$3=EPSIS!$B$2:'EPSIS'!$B$603),MATCH(ROW(EPSIS!$B$2:'EPSIS'!$B$603), ROW(EPSIS!$B$2:'EPSIS'!$B$603)), ""), ROWS($A$1:A28))),"")</f>
        <v>214보령#1-3 ST</v>
      </c>
      <c r="N32" s="70">
        <f>IFERROR(INDEX(EPSIS!D$2:'EPSIS'!D$603,MATCH($M32,EPSIS!$F$2:'EPSIS'!$F$603,0)),"")</f>
        <v>450</v>
      </c>
      <c r="O32" s="16">
        <f>IFERROR(INDEX(EPSIS!E$2:'EPSIS'!E$603,MATCH($M32,EPSIS!$F$2:'EPSIS'!$F$603,0)),"")</f>
        <v>2002</v>
      </c>
      <c r="P32" s="71"/>
      <c r="Q32" s="46"/>
      <c r="R32" s="53" t="str">
        <f t="shared" si="2"/>
        <v>-</v>
      </c>
      <c r="S32" s="53" t="str">
        <f t="shared" si="3"/>
        <v>-</v>
      </c>
    </row>
    <row r="33" spans="1:19">
      <c r="A33" s="60" t="s">
        <v>1451</v>
      </c>
      <c r="B33" s="60" t="str">
        <f>EPSIS!I6</f>
        <v>유연탄</v>
      </c>
      <c r="C33" s="74" t="str">
        <f>EPSIS!I7</f>
        <v>무연탄</v>
      </c>
      <c r="D33" s="77" t="str">
        <f>EPSIS!I20</f>
        <v>역청탄</v>
      </c>
      <c r="E33" s="53"/>
      <c r="L33" s="53" t="str">
        <f>IFERROR(INDEX(EPSIS!$B$2:'EPSIS'!$B$603,MATCH($M33,EPSIS!$F$2:'EPSIS'!$F$603,0)),"")</f>
        <v>LNG</v>
      </c>
      <c r="M33" s="53" t="str">
        <f t="array" ref="M33">IFERROR(INDEX(EPSIS!$F$2:'EPSIS'!$F$603,SMALL(IF(($M$3=EPSIS!$B$2:'EPSIS'!$B$603),MATCH(ROW(EPSIS!$B$2:'EPSIS'!$B$603), ROW(EPSIS!$B$2:'EPSIS'!$B$603)), ""), ROWS($A$1:A29))),"")</f>
        <v>215부산#1 GT</v>
      </c>
      <c r="N33" s="70">
        <f>IFERROR(INDEX(EPSIS!D$2:'EPSIS'!D$603,MATCH($M33,EPSIS!$F$2:'EPSIS'!$F$603,0)),"")</f>
        <v>300</v>
      </c>
      <c r="O33" s="16">
        <f>IFERROR(INDEX(EPSIS!E$2:'EPSIS'!E$603,MATCH($M33,EPSIS!$F$2:'EPSIS'!$F$603,0)),"")</f>
        <v>2003</v>
      </c>
      <c r="R33" s="53" t="str">
        <f t="shared" si="2"/>
        <v>-</v>
      </c>
      <c r="S33" s="53" t="str">
        <f t="shared" si="3"/>
        <v>-</v>
      </c>
    </row>
    <row r="34" spans="1:19">
      <c r="A34" s="53" t="s">
        <v>1458</v>
      </c>
      <c r="B34" s="53" t="s">
        <v>1457</v>
      </c>
      <c r="C34" s="75" t="s">
        <v>1456</v>
      </c>
      <c r="D34" s="53" t="s">
        <v>380</v>
      </c>
      <c r="G34" s="16" t="s">
        <v>384</v>
      </c>
      <c r="H34" s="53" t="s">
        <v>385</v>
      </c>
      <c r="L34" s="53" t="str">
        <f>IFERROR(INDEX(EPSIS!$B$2:'EPSIS'!$B$603,MATCH($M34,EPSIS!$F$2:'EPSIS'!$F$603,0)),"")</f>
        <v>LNG</v>
      </c>
      <c r="M34" s="53" t="str">
        <f t="array" ref="M34">IFERROR(INDEX(EPSIS!$F$2:'EPSIS'!$F$603,SMALL(IF(($M$3=EPSIS!$B$2:'EPSIS'!$B$603),MATCH(ROW(EPSIS!$B$2:'EPSIS'!$B$603), ROW(EPSIS!$B$2:'EPSIS'!$B$603)), ""), ROWS($A$1:A30))),"")</f>
        <v>216부산#1 ST</v>
      </c>
      <c r="N34" s="70">
        <f>IFERROR(INDEX(EPSIS!D$2:'EPSIS'!D$603,MATCH($M34,EPSIS!$F$2:'EPSIS'!$F$603,0)),"")</f>
        <v>150</v>
      </c>
      <c r="O34" s="16">
        <f>IFERROR(INDEX(EPSIS!E$2:'EPSIS'!E$603,MATCH($M34,EPSIS!$F$2:'EPSIS'!$F$603,0)),"")</f>
        <v>2003</v>
      </c>
      <c r="R34" s="53" t="str">
        <f t="shared" si="2"/>
        <v>-</v>
      </c>
      <c r="S34" s="53" t="str">
        <f t="shared" si="3"/>
        <v>-</v>
      </c>
    </row>
    <row r="35" spans="1:19">
      <c r="A35" s="53" t="str">
        <f>IFERROR(INDEX(EPSIS!$B$2:'EPSIS'!$B$603,MATCH($B35,EPSIS!$F$2:'EPSIS'!$F$603,0)),"")</f>
        <v>유연탄</v>
      </c>
      <c r="B35" s="53" t="str" cm="1">
        <f t="array" ref="B35">IFERROR(INDEX(EPSIS!$F$2:'EPSIS'!$F$603,SMALL(IF(($B$33=EPSIS!$B$2:'EPSIS'!$B$603),MATCH(ROW(EPSIS!$B$2:'EPSIS'!$B$603), ROW(EPSIS!$B$2:'EPSIS'!$B$603)), ""), ROWS($A$1:A1))),"")</f>
        <v>2강릉안인#2</v>
      </c>
      <c r="C35" s="70">
        <f>IFERROR(INDEX(EPSIS!D$2:'EPSIS'!D$603,MATCH($B35,EPSIS!$F$2:'EPSIS'!$F$603,0)),"")</f>
        <v>1040</v>
      </c>
      <c r="D35" s="16">
        <f>IFERROR(INDEX(EPSIS!E$2:'EPSIS'!E$603,MATCH($B35,EPSIS!$F$2:'EPSIS'!$F$603,0)),"")</f>
        <v>2022</v>
      </c>
      <c r="G35" s="53" t="b">
        <f>IF(D35&gt;$F$2,TRUE,"-")</f>
        <v>1</v>
      </c>
      <c r="H35" s="53">
        <f>IF(G35=TRUE,D35+30,"-")</f>
        <v>2052</v>
      </c>
      <c r="L35" s="53" t="str">
        <f>IFERROR(INDEX(EPSIS!$B$2:'EPSIS'!$B$603,MATCH($M35,EPSIS!$F$2:'EPSIS'!$F$603,0)),"")</f>
        <v>LNG</v>
      </c>
      <c r="M35" s="53" t="str">
        <f t="array" ref="M35">IFERROR(INDEX(EPSIS!$F$2:'EPSIS'!$F$603,SMALL(IF(($M$3=EPSIS!$B$2:'EPSIS'!$B$603),MATCH(ROW(EPSIS!$B$2:'EPSIS'!$B$603), ROW(EPSIS!$B$2:'EPSIS'!$B$603)), ""), ROWS($A$1:A31))),"")</f>
        <v>217부산#2 GT</v>
      </c>
      <c r="N35" s="70">
        <f>IFERROR(INDEX(EPSIS!D$2:'EPSIS'!D$603,MATCH($M35,EPSIS!$F$2:'EPSIS'!$F$603,0)),"")</f>
        <v>300</v>
      </c>
      <c r="O35" s="16">
        <f>IFERROR(INDEX(EPSIS!E$2:'EPSIS'!E$603,MATCH($M35,EPSIS!$F$2:'EPSIS'!$F$603,0)),"")</f>
        <v>2003</v>
      </c>
      <c r="R35" s="53" t="str">
        <f t="shared" si="2"/>
        <v>-</v>
      </c>
      <c r="S35" s="53" t="str">
        <f t="shared" si="3"/>
        <v>-</v>
      </c>
    </row>
    <row r="36" spans="1:19">
      <c r="A36" s="53" t="str">
        <f>IFERROR(INDEX(EPSIS!$B$2:'EPSIS'!$B$603,MATCH($B36,EPSIS!$F$2:'EPSIS'!$F$603,0)),"")</f>
        <v>유연탄</v>
      </c>
      <c r="B36" s="53" t="str" cm="1">
        <f t="array" ref="B36">IFERROR(INDEX(EPSIS!$F$2:'EPSIS'!$F$603,SMALL(IF(($B$33=EPSIS!$B$2:'EPSIS'!$B$603),MATCH(ROW(EPSIS!$B$2:'EPSIS'!$B$603), ROW(EPSIS!$B$2:'EPSIS'!$B$603)), ""), ROWS($A$1:A2))),"")</f>
        <v>5당진#1</v>
      </c>
      <c r="C36" s="70">
        <f>IFERROR(INDEX(EPSIS!D$2:'EPSIS'!D$603,MATCH($B36,EPSIS!$F$2:'EPSIS'!$F$603,0)),"")</f>
        <v>500</v>
      </c>
      <c r="D36" s="16">
        <f>IFERROR(INDEX(EPSIS!E$2:'EPSIS'!E$603,MATCH($B36,EPSIS!$F$2:'EPSIS'!$F$603,0)),"")</f>
        <v>1999</v>
      </c>
      <c r="G36" s="53" t="str">
        <f t="shared" ref="G36:G58" si="4">IF(D36&gt;$F$2,TRUE,"-")</f>
        <v>-</v>
      </c>
      <c r="H36" s="53" t="str">
        <f t="shared" ref="H36:H58" si="5">IF(G36=TRUE,D36+30,"-")</f>
        <v>-</v>
      </c>
      <c r="L36" s="53" t="str">
        <f>IFERROR(INDEX(EPSIS!$B$2:'EPSIS'!$B$603,MATCH($M36,EPSIS!$F$2:'EPSIS'!$F$603,0)),"")</f>
        <v>LNG</v>
      </c>
      <c r="M36" s="53" t="str">
        <f t="array" ref="M36">IFERROR(INDEX(EPSIS!$F$2:'EPSIS'!$F$603,SMALL(IF(($M$3=EPSIS!$B$2:'EPSIS'!$B$603),MATCH(ROW(EPSIS!$B$2:'EPSIS'!$B$603), ROW(EPSIS!$B$2:'EPSIS'!$B$603)), ""), ROWS($A$1:A32))),"")</f>
        <v>218부산#2 ST</v>
      </c>
      <c r="N36" s="70">
        <f>IFERROR(INDEX(EPSIS!D$2:'EPSIS'!D$603,MATCH($M36,EPSIS!$F$2:'EPSIS'!$F$603,0)),"")</f>
        <v>150</v>
      </c>
      <c r="O36" s="16">
        <f>IFERROR(INDEX(EPSIS!E$2:'EPSIS'!E$603,MATCH($M36,EPSIS!$F$2:'EPSIS'!$F$603,0)),"")</f>
        <v>2003</v>
      </c>
      <c r="R36" s="53" t="str">
        <f t="shared" si="2"/>
        <v>-</v>
      </c>
      <c r="S36" s="53" t="str">
        <f t="shared" si="3"/>
        <v>-</v>
      </c>
    </row>
    <row r="37" spans="1:19">
      <c r="A37" s="53" t="str">
        <f>IFERROR(INDEX(EPSIS!$B$2:'EPSIS'!$B$603,MATCH($B37,EPSIS!$F$2:'EPSIS'!$F$603,0)),"")</f>
        <v>유연탄</v>
      </c>
      <c r="B37" s="53" t="str" cm="1">
        <f t="array" ref="B37">IFERROR(INDEX(EPSIS!$F$2:'EPSIS'!$F$603,SMALL(IF(($B$33=EPSIS!$B$2:'EPSIS'!$B$603),MATCH(ROW(EPSIS!$B$2:'EPSIS'!$B$603), ROW(EPSIS!$B$2:'EPSIS'!$B$603)), ""), ROWS($A$1:A3))),"")</f>
        <v>6당진#10</v>
      </c>
      <c r="C37" s="70">
        <f>IFERROR(INDEX(EPSIS!D$2:'EPSIS'!D$603,MATCH($B37,EPSIS!$F$2:'EPSIS'!$F$603,0)),"")</f>
        <v>1020</v>
      </c>
      <c r="D37" s="16">
        <f>IFERROR(INDEX(EPSIS!E$2:'EPSIS'!E$603,MATCH($B37,EPSIS!$F$2:'EPSIS'!$F$603,0)),"")</f>
        <v>2016</v>
      </c>
      <c r="G37" s="53" t="b">
        <f t="shared" si="4"/>
        <v>1</v>
      </c>
      <c r="H37" s="53">
        <f t="shared" si="5"/>
        <v>2046</v>
      </c>
      <c r="L37" s="53" t="str">
        <f>IFERROR(INDEX(EPSIS!$B$2:'EPSIS'!$B$603,MATCH($M37,EPSIS!$F$2:'EPSIS'!$F$603,0)),"")</f>
        <v>LNG</v>
      </c>
      <c r="M37" s="53" t="str">
        <f t="array" ref="M37">IFERROR(INDEX(EPSIS!$F$2:'EPSIS'!$F$603,SMALL(IF(($M$3=EPSIS!$B$2:'EPSIS'!$B$603),MATCH(ROW(EPSIS!$B$2:'EPSIS'!$B$603), ROW(EPSIS!$B$2:'EPSIS'!$B$603)), ""), ROWS($A$1:A33))),"")</f>
        <v>219부산#3 GT</v>
      </c>
      <c r="N37" s="70">
        <f>IFERROR(INDEX(EPSIS!D$2:'EPSIS'!D$603,MATCH($M37,EPSIS!$F$2:'EPSIS'!$F$603,0)),"")</f>
        <v>300</v>
      </c>
      <c r="O37" s="16">
        <f>IFERROR(INDEX(EPSIS!E$2:'EPSIS'!E$603,MATCH($M37,EPSIS!$F$2:'EPSIS'!$F$603,0)),"")</f>
        <v>2004</v>
      </c>
      <c r="R37" s="53" t="str">
        <f t="shared" si="2"/>
        <v>-</v>
      </c>
      <c r="S37" s="53" t="str">
        <f t="shared" si="3"/>
        <v>-</v>
      </c>
    </row>
    <row r="38" spans="1:19">
      <c r="A38" s="53" t="str">
        <f>IFERROR(INDEX(EPSIS!$B$2:'EPSIS'!$B$603,MATCH($B38,EPSIS!$F$2:'EPSIS'!$F$603,0)),"")</f>
        <v>유연탄</v>
      </c>
      <c r="B38" s="53" t="str" cm="1">
        <f t="array" ref="B38">IFERROR(INDEX(EPSIS!$F$2:'EPSIS'!$F$603,SMALL(IF(($B$33=EPSIS!$B$2:'EPSIS'!$B$603),MATCH(ROW(EPSIS!$B$2:'EPSIS'!$B$603), ROW(EPSIS!$B$2:'EPSIS'!$B$603)), ""), ROWS($A$1:A4))),"")</f>
        <v>7당진#2</v>
      </c>
      <c r="C38" s="70">
        <f>IFERROR(INDEX(EPSIS!D$2:'EPSIS'!D$603,MATCH($B38,EPSIS!$F$2:'EPSIS'!$F$603,0)),"")</f>
        <v>500</v>
      </c>
      <c r="D38" s="16">
        <f>IFERROR(INDEX(EPSIS!E$2:'EPSIS'!E$603,MATCH($B38,EPSIS!$F$2:'EPSIS'!$F$603,0)),"")</f>
        <v>1999</v>
      </c>
      <c r="G38" s="53" t="str">
        <f t="shared" si="4"/>
        <v>-</v>
      </c>
      <c r="H38" s="53" t="str">
        <f t="shared" si="5"/>
        <v>-</v>
      </c>
      <c r="L38" s="53" t="str">
        <f>IFERROR(INDEX(EPSIS!$B$2:'EPSIS'!$B$603,MATCH($M38,EPSIS!$F$2:'EPSIS'!$F$603,0)),"")</f>
        <v>LNG</v>
      </c>
      <c r="M38" s="53" t="str">
        <f t="array" ref="M38">IFERROR(INDEX(EPSIS!$F$2:'EPSIS'!$F$603,SMALL(IF(($M$3=EPSIS!$B$2:'EPSIS'!$B$603),MATCH(ROW(EPSIS!$B$2:'EPSIS'!$B$603), ROW(EPSIS!$B$2:'EPSIS'!$B$603)), ""), ROWS($A$1:A34))),"")</f>
        <v>220부산#3 ST</v>
      </c>
      <c r="N38" s="70">
        <f>IFERROR(INDEX(EPSIS!D$2:'EPSIS'!D$603,MATCH($M38,EPSIS!$F$2:'EPSIS'!$F$603,0)),"")</f>
        <v>150</v>
      </c>
      <c r="O38" s="16">
        <f>IFERROR(INDEX(EPSIS!E$2:'EPSIS'!E$603,MATCH($M38,EPSIS!$F$2:'EPSIS'!$F$603,0)),"")</f>
        <v>2004</v>
      </c>
      <c r="R38" s="53" t="str">
        <f t="shared" si="2"/>
        <v>-</v>
      </c>
      <c r="S38" s="53" t="str">
        <f t="shared" si="3"/>
        <v>-</v>
      </c>
    </row>
    <row r="39" spans="1:19">
      <c r="A39" s="53" t="str">
        <f>IFERROR(INDEX(EPSIS!$B$2:'EPSIS'!$B$603,MATCH($B39,EPSIS!$F$2:'EPSIS'!$F$603,0)),"")</f>
        <v>유연탄</v>
      </c>
      <c r="B39" s="53" t="str" cm="1">
        <f t="array" ref="B39">IFERROR(INDEX(EPSIS!$F$2:'EPSIS'!$F$603,SMALL(IF(($B$33=EPSIS!$B$2:'EPSIS'!$B$603),MATCH(ROW(EPSIS!$B$2:'EPSIS'!$B$603), ROW(EPSIS!$B$2:'EPSIS'!$B$603)), ""), ROWS($A$1:A5))),"")</f>
        <v>8당진#3</v>
      </c>
      <c r="C39" s="70">
        <f>IFERROR(INDEX(EPSIS!D$2:'EPSIS'!D$603,MATCH($B39,EPSIS!$F$2:'EPSIS'!$F$603,0)),"")</f>
        <v>500</v>
      </c>
      <c r="D39" s="16">
        <f>IFERROR(INDEX(EPSIS!E$2:'EPSIS'!E$603,MATCH($B39,EPSIS!$F$2:'EPSIS'!$F$603,0)),"")</f>
        <v>2000</v>
      </c>
      <c r="G39" s="53" t="str">
        <f t="shared" si="4"/>
        <v>-</v>
      </c>
      <c r="H39" s="53" t="str">
        <f t="shared" si="5"/>
        <v>-</v>
      </c>
      <c r="L39" s="53" t="str">
        <f>IFERROR(INDEX(EPSIS!$B$2:'EPSIS'!$B$603,MATCH($M39,EPSIS!$F$2:'EPSIS'!$F$603,0)),"")</f>
        <v>LNG</v>
      </c>
      <c r="M39" s="53" t="str">
        <f t="array" ref="M39">IFERROR(INDEX(EPSIS!$F$2:'EPSIS'!$F$603,SMALL(IF(($M$3=EPSIS!$B$2:'EPSIS'!$B$603),MATCH(ROW(EPSIS!$B$2:'EPSIS'!$B$603), ROW(EPSIS!$B$2:'EPSIS'!$B$603)), ""), ROWS($A$1:A35))),"")</f>
        <v>221부산#4 GT</v>
      </c>
      <c r="N39" s="70">
        <f>IFERROR(INDEX(EPSIS!D$2:'EPSIS'!D$603,MATCH($M39,EPSIS!$F$2:'EPSIS'!$F$603,0)),"")</f>
        <v>300</v>
      </c>
      <c r="O39" s="16">
        <f>IFERROR(INDEX(EPSIS!E$2:'EPSIS'!E$603,MATCH($M39,EPSIS!$F$2:'EPSIS'!$F$603,0)),"")</f>
        <v>2004</v>
      </c>
      <c r="R39" s="53" t="str">
        <f t="shared" si="2"/>
        <v>-</v>
      </c>
      <c r="S39" s="53" t="str">
        <f t="shared" si="3"/>
        <v>-</v>
      </c>
    </row>
    <row r="40" spans="1:19">
      <c r="A40" s="53" t="str">
        <f>IFERROR(INDEX(EPSIS!$B$2:'EPSIS'!$B$603,MATCH($B40,EPSIS!$F$2:'EPSIS'!$F$603,0)),"")</f>
        <v>유연탄</v>
      </c>
      <c r="B40" s="53" t="str" cm="1">
        <f t="array" ref="B40">IFERROR(INDEX(EPSIS!$F$2:'EPSIS'!$F$603,SMALL(IF(($B$33=EPSIS!$B$2:'EPSIS'!$B$603),MATCH(ROW(EPSIS!$B$2:'EPSIS'!$B$603), ROW(EPSIS!$B$2:'EPSIS'!$B$603)), ""), ROWS($A$1:A6))),"")</f>
        <v>9당진#4</v>
      </c>
      <c r="C40" s="70">
        <f>IFERROR(INDEX(EPSIS!D$2:'EPSIS'!D$603,MATCH($B40,EPSIS!$F$2:'EPSIS'!$F$603,0)),"")</f>
        <v>500</v>
      </c>
      <c r="D40" s="16">
        <f>IFERROR(INDEX(EPSIS!E$2:'EPSIS'!E$603,MATCH($B40,EPSIS!$F$2:'EPSIS'!$F$603,0)),"")</f>
        <v>2001</v>
      </c>
      <c r="G40" s="53" t="str">
        <f t="shared" si="4"/>
        <v>-</v>
      </c>
      <c r="H40" s="53" t="str">
        <f t="shared" si="5"/>
        <v>-</v>
      </c>
      <c r="L40" s="53" t="str">
        <f>IFERROR(INDEX(EPSIS!$B$2:'EPSIS'!$B$603,MATCH($M40,EPSIS!$F$2:'EPSIS'!$F$603,0)),"")</f>
        <v>LNG</v>
      </c>
      <c r="M40" s="53" t="str">
        <f t="array" ref="M40">IFERROR(INDEX(EPSIS!$F$2:'EPSIS'!$F$603,SMALL(IF(($M$3=EPSIS!$B$2:'EPSIS'!$B$603),MATCH(ROW(EPSIS!$B$2:'EPSIS'!$B$603), ROW(EPSIS!$B$2:'EPSIS'!$B$603)), ""), ROWS($A$1:A36))),"")</f>
        <v>222부산#4 ST</v>
      </c>
      <c r="N40" s="70">
        <f>IFERROR(INDEX(EPSIS!D$2:'EPSIS'!D$603,MATCH($M40,EPSIS!$F$2:'EPSIS'!$F$603,0)),"")</f>
        <v>150</v>
      </c>
      <c r="O40" s="16">
        <f>IFERROR(INDEX(EPSIS!E$2:'EPSIS'!E$603,MATCH($M40,EPSIS!$F$2:'EPSIS'!$F$603,0)),"")</f>
        <v>2004</v>
      </c>
      <c r="R40" s="53" t="str">
        <f t="shared" si="2"/>
        <v>-</v>
      </c>
      <c r="S40" s="53" t="str">
        <f t="shared" si="3"/>
        <v>-</v>
      </c>
    </row>
    <row r="41" spans="1:19">
      <c r="A41" s="53" t="str">
        <f>IFERROR(INDEX(EPSIS!$B$2:'EPSIS'!$B$603,MATCH($B41,EPSIS!$F$2:'EPSIS'!$F$603,0)),"")</f>
        <v>유연탄</v>
      </c>
      <c r="B41" s="53" t="str" cm="1">
        <f t="array" ref="B41">IFERROR(INDEX(EPSIS!$F$2:'EPSIS'!$F$603,SMALL(IF(($B$33=EPSIS!$B$2:'EPSIS'!$B$603),MATCH(ROW(EPSIS!$B$2:'EPSIS'!$B$603), ROW(EPSIS!$B$2:'EPSIS'!$B$603)), ""), ROWS($A$1:A7))),"")</f>
        <v>10당진#5</v>
      </c>
      <c r="C41" s="70">
        <f>IFERROR(INDEX(EPSIS!D$2:'EPSIS'!D$603,MATCH($B41,EPSIS!$F$2:'EPSIS'!$F$603,0)),"")</f>
        <v>500</v>
      </c>
      <c r="D41" s="16">
        <f>IFERROR(INDEX(EPSIS!E$2:'EPSIS'!E$603,MATCH($B41,EPSIS!$F$2:'EPSIS'!$F$603,0)),"")</f>
        <v>2005</v>
      </c>
      <c r="G41" s="53" t="b">
        <f t="shared" si="4"/>
        <v>1</v>
      </c>
      <c r="H41" s="53">
        <f t="shared" si="5"/>
        <v>2035</v>
      </c>
      <c r="L41" s="53" t="str">
        <f>IFERROR(INDEX(EPSIS!$B$2:'EPSIS'!$B$603,MATCH($M41,EPSIS!$F$2:'EPSIS'!$F$603,0)),"")</f>
        <v>LNG</v>
      </c>
      <c r="M41" s="53" t="str">
        <f t="array" ref="M41">IFERROR(INDEX(EPSIS!$F$2:'EPSIS'!$F$603,SMALL(IF(($M$3=EPSIS!$B$2:'EPSIS'!$B$603),MATCH(ROW(EPSIS!$B$2:'EPSIS'!$B$603), ROW(EPSIS!$B$2:'EPSIS'!$B$603)), ""), ROWS($A$1:A37))),"")</f>
        <v>223부산정관에너지 GT</v>
      </c>
      <c r="N41" s="70">
        <f>IFERROR(INDEX(EPSIS!D$2:'EPSIS'!D$603,MATCH($M41,EPSIS!$F$2:'EPSIS'!$F$603,0)),"")</f>
        <v>26.650000000000002</v>
      </c>
      <c r="O41" s="16">
        <f>IFERROR(INDEX(EPSIS!E$2:'EPSIS'!E$603,MATCH($M41,EPSIS!$F$2:'EPSIS'!$F$603,0)),"")</f>
        <v>2017</v>
      </c>
      <c r="R41" s="53" t="b">
        <f t="shared" si="2"/>
        <v>1</v>
      </c>
      <c r="S41" s="53">
        <f t="shared" si="3"/>
        <v>2047</v>
      </c>
    </row>
    <row r="42" spans="1:19">
      <c r="A42" s="53" t="str">
        <f>IFERROR(INDEX(EPSIS!$B$2:'EPSIS'!$B$603,MATCH($B42,EPSIS!$F$2:'EPSIS'!$F$603,0)),"")</f>
        <v>유연탄</v>
      </c>
      <c r="B42" s="53" t="str" cm="1">
        <f t="array" ref="B42">IFERROR(INDEX(EPSIS!$F$2:'EPSIS'!$F$603,SMALL(IF(($B$33=EPSIS!$B$2:'EPSIS'!$B$603),MATCH(ROW(EPSIS!$B$2:'EPSIS'!$B$603), ROW(EPSIS!$B$2:'EPSIS'!$B$603)), ""), ROWS($A$1:A8))),"")</f>
        <v>11당진#6</v>
      </c>
      <c r="C42" s="70">
        <f>IFERROR(INDEX(EPSIS!D$2:'EPSIS'!D$603,MATCH($B42,EPSIS!$F$2:'EPSIS'!$F$603,0)),"")</f>
        <v>500</v>
      </c>
      <c r="D42" s="16">
        <f>IFERROR(INDEX(EPSIS!E$2:'EPSIS'!E$603,MATCH($B42,EPSIS!$F$2:'EPSIS'!$F$603,0)),"")</f>
        <v>2006</v>
      </c>
      <c r="G42" s="53" t="b">
        <f t="shared" si="4"/>
        <v>1</v>
      </c>
      <c r="H42" s="53">
        <f t="shared" si="5"/>
        <v>2036</v>
      </c>
      <c r="L42" s="53" t="str">
        <f>IFERROR(INDEX(EPSIS!$B$2:'EPSIS'!$B$603,MATCH($M42,EPSIS!$F$2:'EPSIS'!$F$603,0)),"")</f>
        <v>LNG</v>
      </c>
      <c r="M42" s="53" t="str">
        <f t="array" ref="M42">IFERROR(INDEX(EPSIS!$F$2:'EPSIS'!$F$603,SMALL(IF(($M$3=EPSIS!$B$2:'EPSIS'!$B$603),MATCH(ROW(EPSIS!$B$2:'EPSIS'!$B$603), ROW(EPSIS!$B$2:'EPSIS'!$B$603)), ""), ROWS($A$1:A38))),"")</f>
        <v>224부산정관에너지 ST</v>
      </c>
      <c r="N42" s="70">
        <f>IFERROR(INDEX(EPSIS!D$2:'EPSIS'!D$603,MATCH($M42,EPSIS!$F$2:'EPSIS'!$F$603,0)),"")</f>
        <v>19.186</v>
      </c>
      <c r="O42" s="16">
        <f>IFERROR(INDEX(EPSIS!E$2:'EPSIS'!E$603,MATCH($M42,EPSIS!$F$2:'EPSIS'!$F$603,0)),"")</f>
        <v>2017</v>
      </c>
      <c r="R42" s="53" t="b">
        <f t="shared" si="2"/>
        <v>1</v>
      </c>
      <c r="S42" s="53">
        <f t="shared" si="3"/>
        <v>2047</v>
      </c>
    </row>
    <row r="43" spans="1:19">
      <c r="A43" s="53" t="str">
        <f>IFERROR(INDEX(EPSIS!$B$2:'EPSIS'!$B$603,MATCH($B43,EPSIS!$F$2:'EPSIS'!$F$603,0)),"")</f>
        <v>유연탄</v>
      </c>
      <c r="B43" s="53" t="str" cm="1">
        <f t="array" ref="B43">IFERROR(INDEX(EPSIS!$F$2:'EPSIS'!$F$603,SMALL(IF(($B$33=EPSIS!$B$2:'EPSIS'!$B$603),MATCH(ROW(EPSIS!$B$2:'EPSIS'!$B$603), ROW(EPSIS!$B$2:'EPSIS'!$B$603)), ""), ROWS($A$1:A9))),"")</f>
        <v>12당진#7</v>
      </c>
      <c r="C43" s="70">
        <f>IFERROR(INDEX(EPSIS!D$2:'EPSIS'!D$603,MATCH($B43,EPSIS!$F$2:'EPSIS'!$F$603,0)),"")</f>
        <v>500</v>
      </c>
      <c r="D43" s="16">
        <f>IFERROR(INDEX(EPSIS!E$2:'EPSIS'!E$603,MATCH($B43,EPSIS!$F$2:'EPSIS'!$F$603,0)),"")</f>
        <v>2007</v>
      </c>
      <c r="G43" s="53" t="b">
        <f t="shared" si="4"/>
        <v>1</v>
      </c>
      <c r="H43" s="53">
        <f t="shared" si="5"/>
        <v>2037</v>
      </c>
      <c r="L43" s="53" t="str">
        <f>IFERROR(INDEX(EPSIS!$B$2:'EPSIS'!$B$603,MATCH($M43,EPSIS!$F$2:'EPSIS'!$F$603,0)),"")</f>
        <v>LNG</v>
      </c>
      <c r="M43" s="53" t="str">
        <f t="array" ref="M43">IFERROR(INDEX(EPSIS!$F$2:'EPSIS'!$F$603,SMALL(IF(($M$3=EPSIS!$B$2:'EPSIS'!$B$603),MATCH(ROW(EPSIS!$B$2:'EPSIS'!$B$603), ROW(EPSIS!$B$2:'EPSIS'!$B$603)), ""), ROWS($A$1:A39))),"")</f>
        <v>225분당#1 GT</v>
      </c>
      <c r="N43" s="70">
        <f>IFERROR(INDEX(EPSIS!D$2:'EPSIS'!D$603,MATCH($M43,EPSIS!$F$2:'EPSIS'!$F$603,0)),"")</f>
        <v>155.51599999999999</v>
      </c>
      <c r="O43" s="16">
        <f>IFERROR(INDEX(EPSIS!E$2:'EPSIS'!E$603,MATCH($M43,EPSIS!$F$2:'EPSIS'!$F$603,0)),"")</f>
        <v>1992</v>
      </c>
      <c r="R43" s="53" t="str">
        <f t="shared" si="2"/>
        <v>-</v>
      </c>
      <c r="S43" s="53" t="str">
        <f t="shared" si="3"/>
        <v>-</v>
      </c>
    </row>
    <row r="44" spans="1:19">
      <c r="A44" s="53" t="str">
        <f>IFERROR(INDEX(EPSIS!$B$2:'EPSIS'!$B$603,MATCH($B44,EPSIS!$F$2:'EPSIS'!$F$603,0)),"")</f>
        <v>유연탄</v>
      </c>
      <c r="B44" s="53" t="str" cm="1">
        <f t="array" ref="B44">IFERROR(INDEX(EPSIS!$F$2:'EPSIS'!$F$603,SMALL(IF(($B$33=EPSIS!$B$2:'EPSIS'!$B$603),MATCH(ROW(EPSIS!$B$2:'EPSIS'!$B$603), ROW(EPSIS!$B$2:'EPSIS'!$B$603)), ""), ROWS($A$1:A10))),"")</f>
        <v>13당진#8</v>
      </c>
      <c r="C44" s="70">
        <f>IFERROR(INDEX(EPSIS!D$2:'EPSIS'!D$603,MATCH($B44,EPSIS!$F$2:'EPSIS'!$F$603,0)),"")</f>
        <v>500</v>
      </c>
      <c r="D44" s="16">
        <f>IFERROR(INDEX(EPSIS!E$2:'EPSIS'!E$603,MATCH($B44,EPSIS!$F$2:'EPSIS'!$F$603,0)),"")</f>
        <v>2007</v>
      </c>
      <c r="G44" s="53" t="b">
        <f t="shared" si="4"/>
        <v>1</v>
      </c>
      <c r="H44" s="53">
        <f t="shared" si="5"/>
        <v>2037</v>
      </c>
      <c r="L44" s="53" t="str">
        <f>IFERROR(INDEX(EPSIS!$B$2:'EPSIS'!$B$603,MATCH($M44,EPSIS!$F$2:'EPSIS'!$F$603,0)),"")</f>
        <v>LNG</v>
      </c>
      <c r="M44" s="53" t="str">
        <f t="array" ref="M44">IFERROR(INDEX(EPSIS!$F$2:'EPSIS'!$F$603,SMALL(IF(($M$3=EPSIS!$B$2:'EPSIS'!$B$603),MATCH(ROW(EPSIS!$B$2:'EPSIS'!$B$603), ROW(EPSIS!$B$2:'EPSIS'!$B$603)), ""), ROWS($A$1:A40))),"")</f>
        <v>226분당#1 GT</v>
      </c>
      <c r="N44" s="70">
        <f>IFERROR(INDEX(EPSIS!D$2:'EPSIS'!D$603,MATCH($M44,EPSIS!$F$2:'EPSIS'!$F$603,0)),"")</f>
        <v>233.274</v>
      </c>
      <c r="O44" s="16">
        <f>IFERROR(INDEX(EPSIS!E$2:'EPSIS'!E$603,MATCH($M44,EPSIS!$F$2:'EPSIS'!$F$603,0)),"")</f>
        <v>1992</v>
      </c>
      <c r="R44" s="53" t="str">
        <f t="shared" si="2"/>
        <v>-</v>
      </c>
      <c r="S44" s="53" t="str">
        <f t="shared" si="3"/>
        <v>-</v>
      </c>
    </row>
    <row r="45" spans="1:19">
      <c r="A45" s="53" t="str">
        <f>IFERROR(INDEX(EPSIS!$B$2:'EPSIS'!$B$603,MATCH($B45,EPSIS!$F$2:'EPSIS'!$F$603,0)),"")</f>
        <v>유연탄</v>
      </c>
      <c r="B45" s="53" t="str" cm="1">
        <f t="array" ref="B45">IFERROR(INDEX(EPSIS!$F$2:'EPSIS'!$F$603,SMALL(IF(($B$33=EPSIS!$B$2:'EPSIS'!$B$603),MATCH(ROW(EPSIS!$B$2:'EPSIS'!$B$603), ROW(EPSIS!$B$2:'EPSIS'!$B$603)), ""), ROWS($A$1:A11))),"")</f>
        <v>14당진#9</v>
      </c>
      <c r="C45" s="70">
        <f>IFERROR(INDEX(EPSIS!D$2:'EPSIS'!D$603,MATCH($B45,EPSIS!$F$2:'EPSIS'!$F$603,0)),"")</f>
        <v>1020</v>
      </c>
      <c r="D45" s="16">
        <f>IFERROR(INDEX(EPSIS!E$2:'EPSIS'!E$603,MATCH($B45,EPSIS!$F$2:'EPSIS'!$F$603,0)),"")</f>
        <v>2016</v>
      </c>
      <c r="G45" s="53" t="b">
        <f t="shared" si="4"/>
        <v>1</v>
      </c>
      <c r="H45" s="53">
        <f t="shared" si="5"/>
        <v>2046</v>
      </c>
      <c r="L45" s="53" t="str">
        <f>IFERROR(INDEX(EPSIS!$B$2:'EPSIS'!$B$603,MATCH($M45,EPSIS!$F$2:'EPSIS'!$F$603,0)),"")</f>
        <v>LNG</v>
      </c>
      <c r="M45" s="53" t="str">
        <f t="array" ref="M45">IFERROR(INDEX(EPSIS!$F$2:'EPSIS'!$F$603,SMALL(IF(($M$3=EPSIS!$B$2:'EPSIS'!$B$603),MATCH(ROW(EPSIS!$B$2:'EPSIS'!$B$603), ROW(EPSIS!$B$2:'EPSIS'!$B$603)), ""), ROWS($A$1:A41))),"")</f>
        <v>227분당#1 ST</v>
      </c>
      <c r="N45" s="70">
        <f>IFERROR(INDEX(EPSIS!D$2:'EPSIS'!D$603,MATCH($M45,EPSIS!$F$2:'EPSIS'!$F$603,0)),"")</f>
        <v>185</v>
      </c>
      <c r="O45" s="16">
        <f>IFERROR(INDEX(EPSIS!E$2:'EPSIS'!E$603,MATCH($M45,EPSIS!$F$2:'EPSIS'!$F$603,0)),"")</f>
        <v>1993</v>
      </c>
      <c r="R45" s="53" t="str">
        <f t="shared" si="2"/>
        <v>-</v>
      </c>
      <c r="S45" s="53" t="str">
        <f t="shared" si="3"/>
        <v>-</v>
      </c>
    </row>
    <row r="46" spans="1:19">
      <c r="A46" s="53" t="str">
        <f>IFERROR(INDEX(EPSIS!$B$2:'EPSIS'!$B$603,MATCH($B46,EPSIS!$F$2:'EPSIS'!$F$603,0)),"")</f>
        <v>유연탄</v>
      </c>
      <c r="B46" s="53" t="str" cm="1">
        <f t="array" ref="B46">IFERROR(INDEX(EPSIS!$F$2:'EPSIS'!$F$603,SMALL(IF(($B$33=EPSIS!$B$2:'EPSIS'!$B$603),MATCH(ROW(EPSIS!$B$2:'EPSIS'!$B$603), ROW(EPSIS!$B$2:'EPSIS'!$B$603)), ""), ROWS($A$1:A12))),"")</f>
        <v>17보령#1</v>
      </c>
      <c r="C46" s="70">
        <f>IFERROR(INDEX(EPSIS!D$2:'EPSIS'!D$603,MATCH($B46,EPSIS!$F$2:'EPSIS'!$F$603,0)),"")</f>
        <v>500</v>
      </c>
      <c r="D46" s="16">
        <f>IFERROR(INDEX(EPSIS!E$2:'EPSIS'!E$603,MATCH($B46,EPSIS!$F$2:'EPSIS'!$F$603,0)),"")</f>
        <v>1983</v>
      </c>
      <c r="G46" s="53" t="str">
        <f t="shared" si="4"/>
        <v>-</v>
      </c>
      <c r="H46" s="53" t="str">
        <f t="shared" si="5"/>
        <v>-</v>
      </c>
      <c r="L46" s="53" t="str">
        <f>$M$3</f>
        <v>LNG</v>
      </c>
      <c r="M46" s="53" t="str">
        <f t="array" ref="M46">IFERROR(INDEX(EPSIS!$F$2:'EPSIS'!$F$603,SMALL(IF(($M$3=EPSIS!$B$2:'EPSIS'!$B$603),MATCH(ROW(EPSIS!$B$2:'EPSIS'!$B$603), ROW(EPSIS!$B$2:'EPSIS'!$B$603)), ""), ROWS($A$1:A42))),"")</f>
        <v>228분당#2 GT</v>
      </c>
      <c r="N46" s="70">
        <f>(EPSIS_RAW!E232)*EPSIS!$H$2</f>
        <v>127.875</v>
      </c>
      <c r="O46" s="71">
        <f>ROUNDDOWN(EPSIS_RAW!F232,0)</f>
        <v>2019</v>
      </c>
      <c r="R46" s="53" t="b">
        <f t="shared" si="2"/>
        <v>1</v>
      </c>
      <c r="S46" s="53">
        <f t="shared" si="3"/>
        <v>2049</v>
      </c>
    </row>
    <row r="47" spans="1:19">
      <c r="A47" s="53" t="str">
        <f>IFERROR(INDEX(EPSIS!$B$2:'EPSIS'!$B$603,MATCH($B47,EPSIS!$F$2:'EPSIS'!$F$603,0)),"")</f>
        <v>유연탄</v>
      </c>
      <c r="B47" s="53" t="str" cm="1">
        <f t="array" ref="B47">IFERROR(INDEX(EPSIS!$F$2:'EPSIS'!$F$603,SMALL(IF(($B$33=EPSIS!$B$2:'EPSIS'!$B$603),MATCH(ROW(EPSIS!$B$2:'EPSIS'!$B$603), ROW(EPSIS!$B$2:'EPSIS'!$B$603)), ""), ROWS($A$1:A13))),"")</f>
        <v>18보령#2</v>
      </c>
      <c r="C47" s="70">
        <f>IFERROR(INDEX(EPSIS!D$2:'EPSIS'!D$603,MATCH($B47,EPSIS!$F$2:'EPSIS'!$F$603,0)),"")</f>
        <v>500</v>
      </c>
      <c r="D47" s="16">
        <f>IFERROR(INDEX(EPSIS!E$2:'EPSIS'!E$603,MATCH($B47,EPSIS!$F$2:'EPSIS'!$F$603,0)),"")</f>
        <v>1984</v>
      </c>
      <c r="G47" s="53" t="str">
        <f t="shared" si="4"/>
        <v>-</v>
      </c>
      <c r="H47" s="53" t="str">
        <f t="shared" si="5"/>
        <v>-</v>
      </c>
      <c r="L47" s="53" t="str">
        <f t="shared" ref="L47:L54" si="6">$M$3</f>
        <v>LNG</v>
      </c>
      <c r="M47" s="53" t="str">
        <f t="array" ref="M47">IFERROR(INDEX(EPSIS!$F$2:'EPSIS'!$F$603,SMALL(IF(($M$3=EPSIS!$B$2:'EPSIS'!$B$603),MATCH(ROW(EPSIS!$B$2:'EPSIS'!$B$603), ROW(EPSIS!$B$2:'EPSIS'!$B$603)), ""), ROWS($A$1:A43))),"")</f>
        <v>229분당#2 ST</v>
      </c>
      <c r="N47" s="70">
        <f>(EPSIS_RAW!E233)*EPSIS!$H$2</f>
        <v>241.298</v>
      </c>
      <c r="O47" s="71">
        <f>ROUNDDOWN(EPSIS_RAW!F233,0)</f>
        <v>2019</v>
      </c>
      <c r="R47" s="53" t="b">
        <f t="shared" si="2"/>
        <v>1</v>
      </c>
      <c r="S47" s="53">
        <f t="shared" si="3"/>
        <v>2049</v>
      </c>
    </row>
    <row r="48" spans="1:19">
      <c r="A48" s="53" t="str">
        <f>IFERROR(INDEX(EPSIS!$B$2:'EPSIS'!$B$603,MATCH($B48,EPSIS!$F$2:'EPSIS'!$F$603,0)),"")</f>
        <v>유연탄</v>
      </c>
      <c r="B48" s="53" t="str" cm="1">
        <f t="array" ref="B48">IFERROR(INDEX(EPSIS!$F$2:'EPSIS'!$F$603,SMALL(IF(($B$33=EPSIS!$B$2:'EPSIS'!$B$603),MATCH(ROW(EPSIS!$B$2:'EPSIS'!$B$603), ROW(EPSIS!$B$2:'EPSIS'!$B$603)), ""), ROWS($A$1:A14))),"")</f>
        <v>19보령#3</v>
      </c>
      <c r="C48" s="70">
        <f>IFERROR(INDEX(EPSIS!D$2:'EPSIS'!D$603,MATCH($B48,EPSIS!$F$2:'EPSIS'!$F$603,0)),"")</f>
        <v>500</v>
      </c>
      <c r="D48" s="16">
        <f>IFERROR(INDEX(EPSIS!E$2:'EPSIS'!E$603,MATCH($B48,EPSIS!$F$2:'EPSIS'!$F$603,0)),"")</f>
        <v>1993</v>
      </c>
      <c r="G48" s="53" t="str">
        <f t="shared" si="4"/>
        <v>-</v>
      </c>
      <c r="H48" s="53" t="str">
        <f t="shared" si="5"/>
        <v>-</v>
      </c>
      <c r="L48" s="53" t="str">
        <f t="shared" si="6"/>
        <v>LNG</v>
      </c>
      <c r="M48" s="53" t="str">
        <f t="array" ref="M48">IFERROR(INDEX(EPSIS!$F$2:'EPSIS'!$F$603,SMALL(IF(($M$3=EPSIS!$B$2:'EPSIS'!$B$603),MATCH(ROW(EPSIS!$B$2:'EPSIS'!$B$603), ROW(EPSIS!$B$2:'EPSIS'!$B$603)), ""), ROWS($A$1:A44))),"")</f>
        <v>230서울복합#1 GT</v>
      </c>
      <c r="N48" s="70">
        <f>(EPSIS_RAW!E234)*EPSIS!$H$2</f>
        <v>127.875</v>
      </c>
      <c r="O48" s="71">
        <f>ROUNDDOWN(EPSIS_RAW!F234,0)</f>
        <v>2019</v>
      </c>
      <c r="R48" s="53" t="b">
        <f t="shared" si="2"/>
        <v>1</v>
      </c>
      <c r="S48" s="53">
        <f t="shared" si="3"/>
        <v>2049</v>
      </c>
    </row>
    <row r="49" spans="1:19">
      <c r="A49" s="53" t="str">
        <f>IFERROR(INDEX(EPSIS!$B$2:'EPSIS'!$B$603,MATCH($B49,EPSIS!$F$2:'EPSIS'!$F$603,0)),"")</f>
        <v>유연탄</v>
      </c>
      <c r="B49" s="53" t="str" cm="1">
        <f t="array" ref="B49">IFERROR(INDEX(EPSIS!$F$2:'EPSIS'!$F$603,SMALL(IF(($B$33=EPSIS!$B$2:'EPSIS'!$B$603),MATCH(ROW(EPSIS!$B$2:'EPSIS'!$B$603), ROW(EPSIS!$B$2:'EPSIS'!$B$603)), ""), ROWS($A$1:A15))),"")</f>
        <v>20보령#4</v>
      </c>
      <c r="C49" s="70">
        <f>IFERROR(INDEX(EPSIS!D$2:'EPSIS'!D$603,MATCH($B49,EPSIS!$F$2:'EPSIS'!$F$603,0)),"")</f>
        <v>500</v>
      </c>
      <c r="D49" s="16">
        <f>IFERROR(INDEX(EPSIS!E$2:'EPSIS'!E$603,MATCH($B49,EPSIS!$F$2:'EPSIS'!$F$603,0)),"")</f>
        <v>1993</v>
      </c>
      <c r="G49" s="53" t="str">
        <f t="shared" si="4"/>
        <v>-</v>
      </c>
      <c r="H49" s="53" t="str">
        <f t="shared" si="5"/>
        <v>-</v>
      </c>
      <c r="L49" s="53" t="str">
        <f t="shared" si="6"/>
        <v>LNG</v>
      </c>
      <c r="M49" s="53" t="str">
        <f t="array" ref="M49">IFERROR(INDEX(EPSIS!$F$2:'EPSIS'!$F$603,SMALL(IF(($M$3=EPSIS!$B$2:'EPSIS'!$B$603),MATCH(ROW(EPSIS!$B$2:'EPSIS'!$B$603), ROW(EPSIS!$B$2:'EPSIS'!$B$603)), ""), ROWS($A$1:A45))),"")</f>
        <v>231서울복합#1 ST</v>
      </c>
      <c r="N49" s="70">
        <f>(EPSIS_RAW!E235)*EPSIS!$H$2</f>
        <v>300</v>
      </c>
      <c r="O49" s="71">
        <f>ROUNDDOWN(EPSIS_RAW!F235,0)</f>
        <v>1992</v>
      </c>
      <c r="R49" s="53" t="str">
        <f t="shared" si="2"/>
        <v>-</v>
      </c>
      <c r="S49" s="53" t="str">
        <f t="shared" si="3"/>
        <v>-</v>
      </c>
    </row>
    <row r="50" spans="1:19">
      <c r="A50" s="53" t="str">
        <f>IFERROR(INDEX(EPSIS!$B$2:'EPSIS'!$B$603,MATCH($B50,EPSIS!$F$2:'EPSIS'!$F$603,0)),"")</f>
        <v>유연탄</v>
      </c>
      <c r="B50" s="53" t="str" cm="1">
        <f t="array" ref="B50">IFERROR(INDEX(EPSIS!$F$2:'EPSIS'!$F$603,SMALL(IF(($B$33=EPSIS!$B$2:'EPSIS'!$B$603),MATCH(ROW(EPSIS!$B$2:'EPSIS'!$B$603), ROW(EPSIS!$B$2:'EPSIS'!$B$603)), ""), ROWS($A$1:A16))),"")</f>
        <v>21보령#5</v>
      </c>
      <c r="C50" s="70">
        <f>IFERROR(INDEX(EPSIS!D$2:'EPSIS'!D$603,MATCH($B50,EPSIS!$F$2:'EPSIS'!$F$603,0)),"")</f>
        <v>500</v>
      </c>
      <c r="D50" s="16">
        <f>IFERROR(INDEX(EPSIS!E$2:'EPSIS'!E$603,MATCH($B50,EPSIS!$F$2:'EPSIS'!$F$603,0)),"")</f>
        <v>1993</v>
      </c>
      <c r="G50" s="53" t="str">
        <f t="shared" si="4"/>
        <v>-</v>
      </c>
      <c r="H50" s="53" t="str">
        <f t="shared" si="5"/>
        <v>-</v>
      </c>
      <c r="L50" s="53" t="str">
        <f t="shared" si="6"/>
        <v>LNG</v>
      </c>
      <c r="M50" s="53" t="str">
        <f t="array" ref="M50">IFERROR(INDEX(EPSIS!$F$2:'EPSIS'!$F$603,SMALL(IF(($M$3=EPSIS!$B$2:'EPSIS'!$B$603),MATCH(ROW(EPSIS!$B$2:'EPSIS'!$B$603), ROW(EPSIS!$B$2:'EPSIS'!$B$603)), ""), ROWS($A$1:A46))),"")</f>
        <v>232서울복합#2 GT</v>
      </c>
      <c r="N50" s="70">
        <f>(EPSIS_RAW!E236)*EPSIS!$H$2</f>
        <v>300</v>
      </c>
      <c r="O50" s="71">
        <f>ROUNDDOWN(EPSIS_RAW!F236,0)</f>
        <v>1992</v>
      </c>
      <c r="R50" s="53" t="str">
        <f t="shared" si="2"/>
        <v>-</v>
      </c>
      <c r="S50" s="53" t="str">
        <f t="shared" si="3"/>
        <v>-</v>
      </c>
    </row>
    <row r="51" spans="1:19">
      <c r="A51" s="53" t="str">
        <f>IFERROR(INDEX(EPSIS!$B$2:'EPSIS'!$B$603,MATCH($B51,EPSIS!$F$2:'EPSIS'!$F$603,0)),"")</f>
        <v>유연탄</v>
      </c>
      <c r="B51" s="53" t="str" cm="1">
        <f t="array" ref="B51">IFERROR(INDEX(EPSIS!$F$2:'EPSIS'!$F$603,SMALL(IF(($B$33=EPSIS!$B$2:'EPSIS'!$B$603),MATCH(ROW(EPSIS!$B$2:'EPSIS'!$B$603), ROW(EPSIS!$B$2:'EPSIS'!$B$603)), ""), ROWS($A$1:A17))),"")</f>
        <v>22보령#6</v>
      </c>
      <c r="C51" s="70">
        <f>IFERROR(INDEX(EPSIS!D$2:'EPSIS'!D$603,MATCH($B51,EPSIS!$F$2:'EPSIS'!$F$603,0)),"")</f>
        <v>500</v>
      </c>
      <c r="D51" s="16">
        <f>IFERROR(INDEX(EPSIS!E$2:'EPSIS'!E$603,MATCH($B51,EPSIS!$F$2:'EPSIS'!$F$603,0)),"")</f>
        <v>1994</v>
      </c>
      <c r="G51" s="53" t="str">
        <f t="shared" si="4"/>
        <v>-</v>
      </c>
      <c r="H51" s="53" t="str">
        <f t="shared" si="5"/>
        <v>-</v>
      </c>
      <c r="L51" s="53" t="str">
        <f t="shared" si="6"/>
        <v>LNG</v>
      </c>
      <c r="M51" s="53" t="str">
        <f t="array" ref="M51">IFERROR(INDEX(EPSIS!$F$2:'EPSIS'!$F$603,SMALL(IF(($M$3=EPSIS!$B$2:'EPSIS'!$B$603),MATCH(ROW(EPSIS!$B$2:'EPSIS'!$B$603), ROW(EPSIS!$B$2:'EPSIS'!$B$603)), ""), ROWS($A$1:A47))),"")</f>
        <v>233서울복합#2 ST</v>
      </c>
      <c r="N51" s="70">
        <f>(EPSIS_RAW!E237)*EPSIS!$H$2</f>
        <v>150</v>
      </c>
      <c r="O51" s="71">
        <f>ROUNDDOWN(EPSIS_RAW!F237,0)</f>
        <v>1992</v>
      </c>
      <c r="R51" s="53" t="str">
        <f t="shared" si="2"/>
        <v>-</v>
      </c>
      <c r="S51" s="53" t="str">
        <f t="shared" si="3"/>
        <v>-</v>
      </c>
    </row>
    <row r="52" spans="1:19">
      <c r="A52" s="53" t="str">
        <f>IFERROR(INDEX(EPSIS!$B$2:'EPSIS'!$B$603,MATCH($B52,EPSIS!$F$2:'EPSIS'!$F$603,0)),"")</f>
        <v>유연탄</v>
      </c>
      <c r="B52" s="53" t="str" cm="1">
        <f t="array" ref="B52">IFERROR(INDEX(EPSIS!$F$2:'EPSIS'!$F$603,SMALL(IF(($B$33=EPSIS!$B$2:'EPSIS'!$B$603),MATCH(ROW(EPSIS!$B$2:'EPSIS'!$B$603), ROW(EPSIS!$B$2:'EPSIS'!$B$603)), ""), ROWS($A$1:A18))),"")</f>
        <v>23보령#7</v>
      </c>
      <c r="C52" s="70">
        <f>IFERROR(INDEX(EPSIS!D$2:'EPSIS'!D$603,MATCH($B52,EPSIS!$F$2:'EPSIS'!$F$603,0)),"")</f>
        <v>500</v>
      </c>
      <c r="D52" s="16">
        <f>IFERROR(INDEX(EPSIS!E$2:'EPSIS'!E$603,MATCH($B52,EPSIS!$F$2:'EPSIS'!$F$603,0)),"")</f>
        <v>2008</v>
      </c>
      <c r="G52" s="53" t="b">
        <f t="shared" si="4"/>
        <v>1</v>
      </c>
      <c r="H52" s="53">
        <f t="shared" si="5"/>
        <v>2038</v>
      </c>
      <c r="L52" s="53" t="str">
        <f t="shared" si="6"/>
        <v>LNG</v>
      </c>
      <c r="M52" s="53" t="str">
        <f t="array" ref="M52">IFERROR(INDEX(EPSIS!$F$2:'EPSIS'!$F$603,SMALL(IF(($M$3=EPSIS!$B$2:'EPSIS'!$B$603),MATCH(ROW(EPSIS!$B$2:'EPSIS'!$B$603), ROW(EPSIS!$B$2:'EPSIS'!$B$603)), ""), ROWS($A$1:A48))),"")</f>
        <v>234서인천 #5-8 GT</v>
      </c>
      <c r="N52" s="70">
        <f>(EPSIS_RAW!E238)*EPSIS!$H$2</f>
        <v>150</v>
      </c>
      <c r="O52" s="71">
        <f>ROUNDDOWN(EPSIS_RAW!F238,0)</f>
        <v>1992</v>
      </c>
      <c r="R52" s="53" t="str">
        <f t="shared" si="2"/>
        <v>-</v>
      </c>
      <c r="S52" s="53" t="str">
        <f t="shared" si="3"/>
        <v>-</v>
      </c>
    </row>
    <row r="53" spans="1:19">
      <c r="A53" s="53" t="str">
        <f>IFERROR(INDEX(EPSIS!$B$2:'EPSIS'!$B$603,MATCH($B53,EPSIS!$F$2:'EPSIS'!$F$603,0)),"")</f>
        <v>유연탄</v>
      </c>
      <c r="B53" s="53" t="str" cm="1">
        <f t="array" ref="B53">IFERROR(INDEX(EPSIS!$F$2:'EPSIS'!$F$603,SMALL(IF(($B$33=EPSIS!$B$2:'EPSIS'!$B$603),MATCH(ROW(EPSIS!$B$2:'EPSIS'!$B$603), ROW(EPSIS!$B$2:'EPSIS'!$B$603)), ""), ROWS($A$1:A19))),"")</f>
        <v>24보령#8</v>
      </c>
      <c r="C53" s="70">
        <f>IFERROR(INDEX(EPSIS!D$2:'EPSIS'!D$603,MATCH($B53,EPSIS!$F$2:'EPSIS'!$F$603,0)),"")</f>
        <v>500</v>
      </c>
      <c r="D53" s="16">
        <f>IFERROR(INDEX(EPSIS!E$2:'EPSIS'!E$603,MATCH($B53,EPSIS!$F$2:'EPSIS'!$F$603,0)),"")</f>
        <v>2008</v>
      </c>
      <c r="G53" s="53" t="b">
        <f t="shared" si="4"/>
        <v>1</v>
      </c>
      <c r="H53" s="53">
        <f t="shared" si="5"/>
        <v>2038</v>
      </c>
      <c r="L53" s="53" t="str">
        <f t="shared" si="6"/>
        <v>LNG</v>
      </c>
      <c r="M53" s="53" t="str">
        <f t="array" ref="M53">IFERROR(INDEX(EPSIS!$F$2:'EPSIS'!$F$603,SMALL(IF(($M$3=EPSIS!$B$2:'EPSIS'!$B$603),MATCH(ROW(EPSIS!$B$2:'EPSIS'!$B$603), ROW(EPSIS!$B$2:'EPSIS'!$B$603)), ""), ROWS($A$1:A49))),"")</f>
        <v>235서인천 #5-8 GT</v>
      </c>
      <c r="N53" s="70">
        <f>(EPSIS_RAW!E239)*EPSIS!$H$2</f>
        <v>150</v>
      </c>
      <c r="O53" s="71">
        <f>ROUNDDOWN(EPSIS_RAW!F239,0)</f>
        <v>1992</v>
      </c>
      <c r="R53" s="53" t="str">
        <f t="shared" si="2"/>
        <v>-</v>
      </c>
      <c r="S53" s="53" t="str">
        <f t="shared" si="3"/>
        <v>-</v>
      </c>
    </row>
    <row r="54" spans="1:19">
      <c r="A54" s="53" t="str">
        <f>IFERROR(INDEX(EPSIS!$B$2:'EPSIS'!$B$603,MATCH($B54,EPSIS!$F$2:'EPSIS'!$F$603,0)),"")</f>
        <v>유연탄</v>
      </c>
      <c r="B54" s="53" t="str" cm="1">
        <f t="array" ref="B54">IFERROR(INDEX(EPSIS!$F$2:'EPSIS'!$F$603,SMALL(IF(($B$33=EPSIS!$B$2:'EPSIS'!$B$603),MATCH(ROW(EPSIS!$B$2:'EPSIS'!$B$603), ROW(EPSIS!$B$2:'EPSIS'!$B$603)), ""), ROWS($A$1:A20))),"")</f>
        <v>25북평#1</v>
      </c>
      <c r="C54" s="70">
        <f>IFERROR(INDEX(EPSIS!D$2:'EPSIS'!D$603,MATCH($B54,EPSIS!$F$2:'EPSIS'!$F$603,0)),"")</f>
        <v>595</v>
      </c>
      <c r="D54" s="16">
        <f>IFERROR(INDEX(EPSIS!E$2:'EPSIS'!E$603,MATCH($B54,EPSIS!$F$2:'EPSIS'!$F$603,0)),"")</f>
        <v>2017</v>
      </c>
      <c r="G54" s="53" t="b">
        <f t="shared" si="4"/>
        <v>1</v>
      </c>
      <c r="H54" s="53">
        <f t="shared" si="5"/>
        <v>2047</v>
      </c>
      <c r="L54" s="53" t="str">
        <f t="shared" si="6"/>
        <v>LNG</v>
      </c>
      <c r="M54" s="53" t="str">
        <f t="array" ref="M54">IFERROR(INDEX(EPSIS!$F$2:'EPSIS'!$F$603,SMALL(IF(($M$3=EPSIS!$B$2:'EPSIS'!$B$603),MATCH(ROW(EPSIS!$B$2:'EPSIS'!$B$603), ROW(EPSIS!$B$2:'EPSIS'!$B$603)), ""), ROWS($A$1:A50))),"")</f>
        <v>236서인천 #5-8 ST</v>
      </c>
      <c r="N54" s="70">
        <f>(EPSIS_RAW!E240)*EPSIS!$H$2</f>
        <v>150</v>
      </c>
      <c r="O54" s="71">
        <f>ROUNDDOWN(EPSIS_RAW!F240,0)</f>
        <v>1992</v>
      </c>
      <c r="R54" s="53" t="str">
        <f t="shared" si="2"/>
        <v>-</v>
      </c>
      <c r="S54" s="53" t="str">
        <f t="shared" si="3"/>
        <v>-</v>
      </c>
    </row>
    <row r="55" spans="1:19">
      <c r="A55" s="53" t="str">
        <f>IFERROR(INDEX(EPSIS!$B$2:'EPSIS'!$B$603,MATCH($B55,EPSIS!$F$2:'EPSIS'!$F$603,0)),"")</f>
        <v>유연탄</v>
      </c>
      <c r="B55" s="53" t="str" cm="1">
        <f t="array" ref="B55">IFERROR(INDEX(EPSIS!$F$2:'EPSIS'!$F$603,SMALL(IF(($B$33=EPSIS!$B$2:'EPSIS'!$B$603),MATCH(ROW(EPSIS!$B$2:'EPSIS'!$B$603), ROW(EPSIS!$B$2:'EPSIS'!$B$603)), ""), ROWS($A$1:A21))),"")</f>
        <v>26북평#2</v>
      </c>
      <c r="C55" s="70">
        <f>IFERROR(INDEX(EPSIS!D$2:'EPSIS'!D$603,MATCH($B55,EPSIS!$F$2:'EPSIS'!$F$603,0)),"")</f>
        <v>595</v>
      </c>
      <c r="D55" s="16">
        <f>IFERROR(INDEX(EPSIS!E$2:'EPSIS'!E$603,MATCH($B55,EPSIS!$F$2:'EPSIS'!$F$603,0)),"")</f>
        <v>2017</v>
      </c>
      <c r="G55" s="53" t="b">
        <f t="shared" si="4"/>
        <v>1</v>
      </c>
      <c r="H55" s="53">
        <f t="shared" si="5"/>
        <v>2047</v>
      </c>
      <c r="L55" s="53" t="str">
        <f>IFERROR(INDEX(EPSIS!$B$2:'EPSIS'!$B$603,MATCH($M55,EPSIS!$F$2:'EPSIS'!$F$603,0)),"")</f>
        <v>LNG</v>
      </c>
      <c r="M55" s="53" t="str">
        <f t="array" ref="M55">IFERROR(INDEX(EPSIS!$F$2:'EPSIS'!$F$603,SMALL(IF(($M$3=EPSIS!$B$2:'EPSIS'!$B$603),MATCH(ROW(EPSIS!$B$2:'EPSIS'!$B$603), ROW(EPSIS!$B$2:'EPSIS'!$B$603)), ""), ROWS($A$1:A51))),"")</f>
        <v>237서인천 #5-8 ST</v>
      </c>
      <c r="N55" s="70">
        <f>IFERROR(INDEX(EPSIS!D$2:'EPSIS'!D$603,MATCH($M55,EPSIS!$F$2:'EPSIS'!$F$603,0)),"")</f>
        <v>150</v>
      </c>
      <c r="O55" s="16">
        <f>IFERROR(INDEX(EPSIS!E$2:'EPSIS'!E$603,MATCH($M55,EPSIS!$F$2:'EPSIS'!$F$603,0)),"")</f>
        <v>1992</v>
      </c>
      <c r="R55" s="53" t="str">
        <f t="shared" si="2"/>
        <v>-</v>
      </c>
      <c r="S55" s="53" t="str">
        <f t="shared" si="3"/>
        <v>-</v>
      </c>
    </row>
    <row r="56" spans="1:19">
      <c r="A56" s="53" t="str">
        <f>IFERROR(INDEX(EPSIS!$B$2:'EPSIS'!$B$603,MATCH($B56,EPSIS!$F$2:'EPSIS'!$F$603,0)),"")</f>
        <v>유연탄</v>
      </c>
      <c r="B56" s="53" t="str" cm="1">
        <f t="array" ref="B56">IFERROR(INDEX(EPSIS!$F$2:'EPSIS'!$F$603,SMALL(IF(($B$33=EPSIS!$B$2:'EPSIS'!$B$603),MATCH(ROW(EPSIS!$B$2:'EPSIS'!$B$603), ROW(EPSIS!$B$2:'EPSIS'!$B$603)), ""), ROWS($A$1:A22))),"")</f>
        <v>27삼척그린파워 #1</v>
      </c>
      <c r="C56" s="70">
        <f>IFERROR(INDEX(EPSIS!D$2:'EPSIS'!D$603,MATCH($B56,EPSIS!$F$2:'EPSIS'!$F$603,0)),"")</f>
        <v>1022</v>
      </c>
      <c r="D56" s="16">
        <f>IFERROR(INDEX(EPSIS!E$2:'EPSIS'!E$603,MATCH($B56,EPSIS!$F$2:'EPSIS'!$F$603,0)),"")</f>
        <v>2016</v>
      </c>
      <c r="G56" s="53" t="b">
        <f t="shared" si="4"/>
        <v>1</v>
      </c>
      <c r="H56" s="53">
        <f t="shared" si="5"/>
        <v>2046</v>
      </c>
      <c r="L56" s="53" t="str">
        <f>IFERROR(INDEX(EPSIS!$B$2:'EPSIS'!$B$603,MATCH($M56,EPSIS!$F$2:'EPSIS'!$F$603,0)),"")</f>
        <v>LNG</v>
      </c>
      <c r="M56" s="53" t="str">
        <f t="array" ref="M56">IFERROR(INDEX(EPSIS!$F$2:'EPSIS'!$F$603,SMALL(IF(($M$3=EPSIS!$B$2:'EPSIS'!$B$603),MATCH(ROW(EPSIS!$B$2:'EPSIS'!$B$603), ROW(EPSIS!$B$2:'EPSIS'!$B$603)), ""), ROWS($A$1:A52))),"")</f>
        <v>238서인천#1-4 GT</v>
      </c>
      <c r="N56" s="70">
        <f>IFERROR(INDEX(EPSIS!D$2:'EPSIS'!D$603,MATCH($M56,EPSIS!$F$2:'EPSIS'!$F$603,0)),"")</f>
        <v>150</v>
      </c>
      <c r="O56" s="16">
        <f>IFERROR(INDEX(EPSIS!E$2:'EPSIS'!E$603,MATCH($M56,EPSIS!$F$2:'EPSIS'!$F$603,0)),"")</f>
        <v>1992</v>
      </c>
      <c r="R56" s="53" t="str">
        <f t="shared" si="2"/>
        <v>-</v>
      </c>
      <c r="S56" s="53" t="str">
        <f t="shared" si="3"/>
        <v>-</v>
      </c>
    </row>
    <row r="57" spans="1:19">
      <c r="A57" s="53" t="str">
        <f>IFERROR(INDEX(EPSIS!$B$2:'EPSIS'!$B$603,MATCH($B57,EPSIS!$F$2:'EPSIS'!$F$603,0)),"")</f>
        <v>유연탄</v>
      </c>
      <c r="B57" s="53" t="str" cm="1">
        <f t="array" ref="B57">IFERROR(INDEX(EPSIS!$F$2:'EPSIS'!$F$603,SMALL(IF(($B$33=EPSIS!$B$2:'EPSIS'!$B$603),MATCH(ROW(EPSIS!$B$2:'EPSIS'!$B$603), ROW(EPSIS!$B$2:'EPSIS'!$B$603)), ""), ROWS($A$1:A23))),"")</f>
        <v>28삼척그린파워 #2</v>
      </c>
      <c r="C57" s="70">
        <f>IFERROR(INDEX(EPSIS!D$2:'EPSIS'!D$603,MATCH($B57,EPSIS!$F$2:'EPSIS'!$F$603,0)),"")</f>
        <v>1022</v>
      </c>
      <c r="D57" s="16">
        <f>IFERROR(INDEX(EPSIS!E$2:'EPSIS'!E$603,MATCH($B57,EPSIS!$F$2:'EPSIS'!$F$603,0)),"")</f>
        <v>2017</v>
      </c>
      <c r="G57" s="53" t="b">
        <f t="shared" si="4"/>
        <v>1</v>
      </c>
      <c r="H57" s="53">
        <f t="shared" si="5"/>
        <v>2047</v>
      </c>
      <c r="L57" s="53" t="str">
        <f>IFERROR(INDEX(EPSIS!$B$2:'EPSIS'!$B$603,MATCH($M57,EPSIS!$F$2:'EPSIS'!$F$603,0)),"")</f>
        <v>LNG</v>
      </c>
      <c r="M57" s="53" t="str">
        <f t="array" ref="M57">IFERROR(INDEX(EPSIS!$F$2:'EPSIS'!$F$603,SMALL(IF(($M$3=EPSIS!$B$2:'EPSIS'!$B$603),MATCH(ROW(EPSIS!$B$2:'EPSIS'!$B$603), ROW(EPSIS!$B$2:'EPSIS'!$B$603)), ""), ROWS($A$1:A53))),"")</f>
        <v>239서인천#1-4 GT</v>
      </c>
      <c r="N57" s="70">
        <f>IFERROR(INDEX(EPSIS!D$2:'EPSIS'!D$603,MATCH($M57,EPSIS!$F$2:'EPSIS'!$F$603,0)),"")</f>
        <v>150</v>
      </c>
      <c r="O57" s="16">
        <f>IFERROR(INDEX(EPSIS!E$2:'EPSIS'!E$603,MATCH($M57,EPSIS!$F$2:'EPSIS'!$F$603,0)),"")</f>
        <v>1992</v>
      </c>
      <c r="R57" s="53" t="str">
        <f t="shared" si="2"/>
        <v>-</v>
      </c>
      <c r="S57" s="53" t="str">
        <f t="shared" si="3"/>
        <v>-</v>
      </c>
    </row>
    <row r="58" spans="1:19">
      <c r="A58" s="53" t="str">
        <f>IFERROR(INDEX(EPSIS!$B$2:'EPSIS'!$B$603,MATCH($B58,EPSIS!$F$2:'EPSIS'!$F$603,0)),"")</f>
        <v>유연탄</v>
      </c>
      <c r="B58" s="53" t="str" cm="1">
        <f t="array" ref="B58">IFERROR(INDEX(EPSIS!$F$2:'EPSIS'!$F$603,SMALL(IF(($B$33=EPSIS!$B$2:'EPSIS'!$B$603),MATCH(ROW(EPSIS!$B$2:'EPSIS'!$B$603), ROW(EPSIS!$B$2:'EPSIS'!$B$603)), ""), ROWS($A$1:A24))),"")</f>
        <v>29삼천포#1</v>
      </c>
      <c r="C58" s="70">
        <f>IFERROR(INDEX(EPSIS!D$2:'EPSIS'!D$603,MATCH($B58,EPSIS!$F$2:'EPSIS'!$F$603,0)),"")</f>
        <v>560</v>
      </c>
      <c r="D58" s="16">
        <f>IFERROR(INDEX(EPSIS!E$2:'EPSIS'!E$603,MATCH($B58,EPSIS!$F$2:'EPSIS'!$F$603,0)),"")</f>
        <v>1983</v>
      </c>
      <c r="G58" s="53" t="str">
        <f t="shared" si="4"/>
        <v>-</v>
      </c>
      <c r="H58" s="53" t="str">
        <f t="shared" si="5"/>
        <v>-</v>
      </c>
      <c r="L58" s="53" t="str">
        <f>IFERROR(INDEX(EPSIS!$B$2:'EPSIS'!$B$603,MATCH($M58,EPSIS!$F$2:'EPSIS'!$F$603,0)),"")</f>
        <v>LNG</v>
      </c>
      <c r="M58" s="53" t="str">
        <f t="array" ref="M58">IFERROR(INDEX(EPSIS!$F$2:'EPSIS'!$F$603,SMALL(IF(($M$3=EPSIS!$B$2:'EPSIS'!$B$603),MATCH(ROW(EPSIS!$B$2:'EPSIS'!$B$603), ROW(EPSIS!$B$2:'EPSIS'!$B$603)), ""), ROWS($A$1:A54))),"")</f>
        <v>240서인천#1-4 GT</v>
      </c>
      <c r="N58" s="70">
        <f>IFERROR(INDEX(EPSIS!D$2:'EPSIS'!D$603,MATCH($M58,EPSIS!$F$2:'EPSIS'!$F$603,0)),"")</f>
        <v>300</v>
      </c>
      <c r="O58" s="16">
        <f>IFERROR(INDEX(EPSIS!E$2:'EPSIS'!E$603,MATCH($M58,EPSIS!$F$2:'EPSIS'!$F$603,0)),"")</f>
        <v>1992</v>
      </c>
      <c r="R58" s="53" t="str">
        <f t="shared" si="2"/>
        <v>-</v>
      </c>
      <c r="S58" s="53" t="str">
        <f t="shared" si="3"/>
        <v>-</v>
      </c>
    </row>
    <row r="59" spans="1:19">
      <c r="A59" s="53" t="str">
        <f>IFERROR(INDEX(EPSIS!$B$2:'EPSIS'!$B$603,MATCH($B59,EPSIS!$F$2:'EPSIS'!$F$603,0)),"")</f>
        <v>유연탄</v>
      </c>
      <c r="B59" s="53" t="str" cm="1">
        <f t="array" ref="B59">IFERROR(INDEX(EPSIS!$F$2:'EPSIS'!$F$603,SMALL(IF(($B$33=EPSIS!$B$2:'EPSIS'!$B$603),MATCH(ROW(EPSIS!$B$2:'EPSIS'!$B$603), ROW(EPSIS!$B$2:'EPSIS'!$B$603)), ""), ROWS($A$1:A25))),"")</f>
        <v>30삼천포#2</v>
      </c>
      <c r="C59" s="70">
        <f>IFERROR(INDEX(EPSIS!D$2:'EPSIS'!D$603,MATCH($B59,EPSIS!$F$2:'EPSIS'!$F$603,0)),"")</f>
        <v>560</v>
      </c>
      <c r="D59" s="16">
        <f>IFERROR(INDEX(EPSIS!E$2:'EPSIS'!E$603,MATCH($B59,EPSIS!$F$2:'EPSIS'!$F$603,0)),"")</f>
        <v>1984</v>
      </c>
      <c r="G59" s="53" t="str">
        <f t="shared" ref="G59:G83" si="7">IF(D59&gt;$F$2,TRUE,"-")</f>
        <v>-</v>
      </c>
      <c r="H59" s="53" t="str">
        <f t="shared" ref="H59:H83" si="8">IF(G59=TRUE,D59+30,"-")</f>
        <v>-</v>
      </c>
      <c r="L59" s="53" t="str">
        <f>IFERROR(INDEX(EPSIS!$B$2:'EPSIS'!$B$603,MATCH($M59,EPSIS!$F$2:'EPSIS'!$F$603,0)),"")</f>
        <v>LNG</v>
      </c>
      <c r="M59" s="53" t="str">
        <f t="array" ref="M59">IFERROR(INDEX(EPSIS!$F$2:'EPSIS'!$F$603,SMALL(IF(($M$3=EPSIS!$B$2:'EPSIS'!$B$603),MATCH(ROW(EPSIS!$B$2:'EPSIS'!$B$603), ROW(EPSIS!$B$2:'EPSIS'!$B$603)), ""), ROWS($A$1:A55))),"")</f>
        <v>241서인천#1-4 ST</v>
      </c>
      <c r="N59" s="70">
        <f>IFERROR(INDEX(EPSIS!D$2:'EPSIS'!D$603,MATCH($M59,EPSIS!$F$2:'EPSIS'!$F$603,0)),"")</f>
        <v>150</v>
      </c>
      <c r="O59" s="16">
        <f>IFERROR(INDEX(EPSIS!E$2:'EPSIS'!E$603,MATCH($M59,EPSIS!$F$2:'EPSIS'!$F$603,0)),"")</f>
        <v>1992</v>
      </c>
      <c r="R59" s="53" t="str">
        <f t="shared" si="2"/>
        <v>-</v>
      </c>
      <c r="S59" s="53" t="str">
        <f t="shared" si="3"/>
        <v>-</v>
      </c>
    </row>
    <row r="60" spans="1:19">
      <c r="A60" s="53" t="str">
        <f>IFERROR(INDEX(EPSIS!$B$2:'EPSIS'!$B$603,MATCH($B60,EPSIS!$F$2:'EPSIS'!$F$603,0)),"")</f>
        <v>유연탄</v>
      </c>
      <c r="B60" s="53" t="str" cm="1">
        <f t="array" ref="B60">IFERROR(INDEX(EPSIS!$F$2:'EPSIS'!$F$603,SMALL(IF(($B$33=EPSIS!$B$2:'EPSIS'!$B$603),MATCH(ROW(EPSIS!$B$2:'EPSIS'!$B$603), ROW(EPSIS!$B$2:'EPSIS'!$B$603)), ""), ROWS($A$1:A26))),"")</f>
        <v>31삼천포#3</v>
      </c>
      <c r="C60" s="70">
        <f>IFERROR(INDEX(EPSIS!D$2:'EPSIS'!D$603,MATCH($B60,EPSIS!$F$2:'EPSIS'!$F$603,0)),"")</f>
        <v>560</v>
      </c>
      <c r="D60" s="16">
        <f>IFERROR(INDEX(EPSIS!E$2:'EPSIS'!E$603,MATCH($B60,EPSIS!$F$2:'EPSIS'!$F$603,0)),"")</f>
        <v>1993</v>
      </c>
      <c r="G60" s="53" t="str">
        <f t="shared" si="7"/>
        <v>-</v>
      </c>
      <c r="H60" s="53" t="str">
        <f t="shared" si="8"/>
        <v>-</v>
      </c>
      <c r="L60" s="53" t="str">
        <f>IFERROR(INDEX(EPSIS!$B$2:'EPSIS'!$B$603,MATCH($M60,EPSIS!$F$2:'EPSIS'!$F$603,0)),"")</f>
        <v>LNG</v>
      </c>
      <c r="M60" s="53" t="str">
        <f t="array" ref="M60">IFERROR(INDEX(EPSIS!$F$2:'EPSIS'!$F$603,SMALL(IF(($M$3=EPSIS!$B$2:'EPSIS'!$B$603),MATCH(ROW(EPSIS!$B$2:'EPSIS'!$B$603), ROW(EPSIS!$B$2:'EPSIS'!$B$603)), ""), ROWS($A$1:A56))),"")</f>
        <v>242서인천#1-4 ST</v>
      </c>
      <c r="N60" s="70">
        <f>IFERROR(INDEX(EPSIS!D$2:'EPSIS'!D$603,MATCH($M60,EPSIS!$F$2:'EPSIS'!$F$603,0)),"")</f>
        <v>150</v>
      </c>
      <c r="O60" s="16">
        <f>IFERROR(INDEX(EPSIS!E$2:'EPSIS'!E$603,MATCH($M60,EPSIS!$F$2:'EPSIS'!$F$603,0)),"")</f>
        <v>1992</v>
      </c>
      <c r="R60" s="53" t="str">
        <f t="shared" si="2"/>
        <v>-</v>
      </c>
      <c r="S60" s="53" t="str">
        <f t="shared" si="3"/>
        <v>-</v>
      </c>
    </row>
    <row r="61" spans="1:19">
      <c r="A61" s="53" t="str">
        <f>IFERROR(INDEX(EPSIS!$B$2:'EPSIS'!$B$603,MATCH($B61,EPSIS!$F$2:'EPSIS'!$F$603,0)),"")</f>
        <v>유연탄</v>
      </c>
      <c r="B61" s="53" t="str" cm="1">
        <f t="array" ref="B61">IFERROR(INDEX(EPSIS!$F$2:'EPSIS'!$F$603,SMALL(IF(($B$33=EPSIS!$B$2:'EPSIS'!$B$603),MATCH(ROW(EPSIS!$B$2:'EPSIS'!$B$603), ROW(EPSIS!$B$2:'EPSIS'!$B$603)), ""), ROWS($A$1:A27))),"")</f>
        <v>32삼천포#4</v>
      </c>
      <c r="C61" s="70">
        <f>IFERROR(INDEX(EPSIS!D$2:'EPSIS'!D$603,MATCH($B61,EPSIS!$F$2:'EPSIS'!$F$603,0)),"")</f>
        <v>560</v>
      </c>
      <c r="D61" s="16">
        <f>IFERROR(INDEX(EPSIS!E$2:'EPSIS'!E$603,MATCH($B61,EPSIS!$F$2:'EPSIS'!$F$603,0)),"")</f>
        <v>1994</v>
      </c>
      <c r="G61" s="53" t="str">
        <f t="shared" si="7"/>
        <v>-</v>
      </c>
      <c r="H61" s="53" t="str">
        <f t="shared" si="8"/>
        <v>-</v>
      </c>
      <c r="L61" s="53" t="str">
        <f>IFERROR(INDEX(EPSIS!$B$2:'EPSIS'!$B$603,MATCH($M61,EPSIS!$F$2:'EPSIS'!$F$603,0)),"")</f>
        <v>LNG</v>
      </c>
      <c r="M61" s="53" t="str">
        <f t="array" ref="M61">IFERROR(INDEX(EPSIS!$F$2:'EPSIS'!$F$603,SMALL(IF(($M$3=EPSIS!$B$2:'EPSIS'!$B$603),MATCH(ROW(EPSIS!$B$2:'EPSIS'!$B$603), ROW(EPSIS!$B$2:'EPSIS'!$B$603)), ""), ROWS($A$1:A57))),"")</f>
        <v>243신인천#1,2 GT</v>
      </c>
      <c r="N61" s="70">
        <f>IFERROR(INDEX(EPSIS!D$2:'EPSIS'!D$603,MATCH($M61,EPSIS!$F$2:'EPSIS'!$F$603,0)),"")</f>
        <v>600</v>
      </c>
      <c r="O61" s="16">
        <f>IFERROR(INDEX(EPSIS!E$2:'EPSIS'!E$603,MATCH($M61,EPSIS!$F$2:'EPSIS'!$F$603,0)),"")</f>
        <v>1996</v>
      </c>
      <c r="R61" s="53" t="str">
        <f t="shared" si="2"/>
        <v>-</v>
      </c>
      <c r="S61" s="53" t="str">
        <f t="shared" si="3"/>
        <v>-</v>
      </c>
    </row>
    <row r="62" spans="1:19">
      <c r="A62" s="53" t="str">
        <f>IFERROR(INDEX(EPSIS!$B$2:'EPSIS'!$B$603,MATCH($B62,EPSIS!$F$2:'EPSIS'!$F$603,0)),"")</f>
        <v>유연탄</v>
      </c>
      <c r="B62" s="53" t="str" cm="1">
        <f t="array" ref="B62">IFERROR(INDEX(EPSIS!$F$2:'EPSIS'!$F$603,SMALL(IF(($B$33=EPSIS!$B$2:'EPSIS'!$B$603),MATCH(ROW(EPSIS!$B$2:'EPSIS'!$B$603), ROW(EPSIS!$B$2:'EPSIS'!$B$603)), ""), ROWS($A$1:A28))),"")</f>
        <v>33삼천포#5</v>
      </c>
      <c r="C62" s="70">
        <f>IFERROR(INDEX(EPSIS!D$2:'EPSIS'!D$603,MATCH($B62,EPSIS!$F$2:'EPSIS'!$F$603,0)),"")</f>
        <v>500</v>
      </c>
      <c r="D62" s="16">
        <f>IFERROR(INDEX(EPSIS!E$2:'EPSIS'!E$603,MATCH($B62,EPSIS!$F$2:'EPSIS'!$F$603,0)),"")</f>
        <v>1997</v>
      </c>
      <c r="G62" s="53" t="str">
        <f t="shared" si="7"/>
        <v>-</v>
      </c>
      <c r="H62" s="53" t="str">
        <f t="shared" si="8"/>
        <v>-</v>
      </c>
      <c r="L62" s="53" t="str">
        <f>IFERROR(INDEX(EPSIS!$B$2:'EPSIS'!$B$603,MATCH($M62,EPSIS!$F$2:'EPSIS'!$F$603,0)),"")</f>
        <v>LNG</v>
      </c>
      <c r="M62" s="53" t="str">
        <f t="array" ref="M62">IFERROR(INDEX(EPSIS!$F$2:'EPSIS'!$F$603,SMALL(IF(($M$3=EPSIS!$B$2:'EPSIS'!$B$603),MATCH(ROW(EPSIS!$B$2:'EPSIS'!$B$603), ROW(EPSIS!$B$2:'EPSIS'!$B$603)), ""), ROWS($A$1:A58))),"")</f>
        <v>244신인천#1,2 ST</v>
      </c>
      <c r="N62" s="70">
        <f>IFERROR(INDEX(EPSIS!D$2:'EPSIS'!D$603,MATCH($M62,EPSIS!$F$2:'EPSIS'!$F$603,0)),"")</f>
        <v>300</v>
      </c>
      <c r="O62" s="16">
        <f>IFERROR(INDEX(EPSIS!E$2:'EPSIS'!E$603,MATCH($M62,EPSIS!$F$2:'EPSIS'!$F$603,0)),"")</f>
        <v>1997</v>
      </c>
      <c r="R62" s="53" t="str">
        <f t="shared" si="2"/>
        <v>-</v>
      </c>
      <c r="S62" s="53" t="str">
        <f t="shared" si="3"/>
        <v>-</v>
      </c>
    </row>
    <row r="63" spans="1:19">
      <c r="A63" s="53" t="str">
        <f>IFERROR(INDEX(EPSIS!$B$2:'EPSIS'!$B$603,MATCH($B63,EPSIS!$F$2:'EPSIS'!$F$603,0)),"")</f>
        <v>유연탄</v>
      </c>
      <c r="B63" s="53" t="str" cm="1">
        <f t="array" ref="B63">IFERROR(INDEX(EPSIS!$F$2:'EPSIS'!$F$603,SMALL(IF(($B$33=EPSIS!$B$2:'EPSIS'!$B$603),MATCH(ROW(EPSIS!$B$2:'EPSIS'!$B$603), ROW(EPSIS!$B$2:'EPSIS'!$B$603)), ""), ROWS($A$1:A29))),"")</f>
        <v>34삼천포#6</v>
      </c>
      <c r="C63" s="70">
        <f>IFERROR(INDEX(EPSIS!D$2:'EPSIS'!D$603,MATCH($B63,EPSIS!$F$2:'EPSIS'!$F$603,0)),"")</f>
        <v>500</v>
      </c>
      <c r="D63" s="16">
        <f>IFERROR(INDEX(EPSIS!E$2:'EPSIS'!E$603,MATCH($B63,EPSIS!$F$2:'EPSIS'!$F$603,0)),"")</f>
        <v>1998</v>
      </c>
      <c r="G63" s="53" t="str">
        <f t="shared" si="7"/>
        <v>-</v>
      </c>
      <c r="H63" s="53" t="str">
        <f t="shared" si="8"/>
        <v>-</v>
      </c>
      <c r="L63" s="53" t="str">
        <f>IFERROR(INDEX(EPSIS!$B$2:'EPSIS'!$B$603,MATCH($M63,EPSIS!$F$2:'EPSIS'!$F$603,0)),"")</f>
        <v>LNG</v>
      </c>
      <c r="M63" s="53" t="str">
        <f t="array" ref="M63">IFERROR(INDEX(EPSIS!$F$2:'EPSIS'!$F$603,SMALL(IF(($M$3=EPSIS!$B$2:'EPSIS'!$B$603),MATCH(ROW(EPSIS!$B$2:'EPSIS'!$B$603), ROW(EPSIS!$B$2:'EPSIS'!$B$603)), ""), ROWS($A$1:A59))),"")</f>
        <v>245신인천#3,4 GT</v>
      </c>
      <c r="N63" s="70">
        <f>IFERROR(INDEX(EPSIS!D$2:'EPSIS'!D$603,MATCH($M63,EPSIS!$F$2:'EPSIS'!$F$603,0)),"")</f>
        <v>600</v>
      </c>
      <c r="O63" s="16">
        <f>IFERROR(INDEX(EPSIS!E$2:'EPSIS'!E$603,MATCH($M63,EPSIS!$F$2:'EPSIS'!$F$603,0)),"")</f>
        <v>1996</v>
      </c>
      <c r="R63" s="53" t="str">
        <f t="shared" si="2"/>
        <v>-</v>
      </c>
      <c r="S63" s="53" t="str">
        <f t="shared" si="3"/>
        <v>-</v>
      </c>
    </row>
    <row r="64" spans="1:19">
      <c r="A64" s="53" t="str">
        <f>IFERROR(INDEX(EPSIS!$B$2:'EPSIS'!$B$603,MATCH($B64,EPSIS!$F$2:'EPSIS'!$F$603,0)),"")</f>
        <v>유연탄</v>
      </c>
      <c r="B64" s="53" t="str" cm="1">
        <f t="array" ref="B64">IFERROR(INDEX(EPSIS!$F$2:'EPSIS'!$F$603,SMALL(IF(($B$33=EPSIS!$B$2:'EPSIS'!$B$603),MATCH(ROW(EPSIS!$B$2:'EPSIS'!$B$603), ROW(EPSIS!$B$2:'EPSIS'!$B$603)), ""), ROWS($A$1:A30))),"")</f>
        <v>35신보령#1</v>
      </c>
      <c r="C64" s="70">
        <f>IFERROR(INDEX(EPSIS!D$2:'EPSIS'!D$603,MATCH($B64,EPSIS!$F$2:'EPSIS'!$F$603,0)),"")</f>
        <v>1019.029</v>
      </c>
      <c r="D64" s="16">
        <f>IFERROR(INDEX(EPSIS!E$2:'EPSIS'!E$603,MATCH($B64,EPSIS!$F$2:'EPSIS'!$F$603,0)),"")</f>
        <v>2017</v>
      </c>
      <c r="G64" s="53" t="b">
        <f t="shared" si="7"/>
        <v>1</v>
      </c>
      <c r="H64" s="53">
        <f t="shared" si="8"/>
        <v>2047</v>
      </c>
      <c r="L64" s="53" t="str">
        <f>IFERROR(INDEX(EPSIS!$B$2:'EPSIS'!$B$603,MATCH($M64,EPSIS!$F$2:'EPSIS'!$F$603,0)),"")</f>
        <v>LNG</v>
      </c>
      <c r="M64" s="53" t="str">
        <f t="array" ref="M64">IFERROR(INDEX(EPSIS!$F$2:'EPSIS'!$F$603,SMALL(IF(($M$3=EPSIS!$B$2:'EPSIS'!$B$603),MATCH(ROW(EPSIS!$B$2:'EPSIS'!$B$603), ROW(EPSIS!$B$2:'EPSIS'!$B$603)), ""), ROWS($A$1:A60))),"")</f>
        <v>246신인천#3,4 ST</v>
      </c>
      <c r="N64" s="70">
        <f>IFERROR(INDEX(EPSIS!D$2:'EPSIS'!D$603,MATCH($M64,EPSIS!$F$2:'EPSIS'!$F$603,0)),"")</f>
        <v>300</v>
      </c>
      <c r="O64" s="16">
        <f>IFERROR(INDEX(EPSIS!E$2:'EPSIS'!E$603,MATCH($M64,EPSIS!$F$2:'EPSIS'!$F$603,0)),"")</f>
        <v>1997</v>
      </c>
      <c r="R64" s="53" t="str">
        <f t="shared" si="2"/>
        <v>-</v>
      </c>
      <c r="S64" s="53" t="str">
        <f t="shared" si="3"/>
        <v>-</v>
      </c>
    </row>
    <row r="65" spans="1:19">
      <c r="A65" s="53" t="str">
        <f>IFERROR(INDEX(EPSIS!$B$2:'EPSIS'!$B$603,MATCH($B65,EPSIS!$F$2:'EPSIS'!$F$603,0)),"")</f>
        <v>유연탄</v>
      </c>
      <c r="B65" s="53" t="str" cm="1">
        <f t="array" ref="B65">IFERROR(INDEX(EPSIS!$F$2:'EPSIS'!$F$603,SMALL(IF(($B$33=EPSIS!$B$2:'EPSIS'!$B$603),MATCH(ROW(EPSIS!$B$2:'EPSIS'!$B$603), ROW(EPSIS!$B$2:'EPSIS'!$B$603)), ""), ROWS($A$1:A31))),"")</f>
        <v>36신보령#2</v>
      </c>
      <c r="C65" s="70">
        <f>IFERROR(INDEX(EPSIS!D$2:'EPSIS'!D$603,MATCH($B65,EPSIS!$F$2:'EPSIS'!$F$603,0)),"")</f>
        <v>1019.029</v>
      </c>
      <c r="D65" s="16">
        <f>IFERROR(INDEX(EPSIS!E$2:'EPSIS'!E$603,MATCH($B65,EPSIS!$F$2:'EPSIS'!$F$603,0)),"")</f>
        <v>2017</v>
      </c>
      <c r="G65" s="53" t="b">
        <f t="shared" si="7"/>
        <v>1</v>
      </c>
      <c r="H65" s="53">
        <f t="shared" si="8"/>
        <v>2047</v>
      </c>
      <c r="L65" s="53" t="str">
        <f>IFERROR(INDEX(EPSIS!$B$2:'EPSIS'!$B$603,MATCH($M65,EPSIS!$F$2:'EPSIS'!$F$603,0)),"")</f>
        <v>LNG</v>
      </c>
      <c r="M65" s="53" t="str">
        <f t="array" ref="M65">IFERROR(INDEX(EPSIS!$F$2:'EPSIS'!$F$603,SMALL(IF(($M$3=EPSIS!$B$2:'EPSIS'!$B$603),MATCH(ROW(EPSIS!$B$2:'EPSIS'!$B$603), ROW(EPSIS!$B$2:'EPSIS'!$B$603)), ""), ROWS($A$1:A61))),"")</f>
        <v>247신평택 GT</v>
      </c>
      <c r="N65" s="70">
        <f>IFERROR(INDEX(EPSIS!D$2:'EPSIS'!D$603,MATCH($M65,EPSIS!$F$2:'EPSIS'!$F$603,0)),"")</f>
        <v>580.4</v>
      </c>
      <c r="O65" s="16">
        <f>IFERROR(INDEX(EPSIS!E$2:'EPSIS'!E$603,MATCH($M65,EPSIS!$F$2:'EPSIS'!$F$603,0)),"")</f>
        <v>2019</v>
      </c>
      <c r="R65" s="53" t="b">
        <f t="shared" si="2"/>
        <v>1</v>
      </c>
      <c r="S65" s="53">
        <f t="shared" si="3"/>
        <v>2049</v>
      </c>
    </row>
    <row r="66" spans="1:19">
      <c r="A66" s="53" t="str">
        <f>IFERROR(INDEX(EPSIS!$B$2:'EPSIS'!$B$603,MATCH($B66,EPSIS!$F$2:'EPSIS'!$F$603,0)),"")</f>
        <v>유연탄</v>
      </c>
      <c r="B66" s="53" t="str" cm="1">
        <f t="array" ref="B66">IFERROR(INDEX(EPSIS!$F$2:'EPSIS'!$F$603,SMALL(IF(($B$33=EPSIS!$B$2:'EPSIS'!$B$603),MATCH(ROW(EPSIS!$B$2:'EPSIS'!$B$603), ROW(EPSIS!$B$2:'EPSIS'!$B$603)), ""), ROWS($A$1:A32))),"")</f>
        <v>37여수#1</v>
      </c>
      <c r="C66" s="70">
        <f>IFERROR(INDEX(EPSIS!D$2:'EPSIS'!D$603,MATCH($B66,EPSIS!$F$2:'EPSIS'!$F$603,0)),"")</f>
        <v>340</v>
      </c>
      <c r="D66" s="16">
        <f>IFERROR(INDEX(EPSIS!E$2:'EPSIS'!E$603,MATCH($B66,EPSIS!$F$2:'EPSIS'!$F$603,0)),"")</f>
        <v>2016</v>
      </c>
      <c r="G66" s="53" t="b">
        <f t="shared" si="7"/>
        <v>1</v>
      </c>
      <c r="H66" s="53">
        <f t="shared" si="8"/>
        <v>2046</v>
      </c>
      <c r="L66" s="53" t="str">
        <f>IFERROR(INDEX(EPSIS!$B$2:'EPSIS'!$B$603,MATCH($M66,EPSIS!$F$2:'EPSIS'!$F$603,0)),"")</f>
        <v>LNG</v>
      </c>
      <c r="M66" s="53" t="str">
        <f t="array" ref="M66">IFERROR(INDEX(EPSIS!$F$2:'EPSIS'!$F$603,SMALL(IF(($M$3=EPSIS!$B$2:'EPSIS'!$B$603),MATCH(ROW(EPSIS!$B$2:'EPSIS'!$B$603), ROW(EPSIS!$B$2:'EPSIS'!$B$603)), ""), ROWS($A$1:A62))),"")</f>
        <v>248신평택 ST</v>
      </c>
      <c r="N66" s="70">
        <f>IFERROR(INDEX(EPSIS!D$2:'EPSIS'!D$603,MATCH($M66,EPSIS!$F$2:'EPSIS'!$F$603,0)),"")</f>
        <v>282.90000000000003</v>
      </c>
      <c r="O66" s="16">
        <f>IFERROR(INDEX(EPSIS!E$2:'EPSIS'!E$603,MATCH($M66,EPSIS!$F$2:'EPSIS'!$F$603,0)),"")</f>
        <v>2019</v>
      </c>
      <c r="R66" s="53" t="b">
        <f t="shared" si="2"/>
        <v>1</v>
      </c>
      <c r="S66" s="53">
        <f t="shared" si="3"/>
        <v>2049</v>
      </c>
    </row>
    <row r="67" spans="1:19">
      <c r="A67" s="53" t="str">
        <f>IFERROR(INDEX(EPSIS!$B$2:'EPSIS'!$B$603,MATCH($B67,EPSIS!$F$2:'EPSIS'!$F$603,0)),"")</f>
        <v>유연탄</v>
      </c>
      <c r="B67" s="53" t="str" cm="1">
        <f t="array" ref="B67">IFERROR(INDEX(EPSIS!$F$2:'EPSIS'!$F$603,SMALL(IF(($B$33=EPSIS!$B$2:'EPSIS'!$B$603),MATCH(ROW(EPSIS!$B$2:'EPSIS'!$B$603), ROW(EPSIS!$B$2:'EPSIS'!$B$603)), ""), ROWS($A$1:A33))),"")</f>
        <v>38여수#2</v>
      </c>
      <c r="C67" s="70">
        <f>IFERROR(INDEX(EPSIS!D$2:'EPSIS'!D$603,MATCH($B67,EPSIS!$F$2:'EPSIS'!$F$603,0)),"")</f>
        <v>328.6</v>
      </c>
      <c r="D67" s="16">
        <f>IFERROR(INDEX(EPSIS!E$2:'EPSIS'!E$603,MATCH($B67,EPSIS!$F$2:'EPSIS'!$F$603,0)),"")</f>
        <v>1977</v>
      </c>
      <c r="G67" s="53" t="str">
        <f t="shared" si="7"/>
        <v>-</v>
      </c>
      <c r="H67" s="53" t="str">
        <f t="shared" si="8"/>
        <v>-</v>
      </c>
      <c r="L67" s="53" t="str">
        <f>IFERROR(INDEX(EPSIS!$B$2:'EPSIS'!$B$603,MATCH($M67,EPSIS!$F$2:'EPSIS'!$F$603,0)),"")</f>
        <v>LNG</v>
      </c>
      <c r="M67" s="53" t="str">
        <f t="array" ref="M67">IFERROR(INDEX(EPSIS!$F$2:'EPSIS'!$F$603,SMALL(IF(($M$3=EPSIS!$B$2:'EPSIS'!$B$603),MATCH(ROW(EPSIS!$B$2:'EPSIS'!$B$603), ROW(EPSIS!$B$2:'EPSIS'!$B$603)), ""), ROWS($A$1:A63))),"")</f>
        <v>249안동 GT</v>
      </c>
      <c r="N67" s="70">
        <f>IFERROR(INDEX(EPSIS!D$2:'EPSIS'!D$603,MATCH($M67,EPSIS!$F$2:'EPSIS'!$F$603,0)),"")</f>
        <v>234.5</v>
      </c>
      <c r="O67" s="16">
        <f>IFERROR(INDEX(EPSIS!E$2:'EPSIS'!E$603,MATCH($M67,EPSIS!$F$2:'EPSIS'!$F$603,0)),"")</f>
        <v>2014</v>
      </c>
      <c r="R67" s="53" t="b">
        <f t="shared" si="2"/>
        <v>1</v>
      </c>
      <c r="S67" s="53">
        <f t="shared" si="3"/>
        <v>2044</v>
      </c>
    </row>
    <row r="68" spans="1:19">
      <c r="A68" s="53" t="str">
        <f>IFERROR(INDEX(EPSIS!$B$2:'EPSIS'!$B$603,MATCH($B68,EPSIS!$F$2:'EPSIS'!$F$603,0)),"")</f>
        <v>유연탄</v>
      </c>
      <c r="B68" s="53" t="str" cm="1">
        <f t="array" ref="B68">IFERROR(INDEX(EPSIS!$F$2:'EPSIS'!$F$603,SMALL(IF(($B$33=EPSIS!$B$2:'EPSIS'!$B$603),MATCH(ROW(EPSIS!$B$2:'EPSIS'!$B$603), ROW(EPSIS!$B$2:'EPSIS'!$B$603)), ""), ROWS($A$1:A34))),"")</f>
        <v>40영흥#1</v>
      </c>
      <c r="C68" s="70">
        <f>IFERROR(INDEX(EPSIS!D$2:'EPSIS'!D$603,MATCH($B68,EPSIS!$F$2:'EPSIS'!$F$603,0)),"")</f>
        <v>800</v>
      </c>
      <c r="D68" s="16">
        <f>IFERROR(INDEX(EPSIS!E$2:'EPSIS'!E$603,MATCH($B68,EPSIS!$F$2:'EPSIS'!$F$603,0)),"")</f>
        <v>2004</v>
      </c>
      <c r="G68" s="53" t="str">
        <f t="shared" si="7"/>
        <v>-</v>
      </c>
      <c r="H68" s="53" t="str">
        <f t="shared" si="8"/>
        <v>-</v>
      </c>
      <c r="L68" s="53" t="str">
        <f>IFERROR(INDEX(EPSIS!$B$2:'EPSIS'!$B$603,MATCH($M68,EPSIS!$F$2:'EPSIS'!$F$603,0)),"")</f>
        <v>LNG</v>
      </c>
      <c r="M68" s="53" t="str">
        <f t="array" ref="M68">IFERROR(INDEX(EPSIS!$F$2:'EPSIS'!$F$603,SMALL(IF(($M$3=EPSIS!$B$2:'EPSIS'!$B$603),MATCH(ROW(EPSIS!$B$2:'EPSIS'!$B$603), ROW(EPSIS!$B$2:'EPSIS'!$B$603)), ""), ROWS($A$1:A64))),"")</f>
        <v>250안동 ST</v>
      </c>
      <c r="N68" s="70">
        <f>IFERROR(INDEX(EPSIS!D$2:'EPSIS'!D$603,MATCH($M68,EPSIS!$F$2:'EPSIS'!$F$603,0)),"")</f>
        <v>127.10000000000001</v>
      </c>
      <c r="O68" s="16">
        <f>IFERROR(INDEX(EPSIS!E$2:'EPSIS'!E$603,MATCH($M68,EPSIS!$F$2:'EPSIS'!$F$603,0)),"")</f>
        <v>2014</v>
      </c>
      <c r="R68" s="53" t="b">
        <f t="shared" si="2"/>
        <v>1</v>
      </c>
      <c r="S68" s="53">
        <f t="shared" si="3"/>
        <v>2044</v>
      </c>
    </row>
    <row r="69" spans="1:19">
      <c r="A69" s="53" t="str">
        <f>IFERROR(INDEX(EPSIS!$B$2:'EPSIS'!$B$603,MATCH($B69,EPSIS!$F$2:'EPSIS'!$F$603,0)),"")</f>
        <v>유연탄</v>
      </c>
      <c r="B69" s="53" t="str" cm="1">
        <f t="array" ref="B69">IFERROR(INDEX(EPSIS!$F$2:'EPSIS'!$F$603,SMALL(IF(($B$33=EPSIS!$B$2:'EPSIS'!$B$603),MATCH(ROW(EPSIS!$B$2:'EPSIS'!$B$603), ROW(EPSIS!$B$2:'EPSIS'!$B$603)), ""), ROWS($A$1:A35))),"")</f>
        <v>41영흥#2</v>
      </c>
      <c r="C69" s="70">
        <f>IFERROR(INDEX(EPSIS!D$2:'EPSIS'!D$603,MATCH($B69,EPSIS!$F$2:'EPSIS'!$F$603,0)),"")</f>
        <v>800</v>
      </c>
      <c r="D69" s="16">
        <f>IFERROR(INDEX(EPSIS!E$2:'EPSIS'!E$603,MATCH($B69,EPSIS!$F$2:'EPSIS'!$F$603,0)),"")</f>
        <v>2004</v>
      </c>
      <c r="G69" s="53" t="str">
        <f t="shared" si="7"/>
        <v>-</v>
      </c>
      <c r="H69" s="53" t="str">
        <f t="shared" si="8"/>
        <v>-</v>
      </c>
      <c r="L69" s="53" t="str">
        <f>IFERROR(INDEX(EPSIS!$B$2:'EPSIS'!$B$603,MATCH($M69,EPSIS!$F$2:'EPSIS'!$F$603,0)),"")</f>
        <v>LNG</v>
      </c>
      <c r="M69" s="53" t="str">
        <f t="array" ref="M69">IFERROR(INDEX(EPSIS!$F$2:'EPSIS'!$F$603,SMALL(IF(($M$3=EPSIS!$B$2:'EPSIS'!$B$603),MATCH(ROW(EPSIS!$B$2:'EPSIS'!$B$603), ROW(EPSIS!$B$2:'EPSIS'!$B$603)), ""), ROWS($A$1:A65))),"")</f>
        <v>251안산 GT</v>
      </c>
      <c r="N69" s="70">
        <f>IFERROR(INDEX(EPSIS!D$2:'EPSIS'!D$603,MATCH($M69,EPSIS!$F$2:'EPSIS'!$F$603,0)),"")</f>
        <v>485.8</v>
      </c>
      <c r="O69" s="16">
        <f>IFERROR(INDEX(EPSIS!E$2:'EPSIS'!E$603,MATCH($M69,EPSIS!$F$2:'EPSIS'!$F$603,0)),"")</f>
        <v>2014</v>
      </c>
      <c r="R69" s="53" t="b">
        <f t="shared" si="2"/>
        <v>1</v>
      </c>
      <c r="S69" s="53">
        <f t="shared" si="3"/>
        <v>2044</v>
      </c>
    </row>
    <row r="70" spans="1:19">
      <c r="A70" s="53" t="str">
        <f>IFERROR(INDEX(EPSIS!$B$2:'EPSIS'!$B$603,MATCH($B70,EPSIS!$F$2:'EPSIS'!$F$603,0)),"")</f>
        <v>유연탄</v>
      </c>
      <c r="B70" s="53" t="str" cm="1">
        <f t="array" ref="B70">IFERROR(INDEX(EPSIS!$F$2:'EPSIS'!$F$603,SMALL(IF(($B$33=EPSIS!$B$2:'EPSIS'!$B$603),MATCH(ROW(EPSIS!$B$2:'EPSIS'!$B$603), ROW(EPSIS!$B$2:'EPSIS'!$B$603)), ""), ROWS($A$1:A36))),"")</f>
        <v>42영흥#3</v>
      </c>
      <c r="C70" s="70">
        <f>IFERROR(INDEX(EPSIS!D$2:'EPSIS'!D$603,MATCH($B70,EPSIS!$F$2:'EPSIS'!$F$603,0)),"")</f>
        <v>870</v>
      </c>
      <c r="D70" s="16">
        <f>IFERROR(INDEX(EPSIS!E$2:'EPSIS'!E$603,MATCH($B70,EPSIS!$F$2:'EPSIS'!$F$603,0)),"")</f>
        <v>2008</v>
      </c>
      <c r="G70" s="53" t="b">
        <f t="shared" si="7"/>
        <v>1</v>
      </c>
      <c r="H70" s="53">
        <f t="shared" si="8"/>
        <v>2038</v>
      </c>
      <c r="L70" s="53" t="str">
        <f>IFERROR(INDEX(EPSIS!$B$2:'EPSIS'!$B$603,MATCH($M70,EPSIS!$F$2:'EPSIS'!$F$603,0)),"")</f>
        <v>LNG</v>
      </c>
      <c r="M70" s="53" t="str">
        <f t="array" ref="M70">IFERROR(INDEX(EPSIS!$F$2:'EPSIS'!$F$603,SMALL(IF(($M$3=EPSIS!$B$2:'EPSIS'!$B$603),MATCH(ROW(EPSIS!$B$2:'EPSIS'!$B$603), ROW(EPSIS!$B$2:'EPSIS'!$B$603)), ""), ROWS($A$1:A66))),"")</f>
        <v>252안산 ST</v>
      </c>
      <c r="N70" s="70">
        <f>IFERROR(INDEX(EPSIS!D$2:'EPSIS'!D$603,MATCH($M70,EPSIS!$F$2:'EPSIS'!$F$603,0)),"")</f>
        <v>265.39999999999998</v>
      </c>
      <c r="O70" s="16">
        <f>IFERROR(INDEX(EPSIS!E$2:'EPSIS'!E$603,MATCH($M70,EPSIS!$F$2:'EPSIS'!$F$603,0)),"")</f>
        <v>2014</v>
      </c>
      <c r="R70" s="53" t="b">
        <f t="shared" ref="R70:R133" si="9">IF(O70&gt;$F$2,TRUE,"-")</f>
        <v>1</v>
      </c>
      <c r="S70" s="53">
        <f t="shared" ref="S70:S133" si="10">IF(R70=TRUE,O70+30,"-")</f>
        <v>2044</v>
      </c>
    </row>
    <row r="71" spans="1:19">
      <c r="A71" s="53" t="str">
        <f>IFERROR(INDEX(EPSIS!$B$2:'EPSIS'!$B$603,MATCH($B71,EPSIS!$F$2:'EPSIS'!$F$603,0)),"")</f>
        <v>유연탄</v>
      </c>
      <c r="B71" s="53" t="str" cm="1">
        <f t="array" ref="B71">IFERROR(INDEX(EPSIS!$F$2:'EPSIS'!$F$603,SMALL(IF(($B$33=EPSIS!$B$2:'EPSIS'!$B$603),MATCH(ROW(EPSIS!$B$2:'EPSIS'!$B$603), ROW(EPSIS!$B$2:'EPSIS'!$B$603)), ""), ROWS($A$1:A37))),"")</f>
        <v>43영흥#4</v>
      </c>
      <c r="C71" s="70">
        <f>IFERROR(INDEX(EPSIS!D$2:'EPSIS'!D$603,MATCH($B71,EPSIS!$F$2:'EPSIS'!$F$603,0)),"")</f>
        <v>870</v>
      </c>
      <c r="D71" s="16">
        <f>IFERROR(INDEX(EPSIS!E$2:'EPSIS'!E$603,MATCH($B71,EPSIS!$F$2:'EPSIS'!$F$603,0)),"")</f>
        <v>2008</v>
      </c>
      <c r="G71" s="53" t="b">
        <f t="shared" si="7"/>
        <v>1</v>
      </c>
      <c r="H71" s="53">
        <f t="shared" si="8"/>
        <v>2038</v>
      </c>
      <c r="L71" s="53" t="str">
        <f>IFERROR(INDEX(EPSIS!$B$2:'EPSIS'!$B$603,MATCH($M71,EPSIS!$F$2:'EPSIS'!$F$603,0)),"")</f>
        <v>LNG</v>
      </c>
      <c r="M71" s="53" t="str">
        <f t="array" ref="M71">IFERROR(INDEX(EPSIS!$F$2:'EPSIS'!$F$603,SMALL(IF(($M$3=EPSIS!$B$2:'EPSIS'!$B$603),MATCH(ROW(EPSIS!$B$2:'EPSIS'!$B$603), ROW(EPSIS!$B$2:'EPSIS'!$B$603)), ""), ROWS($A$1:A67))),"")</f>
        <v>253여주복합GT#1</v>
      </c>
      <c r="N71" s="70">
        <f>IFERROR(INDEX(EPSIS!D$2:'EPSIS'!D$603,MATCH($M71,EPSIS!$F$2:'EPSIS'!$F$603,0)),"")</f>
        <v>336.02199999999999</v>
      </c>
      <c r="O71" s="16">
        <f>IFERROR(INDEX(EPSIS!E$2:'EPSIS'!E$603,MATCH($M71,EPSIS!$F$2:'EPSIS'!$F$603,0)),"")</f>
        <v>2023</v>
      </c>
      <c r="R71" s="53" t="b">
        <f t="shared" si="9"/>
        <v>1</v>
      </c>
      <c r="S71" s="53">
        <f t="shared" si="10"/>
        <v>2053</v>
      </c>
    </row>
    <row r="72" spans="1:19">
      <c r="A72" s="53" t="str">
        <f>IFERROR(INDEX(EPSIS!$B$2:'EPSIS'!$B$603,MATCH($B72,EPSIS!$F$2:'EPSIS'!$F$603,0)),"")</f>
        <v>유연탄</v>
      </c>
      <c r="B72" s="53" t="str" cm="1">
        <f t="array" ref="B72">IFERROR(INDEX(EPSIS!$F$2:'EPSIS'!$F$603,SMALL(IF(($B$33=EPSIS!$B$2:'EPSIS'!$B$603),MATCH(ROW(EPSIS!$B$2:'EPSIS'!$B$603), ROW(EPSIS!$B$2:'EPSIS'!$B$603)), ""), ROWS($A$1:A38))),"")</f>
        <v>44영흥#5</v>
      </c>
      <c r="C72" s="70">
        <f>IFERROR(INDEX(EPSIS!D$2:'EPSIS'!D$603,MATCH($B72,EPSIS!$F$2:'EPSIS'!$F$603,0)),"")</f>
        <v>870</v>
      </c>
      <c r="D72" s="16">
        <f>IFERROR(INDEX(EPSIS!E$2:'EPSIS'!E$603,MATCH($B72,EPSIS!$F$2:'EPSIS'!$F$603,0)),"")</f>
        <v>2014</v>
      </c>
      <c r="G72" s="53" t="b">
        <f t="shared" si="7"/>
        <v>1</v>
      </c>
      <c r="H72" s="53">
        <f t="shared" si="8"/>
        <v>2044</v>
      </c>
      <c r="L72" s="53" t="str">
        <f>IFERROR(INDEX(EPSIS!$B$2:'EPSIS'!$B$603,MATCH($M72,EPSIS!$F$2:'EPSIS'!$F$603,0)),"")</f>
        <v>LNG</v>
      </c>
      <c r="M72" s="53" t="str">
        <f t="array" ref="M72">IFERROR(INDEX(EPSIS!$F$2:'EPSIS'!$F$603,SMALL(IF(($M$3=EPSIS!$B$2:'EPSIS'!$B$603),MATCH(ROW(EPSIS!$B$2:'EPSIS'!$B$603), ROW(EPSIS!$B$2:'EPSIS'!$B$603)), ""), ROWS($A$1:A68))),"")</f>
        <v>254여주복합GT#2</v>
      </c>
      <c r="N72" s="70">
        <f>IFERROR(INDEX(EPSIS!D$2:'EPSIS'!D$603,MATCH($M72,EPSIS!$F$2:'EPSIS'!$F$603,0)),"")</f>
        <v>336.02199999999999</v>
      </c>
      <c r="O72" s="16">
        <f>IFERROR(INDEX(EPSIS!E$2:'EPSIS'!E$603,MATCH($M72,EPSIS!$F$2:'EPSIS'!$F$603,0)),"")</f>
        <v>2023</v>
      </c>
      <c r="R72" s="53" t="b">
        <f t="shared" si="9"/>
        <v>1</v>
      </c>
      <c r="S72" s="53">
        <f t="shared" si="10"/>
        <v>2053</v>
      </c>
    </row>
    <row r="73" spans="1:19">
      <c r="A73" s="53" t="str">
        <f>IFERROR(INDEX(EPSIS!$B$2:'EPSIS'!$B$603,MATCH($B73,EPSIS!$F$2:'EPSIS'!$F$603,0)),"")</f>
        <v>유연탄</v>
      </c>
      <c r="B73" s="53" t="str" cm="1">
        <f t="array" ref="B73">IFERROR(INDEX(EPSIS!$F$2:'EPSIS'!$F$603,SMALL(IF(($B$33=EPSIS!$B$2:'EPSIS'!$B$603),MATCH(ROW(EPSIS!$B$2:'EPSIS'!$B$603), ROW(EPSIS!$B$2:'EPSIS'!$B$603)), ""), ROWS($A$1:A39))),"")</f>
        <v>45영흥#6</v>
      </c>
      <c r="C73" s="70">
        <f>IFERROR(INDEX(EPSIS!D$2:'EPSIS'!D$603,MATCH($B73,EPSIS!$F$2:'EPSIS'!$F$603,0)),"")</f>
        <v>870</v>
      </c>
      <c r="D73" s="16">
        <f>IFERROR(INDEX(EPSIS!E$2:'EPSIS'!E$603,MATCH($B73,EPSIS!$F$2:'EPSIS'!$F$603,0)),"")</f>
        <v>2014</v>
      </c>
      <c r="G73" s="53" t="b">
        <f t="shared" si="7"/>
        <v>1</v>
      </c>
      <c r="H73" s="53">
        <f t="shared" si="8"/>
        <v>2044</v>
      </c>
      <c r="L73" s="53" t="str">
        <f>IFERROR(INDEX(EPSIS!$B$2:'EPSIS'!$B$603,MATCH($M73,EPSIS!$F$2:'EPSIS'!$F$603,0)),"")</f>
        <v>LNG</v>
      </c>
      <c r="M73" s="53" t="str">
        <f t="array" ref="M73">IFERROR(INDEX(EPSIS!$F$2:'EPSIS'!$F$603,SMALL(IF(($M$3=EPSIS!$B$2:'EPSIS'!$B$603),MATCH(ROW(EPSIS!$B$2:'EPSIS'!$B$603), ROW(EPSIS!$B$2:'EPSIS'!$B$603)), ""), ROWS($A$1:A69))),"")</f>
        <v>255여주복합ST</v>
      </c>
      <c r="N73" s="70">
        <f>IFERROR(INDEX(EPSIS!D$2:'EPSIS'!D$603,MATCH($M73,EPSIS!$F$2:'EPSIS'!$F$603,0)),"")</f>
        <v>353.35599999999999</v>
      </c>
      <c r="O73" s="16">
        <f>IFERROR(INDEX(EPSIS!E$2:'EPSIS'!E$603,MATCH($M73,EPSIS!$F$2:'EPSIS'!$F$603,0)),"")</f>
        <v>2023</v>
      </c>
      <c r="R73" s="53" t="b">
        <f t="shared" si="9"/>
        <v>1</v>
      </c>
      <c r="S73" s="53">
        <f t="shared" si="10"/>
        <v>2053</v>
      </c>
    </row>
    <row r="74" spans="1:19">
      <c r="A74" s="53" t="str">
        <f>IFERROR(INDEX(EPSIS!$B$2:'EPSIS'!$B$603,MATCH($B74,EPSIS!$F$2:'EPSIS'!$F$603,0)),"")</f>
        <v>유연탄</v>
      </c>
      <c r="B74" s="53" t="str" cm="1">
        <f t="array" ref="B74">IFERROR(INDEX(EPSIS!$F$2:'EPSIS'!$F$603,SMALL(IF(($B$33=EPSIS!$B$2:'EPSIS'!$B$603),MATCH(ROW(EPSIS!$B$2:'EPSIS'!$B$603), ROW(EPSIS!$B$2:'EPSIS'!$B$603)), ""), ROWS($A$1:A40))),"")</f>
        <v>51태안#1</v>
      </c>
      <c r="C74" s="70">
        <f>IFERROR(INDEX(EPSIS!D$2:'EPSIS'!D$603,MATCH($B74,EPSIS!$F$2:'EPSIS'!$F$603,0)),"")</f>
        <v>500</v>
      </c>
      <c r="D74" s="16">
        <f>IFERROR(INDEX(EPSIS!E$2:'EPSIS'!E$603,MATCH($B74,EPSIS!$F$2:'EPSIS'!$F$603,0)),"")</f>
        <v>1995</v>
      </c>
      <c r="G74" s="53" t="str">
        <f t="shared" si="7"/>
        <v>-</v>
      </c>
      <c r="H74" s="53" t="str">
        <f t="shared" si="8"/>
        <v>-</v>
      </c>
      <c r="L74" s="53" t="str">
        <f>IFERROR(INDEX(EPSIS!$B$2:'EPSIS'!$B$603,MATCH($M74,EPSIS!$F$2:'EPSIS'!$F$603,0)),"")</f>
        <v>LNG</v>
      </c>
      <c r="M74" s="53" t="str">
        <f t="array" ref="M74">IFERROR(INDEX(EPSIS!$F$2:'EPSIS'!$F$603,SMALL(IF(($M$3=EPSIS!$B$2:'EPSIS'!$B$603),MATCH(ROW(EPSIS!$B$2:'EPSIS'!$B$603), ROW(EPSIS!$B$2:'EPSIS'!$B$603)), ""), ROWS($A$1:A70))),"")</f>
        <v>256영남파워 GT</v>
      </c>
      <c r="N74" s="70">
        <f>IFERROR(INDEX(EPSIS!D$2:'EPSIS'!D$603,MATCH($M74,EPSIS!$F$2:'EPSIS'!$F$603,0)),"")</f>
        <v>292</v>
      </c>
      <c r="O74" s="16">
        <f>IFERROR(INDEX(EPSIS!E$2:'EPSIS'!E$603,MATCH($M74,EPSIS!$F$2:'EPSIS'!$F$603,0)),"")</f>
        <v>2017</v>
      </c>
      <c r="R74" s="53" t="b">
        <f t="shared" si="9"/>
        <v>1</v>
      </c>
      <c r="S74" s="53">
        <f t="shared" si="10"/>
        <v>2047</v>
      </c>
    </row>
    <row r="75" spans="1:19">
      <c r="A75" s="53" t="str">
        <f>IFERROR(INDEX(EPSIS!$B$2:'EPSIS'!$B$603,MATCH($B75,EPSIS!$F$2:'EPSIS'!$F$603,0)),"")</f>
        <v>유연탄</v>
      </c>
      <c r="B75" s="53" t="str" cm="1">
        <f t="array" ref="B75">IFERROR(INDEX(EPSIS!$F$2:'EPSIS'!$F$603,SMALL(IF(($B$33=EPSIS!$B$2:'EPSIS'!$B$603),MATCH(ROW(EPSIS!$B$2:'EPSIS'!$B$603), ROW(EPSIS!$B$2:'EPSIS'!$B$603)), ""), ROWS($A$1:A41))),"")</f>
        <v>52태안#10</v>
      </c>
      <c r="C75" s="70">
        <f>IFERROR(INDEX(EPSIS!D$2:'EPSIS'!D$603,MATCH($B75,EPSIS!$F$2:'EPSIS'!$F$603,0)),"")</f>
        <v>1050</v>
      </c>
      <c r="D75" s="16">
        <f>IFERROR(INDEX(EPSIS!E$2:'EPSIS'!E$603,MATCH($B75,EPSIS!$F$2:'EPSIS'!$F$603,0)),"")</f>
        <v>2017</v>
      </c>
      <c r="G75" s="53" t="b">
        <f t="shared" si="7"/>
        <v>1</v>
      </c>
      <c r="H75" s="53">
        <f t="shared" si="8"/>
        <v>2047</v>
      </c>
      <c r="L75" s="53" t="str">
        <f>IFERROR(INDEX(EPSIS!$B$2:'EPSIS'!$B$603,MATCH($M75,EPSIS!$F$2:'EPSIS'!$F$603,0)),"")</f>
        <v>LNG</v>
      </c>
      <c r="M75" s="53" t="str">
        <f t="array" ref="M75">IFERROR(INDEX(EPSIS!$F$2:'EPSIS'!$F$603,SMALL(IF(($M$3=EPSIS!$B$2:'EPSIS'!$B$603),MATCH(ROW(EPSIS!$B$2:'EPSIS'!$B$603), ROW(EPSIS!$B$2:'EPSIS'!$B$603)), ""), ROWS($A$1:A71))),"")</f>
        <v>257영남파워 ST</v>
      </c>
      <c r="N75" s="70">
        <f>IFERROR(INDEX(EPSIS!D$2:'EPSIS'!D$603,MATCH($M75,EPSIS!$F$2:'EPSIS'!$F$603,0)),"")</f>
        <v>150.80000000000001</v>
      </c>
      <c r="O75" s="16">
        <f>IFERROR(INDEX(EPSIS!E$2:'EPSIS'!E$603,MATCH($M75,EPSIS!$F$2:'EPSIS'!$F$603,0)),"")</f>
        <v>2017</v>
      </c>
      <c r="R75" s="53" t="b">
        <f t="shared" si="9"/>
        <v>1</v>
      </c>
      <c r="S75" s="53">
        <f t="shared" si="10"/>
        <v>2047</v>
      </c>
    </row>
    <row r="76" spans="1:19">
      <c r="A76" s="53" t="str">
        <f>IFERROR(INDEX(EPSIS!$B$2:'EPSIS'!$B$603,MATCH($B76,EPSIS!$F$2:'EPSIS'!$F$603,0)),"")</f>
        <v>유연탄</v>
      </c>
      <c r="B76" s="53" t="str" cm="1">
        <f t="array" ref="B76">IFERROR(INDEX(EPSIS!$F$2:'EPSIS'!$F$603,SMALL(IF(($B$33=EPSIS!$B$2:'EPSIS'!$B$603),MATCH(ROW(EPSIS!$B$2:'EPSIS'!$B$603), ROW(EPSIS!$B$2:'EPSIS'!$B$603)), ""), ROWS($A$1:A42))),"")</f>
        <v>53태안#2</v>
      </c>
      <c r="C76" s="70">
        <f>IFERROR(INDEX(EPSIS!D$2:'EPSIS'!D$603,MATCH($B76,EPSIS!$F$2:'EPSIS'!$F$603,0)),"")</f>
        <v>500</v>
      </c>
      <c r="D76" s="16">
        <f>IFERROR(INDEX(EPSIS!E$2:'EPSIS'!E$603,MATCH($B76,EPSIS!$F$2:'EPSIS'!$F$603,0)),"")</f>
        <v>1995</v>
      </c>
      <c r="G76" s="53" t="str">
        <f t="shared" si="7"/>
        <v>-</v>
      </c>
      <c r="H76" s="53" t="str">
        <f t="shared" si="8"/>
        <v>-</v>
      </c>
      <c r="L76" s="53" t="str">
        <f>IFERROR(INDEX(EPSIS!$B$2:'EPSIS'!$B$603,MATCH($M76,EPSIS!$F$2:'EPSIS'!$F$603,0)),"")</f>
        <v>LNG</v>
      </c>
      <c r="M76" s="53" t="str">
        <f t="array" ref="M76">IFERROR(INDEX(EPSIS!$F$2:'EPSIS'!$F$603,SMALL(IF(($M$3=EPSIS!$B$2:'EPSIS'!$B$603),MATCH(ROW(EPSIS!$B$2:'EPSIS'!$B$603), ROW(EPSIS!$B$2:'EPSIS'!$B$603)), ""), ROWS($A$1:A72))),"")</f>
        <v>258영월 GT</v>
      </c>
      <c r="N76" s="70">
        <f>IFERROR(INDEX(EPSIS!D$2:'EPSIS'!D$603,MATCH($M76,EPSIS!$F$2:'EPSIS'!$F$603,0)),"")</f>
        <v>549</v>
      </c>
      <c r="O76" s="16">
        <f>IFERROR(INDEX(EPSIS!E$2:'EPSIS'!E$603,MATCH($M76,EPSIS!$F$2:'EPSIS'!$F$603,0)),"")</f>
        <v>2010</v>
      </c>
      <c r="R76" s="53" t="b">
        <f t="shared" si="9"/>
        <v>1</v>
      </c>
      <c r="S76" s="53">
        <f t="shared" si="10"/>
        <v>2040</v>
      </c>
    </row>
    <row r="77" spans="1:19">
      <c r="A77" s="53" t="str">
        <f>IFERROR(INDEX(EPSIS!$B$2:'EPSIS'!$B$603,MATCH($B77,EPSIS!$F$2:'EPSIS'!$F$603,0)),"")</f>
        <v>유연탄</v>
      </c>
      <c r="B77" s="53" t="str" cm="1">
        <f t="array" ref="B77">IFERROR(INDEX(EPSIS!$F$2:'EPSIS'!$F$603,SMALL(IF(($B$33=EPSIS!$B$2:'EPSIS'!$B$603),MATCH(ROW(EPSIS!$B$2:'EPSIS'!$B$603), ROW(EPSIS!$B$2:'EPSIS'!$B$603)), ""), ROWS($A$1:A43))),"")</f>
        <v>54태안#3</v>
      </c>
      <c r="C77" s="70">
        <f>IFERROR(INDEX(EPSIS!D$2:'EPSIS'!D$603,MATCH($B77,EPSIS!$F$2:'EPSIS'!$F$603,0)),"")</f>
        <v>500</v>
      </c>
      <c r="D77" s="16">
        <f>IFERROR(INDEX(EPSIS!E$2:'EPSIS'!E$603,MATCH($B77,EPSIS!$F$2:'EPSIS'!$F$603,0)),"")</f>
        <v>1997</v>
      </c>
      <c r="G77" s="53" t="str">
        <f t="shared" si="7"/>
        <v>-</v>
      </c>
      <c r="H77" s="53" t="str">
        <f t="shared" si="8"/>
        <v>-</v>
      </c>
      <c r="L77" s="53" t="str">
        <f>IFERROR(INDEX(EPSIS!$B$2:'EPSIS'!$B$603,MATCH($M77,EPSIS!$F$2:'EPSIS'!$F$603,0)),"")</f>
        <v>LNG</v>
      </c>
      <c r="M77" s="53" t="str">
        <f t="array" ref="M77">IFERROR(INDEX(EPSIS!$F$2:'EPSIS'!$F$603,SMALL(IF(($M$3=EPSIS!$B$2:'EPSIS'!$B$603),MATCH(ROW(EPSIS!$B$2:'EPSIS'!$B$603), ROW(EPSIS!$B$2:'EPSIS'!$B$603)), ""), ROWS($A$1:A73))),"")</f>
        <v>259영월 ST</v>
      </c>
      <c r="N77" s="70">
        <f>IFERROR(INDEX(EPSIS!D$2:'EPSIS'!D$603,MATCH($M77,EPSIS!$F$2:'EPSIS'!$F$603,0)),"")</f>
        <v>299</v>
      </c>
      <c r="O77" s="16">
        <f>IFERROR(INDEX(EPSIS!E$2:'EPSIS'!E$603,MATCH($M77,EPSIS!$F$2:'EPSIS'!$F$603,0)),"")</f>
        <v>2010</v>
      </c>
      <c r="R77" s="53" t="b">
        <f t="shared" si="9"/>
        <v>1</v>
      </c>
      <c r="S77" s="53">
        <f t="shared" si="10"/>
        <v>2040</v>
      </c>
    </row>
    <row r="78" spans="1:19">
      <c r="A78" s="53" t="str">
        <f>IFERROR(INDEX(EPSIS!$B$2:'EPSIS'!$B$603,MATCH($B78,EPSIS!$F$2:'EPSIS'!$F$603,0)),"")</f>
        <v>유연탄</v>
      </c>
      <c r="B78" s="53" t="str" cm="1">
        <f t="array" ref="B78">IFERROR(INDEX(EPSIS!$F$2:'EPSIS'!$F$603,SMALL(IF(($B$33=EPSIS!$B$2:'EPSIS'!$B$603),MATCH(ROW(EPSIS!$B$2:'EPSIS'!$B$603), ROW(EPSIS!$B$2:'EPSIS'!$B$603)), ""), ROWS($A$1:A44))),"")</f>
        <v>55태안#4</v>
      </c>
      <c r="C78" s="70">
        <f>IFERROR(INDEX(EPSIS!D$2:'EPSIS'!D$603,MATCH($B78,EPSIS!$F$2:'EPSIS'!$F$603,0)),"")</f>
        <v>500</v>
      </c>
      <c r="D78" s="16">
        <f>IFERROR(INDEX(EPSIS!E$2:'EPSIS'!E$603,MATCH($B78,EPSIS!$F$2:'EPSIS'!$F$603,0)),"")</f>
        <v>1997</v>
      </c>
      <c r="G78" s="53" t="str">
        <f t="shared" si="7"/>
        <v>-</v>
      </c>
      <c r="H78" s="53" t="str">
        <f t="shared" si="8"/>
        <v>-</v>
      </c>
      <c r="L78" s="53" t="str">
        <f>IFERROR(INDEX(EPSIS!$B$2:'EPSIS'!$B$603,MATCH($M78,EPSIS!$F$2:'EPSIS'!$F$603,0)),"")</f>
        <v>LNG</v>
      </c>
      <c r="M78" s="53" t="str">
        <f t="array" ref="M78">IFERROR(INDEX(EPSIS!$F$2:'EPSIS'!$F$603,SMALL(IF(($M$3=EPSIS!$B$2:'EPSIS'!$B$603),MATCH(ROW(EPSIS!$B$2:'EPSIS'!$B$603), ROW(EPSIS!$B$2:'EPSIS'!$B$603)), ""), ROWS($A$1:A74))),"")</f>
        <v>260오성 GT</v>
      </c>
      <c r="N78" s="70">
        <f>IFERROR(INDEX(EPSIS!D$2:'EPSIS'!D$603,MATCH($M78,EPSIS!$F$2:'EPSIS'!$F$603,0)),"")</f>
        <v>497.04</v>
      </c>
      <c r="O78" s="16">
        <f>IFERROR(INDEX(EPSIS!E$2:'EPSIS'!E$603,MATCH($M78,EPSIS!$F$2:'EPSIS'!$F$603,0)),"")</f>
        <v>2013</v>
      </c>
      <c r="R78" s="53" t="b">
        <f t="shared" si="9"/>
        <v>1</v>
      </c>
      <c r="S78" s="53">
        <f t="shared" si="10"/>
        <v>2043</v>
      </c>
    </row>
    <row r="79" spans="1:19">
      <c r="A79" s="53" t="str">
        <f>IFERROR(INDEX(EPSIS!$B$2:'EPSIS'!$B$603,MATCH($B79,EPSIS!$F$2:'EPSIS'!$F$603,0)),"")</f>
        <v>유연탄</v>
      </c>
      <c r="B79" s="53" t="str" cm="1">
        <f t="array" ref="B79">IFERROR(INDEX(EPSIS!$F$2:'EPSIS'!$F$603,SMALL(IF(($B$33=EPSIS!$B$2:'EPSIS'!$B$603),MATCH(ROW(EPSIS!$B$2:'EPSIS'!$B$603), ROW(EPSIS!$B$2:'EPSIS'!$B$603)), ""), ROWS($A$1:A45))),"")</f>
        <v>56태안#5</v>
      </c>
      <c r="C79" s="70">
        <f>IFERROR(INDEX(EPSIS!D$2:'EPSIS'!D$603,MATCH($B79,EPSIS!$F$2:'EPSIS'!$F$603,0)),"")</f>
        <v>500</v>
      </c>
      <c r="D79" s="16">
        <f>IFERROR(INDEX(EPSIS!E$2:'EPSIS'!E$603,MATCH($B79,EPSIS!$F$2:'EPSIS'!$F$603,0)),"")</f>
        <v>2001</v>
      </c>
      <c r="G79" s="53" t="str">
        <f t="shared" si="7"/>
        <v>-</v>
      </c>
      <c r="H79" s="53" t="str">
        <f t="shared" si="8"/>
        <v>-</v>
      </c>
      <c r="L79" s="53" t="str">
        <f>IFERROR(INDEX(EPSIS!$B$2:'EPSIS'!$B$603,MATCH($M79,EPSIS!$F$2:'EPSIS'!$F$603,0)),"")</f>
        <v>LNG</v>
      </c>
      <c r="M79" s="53" t="str">
        <f t="array" ref="M79">IFERROR(INDEX(EPSIS!$F$2:'EPSIS'!$F$603,SMALL(IF(($M$3=EPSIS!$B$2:'EPSIS'!$B$603),MATCH(ROW(EPSIS!$B$2:'EPSIS'!$B$603), ROW(EPSIS!$B$2:'EPSIS'!$B$603)), ""), ROWS($A$1:A75))),"")</f>
        <v>261오성 ST</v>
      </c>
      <c r="N79" s="70">
        <f>IFERROR(INDEX(EPSIS!D$2:'EPSIS'!D$603,MATCH($M79,EPSIS!$F$2:'EPSIS'!$F$603,0)),"")</f>
        <v>272.79000000000002</v>
      </c>
      <c r="O79" s="16">
        <f>IFERROR(INDEX(EPSIS!E$2:'EPSIS'!E$603,MATCH($M79,EPSIS!$F$2:'EPSIS'!$F$603,0)),"")</f>
        <v>2013</v>
      </c>
      <c r="R79" s="53" t="b">
        <f t="shared" si="9"/>
        <v>1</v>
      </c>
      <c r="S79" s="53">
        <f t="shared" si="10"/>
        <v>2043</v>
      </c>
    </row>
    <row r="80" spans="1:19">
      <c r="A80" s="53" t="str">
        <f>IFERROR(INDEX(EPSIS!$B$2:'EPSIS'!$B$603,MATCH($B80,EPSIS!$F$2:'EPSIS'!$F$603,0)),"")</f>
        <v>유연탄</v>
      </c>
      <c r="B80" s="53" t="str" cm="1">
        <f t="array" ref="B80">IFERROR(INDEX(EPSIS!$F$2:'EPSIS'!$F$603,SMALL(IF(($B$33=EPSIS!$B$2:'EPSIS'!$B$603),MATCH(ROW(EPSIS!$B$2:'EPSIS'!$B$603), ROW(EPSIS!$B$2:'EPSIS'!$B$603)), ""), ROWS($A$1:A46))),"")</f>
        <v>57태안#6</v>
      </c>
      <c r="C80" s="70">
        <f>IFERROR(INDEX(EPSIS!D$2:'EPSIS'!D$603,MATCH($B80,EPSIS!$F$2:'EPSIS'!$F$603,0)),"")</f>
        <v>500</v>
      </c>
      <c r="D80" s="16">
        <f>IFERROR(INDEX(EPSIS!E$2:'EPSIS'!E$603,MATCH($B80,EPSIS!$F$2:'EPSIS'!$F$603,0)),"")</f>
        <v>2002</v>
      </c>
      <c r="G80" s="53" t="str">
        <f t="shared" si="7"/>
        <v>-</v>
      </c>
      <c r="H80" s="53" t="str">
        <f t="shared" si="8"/>
        <v>-</v>
      </c>
      <c r="L80" s="53" t="str">
        <f>IFERROR(INDEX(EPSIS!$B$2:'EPSIS'!$B$603,MATCH($M80,EPSIS!$F$2:'EPSIS'!$F$603,0)),"")</f>
        <v>LNG</v>
      </c>
      <c r="M80" s="53" t="str">
        <f t="array" ref="M80">IFERROR(INDEX(EPSIS!$F$2:'EPSIS'!$F$603,SMALL(IF(($M$3=EPSIS!$B$2:'EPSIS'!$B$603),MATCH(ROW(EPSIS!$B$2:'EPSIS'!$B$603), ROW(EPSIS!$B$2:'EPSIS'!$B$603)), ""), ROWS($A$1:A76))),"")</f>
        <v>262울산#1 GT</v>
      </c>
      <c r="N80" s="70">
        <f>IFERROR(INDEX(EPSIS!D$2:'EPSIS'!D$603,MATCH($M80,EPSIS!$F$2:'EPSIS'!$F$603,0)),"")</f>
        <v>200</v>
      </c>
      <c r="O80" s="16">
        <f>IFERROR(INDEX(EPSIS!E$2:'EPSIS'!E$603,MATCH($M80,EPSIS!$F$2:'EPSIS'!$F$603,0)),"")</f>
        <v>1995</v>
      </c>
      <c r="R80" s="53" t="str">
        <f t="shared" si="9"/>
        <v>-</v>
      </c>
      <c r="S80" s="53" t="str">
        <f t="shared" si="10"/>
        <v>-</v>
      </c>
    </row>
    <row r="81" spans="1:19">
      <c r="A81" s="53" t="str">
        <f>IFERROR(INDEX(EPSIS!$B$2:'EPSIS'!$B$603,MATCH($B81,EPSIS!$F$2:'EPSIS'!$F$603,0)),"")</f>
        <v>유연탄</v>
      </c>
      <c r="B81" s="53" t="str" cm="1">
        <f t="array" ref="B81">IFERROR(INDEX(EPSIS!$F$2:'EPSIS'!$F$603,SMALL(IF(($B$33=EPSIS!$B$2:'EPSIS'!$B$603),MATCH(ROW(EPSIS!$B$2:'EPSIS'!$B$603), ROW(EPSIS!$B$2:'EPSIS'!$B$603)), ""), ROWS($A$1:A47))),"")</f>
        <v>58태안#7</v>
      </c>
      <c r="C81" s="70">
        <f>IFERROR(INDEX(EPSIS!D$2:'EPSIS'!D$603,MATCH($B81,EPSIS!$F$2:'EPSIS'!$F$603,0)),"")</f>
        <v>500</v>
      </c>
      <c r="D81" s="16">
        <f>IFERROR(INDEX(EPSIS!E$2:'EPSIS'!E$603,MATCH($B81,EPSIS!$F$2:'EPSIS'!$F$603,0)),"")</f>
        <v>2007</v>
      </c>
      <c r="G81" s="53" t="b">
        <f t="shared" si="7"/>
        <v>1</v>
      </c>
      <c r="H81" s="53">
        <f t="shared" si="8"/>
        <v>2037</v>
      </c>
      <c r="L81" s="53" t="str">
        <f>IFERROR(INDEX(EPSIS!$B$2:'EPSIS'!$B$603,MATCH($M81,EPSIS!$F$2:'EPSIS'!$F$603,0)),"")</f>
        <v>LNG</v>
      </c>
      <c r="M81" s="53" t="str">
        <f t="array" ref="M81">IFERROR(INDEX(EPSIS!$F$2:'EPSIS'!$F$603,SMALL(IF(($M$3=EPSIS!$B$2:'EPSIS'!$B$603),MATCH(ROW(EPSIS!$B$2:'EPSIS'!$B$603), ROW(EPSIS!$B$2:'EPSIS'!$B$603)), ""), ROWS($A$1:A77))),"")</f>
        <v>263울산#1 ST</v>
      </c>
      <c r="N81" s="70">
        <f>IFERROR(INDEX(EPSIS!D$2:'EPSIS'!D$603,MATCH($M81,EPSIS!$F$2:'EPSIS'!$F$603,0)),"")</f>
        <v>100</v>
      </c>
      <c r="O81" s="16">
        <f>IFERROR(INDEX(EPSIS!E$2:'EPSIS'!E$603,MATCH($M81,EPSIS!$F$2:'EPSIS'!$F$603,0)),"")</f>
        <v>1979</v>
      </c>
      <c r="R81" s="53" t="str">
        <f t="shared" si="9"/>
        <v>-</v>
      </c>
      <c r="S81" s="53" t="str">
        <f t="shared" si="10"/>
        <v>-</v>
      </c>
    </row>
    <row r="82" spans="1:19">
      <c r="A82" s="53" t="str">
        <f>IFERROR(INDEX(EPSIS!$B$2:'EPSIS'!$B$603,MATCH($B82,EPSIS!$F$2:'EPSIS'!$F$603,0)),"")</f>
        <v>유연탄</v>
      </c>
      <c r="B82" s="53" t="str" cm="1">
        <f t="array" ref="B82">IFERROR(INDEX(EPSIS!$F$2:'EPSIS'!$F$603,SMALL(IF(($B$33=EPSIS!$B$2:'EPSIS'!$B$603),MATCH(ROW(EPSIS!$B$2:'EPSIS'!$B$603), ROW(EPSIS!$B$2:'EPSIS'!$B$603)), ""), ROWS($A$1:A48))),"")</f>
        <v>59태안#8</v>
      </c>
      <c r="C82" s="70">
        <f>IFERROR(INDEX(EPSIS!D$2:'EPSIS'!D$603,MATCH($B82,EPSIS!$F$2:'EPSIS'!$F$603,0)),"")</f>
        <v>500</v>
      </c>
      <c r="D82" s="16">
        <f>IFERROR(INDEX(EPSIS!E$2:'EPSIS'!E$603,MATCH($B82,EPSIS!$F$2:'EPSIS'!$F$603,0)),"")</f>
        <v>2007</v>
      </c>
      <c r="G82" s="53" t="b">
        <f t="shared" si="7"/>
        <v>1</v>
      </c>
      <c r="H82" s="53">
        <f t="shared" si="8"/>
        <v>2037</v>
      </c>
      <c r="L82" s="53" t="str">
        <f>IFERROR(INDEX(EPSIS!$B$2:'EPSIS'!$B$603,MATCH($M82,EPSIS!$F$2:'EPSIS'!$F$603,0)),"")</f>
        <v>LNG</v>
      </c>
      <c r="M82" s="53" t="str">
        <f t="array" ref="M82">IFERROR(INDEX(EPSIS!$F$2:'EPSIS'!$F$603,SMALL(IF(($M$3=EPSIS!$B$2:'EPSIS'!$B$603),MATCH(ROW(EPSIS!$B$2:'EPSIS'!$B$603), ROW(EPSIS!$B$2:'EPSIS'!$B$603)), ""), ROWS($A$1:A78))),"")</f>
        <v>264울산#1 ST</v>
      </c>
      <c r="N82" s="70">
        <f>IFERROR(INDEX(EPSIS!D$2:'EPSIS'!D$603,MATCH($M82,EPSIS!$F$2:'EPSIS'!$F$603,0)),"")</f>
        <v>0</v>
      </c>
      <c r="O82" s="16">
        <f>IFERROR(INDEX(EPSIS!E$2:'EPSIS'!E$603,MATCH($M82,EPSIS!$F$2:'EPSIS'!$F$603,0)),"")</f>
        <v>1987</v>
      </c>
      <c r="R82" s="53" t="str">
        <f t="shared" si="9"/>
        <v>-</v>
      </c>
      <c r="S82" s="53" t="str">
        <f t="shared" si="10"/>
        <v>-</v>
      </c>
    </row>
    <row r="83" spans="1:19">
      <c r="A83" s="53" t="str">
        <f>IFERROR(INDEX(EPSIS!$B$2:'EPSIS'!$B$603,MATCH($B83,EPSIS!$F$2:'EPSIS'!$F$603,0)),"")</f>
        <v>유연탄</v>
      </c>
      <c r="B83" s="53" t="str" cm="1">
        <f t="array" ref="B83">IFERROR(INDEX(EPSIS!$F$2:'EPSIS'!$F$603,SMALL(IF(($B$33=EPSIS!$B$2:'EPSIS'!$B$603),MATCH(ROW(EPSIS!$B$2:'EPSIS'!$B$603), ROW(EPSIS!$B$2:'EPSIS'!$B$603)), ""), ROWS($A$1:A49))),"")</f>
        <v>60태안#9</v>
      </c>
      <c r="C83" s="70">
        <f>IFERROR(INDEX(EPSIS!D$2:'EPSIS'!D$603,MATCH($B83,EPSIS!$F$2:'EPSIS'!$F$603,0)),"")</f>
        <v>1050</v>
      </c>
      <c r="D83" s="16">
        <f>IFERROR(INDEX(EPSIS!E$2:'EPSIS'!E$603,MATCH($B83,EPSIS!$F$2:'EPSIS'!$F$603,0)),"")</f>
        <v>2016</v>
      </c>
      <c r="G83" s="53" t="b">
        <f t="shared" si="7"/>
        <v>1</v>
      </c>
      <c r="H83" s="53">
        <f t="shared" si="8"/>
        <v>2046</v>
      </c>
      <c r="L83" s="53" t="str">
        <f>IFERROR(INDEX(EPSIS!$B$2:'EPSIS'!$B$603,MATCH($M83,EPSIS!$F$2:'EPSIS'!$F$603,0)),"")</f>
        <v>LNG</v>
      </c>
      <c r="M83" s="53" t="str">
        <f t="array" ref="M83">IFERROR(INDEX(EPSIS!$F$2:'EPSIS'!$F$603,SMALL(IF(($M$3=EPSIS!$B$2:'EPSIS'!$B$603),MATCH(ROW(EPSIS!$B$2:'EPSIS'!$B$603), ROW(EPSIS!$B$2:'EPSIS'!$B$603)), ""), ROWS($A$1:A79))),"")</f>
        <v>265울산#2 GT</v>
      </c>
      <c r="N83" s="70">
        <f>IFERROR(INDEX(EPSIS!D$2:'EPSIS'!D$603,MATCH($M83,EPSIS!$F$2:'EPSIS'!$F$603,0)),"")</f>
        <v>300</v>
      </c>
      <c r="O83" s="16">
        <f>IFERROR(INDEX(EPSIS!E$2:'EPSIS'!E$603,MATCH($M83,EPSIS!$F$2:'EPSIS'!$F$603,0)),"")</f>
        <v>1996</v>
      </c>
      <c r="R83" s="53" t="str">
        <f t="shared" si="9"/>
        <v>-</v>
      </c>
      <c r="S83" s="53" t="str">
        <f t="shared" si="10"/>
        <v>-</v>
      </c>
    </row>
    <row r="84" spans="1:19">
      <c r="A84" s="53" t="str">
        <f>IFERROR(INDEX(EPSIS!$B$2:'EPSIS'!$B$603,MATCH($B84,EPSIS!$F$2:'EPSIS'!$F$603,0)),"")</f>
        <v>유연탄</v>
      </c>
      <c r="B84" s="53" t="str" cm="1">
        <f t="array" ref="B84">IFERROR(INDEX(EPSIS!$F$2:'EPSIS'!$F$603,SMALL(IF(($B$33=EPSIS!$B$2:'EPSIS'!$B$603),MATCH(ROW(EPSIS!$B$2:'EPSIS'!$B$603), ROW(EPSIS!$B$2:'EPSIS'!$B$603)), ""), ROWS($A$1:A50))),"")</f>
        <v>65하동#1</v>
      </c>
      <c r="C84" s="70">
        <f>IFERROR(INDEX(EPSIS!D$2:'EPSIS'!D$603,MATCH($B84,EPSIS!$F$2:'EPSIS'!$F$603,0)),"")</f>
        <v>500</v>
      </c>
      <c r="D84" s="16">
        <f>IFERROR(INDEX(EPSIS!E$2:'EPSIS'!E$603,MATCH($B84,EPSIS!$F$2:'EPSIS'!$F$603,0)),"")</f>
        <v>1997</v>
      </c>
      <c r="G84" s="53" t="str">
        <f t="shared" ref="G84:G118" si="11">IF(D84&gt;$F$2,TRUE,"-")</f>
        <v>-</v>
      </c>
      <c r="H84" s="53" t="str">
        <f t="shared" ref="H84:H118" si="12">IF(G84=TRUE,D84+30,"-")</f>
        <v>-</v>
      </c>
      <c r="L84" s="53" t="str">
        <f>IFERROR(INDEX(EPSIS!$B$2:'EPSIS'!$B$603,MATCH($M84,EPSIS!$F$2:'EPSIS'!$F$603,0)),"")</f>
        <v>LNG</v>
      </c>
      <c r="M84" s="53" t="str">
        <f t="array" ref="M84">IFERROR(INDEX(EPSIS!$F$2:'EPSIS'!$F$603,SMALL(IF(($M$3=EPSIS!$B$2:'EPSIS'!$B$603),MATCH(ROW(EPSIS!$B$2:'EPSIS'!$B$603), ROW(EPSIS!$B$2:'EPSIS'!$B$603)), ""), ROWS($A$1:A80))),"")</f>
        <v>266울산#2 ST</v>
      </c>
      <c r="N84" s="70">
        <f>IFERROR(INDEX(EPSIS!D$2:'EPSIS'!D$603,MATCH($M84,EPSIS!$F$2:'EPSIS'!$F$603,0)),"")</f>
        <v>150</v>
      </c>
      <c r="O84" s="16">
        <f>IFERROR(INDEX(EPSIS!E$2:'EPSIS'!E$603,MATCH($M84,EPSIS!$F$2:'EPSIS'!$F$603,0)),"")</f>
        <v>1997</v>
      </c>
      <c r="R84" s="53" t="str">
        <f t="shared" si="9"/>
        <v>-</v>
      </c>
      <c r="S84" s="53" t="str">
        <f t="shared" si="10"/>
        <v>-</v>
      </c>
    </row>
    <row r="85" spans="1:19">
      <c r="A85" s="53" t="str">
        <f>IFERROR(INDEX(EPSIS!$B$2:'EPSIS'!$B$603,MATCH($B85,EPSIS!$F$2:'EPSIS'!$F$603,0)),"")</f>
        <v>유연탄</v>
      </c>
      <c r="B85" s="53" t="str" cm="1">
        <f t="array" ref="B85">IFERROR(INDEX(EPSIS!$F$2:'EPSIS'!$F$603,SMALL(IF(($B$33=EPSIS!$B$2:'EPSIS'!$B$603),MATCH(ROW(EPSIS!$B$2:'EPSIS'!$B$603), ROW(EPSIS!$B$2:'EPSIS'!$B$603)), ""), ROWS($A$1:A51))),"")</f>
        <v>66하동#2</v>
      </c>
      <c r="C85" s="70">
        <f>IFERROR(INDEX(EPSIS!D$2:'EPSIS'!D$603,MATCH($B85,EPSIS!$F$2:'EPSIS'!$F$603,0)),"")</f>
        <v>500</v>
      </c>
      <c r="D85" s="16">
        <f>IFERROR(INDEX(EPSIS!E$2:'EPSIS'!E$603,MATCH($B85,EPSIS!$F$2:'EPSIS'!$F$603,0)),"")</f>
        <v>1997</v>
      </c>
      <c r="G85" s="53" t="str">
        <f t="shared" si="11"/>
        <v>-</v>
      </c>
      <c r="H85" s="53" t="str">
        <f t="shared" si="12"/>
        <v>-</v>
      </c>
      <c r="L85" s="53" t="str">
        <f>IFERROR(INDEX(EPSIS!$B$2:'EPSIS'!$B$603,MATCH($M85,EPSIS!$F$2:'EPSIS'!$F$603,0)),"")</f>
        <v>LNG</v>
      </c>
      <c r="M85" s="53" t="str">
        <f t="array" ref="M85">IFERROR(INDEX(EPSIS!$F$2:'EPSIS'!$F$603,SMALL(IF(($M$3=EPSIS!$B$2:'EPSIS'!$B$603),MATCH(ROW(EPSIS!$B$2:'EPSIS'!$B$603), ROW(EPSIS!$B$2:'EPSIS'!$B$603)), ""), ROWS($A$1:A81))),"")</f>
        <v>267울산#3 GT</v>
      </c>
      <c r="N85" s="70">
        <f>IFERROR(INDEX(EPSIS!D$2:'EPSIS'!D$603,MATCH($M85,EPSIS!$F$2:'EPSIS'!$F$603,0)),"")</f>
        <v>300</v>
      </c>
      <c r="O85" s="16">
        <f>IFERROR(INDEX(EPSIS!E$2:'EPSIS'!E$603,MATCH($M85,EPSIS!$F$2:'EPSIS'!$F$603,0)),"")</f>
        <v>1996</v>
      </c>
      <c r="R85" s="53" t="str">
        <f t="shared" si="9"/>
        <v>-</v>
      </c>
      <c r="S85" s="53" t="str">
        <f t="shared" si="10"/>
        <v>-</v>
      </c>
    </row>
    <row r="86" spans="1:19">
      <c r="A86" s="53" t="str">
        <f>IFERROR(INDEX(EPSIS!$B$2:'EPSIS'!$B$603,MATCH($B86,EPSIS!$F$2:'EPSIS'!$F$603,0)),"")</f>
        <v>유연탄</v>
      </c>
      <c r="B86" s="53" t="str" cm="1">
        <f t="array" ref="B86">IFERROR(INDEX(EPSIS!$F$2:'EPSIS'!$F$603,SMALL(IF(($B$33=EPSIS!$B$2:'EPSIS'!$B$603),MATCH(ROW(EPSIS!$B$2:'EPSIS'!$B$603), ROW(EPSIS!$B$2:'EPSIS'!$B$603)), ""), ROWS($A$1:A52))),"")</f>
        <v>67하동#3</v>
      </c>
      <c r="C86" s="70">
        <f>IFERROR(INDEX(EPSIS!D$2:'EPSIS'!D$603,MATCH($B86,EPSIS!$F$2:'EPSIS'!$F$603,0)),"")</f>
        <v>500</v>
      </c>
      <c r="D86" s="16">
        <f>IFERROR(INDEX(EPSIS!E$2:'EPSIS'!E$603,MATCH($B86,EPSIS!$F$2:'EPSIS'!$F$603,0)),"")</f>
        <v>1998</v>
      </c>
      <c r="G86" s="53" t="str">
        <f t="shared" si="11"/>
        <v>-</v>
      </c>
      <c r="H86" s="53" t="str">
        <f t="shared" si="12"/>
        <v>-</v>
      </c>
      <c r="L86" s="53" t="str">
        <f>IFERROR(INDEX(EPSIS!$B$2:'EPSIS'!$B$603,MATCH($M86,EPSIS!$F$2:'EPSIS'!$F$603,0)),"")</f>
        <v>LNG</v>
      </c>
      <c r="M86" s="53" t="str">
        <f t="array" ref="M86">IFERROR(INDEX(EPSIS!$F$2:'EPSIS'!$F$603,SMALL(IF(($M$3=EPSIS!$B$2:'EPSIS'!$B$603),MATCH(ROW(EPSIS!$B$2:'EPSIS'!$B$603), ROW(EPSIS!$B$2:'EPSIS'!$B$603)), ""), ROWS($A$1:A82))),"")</f>
        <v>268울산#3 ST</v>
      </c>
      <c r="N86" s="70">
        <f>IFERROR(INDEX(EPSIS!D$2:'EPSIS'!D$603,MATCH($M86,EPSIS!$F$2:'EPSIS'!$F$603,0)),"")</f>
        <v>150</v>
      </c>
      <c r="O86" s="16">
        <f>IFERROR(INDEX(EPSIS!E$2:'EPSIS'!E$603,MATCH($M86,EPSIS!$F$2:'EPSIS'!$F$603,0)),"")</f>
        <v>1997</v>
      </c>
      <c r="R86" s="53" t="str">
        <f t="shared" si="9"/>
        <v>-</v>
      </c>
      <c r="S86" s="53" t="str">
        <f t="shared" si="10"/>
        <v>-</v>
      </c>
    </row>
    <row r="87" spans="1:19">
      <c r="A87" s="53" t="str">
        <f>IFERROR(INDEX(EPSIS!$B$2:'EPSIS'!$B$603,MATCH($B87,EPSIS!$F$2:'EPSIS'!$F$603,0)),"")</f>
        <v>유연탄</v>
      </c>
      <c r="B87" s="53" t="str" cm="1">
        <f t="array" ref="B87">IFERROR(INDEX(EPSIS!$F$2:'EPSIS'!$F$603,SMALL(IF(($B$33=EPSIS!$B$2:'EPSIS'!$B$603),MATCH(ROW(EPSIS!$B$2:'EPSIS'!$B$603), ROW(EPSIS!$B$2:'EPSIS'!$B$603)), ""), ROWS($A$1:A53))),"")</f>
        <v>68하동#4</v>
      </c>
      <c r="C87" s="70">
        <f>IFERROR(INDEX(EPSIS!D$2:'EPSIS'!D$603,MATCH($B87,EPSIS!$F$2:'EPSIS'!$F$603,0)),"")</f>
        <v>500</v>
      </c>
      <c r="D87" s="16">
        <f>IFERROR(INDEX(EPSIS!E$2:'EPSIS'!E$603,MATCH($B87,EPSIS!$F$2:'EPSIS'!$F$603,0)),"")</f>
        <v>1999</v>
      </c>
      <c r="G87" s="53" t="str">
        <f t="shared" si="11"/>
        <v>-</v>
      </c>
      <c r="H87" s="53" t="str">
        <f t="shared" si="12"/>
        <v>-</v>
      </c>
      <c r="L87" s="53" t="str">
        <f>IFERROR(INDEX(EPSIS!$B$2:'EPSIS'!$B$603,MATCH($M87,EPSIS!$F$2:'EPSIS'!$F$603,0)),"")</f>
        <v>LNG</v>
      </c>
      <c r="M87" s="53" t="str">
        <f t="array" ref="M87">IFERROR(INDEX(EPSIS!$F$2:'EPSIS'!$F$603,SMALL(IF(($M$3=EPSIS!$B$2:'EPSIS'!$B$603),MATCH(ROW(EPSIS!$B$2:'EPSIS'!$B$603), ROW(EPSIS!$B$2:'EPSIS'!$B$603)), ""), ROWS($A$1:A83))),"")</f>
        <v>269울산#4 GT</v>
      </c>
      <c r="N87" s="70">
        <f>IFERROR(INDEX(EPSIS!D$2:'EPSIS'!D$603,MATCH($M87,EPSIS!$F$2:'EPSIS'!$F$603,0)),"")</f>
        <v>573.20000000000005</v>
      </c>
      <c r="O87" s="16">
        <f>IFERROR(INDEX(EPSIS!E$2:'EPSIS'!E$603,MATCH($M87,EPSIS!$F$2:'EPSIS'!$F$603,0)),"")</f>
        <v>2013</v>
      </c>
      <c r="R87" s="53" t="b">
        <f t="shared" si="9"/>
        <v>1</v>
      </c>
      <c r="S87" s="53">
        <f t="shared" si="10"/>
        <v>2043</v>
      </c>
    </row>
    <row r="88" spans="1:19">
      <c r="A88" s="53" t="str">
        <f>IFERROR(INDEX(EPSIS!$B$2:'EPSIS'!$B$603,MATCH($B88,EPSIS!$F$2:'EPSIS'!$F$603,0)),"")</f>
        <v>유연탄</v>
      </c>
      <c r="B88" s="53" t="str" cm="1">
        <f t="array" ref="B88">IFERROR(INDEX(EPSIS!$F$2:'EPSIS'!$F$603,SMALL(IF(($B$33=EPSIS!$B$2:'EPSIS'!$B$603),MATCH(ROW(EPSIS!$B$2:'EPSIS'!$B$603), ROW(EPSIS!$B$2:'EPSIS'!$B$603)), ""), ROWS($A$1:A54))),"")</f>
        <v>69하동#5</v>
      </c>
      <c r="C88" s="70">
        <f>IFERROR(INDEX(EPSIS!D$2:'EPSIS'!D$603,MATCH($B88,EPSIS!$F$2:'EPSIS'!$F$603,0)),"")</f>
        <v>500</v>
      </c>
      <c r="D88" s="16">
        <f>IFERROR(INDEX(EPSIS!E$2:'EPSIS'!E$603,MATCH($B88,EPSIS!$F$2:'EPSIS'!$F$603,0)),"")</f>
        <v>2000</v>
      </c>
      <c r="G88" s="53" t="str">
        <f t="shared" si="11"/>
        <v>-</v>
      </c>
      <c r="H88" s="53" t="str">
        <f t="shared" si="12"/>
        <v>-</v>
      </c>
      <c r="L88" s="53" t="str">
        <f>IFERROR(INDEX(EPSIS!$B$2:'EPSIS'!$B$603,MATCH($M88,EPSIS!$F$2:'EPSIS'!$F$603,0)),"")</f>
        <v>LNG</v>
      </c>
      <c r="M88" s="53" t="str">
        <f t="array" ref="M88">IFERROR(INDEX(EPSIS!$F$2:'EPSIS'!$F$603,SMALL(IF(($M$3=EPSIS!$B$2:'EPSIS'!$B$603),MATCH(ROW(EPSIS!$B$2:'EPSIS'!$B$603), ROW(EPSIS!$B$2:'EPSIS'!$B$603)), ""), ROWS($A$1:A84))),"")</f>
        <v>270울산#4 ST</v>
      </c>
      <c r="N88" s="70">
        <f>IFERROR(INDEX(EPSIS!D$2:'EPSIS'!D$603,MATCH($M88,EPSIS!$F$2:'EPSIS'!$F$603,0)),"")</f>
        <v>298.7</v>
      </c>
      <c r="O88" s="16">
        <f>IFERROR(INDEX(EPSIS!E$2:'EPSIS'!E$603,MATCH($M88,EPSIS!$F$2:'EPSIS'!$F$603,0)),"")</f>
        <v>2014</v>
      </c>
      <c r="R88" s="53" t="b">
        <f t="shared" si="9"/>
        <v>1</v>
      </c>
      <c r="S88" s="53">
        <f t="shared" si="10"/>
        <v>2044</v>
      </c>
    </row>
    <row r="89" spans="1:19">
      <c r="A89" s="53" t="str">
        <f>IFERROR(INDEX(EPSIS!$B$2:'EPSIS'!$B$603,MATCH($B89,EPSIS!$F$2:'EPSIS'!$F$603,0)),"")</f>
        <v>유연탄</v>
      </c>
      <c r="B89" s="53" t="str" cm="1">
        <f t="array" ref="B89">IFERROR(INDEX(EPSIS!$F$2:'EPSIS'!$F$603,SMALL(IF(($B$33=EPSIS!$B$2:'EPSIS'!$B$603),MATCH(ROW(EPSIS!$B$2:'EPSIS'!$B$603), ROW(EPSIS!$B$2:'EPSIS'!$B$603)), ""), ROWS($A$1:A55))),"")</f>
        <v>70하동#6</v>
      </c>
      <c r="C89" s="70">
        <f>IFERROR(INDEX(EPSIS!D$2:'EPSIS'!D$603,MATCH($B89,EPSIS!$F$2:'EPSIS'!$F$603,0)),"")</f>
        <v>500</v>
      </c>
      <c r="D89" s="16">
        <f>IFERROR(INDEX(EPSIS!E$2:'EPSIS'!E$603,MATCH($B89,EPSIS!$F$2:'EPSIS'!$F$603,0)),"")</f>
        <v>2001</v>
      </c>
      <c r="G89" s="53" t="str">
        <f t="shared" si="11"/>
        <v>-</v>
      </c>
      <c r="H89" s="53" t="str">
        <f t="shared" si="12"/>
        <v>-</v>
      </c>
      <c r="L89" s="53" t="str">
        <f>IFERROR(INDEX(EPSIS!$B$2:'EPSIS'!$B$603,MATCH($M89,EPSIS!$F$2:'EPSIS'!$F$603,0)),"")</f>
        <v>LNG</v>
      </c>
      <c r="M89" s="53" t="str">
        <f t="array" ref="M89">IFERROR(INDEX(EPSIS!$F$2:'EPSIS'!$F$603,SMALL(IF(($M$3=EPSIS!$B$2:'EPSIS'!$B$603),MATCH(ROW(EPSIS!$B$2:'EPSIS'!$B$603), ROW(EPSIS!$B$2:'EPSIS'!$B$603)), ""), ROWS($A$1:A85))),"")</f>
        <v>271율촌#1 GT</v>
      </c>
      <c r="N89" s="70">
        <f>IFERROR(INDEX(EPSIS!D$2:'EPSIS'!D$603,MATCH($M89,EPSIS!$F$2:'EPSIS'!$F$603,0)),"")</f>
        <v>327.60000000000002</v>
      </c>
      <c r="O89" s="16">
        <f>IFERROR(INDEX(EPSIS!E$2:'EPSIS'!E$603,MATCH($M89,EPSIS!$F$2:'EPSIS'!$F$603,0)),"")</f>
        <v>2004</v>
      </c>
      <c r="R89" s="53" t="str">
        <f t="shared" si="9"/>
        <v>-</v>
      </c>
      <c r="S89" s="53" t="str">
        <f t="shared" si="10"/>
        <v>-</v>
      </c>
    </row>
    <row r="90" spans="1:19">
      <c r="A90" s="53" t="str">
        <f>IFERROR(INDEX(EPSIS!$B$2:'EPSIS'!$B$603,MATCH($B90,EPSIS!$F$2:'EPSIS'!$F$603,0)),"")</f>
        <v>유연탄</v>
      </c>
      <c r="B90" s="53" t="str" cm="1">
        <f t="array" ref="B90">IFERROR(INDEX(EPSIS!$F$2:'EPSIS'!$F$603,SMALL(IF(($B$33=EPSIS!$B$2:'EPSIS'!$B$603),MATCH(ROW(EPSIS!$B$2:'EPSIS'!$B$603), ROW(EPSIS!$B$2:'EPSIS'!$B$603)), ""), ROWS($A$1:A56))),"")</f>
        <v>71하동#7</v>
      </c>
      <c r="C90" s="70">
        <f>IFERROR(INDEX(EPSIS!D$2:'EPSIS'!D$603,MATCH($B90,EPSIS!$F$2:'EPSIS'!$F$603,0)),"")</f>
        <v>500</v>
      </c>
      <c r="D90" s="16">
        <f>IFERROR(INDEX(EPSIS!E$2:'EPSIS'!E$603,MATCH($B90,EPSIS!$F$2:'EPSIS'!$F$603,0)),"")</f>
        <v>2008</v>
      </c>
      <c r="G90" s="53" t="b">
        <f t="shared" si="11"/>
        <v>1</v>
      </c>
      <c r="H90" s="53">
        <f t="shared" si="12"/>
        <v>2038</v>
      </c>
      <c r="L90" s="53" t="str">
        <f>IFERROR(INDEX(EPSIS!$B$2:'EPSIS'!$B$603,MATCH($M90,EPSIS!$F$2:'EPSIS'!$F$603,0)),"")</f>
        <v>LNG</v>
      </c>
      <c r="M90" s="53" t="str">
        <f t="array" ref="M90">IFERROR(INDEX(EPSIS!$F$2:'EPSIS'!$F$603,SMALL(IF(($M$3=EPSIS!$B$2:'EPSIS'!$B$603),MATCH(ROW(EPSIS!$B$2:'EPSIS'!$B$603), ROW(EPSIS!$B$2:'EPSIS'!$B$603)), ""), ROWS($A$1:A86))),"")</f>
        <v>272율촌#1 ST</v>
      </c>
      <c r="N90" s="70">
        <f>IFERROR(INDEX(EPSIS!D$2:'EPSIS'!D$603,MATCH($M90,EPSIS!$F$2:'EPSIS'!$F$603,0)),"")</f>
        <v>197.9</v>
      </c>
      <c r="O90" s="16">
        <f>IFERROR(INDEX(EPSIS!E$2:'EPSIS'!E$603,MATCH($M90,EPSIS!$F$2:'EPSIS'!$F$603,0)),"")</f>
        <v>2005</v>
      </c>
      <c r="R90" s="53" t="b">
        <f t="shared" si="9"/>
        <v>1</v>
      </c>
      <c r="S90" s="53">
        <f t="shared" si="10"/>
        <v>2035</v>
      </c>
    </row>
    <row r="91" spans="1:19">
      <c r="A91" s="53" t="str">
        <f>IFERROR(INDEX(EPSIS!$B$2:'EPSIS'!$B$603,MATCH($B91,EPSIS!$F$2:'EPSIS'!$F$603,0)),"")</f>
        <v>유연탄</v>
      </c>
      <c r="B91" s="53" t="str" cm="1">
        <f t="array" ref="B91">IFERROR(INDEX(EPSIS!$F$2:'EPSIS'!$F$603,SMALL(IF(($B$33=EPSIS!$B$2:'EPSIS'!$B$603),MATCH(ROW(EPSIS!$B$2:'EPSIS'!$B$603), ROW(EPSIS!$B$2:'EPSIS'!$B$603)), ""), ROWS($A$1:A57))),"")</f>
        <v>72하동#8</v>
      </c>
      <c r="C91" s="70">
        <f>IFERROR(INDEX(EPSIS!D$2:'EPSIS'!D$603,MATCH($B91,EPSIS!$F$2:'EPSIS'!$F$603,0)),"")</f>
        <v>500</v>
      </c>
      <c r="D91" s="16">
        <f>IFERROR(INDEX(EPSIS!E$2:'EPSIS'!E$603,MATCH($B91,EPSIS!$F$2:'EPSIS'!$F$603,0)),"")</f>
        <v>2009</v>
      </c>
      <c r="G91" s="53" t="b">
        <f t="shared" si="11"/>
        <v>1</v>
      </c>
      <c r="H91" s="53">
        <f t="shared" si="12"/>
        <v>2039</v>
      </c>
      <c r="L91" s="53" t="str">
        <f>IFERROR(INDEX(EPSIS!$B$2:'EPSIS'!$B$603,MATCH($M91,EPSIS!$F$2:'EPSIS'!$F$603,0)),"")</f>
        <v>LNG</v>
      </c>
      <c r="M91" s="53" t="str">
        <f t="array" ref="M91">IFERROR(INDEX(EPSIS!$F$2:'EPSIS'!$F$603,SMALL(IF(($M$3=EPSIS!$B$2:'EPSIS'!$B$603),MATCH(ROW(EPSIS!$B$2:'EPSIS'!$B$603), ROW(EPSIS!$B$2:'EPSIS'!$B$603)), ""), ROWS($A$1:A87))),"")</f>
        <v>273율촌#2 GT</v>
      </c>
      <c r="N91" s="70">
        <f>IFERROR(INDEX(EPSIS!D$2:'EPSIS'!D$603,MATCH($M91,EPSIS!$F$2:'EPSIS'!$F$603,0)),"")</f>
        <v>571.6</v>
      </c>
      <c r="O91" s="16">
        <f>IFERROR(INDEX(EPSIS!E$2:'EPSIS'!E$603,MATCH($M91,EPSIS!$F$2:'EPSIS'!$F$603,0)),"")</f>
        <v>2013</v>
      </c>
      <c r="R91" s="53" t="b">
        <f t="shared" si="9"/>
        <v>1</v>
      </c>
      <c r="S91" s="53">
        <f t="shared" si="10"/>
        <v>2043</v>
      </c>
    </row>
    <row r="92" spans="1:19">
      <c r="A92" s="53" t="str">
        <f>IFERROR(INDEX(EPSIS!$B$2:'EPSIS'!$B$603,MATCH($B92,EPSIS!$F$2:'EPSIS'!$F$603,0)),"")</f>
        <v>유연탄</v>
      </c>
      <c r="B92" s="53" t="str" cm="1">
        <f t="array" ref="B92">IFERROR(INDEX(EPSIS!$F$2:'EPSIS'!$F$603,SMALL(IF(($B$33=EPSIS!$B$2:'EPSIS'!$B$603),MATCH(ROW(EPSIS!$B$2:'EPSIS'!$B$603), ROW(EPSIS!$B$2:'EPSIS'!$B$603)), ""), ROWS($A$1:A58))),"")</f>
        <v>73호남#1</v>
      </c>
      <c r="C92" s="70">
        <f>IFERROR(INDEX(EPSIS!D$2:'EPSIS'!D$603,MATCH($B92,EPSIS!$F$2:'EPSIS'!$F$603,0)),"")</f>
        <v>250</v>
      </c>
      <c r="D92" s="16">
        <f>IFERROR(INDEX(EPSIS!E$2:'EPSIS'!E$603,MATCH($B92,EPSIS!$F$2:'EPSIS'!$F$603,0)),"")</f>
        <v>1973</v>
      </c>
      <c r="G92" s="53" t="str">
        <f t="shared" si="11"/>
        <v>-</v>
      </c>
      <c r="H92" s="53" t="str">
        <f t="shared" si="12"/>
        <v>-</v>
      </c>
      <c r="L92" s="53" t="str">
        <f>IFERROR(INDEX(EPSIS!$B$2:'EPSIS'!$B$603,MATCH($M92,EPSIS!$F$2:'EPSIS'!$F$603,0)),"")</f>
        <v>LNG</v>
      </c>
      <c r="M92" s="53" t="str">
        <f t="array" ref="M92">IFERROR(INDEX(EPSIS!$F$2:'EPSIS'!$F$603,SMALL(IF(($M$3=EPSIS!$B$2:'EPSIS'!$B$603),MATCH(ROW(EPSIS!$B$2:'EPSIS'!$B$603), ROW(EPSIS!$B$2:'EPSIS'!$B$603)), ""), ROWS($A$1:A88))),"")</f>
        <v>274율촌#2 ST</v>
      </c>
      <c r="N92" s="70">
        <f>IFERROR(INDEX(EPSIS!D$2:'EPSIS'!D$603,MATCH($M92,EPSIS!$F$2:'EPSIS'!$F$603,0)),"")</f>
        <v>292.60000000000002</v>
      </c>
      <c r="O92" s="16">
        <f>IFERROR(INDEX(EPSIS!E$2:'EPSIS'!E$603,MATCH($M92,EPSIS!$F$2:'EPSIS'!$F$603,0)),"")</f>
        <v>2014</v>
      </c>
      <c r="R92" s="53" t="b">
        <f t="shared" si="9"/>
        <v>1</v>
      </c>
      <c r="S92" s="53">
        <f t="shared" si="10"/>
        <v>2044</v>
      </c>
    </row>
    <row r="93" spans="1:19">
      <c r="A93" s="53" t="str">
        <f>IFERROR(INDEX(EPSIS!$B$2:'EPSIS'!$B$603,MATCH($B93,EPSIS!$F$2:'EPSIS'!$F$603,0)),"")</f>
        <v>유연탄</v>
      </c>
      <c r="B93" s="53" t="str" cm="1">
        <f t="array" ref="B93">IFERROR(INDEX(EPSIS!$F$2:'EPSIS'!$F$603,SMALL(IF(($B$33=EPSIS!$B$2:'EPSIS'!$B$603),MATCH(ROW(EPSIS!$B$2:'EPSIS'!$B$603), ROW(EPSIS!$B$2:'EPSIS'!$B$603)), ""), ROWS($A$1:A59))),"")</f>
        <v>74호남#1</v>
      </c>
      <c r="C93" s="70">
        <f>IFERROR(INDEX(EPSIS!D$2:'EPSIS'!D$603,MATCH($B93,EPSIS!$F$2:'EPSIS'!$F$603,0)),"")</f>
        <v>0</v>
      </c>
      <c r="D93" s="16">
        <f>IFERROR(INDEX(EPSIS!E$2:'EPSIS'!E$603,MATCH($B93,EPSIS!$F$2:'EPSIS'!$F$603,0)),"")</f>
        <v>1985</v>
      </c>
      <c r="G93" s="53" t="str">
        <f t="shared" si="11"/>
        <v>-</v>
      </c>
      <c r="H93" s="53" t="str">
        <f t="shared" si="12"/>
        <v>-</v>
      </c>
      <c r="L93" s="53" t="str">
        <f>IFERROR(INDEX(EPSIS!$B$2:'EPSIS'!$B$603,MATCH($M93,EPSIS!$F$2:'EPSIS'!$F$603,0)),"")</f>
        <v>LNG</v>
      </c>
      <c r="M93" s="53" t="str">
        <f t="array" ref="M93">IFERROR(INDEX(EPSIS!$F$2:'EPSIS'!$F$603,SMALL(IF(($M$3=EPSIS!$B$2:'EPSIS'!$B$603),MATCH(ROW(EPSIS!$B$2:'EPSIS'!$B$603), ROW(EPSIS!$B$2:'EPSIS'!$B$603)), ""), ROWS($A$1:A89))),"")</f>
        <v>275인천#1 GT</v>
      </c>
      <c r="N93" s="70">
        <f>IFERROR(INDEX(EPSIS!D$2:'EPSIS'!D$603,MATCH($M93,EPSIS!$F$2:'EPSIS'!$F$603,0)),"")</f>
        <v>321.45800000000003</v>
      </c>
      <c r="O93" s="16">
        <f>IFERROR(INDEX(EPSIS!E$2:'EPSIS'!E$603,MATCH($M93,EPSIS!$F$2:'EPSIS'!$F$603,0)),"")</f>
        <v>2005</v>
      </c>
      <c r="R93" s="53" t="b">
        <f t="shared" si="9"/>
        <v>1</v>
      </c>
      <c r="S93" s="53">
        <f t="shared" si="10"/>
        <v>2035</v>
      </c>
    </row>
    <row r="94" spans="1:19">
      <c r="A94" s="53" t="str">
        <f>IFERROR(INDEX(EPSIS!$B$2:'EPSIS'!$B$603,MATCH($B94,EPSIS!$F$2:'EPSIS'!$F$603,0)),"")</f>
        <v>유연탄</v>
      </c>
      <c r="B94" s="53" t="str" cm="1">
        <f t="array" ref="B94">IFERROR(INDEX(EPSIS!$F$2:'EPSIS'!$F$603,SMALL(IF(($B$33=EPSIS!$B$2:'EPSIS'!$B$603),MATCH(ROW(EPSIS!$B$2:'EPSIS'!$B$603), ROW(EPSIS!$B$2:'EPSIS'!$B$603)), ""), ROWS($A$1:A60))),"")</f>
        <v>75호남#2</v>
      </c>
      <c r="C94" s="70">
        <f>IFERROR(INDEX(EPSIS!D$2:'EPSIS'!D$603,MATCH($B94,EPSIS!$F$2:'EPSIS'!$F$603,0)),"")</f>
        <v>250</v>
      </c>
      <c r="D94" s="16">
        <f>IFERROR(INDEX(EPSIS!E$2:'EPSIS'!E$603,MATCH($B94,EPSIS!$F$2:'EPSIS'!$F$603,0)),"")</f>
        <v>1973</v>
      </c>
      <c r="G94" s="53" t="str">
        <f t="shared" si="11"/>
        <v>-</v>
      </c>
      <c r="H94" s="53" t="str">
        <f t="shared" si="12"/>
        <v>-</v>
      </c>
      <c r="L94" s="53" t="str">
        <f>IFERROR(INDEX(EPSIS!$B$2:'EPSIS'!$B$603,MATCH($M94,EPSIS!$F$2:'EPSIS'!$F$603,0)),"")</f>
        <v>LNG</v>
      </c>
      <c r="M94" s="53" t="str">
        <f t="array" ref="M94">IFERROR(INDEX(EPSIS!$F$2:'EPSIS'!$F$603,SMALL(IF(($M$3=EPSIS!$B$2:'EPSIS'!$B$603),MATCH(ROW(EPSIS!$B$2:'EPSIS'!$B$603), ROW(EPSIS!$B$2:'EPSIS'!$B$603)), ""), ROWS($A$1:A90))),"")</f>
        <v>276인천#1 ST</v>
      </c>
      <c r="N94" s="70">
        <f>IFERROR(INDEX(EPSIS!D$2:'EPSIS'!D$603,MATCH($M94,EPSIS!$F$2:'EPSIS'!$F$603,0)),"")</f>
        <v>182.08100000000002</v>
      </c>
      <c r="O94" s="16">
        <f>IFERROR(INDEX(EPSIS!E$2:'EPSIS'!E$603,MATCH($M94,EPSIS!$F$2:'EPSIS'!$F$603,0)),"")</f>
        <v>2005</v>
      </c>
      <c r="R94" s="53" t="b">
        <f t="shared" si="9"/>
        <v>1</v>
      </c>
      <c r="S94" s="53">
        <f t="shared" si="10"/>
        <v>2035</v>
      </c>
    </row>
    <row r="95" spans="1:19">
      <c r="A95" s="53" t="str">
        <f>IFERROR(INDEX(EPSIS!$B$2:'EPSIS'!$B$603,MATCH($B95,EPSIS!$F$2:'EPSIS'!$F$603,0)),"")</f>
        <v>유연탄</v>
      </c>
      <c r="B95" s="53" t="str" cm="1">
        <f t="array" ref="B95">IFERROR(INDEX(EPSIS!$F$2:'EPSIS'!$F$603,SMALL(IF(($B$33=EPSIS!$B$2:'EPSIS'!$B$603),MATCH(ROW(EPSIS!$B$2:'EPSIS'!$B$603), ROW(EPSIS!$B$2:'EPSIS'!$B$603)), ""), ROWS($A$1:A61))),"")</f>
        <v>76호남#2</v>
      </c>
      <c r="C95" s="70">
        <f>IFERROR(INDEX(EPSIS!D$2:'EPSIS'!D$603,MATCH($B95,EPSIS!$F$2:'EPSIS'!$F$603,0)),"")</f>
        <v>0</v>
      </c>
      <c r="D95" s="16">
        <f>IFERROR(INDEX(EPSIS!E$2:'EPSIS'!E$603,MATCH($B95,EPSIS!$F$2:'EPSIS'!$F$603,0)),"")</f>
        <v>1984</v>
      </c>
      <c r="G95" s="53" t="str">
        <f t="shared" si="11"/>
        <v>-</v>
      </c>
      <c r="H95" s="53" t="str">
        <f t="shared" si="12"/>
        <v>-</v>
      </c>
      <c r="L95" s="53" t="str">
        <f>IFERROR(INDEX(EPSIS!$B$2:'EPSIS'!$B$603,MATCH($M95,EPSIS!$F$2:'EPSIS'!$F$603,0)),"")</f>
        <v>LNG</v>
      </c>
      <c r="M95" s="53" t="str">
        <f t="array" ref="M95">IFERROR(INDEX(EPSIS!$F$2:'EPSIS'!$F$603,SMALL(IF(($M$3=EPSIS!$B$2:'EPSIS'!$B$603),MATCH(ROW(EPSIS!$B$2:'EPSIS'!$B$603), ROW(EPSIS!$B$2:'EPSIS'!$B$603)), ""), ROWS($A$1:A91))),"")</f>
        <v>277인천#2 GT</v>
      </c>
      <c r="N95" s="70">
        <f>IFERROR(INDEX(EPSIS!D$2:'EPSIS'!D$603,MATCH($M95,EPSIS!$F$2:'EPSIS'!$F$603,0)),"")</f>
        <v>327.95800000000003</v>
      </c>
      <c r="O95" s="16">
        <f>IFERROR(INDEX(EPSIS!E$2:'EPSIS'!E$603,MATCH($M95,EPSIS!$F$2:'EPSIS'!$F$603,0)),"")</f>
        <v>2009</v>
      </c>
      <c r="R95" s="53" t="b">
        <f t="shared" si="9"/>
        <v>1</v>
      </c>
      <c r="S95" s="53">
        <f t="shared" si="10"/>
        <v>2039</v>
      </c>
    </row>
    <row r="96" spans="1:19">
      <c r="A96" s="53" t="str">
        <f>IFERROR(INDEX(EPSIS!$B$2:'EPSIS'!$B$603,MATCH($B96,EPSIS!$F$2:'EPSIS'!$F$603,0)),"")</f>
        <v>유연탄</v>
      </c>
      <c r="B96" s="53" t="str" cm="1">
        <f t="array" ref="B96">IFERROR(INDEX(EPSIS!$F$2:'EPSIS'!$F$603,SMALL(IF(($B$33=EPSIS!$B$2:'EPSIS'!$B$603),MATCH(ROW(EPSIS!$B$2:'EPSIS'!$B$603), ROW(EPSIS!$B$2:'EPSIS'!$B$603)), ""), ROWS($A$1:A62))),"")</f>
        <v>537SGC에너지#4</v>
      </c>
      <c r="C96" s="70">
        <f>IFERROR(INDEX(EPSIS!D$2:'EPSIS'!D$603,MATCH($B96,EPSIS!$F$2:'EPSIS'!$F$603,0)),"")</f>
        <v>250</v>
      </c>
      <c r="D96" s="16">
        <f>IFERROR(INDEX(EPSIS!E$2:'EPSIS'!E$603,MATCH($B96,EPSIS!$F$2:'EPSIS'!$F$603,0)),"")</f>
        <v>2016</v>
      </c>
      <c r="G96" s="53" t="b">
        <f t="shared" si="11"/>
        <v>1</v>
      </c>
      <c r="H96" s="53">
        <f t="shared" si="12"/>
        <v>2046</v>
      </c>
      <c r="L96" s="53" t="str">
        <f>IFERROR(INDEX(EPSIS!$B$2:'EPSIS'!$B$603,MATCH($M96,EPSIS!$F$2:'EPSIS'!$F$603,0)),"")</f>
        <v>LNG</v>
      </c>
      <c r="M96" s="53" t="str">
        <f t="array" ref="M96">IFERROR(INDEX(EPSIS!$F$2:'EPSIS'!$F$603,SMALL(IF(($M$3=EPSIS!$B$2:'EPSIS'!$B$603),MATCH(ROW(EPSIS!$B$2:'EPSIS'!$B$603), ROW(EPSIS!$B$2:'EPSIS'!$B$603)), ""), ROWS($A$1:A92))),"")</f>
        <v>278인천#2 ST</v>
      </c>
      <c r="N96" s="70">
        <f>IFERROR(INDEX(EPSIS!D$2:'EPSIS'!D$603,MATCH($M96,EPSIS!$F$2:'EPSIS'!$F$603,0)),"")</f>
        <v>180.95000000000002</v>
      </c>
      <c r="O96" s="16">
        <f>IFERROR(INDEX(EPSIS!E$2:'EPSIS'!E$603,MATCH($M96,EPSIS!$F$2:'EPSIS'!$F$603,0)),"")</f>
        <v>2009</v>
      </c>
      <c r="R96" s="53" t="b">
        <f t="shared" si="9"/>
        <v>1</v>
      </c>
      <c r="S96" s="53">
        <f t="shared" si="10"/>
        <v>2039</v>
      </c>
    </row>
    <row r="97" spans="1:19">
      <c r="A97" s="53" t="str">
        <f>IFERROR(INDEX(EPSIS!$B$2:'EPSIS'!$B$603,MATCH($B97,EPSIS!$F$2:'EPSIS'!$F$603,0)),"")</f>
        <v>유연탄</v>
      </c>
      <c r="B97" s="53" t="str" cm="1">
        <f t="array" ref="B97">IFERROR(INDEX(EPSIS!$F$2:'EPSIS'!$F$603,SMALL(IF(($B$33=EPSIS!$B$2:'EPSIS'!$B$603),MATCH(ROW(EPSIS!$B$2:'EPSIS'!$B$603), ROW(EPSIS!$B$2:'EPSIS'!$B$603)), ""), ROWS($A$1:A63))),"")</f>
        <v>538SGC에너지#5</v>
      </c>
      <c r="C97" s="70">
        <f>IFERROR(INDEX(EPSIS!D$2:'EPSIS'!D$603,MATCH($B97,EPSIS!$F$2:'EPSIS'!$F$603,0)),"")</f>
        <v>28.5</v>
      </c>
      <c r="D97" s="16">
        <f>IFERROR(INDEX(EPSIS!E$2:'EPSIS'!E$603,MATCH($B97,EPSIS!$F$2:'EPSIS'!$F$603,0)),"")</f>
        <v>2017</v>
      </c>
      <c r="G97" s="53" t="b">
        <f t="shared" si="11"/>
        <v>1</v>
      </c>
      <c r="H97" s="53">
        <f t="shared" si="12"/>
        <v>2047</v>
      </c>
      <c r="L97" s="53" t="str">
        <f>IFERROR(INDEX(EPSIS!$B$2:'EPSIS'!$B$603,MATCH($M97,EPSIS!$F$2:'EPSIS'!$F$603,0)),"")</f>
        <v>LNG</v>
      </c>
      <c r="M97" s="53" t="str">
        <f t="array" ref="M97">IFERROR(INDEX(EPSIS!$F$2:'EPSIS'!$F$603,SMALL(IF(($M$3=EPSIS!$B$2:'EPSIS'!$B$603),MATCH(ROW(EPSIS!$B$2:'EPSIS'!$B$603), ROW(EPSIS!$B$2:'EPSIS'!$B$603)), ""), ROWS($A$1:A93))),"")</f>
        <v>279인천#3 GT</v>
      </c>
      <c r="N97" s="70">
        <f>IFERROR(INDEX(EPSIS!D$2:'EPSIS'!D$603,MATCH($M97,EPSIS!$F$2:'EPSIS'!$F$603,0)),"")</f>
        <v>300</v>
      </c>
      <c r="O97" s="16">
        <f>IFERROR(INDEX(EPSIS!E$2:'EPSIS'!E$603,MATCH($M97,EPSIS!$F$2:'EPSIS'!$F$603,0)),"")</f>
        <v>2012</v>
      </c>
      <c r="R97" s="53" t="b">
        <f t="shared" si="9"/>
        <v>1</v>
      </c>
      <c r="S97" s="53">
        <f t="shared" si="10"/>
        <v>2042</v>
      </c>
    </row>
    <row r="98" spans="1:19">
      <c r="A98" s="53" t="str">
        <f>IFERROR(INDEX(EPSIS!$B$2:'EPSIS'!$B$603,MATCH($B98,EPSIS!$F$2:'EPSIS'!$F$603,0)),"")</f>
        <v>유연탄</v>
      </c>
      <c r="B98" s="53" t="str" cm="1">
        <f t="array" ref="B98">IFERROR(INDEX(EPSIS!$F$2:'EPSIS'!$F$603,SMALL(IF(($B$33=EPSIS!$B$2:'EPSIS'!$B$603),MATCH(ROW(EPSIS!$B$2:'EPSIS'!$B$603), ROW(EPSIS!$B$2:'EPSIS'!$B$603)), ""), ROWS($A$1:A64))),"")</f>
        <v>541구미열병합</v>
      </c>
      <c r="C98" s="70">
        <f>IFERROR(INDEX(EPSIS!D$2:'EPSIS'!D$603,MATCH($B98,EPSIS!$F$2:'EPSIS'!$F$603,0)),"")</f>
        <v>97.100000000000009</v>
      </c>
      <c r="D98" s="16">
        <f>IFERROR(INDEX(EPSIS!E$2:'EPSIS'!E$603,MATCH($B98,EPSIS!$F$2:'EPSIS'!$F$603,0)),"")</f>
        <v>1991</v>
      </c>
      <c r="G98" s="53" t="str">
        <f t="shared" si="11"/>
        <v>-</v>
      </c>
      <c r="H98" s="53" t="str">
        <f t="shared" si="12"/>
        <v>-</v>
      </c>
      <c r="L98" s="53" t="str">
        <f>IFERROR(INDEX(EPSIS!$B$2:'EPSIS'!$B$603,MATCH($M98,EPSIS!$F$2:'EPSIS'!$F$603,0)),"")</f>
        <v>LNG</v>
      </c>
      <c r="M98" s="53" t="str">
        <f t="array" ref="M98">IFERROR(INDEX(EPSIS!$F$2:'EPSIS'!$F$603,SMALL(IF(($M$3=EPSIS!$B$2:'EPSIS'!$B$603),MATCH(ROW(EPSIS!$B$2:'EPSIS'!$B$603), ROW(EPSIS!$B$2:'EPSIS'!$B$603)), ""), ROWS($A$1:A94))),"")</f>
        <v>280인천#3 ST</v>
      </c>
      <c r="N98" s="70">
        <f>IFERROR(INDEX(EPSIS!D$2:'EPSIS'!D$603,MATCH($M98,EPSIS!$F$2:'EPSIS'!$F$603,0)),"")</f>
        <v>150</v>
      </c>
      <c r="O98" s="16">
        <f>IFERROR(INDEX(EPSIS!E$2:'EPSIS'!E$603,MATCH($M98,EPSIS!$F$2:'EPSIS'!$F$603,0)),"")</f>
        <v>2012</v>
      </c>
      <c r="R98" s="53" t="b">
        <f t="shared" si="9"/>
        <v>1</v>
      </c>
      <c r="S98" s="53">
        <f t="shared" si="10"/>
        <v>2042</v>
      </c>
    </row>
    <row r="99" spans="1:19">
      <c r="A99" s="53" t="str">
        <f>IFERROR(INDEX(EPSIS!$B$2:'EPSIS'!$B$603,MATCH($B99,EPSIS!$F$2:'EPSIS'!$F$603,0)),"")</f>
        <v>유연탄</v>
      </c>
      <c r="B99" s="53" t="str" cm="1">
        <f t="array" ref="B99">IFERROR(INDEX(EPSIS!$F$2:'EPSIS'!$F$603,SMALL(IF(($B$33=EPSIS!$B$2:'EPSIS'!$B$603),MATCH(ROW(EPSIS!$B$2:'EPSIS'!$B$603), ROW(EPSIS!$B$2:'EPSIS'!$B$603)), ""), ROWS($A$1:A65))),"")</f>
        <v>542금호여수열병합</v>
      </c>
      <c r="C99" s="70">
        <f>IFERROR(INDEX(EPSIS!D$2:'EPSIS'!D$603,MATCH($B99,EPSIS!$F$2:'EPSIS'!$F$603,0)),"")</f>
        <v>119.13</v>
      </c>
      <c r="D99" s="16">
        <f>IFERROR(INDEX(EPSIS!E$2:'EPSIS'!E$603,MATCH($B99,EPSIS!$F$2:'EPSIS'!$F$603,0)),"")</f>
        <v>2009</v>
      </c>
      <c r="G99" s="53" t="b">
        <f t="shared" si="11"/>
        <v>1</v>
      </c>
      <c r="H99" s="53">
        <f t="shared" si="12"/>
        <v>2039</v>
      </c>
      <c r="L99" s="53" t="str">
        <f>IFERROR(INDEX(EPSIS!$B$2:'EPSIS'!$B$603,MATCH($M99,EPSIS!$F$2:'EPSIS'!$F$603,0)),"")</f>
        <v>LNG</v>
      </c>
      <c r="M99" s="53" t="str">
        <f t="array" ref="M99">IFERROR(INDEX(EPSIS!$F$2:'EPSIS'!$F$603,SMALL(IF(($M$3=EPSIS!$B$2:'EPSIS'!$B$603),MATCH(ROW(EPSIS!$B$2:'EPSIS'!$B$603), ROW(EPSIS!$B$2:'EPSIS'!$B$603)), ""), ROWS($A$1:A95))),"")</f>
        <v>281일산#1 GT</v>
      </c>
      <c r="N99" s="70">
        <f>IFERROR(INDEX(EPSIS!D$2:'EPSIS'!D$603,MATCH($M99,EPSIS!$F$2:'EPSIS'!$F$603,0)),"")</f>
        <v>200</v>
      </c>
      <c r="O99" s="16">
        <f>IFERROR(INDEX(EPSIS!E$2:'EPSIS'!E$603,MATCH($M99,EPSIS!$F$2:'EPSIS'!$F$603,0)),"")</f>
        <v>1993</v>
      </c>
      <c r="R99" s="53" t="str">
        <f t="shared" si="9"/>
        <v>-</v>
      </c>
      <c r="S99" s="53" t="str">
        <f t="shared" si="10"/>
        <v>-</v>
      </c>
    </row>
    <row r="100" spans="1:19">
      <c r="A100" s="53" t="str">
        <f>IFERROR(INDEX(EPSIS!$B$2:'EPSIS'!$B$603,MATCH($B100,EPSIS!$F$2:'EPSIS'!$F$603,0)),"")</f>
        <v>유연탄</v>
      </c>
      <c r="B100" s="53" t="str" cm="1">
        <f t="array" ref="B100">IFERROR(INDEX(EPSIS!$F$2:'EPSIS'!$F$603,SMALL(IF(($B$33=EPSIS!$B$2:'EPSIS'!$B$603),MATCH(ROW(EPSIS!$B$2:'EPSIS'!$B$603), ROW(EPSIS!$B$2:'EPSIS'!$B$603)), ""), ROWS($A$1:A66))),"")</f>
        <v>543금호여수열병합</v>
      </c>
      <c r="C100" s="70">
        <f>IFERROR(INDEX(EPSIS!D$2:'EPSIS'!D$603,MATCH($B100,EPSIS!$F$2:'EPSIS'!$F$603,0)),"")</f>
        <v>144.97</v>
      </c>
      <c r="D100" s="16">
        <f>IFERROR(INDEX(EPSIS!E$2:'EPSIS'!E$603,MATCH($B100,EPSIS!$F$2:'EPSIS'!$F$603,0)),"")</f>
        <v>2016</v>
      </c>
      <c r="G100" s="53" t="b">
        <f t="shared" si="11"/>
        <v>1</v>
      </c>
      <c r="H100" s="53">
        <f t="shared" si="12"/>
        <v>2046</v>
      </c>
      <c r="L100" s="53" t="str">
        <f>IFERROR(INDEX(EPSIS!$B$2:'EPSIS'!$B$603,MATCH($M100,EPSIS!$F$2:'EPSIS'!$F$603,0)),"")</f>
        <v>LNG</v>
      </c>
      <c r="M100" s="53" t="str">
        <f t="array" ref="M100">IFERROR(INDEX(EPSIS!$F$2:'EPSIS'!$F$603,SMALL(IF(($M$3=EPSIS!$B$2:'EPSIS'!$B$603),MATCH(ROW(EPSIS!$B$2:'EPSIS'!$B$603), ROW(EPSIS!$B$2:'EPSIS'!$B$603)), ""), ROWS($A$1:A96))),"")</f>
        <v>282일산#1 GT</v>
      </c>
      <c r="N100" s="70">
        <f>IFERROR(INDEX(EPSIS!D$2:'EPSIS'!D$603,MATCH($M100,EPSIS!$F$2:'EPSIS'!$F$603,0)),"")</f>
        <v>200</v>
      </c>
      <c r="O100" s="16">
        <f>IFERROR(INDEX(EPSIS!E$2:'EPSIS'!E$603,MATCH($M100,EPSIS!$F$2:'EPSIS'!$F$603,0)),"")</f>
        <v>1993</v>
      </c>
      <c r="R100" s="53" t="str">
        <f t="shared" si="9"/>
        <v>-</v>
      </c>
      <c r="S100" s="53" t="str">
        <f t="shared" si="10"/>
        <v>-</v>
      </c>
    </row>
    <row r="101" spans="1:19">
      <c r="A101" s="53" t="str">
        <f>IFERROR(INDEX(EPSIS!$B$2:'EPSIS'!$B$603,MATCH($B101,EPSIS!$F$2:'EPSIS'!$F$603,0)),"")</f>
        <v>유연탄</v>
      </c>
      <c r="B101" s="53" t="str" cm="1">
        <f t="array" ref="B101">IFERROR(INDEX(EPSIS!$F$2:'EPSIS'!$F$603,SMALL(IF(($B$33=EPSIS!$B$2:'EPSIS'!$B$603),MATCH(ROW(EPSIS!$B$2:'EPSIS'!$B$603), ROW(EPSIS!$B$2:'EPSIS'!$B$603)), ""), ROWS($A$1:A67))),"")</f>
        <v>544김천열병합</v>
      </c>
      <c r="C101" s="70">
        <f>IFERROR(INDEX(EPSIS!D$2:'EPSIS'!D$603,MATCH($B101,EPSIS!$F$2:'EPSIS'!$F$603,0)),"")</f>
        <v>59</v>
      </c>
      <c r="D101" s="16">
        <f>IFERROR(INDEX(EPSIS!E$2:'EPSIS'!E$603,MATCH($B101,EPSIS!$F$2:'EPSIS'!$F$603,0)),"")</f>
        <v>2013</v>
      </c>
      <c r="G101" s="53" t="b">
        <f t="shared" si="11"/>
        <v>1</v>
      </c>
      <c r="H101" s="53">
        <f t="shared" si="12"/>
        <v>2043</v>
      </c>
      <c r="L101" s="53" t="str">
        <f>IFERROR(INDEX(EPSIS!$B$2:'EPSIS'!$B$603,MATCH($M101,EPSIS!$F$2:'EPSIS'!$F$603,0)),"")</f>
        <v>LNG</v>
      </c>
      <c r="M101" s="53" t="str">
        <f t="array" ref="M101">IFERROR(INDEX(EPSIS!$F$2:'EPSIS'!$F$603,SMALL(IF(($M$3=EPSIS!$B$2:'EPSIS'!$B$603),MATCH(ROW(EPSIS!$B$2:'EPSIS'!$B$603), ROW(EPSIS!$B$2:'EPSIS'!$B$603)), ""), ROWS($A$1:A97))),"")</f>
        <v>283일산#1 ST</v>
      </c>
      <c r="N101" s="70">
        <f>IFERROR(INDEX(EPSIS!D$2:'EPSIS'!D$603,MATCH($M101,EPSIS!$F$2:'EPSIS'!$F$603,0)),"")</f>
        <v>200</v>
      </c>
      <c r="O101" s="16">
        <f>IFERROR(INDEX(EPSIS!E$2:'EPSIS'!E$603,MATCH($M101,EPSIS!$F$2:'EPSIS'!$F$603,0)),"")</f>
        <v>1993</v>
      </c>
      <c r="R101" s="53" t="str">
        <f t="shared" si="9"/>
        <v>-</v>
      </c>
      <c r="S101" s="53" t="str">
        <f t="shared" si="10"/>
        <v>-</v>
      </c>
    </row>
    <row r="102" spans="1:19">
      <c r="A102" s="53" t="str">
        <f>IFERROR(INDEX(EPSIS!$B$2:'EPSIS'!$B$603,MATCH($B102,EPSIS!$F$2:'EPSIS'!$F$603,0)),"")</f>
        <v>유연탄</v>
      </c>
      <c r="B102" s="53" t="str" cm="1">
        <f t="array" ref="B102">IFERROR(INDEX(EPSIS!$F$2:'EPSIS'!$F$603,SMALL(IF(($B$33=EPSIS!$B$2:'EPSIS'!$B$603),MATCH(ROW(EPSIS!$B$2:'EPSIS'!$B$603), ROW(EPSIS!$B$2:'EPSIS'!$B$603)), ""), ROWS($A$1:A68))),"")</f>
        <v>554대구염색</v>
      </c>
      <c r="C102" s="70">
        <f>IFERROR(INDEX(EPSIS!D$2:'EPSIS'!D$603,MATCH($B102,EPSIS!$F$2:'EPSIS'!$F$603,0)),"")</f>
        <v>72.900000000000006</v>
      </c>
      <c r="D102" s="16">
        <f>IFERROR(INDEX(EPSIS!E$2:'EPSIS'!E$603,MATCH($B102,EPSIS!$F$2:'EPSIS'!$F$603,0)),"")</f>
        <v>2004</v>
      </c>
      <c r="G102" s="53" t="str">
        <f t="shared" si="11"/>
        <v>-</v>
      </c>
      <c r="H102" s="53" t="str">
        <f t="shared" si="12"/>
        <v>-</v>
      </c>
      <c r="L102" s="53" t="str">
        <f>IFERROR(INDEX(EPSIS!$B$2:'EPSIS'!$B$603,MATCH($M102,EPSIS!$F$2:'EPSIS'!$F$603,0)),"")</f>
        <v>LNG</v>
      </c>
      <c r="M102" s="53" t="str">
        <f t="array" ref="M102">IFERROR(INDEX(EPSIS!$F$2:'EPSIS'!$F$603,SMALL(IF(($M$3=EPSIS!$B$2:'EPSIS'!$B$603),MATCH(ROW(EPSIS!$B$2:'EPSIS'!$B$603), ROW(EPSIS!$B$2:'EPSIS'!$B$603)), ""), ROWS($A$1:A98))),"")</f>
        <v>284일산#2 GT</v>
      </c>
      <c r="N102" s="70">
        <f>IFERROR(INDEX(EPSIS!D$2:'EPSIS'!D$603,MATCH($M102,EPSIS!$F$2:'EPSIS'!$F$603,0)),"")</f>
        <v>200</v>
      </c>
      <c r="O102" s="16">
        <f>IFERROR(INDEX(EPSIS!E$2:'EPSIS'!E$603,MATCH($M102,EPSIS!$F$2:'EPSIS'!$F$603,0)),"")</f>
        <v>1995</v>
      </c>
      <c r="R102" s="53" t="str">
        <f t="shared" si="9"/>
        <v>-</v>
      </c>
      <c r="S102" s="53" t="str">
        <f t="shared" si="10"/>
        <v>-</v>
      </c>
    </row>
    <row r="103" spans="1:19">
      <c r="A103" s="53" t="str">
        <f>IFERROR(INDEX(EPSIS!$B$2:'EPSIS'!$B$603,MATCH($B103,EPSIS!$F$2:'EPSIS'!$F$603,0)),"")</f>
        <v>유연탄</v>
      </c>
      <c r="B103" s="53" t="str" cm="1">
        <f t="array" ref="B103">IFERROR(INDEX(EPSIS!$F$2:'EPSIS'!$F$603,SMALL(IF(($B$33=EPSIS!$B$2:'EPSIS'!$B$603),MATCH(ROW(EPSIS!$B$2:'EPSIS'!$B$603), ROW(EPSIS!$B$2:'EPSIS'!$B$603)), ""), ROWS($A$1:A69))),"")</f>
        <v>557데이원열병합</v>
      </c>
      <c r="C103" s="70">
        <f>IFERROR(INDEX(EPSIS!D$2:'EPSIS'!D$603,MATCH($B103,EPSIS!$F$2:'EPSIS'!$F$603,0)),"")</f>
        <v>48.4</v>
      </c>
      <c r="D103" s="16">
        <f>IFERROR(INDEX(EPSIS!E$2:'EPSIS'!E$603,MATCH($B103,EPSIS!$F$2:'EPSIS'!$F$603,0)),"")</f>
        <v>2013</v>
      </c>
      <c r="G103" s="53" t="b">
        <f t="shared" si="11"/>
        <v>1</v>
      </c>
      <c r="H103" s="53">
        <f t="shared" si="12"/>
        <v>2043</v>
      </c>
      <c r="L103" s="53" t="str">
        <f>IFERROR(INDEX(EPSIS!$B$2:'EPSIS'!$B$603,MATCH($M103,EPSIS!$F$2:'EPSIS'!$F$603,0)),"")</f>
        <v>LNG</v>
      </c>
      <c r="M103" s="53" t="str">
        <f t="array" ref="M103">IFERROR(INDEX(EPSIS!$F$2:'EPSIS'!$F$603,SMALL(IF(($M$3=EPSIS!$B$2:'EPSIS'!$B$603),MATCH(ROW(EPSIS!$B$2:'EPSIS'!$B$603), ROW(EPSIS!$B$2:'EPSIS'!$B$603)), ""), ROWS($A$1:A99))),"")</f>
        <v>285일산#2 ST</v>
      </c>
      <c r="N103" s="70">
        <f>IFERROR(INDEX(EPSIS!D$2:'EPSIS'!D$603,MATCH($M103,EPSIS!$F$2:'EPSIS'!$F$603,0)),"")</f>
        <v>100</v>
      </c>
      <c r="O103" s="16">
        <f>IFERROR(INDEX(EPSIS!E$2:'EPSIS'!E$603,MATCH($M103,EPSIS!$F$2:'EPSIS'!$F$603,0)),"")</f>
        <v>1996</v>
      </c>
      <c r="R103" s="53" t="str">
        <f t="shared" si="9"/>
        <v>-</v>
      </c>
      <c r="S103" s="53" t="str">
        <f t="shared" si="10"/>
        <v>-</v>
      </c>
    </row>
    <row r="104" spans="1:19">
      <c r="A104" s="53" t="str">
        <f>IFERROR(INDEX(EPSIS!$B$2:'EPSIS'!$B$603,MATCH($B104,EPSIS!$F$2:'EPSIS'!$F$603,0)),"")</f>
        <v>유연탄</v>
      </c>
      <c r="B104" s="53" t="str" cm="1">
        <f t="array" ref="B104">IFERROR(INDEX(EPSIS!$F$2:'EPSIS'!$F$603,SMALL(IF(($B$33=EPSIS!$B$2:'EPSIS'!$B$603),MATCH(ROW(EPSIS!$B$2:'EPSIS'!$B$603), ROW(EPSIS!$B$2:'EPSIS'!$B$603)), ""), ROWS($A$1:A70))),"")</f>
        <v>566반원열병합</v>
      </c>
      <c r="C104" s="70">
        <f>IFERROR(INDEX(EPSIS!D$2:'EPSIS'!D$603,MATCH($B104,EPSIS!$F$2:'EPSIS'!$F$603,0)),"")</f>
        <v>76.954999999999998</v>
      </c>
      <c r="D104" s="16">
        <f>IFERROR(INDEX(EPSIS!E$2:'EPSIS'!E$603,MATCH($B104,EPSIS!$F$2:'EPSIS'!$F$603,0)),"")</f>
        <v>1990</v>
      </c>
      <c r="G104" s="53" t="str">
        <f t="shared" si="11"/>
        <v>-</v>
      </c>
      <c r="H104" s="53" t="str">
        <f t="shared" si="12"/>
        <v>-</v>
      </c>
      <c r="L104" s="53" t="str">
        <f>IFERROR(INDEX(EPSIS!$B$2:'EPSIS'!$B$603,MATCH($M104,EPSIS!$F$2:'EPSIS'!$F$603,0)),"")</f>
        <v>LNG</v>
      </c>
      <c r="M104" s="53" t="str">
        <f t="array" ref="M104">IFERROR(INDEX(EPSIS!$F$2:'EPSIS'!$F$603,SMALL(IF(($M$3=EPSIS!$B$2:'EPSIS'!$B$603),MATCH(ROW(EPSIS!$B$2:'EPSIS'!$B$603), ROW(EPSIS!$B$2:'EPSIS'!$B$603)), ""), ROWS($A$1:A100))),"")</f>
        <v>288제주복합#2 GT</v>
      </c>
      <c r="N104" s="70">
        <f>IFERROR(INDEX(EPSIS!D$2:'EPSIS'!D$603,MATCH($M104,EPSIS!$F$2:'EPSIS'!$F$603,0)),"")</f>
        <v>58.947000000000003</v>
      </c>
      <c r="O104" s="16">
        <f>IFERROR(INDEX(EPSIS!E$2:'EPSIS'!E$603,MATCH($M104,EPSIS!$F$2:'EPSIS'!$F$603,0)),"")</f>
        <v>2018</v>
      </c>
      <c r="R104" s="53" t="b">
        <f t="shared" si="9"/>
        <v>1</v>
      </c>
      <c r="S104" s="53">
        <f t="shared" si="10"/>
        <v>2048</v>
      </c>
    </row>
    <row r="105" spans="1:19">
      <c r="A105" s="53" t="str">
        <f>IFERROR(INDEX(EPSIS!$B$2:'EPSIS'!$B$603,MATCH($B105,EPSIS!$F$2:'EPSIS'!$F$603,0)),"")</f>
        <v>유연탄</v>
      </c>
      <c r="B105" s="53" t="str" cm="1">
        <f t="array" ref="B105">IFERROR(INDEX(EPSIS!$F$2:'EPSIS'!$F$603,SMALL(IF(($B$33=EPSIS!$B$2:'EPSIS'!$B$603),MATCH(ROW(EPSIS!$B$2:'EPSIS'!$B$603), ROW(EPSIS!$B$2:'EPSIS'!$B$603)), ""), ROWS($A$1:A71))),"")</f>
        <v>569부산염색</v>
      </c>
      <c r="C105" s="70">
        <f>IFERROR(INDEX(EPSIS!D$2:'EPSIS'!D$603,MATCH($B105,EPSIS!$F$2:'EPSIS'!$F$603,0)),"")</f>
        <v>19</v>
      </c>
      <c r="D105" s="16">
        <f>IFERROR(INDEX(EPSIS!E$2:'EPSIS'!E$603,MATCH($B105,EPSIS!$F$2:'EPSIS'!$F$603,0)),"")</f>
        <v>1993</v>
      </c>
      <c r="G105" s="53" t="str">
        <f t="shared" si="11"/>
        <v>-</v>
      </c>
      <c r="H105" s="53" t="str">
        <f t="shared" si="12"/>
        <v>-</v>
      </c>
      <c r="L105" s="53" t="str">
        <f>IFERROR(INDEX(EPSIS!$B$2:'EPSIS'!$B$603,MATCH($M105,EPSIS!$F$2:'EPSIS'!$F$603,0)),"")</f>
        <v>LNG</v>
      </c>
      <c r="M105" s="53" t="str">
        <f t="array" ref="M105">IFERROR(INDEX(EPSIS!$F$2:'EPSIS'!$F$603,SMALL(IF(($M$3=EPSIS!$B$2:'EPSIS'!$B$603),MATCH(ROW(EPSIS!$B$2:'EPSIS'!$B$603), ROW(EPSIS!$B$2:'EPSIS'!$B$603)), ""), ROWS($A$1:A101))),"")</f>
        <v>289제주복합#2 ST</v>
      </c>
      <c r="N105" s="70">
        <f>IFERROR(INDEX(EPSIS!D$2:'EPSIS'!D$603,MATCH($M105,EPSIS!$F$2:'EPSIS'!$F$603,0)),"")</f>
        <v>34.776000000000003</v>
      </c>
      <c r="O105" s="16">
        <f>IFERROR(INDEX(EPSIS!E$2:'EPSIS'!E$603,MATCH($M105,EPSIS!$F$2:'EPSIS'!$F$603,0)),"")</f>
        <v>2018</v>
      </c>
      <c r="R105" s="53" t="b">
        <f t="shared" si="9"/>
        <v>1</v>
      </c>
      <c r="S105" s="53">
        <f t="shared" si="10"/>
        <v>2048</v>
      </c>
    </row>
    <row r="106" spans="1:19">
      <c r="A106" s="53" t="str">
        <f>IFERROR(INDEX(EPSIS!$B$2:'EPSIS'!$B$603,MATCH($B106,EPSIS!$F$2:'EPSIS'!$F$603,0)),"")</f>
        <v>유연탄</v>
      </c>
      <c r="B106" s="53" t="str" cm="1">
        <f t="array" ref="B106">IFERROR(INDEX(EPSIS!$F$2:'EPSIS'!$F$603,SMALL(IF(($B$33=EPSIS!$B$2:'EPSIS'!$B$603),MATCH(ROW(EPSIS!$B$2:'EPSIS'!$B$603), ROW(EPSIS!$B$2:'EPSIS'!$B$603)), ""), ROWS($A$1:A72))),"")</f>
        <v>573상공에너지열병합</v>
      </c>
      <c r="C106" s="70">
        <f>IFERROR(INDEX(EPSIS!D$2:'EPSIS'!D$603,MATCH($B106,EPSIS!$F$2:'EPSIS'!$F$603,0)),"")</f>
        <v>9.8000000000000007</v>
      </c>
      <c r="D106" s="16">
        <f>IFERROR(INDEX(EPSIS!E$2:'EPSIS'!E$603,MATCH($B106,EPSIS!$F$2:'EPSIS'!$F$603,0)),"")</f>
        <v>2012</v>
      </c>
      <c r="G106" s="53" t="b">
        <f t="shared" si="11"/>
        <v>1</v>
      </c>
      <c r="H106" s="53">
        <f t="shared" si="12"/>
        <v>2042</v>
      </c>
      <c r="L106" s="53" t="str">
        <f>IFERROR(INDEX(EPSIS!$B$2:'EPSIS'!$B$603,MATCH($M106,EPSIS!$F$2:'EPSIS'!$F$603,0)),"")</f>
        <v>LNG</v>
      </c>
      <c r="M106" s="53" t="str">
        <f t="array" ref="M106">IFERROR(INDEX(EPSIS!$F$2:'EPSIS'!$F$603,SMALL(IF(($M$3=EPSIS!$B$2:'EPSIS'!$B$603),MATCH(ROW(EPSIS!$B$2:'EPSIS'!$B$603), ROW(EPSIS!$B$2:'EPSIS'!$B$603)), ""), ROWS($A$1:A102))),"")</f>
        <v>290파주문산#1 GT</v>
      </c>
      <c r="N106" s="70">
        <f>IFERROR(INDEX(EPSIS!D$2:'EPSIS'!D$603,MATCH($M106,EPSIS!$F$2:'EPSIS'!$F$603,0)),"")</f>
        <v>551</v>
      </c>
      <c r="O106" s="16">
        <f>IFERROR(INDEX(EPSIS!E$2:'EPSIS'!E$603,MATCH($M106,EPSIS!$F$2:'EPSIS'!$F$603,0)),"")</f>
        <v>2017</v>
      </c>
      <c r="R106" s="53" t="b">
        <f t="shared" si="9"/>
        <v>1</v>
      </c>
      <c r="S106" s="53">
        <f t="shared" si="10"/>
        <v>2047</v>
      </c>
    </row>
    <row r="107" spans="1:19">
      <c r="A107" s="53" t="str">
        <f>IFERROR(INDEX(EPSIS!$B$2:'EPSIS'!$B$603,MATCH($B107,EPSIS!$F$2:'EPSIS'!$F$603,0)),"")</f>
        <v>유연탄</v>
      </c>
      <c r="B107" s="53" t="str" cm="1">
        <f t="array" ref="B107">IFERROR(INDEX(EPSIS!$F$2:'EPSIS'!$F$603,SMALL(IF(($B$33=EPSIS!$B$2:'EPSIS'!$B$603),MATCH(ROW(EPSIS!$B$2:'EPSIS'!$B$603), ROW(EPSIS!$B$2:'EPSIS'!$B$603)), ""), ROWS($A$1:A73))),"")</f>
        <v>574새만금열병합</v>
      </c>
      <c r="C107" s="70">
        <f>IFERROR(INDEX(EPSIS!D$2:'EPSIS'!D$603,MATCH($B107,EPSIS!$F$2:'EPSIS'!$F$603,0)),"")</f>
        <v>151.5</v>
      </c>
      <c r="D107" s="16">
        <f>IFERROR(INDEX(EPSIS!E$2:'EPSIS'!E$603,MATCH($B107,EPSIS!$F$2:'EPSIS'!$F$603,0)),"")</f>
        <v>2015</v>
      </c>
      <c r="G107" s="53" t="b">
        <f t="shared" si="11"/>
        <v>1</v>
      </c>
      <c r="H107" s="53">
        <f t="shared" si="12"/>
        <v>2045</v>
      </c>
      <c r="L107" s="53" t="str">
        <f>IFERROR(INDEX(EPSIS!$B$2:'EPSIS'!$B$603,MATCH($M107,EPSIS!$F$2:'EPSIS'!$F$603,0)),"")</f>
        <v>LNG</v>
      </c>
      <c r="M107" s="53" t="str">
        <f t="array" ref="M107">IFERROR(INDEX(EPSIS!$F$2:'EPSIS'!$F$603,SMALL(IF(($M$3=EPSIS!$B$2:'EPSIS'!$B$603),MATCH(ROW(EPSIS!$B$2:'EPSIS'!$B$603), ROW(EPSIS!$B$2:'EPSIS'!$B$603)), ""), ROWS($A$1:A103))),"")</f>
        <v>291파주문산#1 ST</v>
      </c>
      <c r="N107" s="70">
        <f>IFERROR(INDEX(EPSIS!D$2:'EPSIS'!D$603,MATCH($M107,EPSIS!$F$2:'EPSIS'!$F$603,0)),"")</f>
        <v>296.60000000000002</v>
      </c>
      <c r="O107" s="16">
        <f>IFERROR(INDEX(EPSIS!E$2:'EPSIS'!E$603,MATCH($M107,EPSIS!$F$2:'EPSIS'!$F$603,0)),"")</f>
        <v>2017</v>
      </c>
      <c r="R107" s="53" t="b">
        <f t="shared" si="9"/>
        <v>1</v>
      </c>
      <c r="S107" s="53">
        <f t="shared" si="10"/>
        <v>2047</v>
      </c>
    </row>
    <row r="108" spans="1:19">
      <c r="A108" s="53" t="str">
        <f>IFERROR(INDEX(EPSIS!$B$2:'EPSIS'!$B$603,MATCH($B108,EPSIS!$F$2:'EPSIS'!$F$603,0)),"")</f>
        <v>유연탄</v>
      </c>
      <c r="B108" s="53" t="str" cm="1">
        <f t="array" ref="B108">IFERROR(INDEX(EPSIS!$F$2:'EPSIS'!$F$603,SMALL(IF(($B$33=EPSIS!$B$2:'EPSIS'!$B$603),MATCH(ROW(EPSIS!$B$2:'EPSIS'!$B$603), ROW(EPSIS!$B$2:'EPSIS'!$B$603)), ""), ROWS($A$1:A74))),"")</f>
        <v>575새만금열병합</v>
      </c>
      <c r="C108" s="70">
        <f>IFERROR(INDEX(EPSIS!D$2:'EPSIS'!D$603,MATCH($B108,EPSIS!$F$2:'EPSIS'!$F$603,0)),"")</f>
        <v>151.5</v>
      </c>
      <c r="D108" s="16">
        <f>IFERROR(INDEX(EPSIS!E$2:'EPSIS'!E$603,MATCH($B108,EPSIS!$F$2:'EPSIS'!$F$603,0)),"")</f>
        <v>2015</v>
      </c>
      <c r="G108" s="53" t="b">
        <f t="shared" si="11"/>
        <v>1</v>
      </c>
      <c r="H108" s="53">
        <f t="shared" si="12"/>
        <v>2045</v>
      </c>
      <c r="L108" s="53" t="str">
        <f>IFERROR(INDEX(EPSIS!$B$2:'EPSIS'!$B$603,MATCH($M108,EPSIS!$F$2:'EPSIS'!$F$603,0)),"")</f>
        <v>LNG</v>
      </c>
      <c r="M108" s="53" t="str">
        <f t="array" ref="M108">IFERROR(INDEX(EPSIS!$F$2:'EPSIS'!$F$603,SMALL(IF(($M$3=EPSIS!$B$2:'EPSIS'!$B$603),MATCH(ROW(EPSIS!$B$2:'EPSIS'!$B$603), ROW(EPSIS!$B$2:'EPSIS'!$B$603)), ""), ROWS($A$1:A104))),"")</f>
        <v>292파주문산#2 GT</v>
      </c>
      <c r="N108" s="70">
        <f>IFERROR(INDEX(EPSIS!D$2:'EPSIS'!D$603,MATCH($M108,EPSIS!$F$2:'EPSIS'!$F$603,0)),"")</f>
        <v>551</v>
      </c>
      <c r="O108" s="16">
        <f>IFERROR(INDEX(EPSIS!E$2:'EPSIS'!E$603,MATCH($M108,EPSIS!$F$2:'EPSIS'!$F$603,0)),"")</f>
        <v>2017</v>
      </c>
      <c r="R108" s="53" t="b">
        <f t="shared" si="9"/>
        <v>1</v>
      </c>
      <c r="S108" s="53">
        <f t="shared" si="10"/>
        <v>2047</v>
      </c>
    </row>
    <row r="109" spans="1:19">
      <c r="A109" s="53" t="str">
        <f>IFERROR(INDEX(EPSIS!$B$2:'EPSIS'!$B$603,MATCH($B109,EPSIS!$F$2:'EPSIS'!$F$603,0)),"")</f>
        <v/>
      </c>
      <c r="B109" s="53" t="str" cm="1">
        <f t="array" ref="B109">IFERROR(INDEX(EPSIS!$F$2:'EPSIS'!$F$603,SMALL(IF(($B$33=EPSIS!$B$2:'EPSIS'!$B$603),MATCH(ROW(EPSIS!$B$2:'EPSIS'!$B$603), ROW(EPSIS!$B$2:'EPSIS'!$B$603)), ""), ROWS($A$1:A75))),"")</f>
        <v/>
      </c>
      <c r="C109" s="70" t="str">
        <f>IFERROR(INDEX(EPSIS!D$2:'EPSIS'!D$603,MATCH($B109,EPSIS!$F$2:'EPSIS'!$F$603,0)),"")</f>
        <v/>
      </c>
      <c r="D109" s="16" t="str">
        <f>IFERROR(INDEX(EPSIS!E$2:'EPSIS'!E$603,MATCH($B109,EPSIS!$F$2:'EPSIS'!$F$603,0)),"")</f>
        <v/>
      </c>
      <c r="G109" s="53" t="b">
        <f t="shared" si="11"/>
        <v>1</v>
      </c>
      <c r="H109" s="53" t="e">
        <f t="shared" si="12"/>
        <v>#VALUE!</v>
      </c>
      <c r="L109" s="53" t="str">
        <f>IFERROR(INDEX(EPSIS!$B$2:'EPSIS'!$B$603,MATCH($M109,EPSIS!$F$2:'EPSIS'!$F$603,0)),"")</f>
        <v>LNG</v>
      </c>
      <c r="M109" s="53" t="str">
        <f t="array" ref="M109">IFERROR(INDEX(EPSIS!$F$2:'EPSIS'!$F$603,SMALL(IF(($M$3=EPSIS!$B$2:'EPSIS'!$B$603),MATCH(ROW(EPSIS!$B$2:'EPSIS'!$B$603), ROW(EPSIS!$B$2:'EPSIS'!$B$603)), ""), ROWS($A$1:A105))),"")</f>
        <v>293파주문산#2 ST</v>
      </c>
      <c r="N109" s="70">
        <f>IFERROR(INDEX(EPSIS!D$2:'EPSIS'!D$603,MATCH($M109,EPSIS!$F$2:'EPSIS'!$F$603,0)),"")</f>
        <v>296.60000000000002</v>
      </c>
      <c r="O109" s="16">
        <f>IFERROR(INDEX(EPSIS!E$2:'EPSIS'!E$603,MATCH($M109,EPSIS!$F$2:'EPSIS'!$F$603,0)),"")</f>
        <v>2017</v>
      </c>
      <c r="R109" s="53" t="b">
        <f t="shared" si="9"/>
        <v>1</v>
      </c>
      <c r="S109" s="53">
        <f t="shared" si="10"/>
        <v>2047</v>
      </c>
    </row>
    <row r="110" spans="1:19">
      <c r="A110" s="53" t="str">
        <f>IFERROR(INDEX(EPSIS!$B$2:'EPSIS'!$B$603,MATCH($B110,EPSIS!$F$2:'EPSIS'!$F$603,0)),"")</f>
        <v/>
      </c>
      <c r="B110" s="53" t="str" cm="1">
        <f t="array" ref="B110">IFERROR(INDEX(EPSIS!$F$2:'EPSIS'!$F$603,SMALL(IF(($B$33=EPSIS!$B$2:'EPSIS'!$B$603),MATCH(ROW(EPSIS!$B$2:'EPSIS'!$B$603), ROW(EPSIS!$B$2:'EPSIS'!$B$603)), ""), ROWS($A$1:A76))),"")</f>
        <v/>
      </c>
      <c r="C110" s="70" t="str">
        <f>IFERROR(INDEX(EPSIS!D$2:'EPSIS'!D$603,MATCH($B110,EPSIS!$F$2:'EPSIS'!$F$603,0)),"")</f>
        <v/>
      </c>
      <c r="D110" s="16" t="str">
        <f>IFERROR(INDEX(EPSIS!E$2:'EPSIS'!E$603,MATCH($B110,EPSIS!$F$2:'EPSIS'!$F$603,0)),"")</f>
        <v/>
      </c>
      <c r="G110" s="53" t="b">
        <f t="shared" si="11"/>
        <v>1</v>
      </c>
      <c r="H110" s="53" t="e">
        <f t="shared" si="12"/>
        <v>#VALUE!</v>
      </c>
      <c r="L110" s="53" t="str">
        <f>IFERROR(INDEX(EPSIS!$B$2:'EPSIS'!$B$603,MATCH($M110,EPSIS!$F$2:'EPSIS'!$F$603,0)),"")</f>
        <v>LNG</v>
      </c>
      <c r="M110" s="53" t="str">
        <f t="array" ref="M110">IFERROR(INDEX(EPSIS!$F$2:'EPSIS'!$F$603,SMALL(IF(($M$3=EPSIS!$B$2:'EPSIS'!$B$603),MATCH(ROW(EPSIS!$B$2:'EPSIS'!$B$603), ROW(EPSIS!$B$2:'EPSIS'!$B$603)), ""), ROWS($A$1:A106))),"")</f>
        <v>294평택#2 GT</v>
      </c>
      <c r="N110" s="70">
        <f>IFERROR(INDEX(EPSIS!D$2:'EPSIS'!D$603,MATCH($M110,EPSIS!$F$2:'EPSIS'!$F$603,0)),"")</f>
        <v>572.6</v>
      </c>
      <c r="O110" s="16">
        <f>IFERROR(INDEX(EPSIS!E$2:'EPSIS'!E$603,MATCH($M110,EPSIS!$F$2:'EPSIS'!$F$603,0)),"")</f>
        <v>2013</v>
      </c>
      <c r="R110" s="53" t="b">
        <f t="shared" si="9"/>
        <v>1</v>
      </c>
      <c r="S110" s="53">
        <f t="shared" si="10"/>
        <v>2043</v>
      </c>
    </row>
    <row r="111" spans="1:19">
      <c r="A111" s="53" t="str">
        <f>IFERROR(INDEX(EPSIS!$B$2:'EPSIS'!$B$603,MATCH($B111,EPSIS!$F$2:'EPSIS'!$F$603,0)),"")</f>
        <v/>
      </c>
      <c r="B111" s="53" t="str" cm="1">
        <f t="array" ref="B111">IFERROR(INDEX(EPSIS!$F$2:'EPSIS'!$F$603,SMALL(IF(($B$33=EPSIS!$B$2:'EPSIS'!$B$603),MATCH(ROW(EPSIS!$B$2:'EPSIS'!$B$603), ROW(EPSIS!$B$2:'EPSIS'!$B$603)), ""), ROWS($A$1:A77))),"")</f>
        <v/>
      </c>
      <c r="C111" s="70" t="str">
        <f>IFERROR(INDEX(EPSIS!D$2:'EPSIS'!D$603,MATCH($B111,EPSIS!$F$2:'EPSIS'!$F$603,0)),"")</f>
        <v/>
      </c>
      <c r="D111" s="16" t="str">
        <f>IFERROR(INDEX(EPSIS!E$2:'EPSIS'!E$603,MATCH($B111,EPSIS!$F$2:'EPSIS'!$F$603,0)),"")</f>
        <v/>
      </c>
      <c r="G111" s="53" t="b">
        <f t="shared" si="11"/>
        <v>1</v>
      </c>
      <c r="H111" s="53" t="e">
        <f t="shared" si="12"/>
        <v>#VALUE!</v>
      </c>
      <c r="L111" s="53" t="str">
        <f>IFERROR(INDEX(EPSIS!$B$2:'EPSIS'!$B$603,MATCH($M111,EPSIS!$F$2:'EPSIS'!$F$603,0)),"")</f>
        <v>LNG</v>
      </c>
      <c r="M111" s="53" t="str">
        <f t="array" ref="M111">IFERROR(INDEX(EPSIS!$F$2:'EPSIS'!$F$603,SMALL(IF(($M$3=EPSIS!$B$2:'EPSIS'!$B$603),MATCH(ROW(EPSIS!$B$2:'EPSIS'!$B$603), ROW(EPSIS!$B$2:'EPSIS'!$B$603)), ""), ROWS($A$1:A107))),"")</f>
        <v>295평택#2 ST</v>
      </c>
      <c r="N111" s="70">
        <f>IFERROR(INDEX(EPSIS!D$2:'EPSIS'!D$603,MATCH($M111,EPSIS!$F$2:'EPSIS'!$F$603,0)),"")</f>
        <v>295.90000000000003</v>
      </c>
      <c r="O111" s="16">
        <f>IFERROR(INDEX(EPSIS!E$2:'EPSIS'!E$603,MATCH($M111,EPSIS!$F$2:'EPSIS'!$F$603,0)),"")</f>
        <v>2014</v>
      </c>
      <c r="R111" s="53" t="b">
        <f t="shared" si="9"/>
        <v>1</v>
      </c>
      <c r="S111" s="53">
        <f t="shared" si="10"/>
        <v>2044</v>
      </c>
    </row>
    <row r="112" spans="1:19">
      <c r="A112" s="53" t="str">
        <f>IFERROR(INDEX(EPSIS!$B$2:'EPSIS'!$B$603,MATCH($B112,EPSIS!$F$2:'EPSIS'!$F$603,0)),"")</f>
        <v/>
      </c>
      <c r="B112" s="53" t="str" cm="1">
        <f t="array" ref="B112">IFERROR(INDEX(EPSIS!$F$2:'EPSIS'!$F$603,SMALL(IF(($B$33=EPSIS!$B$2:'EPSIS'!$B$603),MATCH(ROW(EPSIS!$B$2:'EPSIS'!$B$603), ROW(EPSIS!$B$2:'EPSIS'!$B$603)), ""), ROWS($A$1:A78))),"")</f>
        <v/>
      </c>
      <c r="C112" s="70" t="str">
        <f>IFERROR(INDEX(EPSIS!D$2:'EPSIS'!D$603,MATCH($B112,EPSIS!$F$2:'EPSIS'!$F$603,0)),"")</f>
        <v/>
      </c>
      <c r="D112" s="16" t="str">
        <f>IFERROR(INDEX(EPSIS!E$2:'EPSIS'!E$603,MATCH($B112,EPSIS!$F$2:'EPSIS'!$F$603,0)),"")</f>
        <v/>
      </c>
      <c r="G112" s="53" t="b">
        <f t="shared" si="11"/>
        <v>1</v>
      </c>
      <c r="H112" s="53" t="e">
        <f t="shared" si="12"/>
        <v>#VALUE!</v>
      </c>
      <c r="L112" s="53" t="str">
        <f>IFERROR(INDEX(EPSIS!$B$2:'EPSIS'!$B$603,MATCH($M112,EPSIS!$F$2:'EPSIS'!$F$603,0)),"")</f>
        <v>LNG</v>
      </c>
      <c r="M112" s="53" t="str">
        <f t="array" ref="M112">IFERROR(INDEX(EPSIS!$F$2:'EPSIS'!$F$603,SMALL(IF(($M$3=EPSIS!$B$2:'EPSIS'!$B$603),MATCH(ROW(EPSIS!$B$2:'EPSIS'!$B$603), ROW(EPSIS!$B$2:'EPSIS'!$B$603)), ""), ROWS($A$1:A108))),"")</f>
        <v>296포스코#3 GT</v>
      </c>
      <c r="N112" s="70">
        <f>IFERROR(INDEX(EPSIS!D$2:'EPSIS'!D$603,MATCH($M112,EPSIS!$F$2:'EPSIS'!$F$603,0)),"")</f>
        <v>300</v>
      </c>
      <c r="O112" s="16">
        <f>IFERROR(INDEX(EPSIS!E$2:'EPSIS'!E$603,MATCH($M112,EPSIS!$F$2:'EPSIS'!$F$603,0)),"")</f>
        <v>1996</v>
      </c>
      <c r="R112" s="53" t="str">
        <f t="shared" si="9"/>
        <v>-</v>
      </c>
      <c r="S112" s="53" t="str">
        <f t="shared" si="10"/>
        <v>-</v>
      </c>
    </row>
    <row r="113" spans="1:19">
      <c r="A113" s="53" t="str">
        <f>IFERROR(INDEX(EPSIS!$B$2:'EPSIS'!$B$603,MATCH($B113,EPSIS!$F$2:'EPSIS'!$F$603,0)),"")</f>
        <v/>
      </c>
      <c r="B113" s="53" t="str" cm="1">
        <f t="array" ref="B113">IFERROR(INDEX(EPSIS!$F$2:'EPSIS'!$F$603,SMALL(IF(($B$33=EPSIS!$B$2:'EPSIS'!$B$603),MATCH(ROW(EPSIS!$B$2:'EPSIS'!$B$603), ROW(EPSIS!$B$2:'EPSIS'!$B$603)), ""), ROWS($A$1:A79))),"")</f>
        <v/>
      </c>
      <c r="C113" s="70" t="str">
        <f>IFERROR(INDEX(EPSIS!D$2:'EPSIS'!D$603,MATCH($B113,EPSIS!$F$2:'EPSIS'!$F$603,0)),"")</f>
        <v/>
      </c>
      <c r="D113" s="16" t="str">
        <f>IFERROR(INDEX(EPSIS!E$2:'EPSIS'!E$603,MATCH($B113,EPSIS!$F$2:'EPSIS'!$F$603,0)),"")</f>
        <v/>
      </c>
      <c r="G113" s="53" t="b">
        <f t="shared" si="11"/>
        <v>1</v>
      </c>
      <c r="H113" s="53" t="e">
        <f t="shared" si="12"/>
        <v>#VALUE!</v>
      </c>
      <c r="L113" s="53" t="str">
        <f>IFERROR(INDEX(EPSIS!$B$2:'EPSIS'!$B$603,MATCH($M113,EPSIS!$F$2:'EPSIS'!$F$603,0)),"")</f>
        <v>LNG</v>
      </c>
      <c r="M113" s="53" t="str">
        <f t="array" ref="M113">IFERROR(INDEX(EPSIS!$F$2:'EPSIS'!$F$603,SMALL(IF(($M$3=EPSIS!$B$2:'EPSIS'!$B$603),MATCH(ROW(EPSIS!$B$2:'EPSIS'!$B$603), ROW(EPSIS!$B$2:'EPSIS'!$B$603)), ""), ROWS($A$1:A109))),"")</f>
        <v>297포스코#3 ST</v>
      </c>
      <c r="N113" s="70">
        <f>IFERROR(INDEX(EPSIS!D$2:'EPSIS'!D$603,MATCH($M113,EPSIS!$F$2:'EPSIS'!$F$603,0)),"")</f>
        <v>150</v>
      </c>
      <c r="O113" s="16">
        <f>IFERROR(INDEX(EPSIS!E$2:'EPSIS'!E$603,MATCH($M113,EPSIS!$F$2:'EPSIS'!$F$603,0)),"")</f>
        <v>1999</v>
      </c>
      <c r="R113" s="53" t="str">
        <f t="shared" si="9"/>
        <v>-</v>
      </c>
      <c r="S113" s="53" t="str">
        <f t="shared" si="10"/>
        <v>-</v>
      </c>
    </row>
    <row r="114" spans="1:19">
      <c r="A114" s="53" t="str">
        <f>IFERROR(INDEX(EPSIS!$B$2:'EPSIS'!$B$603,MATCH($B114,EPSIS!$F$2:'EPSIS'!$F$603,0)),"")</f>
        <v>무연탄</v>
      </c>
      <c r="B114" s="53" t="str">
        <f t="array" ref="B114">IFERROR(INDEX(EPSIS!$F$2:'EPSIS'!$F$603,SMALL(IF(($C$33=EPSIS!$B$2:'EPSIS'!$B$603),MATCH(ROW(EPSIS!$B$2:'EPSIS'!$B$603), ROW(EPSIS!$B$2:'EPSIS'!$B$603)), ""), ROWS($A$1:A1))),"")</f>
        <v>15동해#1</v>
      </c>
      <c r="C114" s="70">
        <f>IFERROR(INDEX(EPSIS!D$2:'EPSIS'!D$603,MATCH($B114,EPSIS!$F$2:'EPSIS'!$F$603,0)),"")</f>
        <v>200</v>
      </c>
      <c r="D114" s="16">
        <f>IFERROR(INDEX(EPSIS!E$2:'EPSIS'!E$603,MATCH($B114,EPSIS!$F$2:'EPSIS'!$F$603,0)),"")</f>
        <v>1998</v>
      </c>
      <c r="G114" s="53" t="str">
        <f t="shared" si="11"/>
        <v>-</v>
      </c>
      <c r="H114" s="53" t="str">
        <f t="shared" si="12"/>
        <v>-</v>
      </c>
      <c r="L114" s="53" t="str">
        <f>IFERROR(INDEX(EPSIS!$B$2:'EPSIS'!$B$603,MATCH($M114,EPSIS!$F$2:'EPSIS'!$F$603,0)),"")</f>
        <v>LNG</v>
      </c>
      <c r="M114" s="53" t="str">
        <f t="array" ref="M114">IFERROR(INDEX(EPSIS!$F$2:'EPSIS'!$F$603,SMALL(IF(($M$3=EPSIS!$B$2:'EPSIS'!$B$603),MATCH(ROW(EPSIS!$B$2:'EPSIS'!$B$603), ROW(EPSIS!$B$2:'EPSIS'!$B$603)), ""), ROWS($A$1:A110))),"")</f>
        <v>298포스코#4 GT</v>
      </c>
      <c r="N114" s="70">
        <f>IFERROR(INDEX(EPSIS!D$2:'EPSIS'!D$603,MATCH($M114,EPSIS!$F$2:'EPSIS'!$F$603,0)),"")</f>
        <v>300</v>
      </c>
      <c r="O114" s="16">
        <f>IFERROR(INDEX(EPSIS!E$2:'EPSIS'!E$603,MATCH($M114,EPSIS!$F$2:'EPSIS'!$F$603,0)),"")</f>
        <v>1997</v>
      </c>
      <c r="R114" s="53" t="str">
        <f t="shared" si="9"/>
        <v>-</v>
      </c>
      <c r="S114" s="53" t="str">
        <f t="shared" si="10"/>
        <v>-</v>
      </c>
    </row>
    <row r="115" spans="1:19">
      <c r="A115" s="53" t="str">
        <f>IFERROR(INDEX(EPSIS!$B$2:'EPSIS'!$B$603,MATCH($B115,EPSIS!$F$2:'EPSIS'!$F$603,0)),"")</f>
        <v>무연탄</v>
      </c>
      <c r="B115" s="53" t="str">
        <f t="array" ref="B115">IFERROR(INDEX(EPSIS!$F$2:'EPSIS'!$F$603,SMALL(IF(($C$33=EPSIS!$B$2:'EPSIS'!$B$603),MATCH(ROW(EPSIS!$B$2:'EPSIS'!$B$603), ROW(EPSIS!$B$2:'EPSIS'!$B$603)), ""), ROWS($A$1:A2))),"")</f>
        <v>16동해#2</v>
      </c>
      <c r="C115" s="70">
        <f>IFERROR(INDEX(EPSIS!D$2:'EPSIS'!D$603,MATCH($B115,EPSIS!$F$2:'EPSIS'!$F$603,0)),"")</f>
        <v>200</v>
      </c>
      <c r="D115" s="16">
        <f>IFERROR(INDEX(EPSIS!E$2:'EPSIS'!E$603,MATCH($B115,EPSIS!$F$2:'EPSIS'!$F$603,0)),"")</f>
        <v>1999</v>
      </c>
      <c r="G115" s="53" t="str">
        <f t="shared" si="11"/>
        <v>-</v>
      </c>
      <c r="H115" s="53" t="str">
        <f t="shared" si="12"/>
        <v>-</v>
      </c>
      <c r="L115" s="53" t="str">
        <f>IFERROR(INDEX(EPSIS!$B$2:'EPSIS'!$B$603,MATCH($M115,EPSIS!$F$2:'EPSIS'!$F$603,0)),"")</f>
        <v>LNG</v>
      </c>
      <c r="M115" s="53" t="str">
        <f t="array" ref="M115">IFERROR(INDEX(EPSIS!$F$2:'EPSIS'!$F$603,SMALL(IF(($M$3=EPSIS!$B$2:'EPSIS'!$B$603),MATCH(ROW(EPSIS!$B$2:'EPSIS'!$B$603), ROW(EPSIS!$B$2:'EPSIS'!$B$603)), ""), ROWS($A$1:A111))),"")</f>
        <v>299포스코#4 ST</v>
      </c>
      <c r="N115" s="70">
        <f>IFERROR(INDEX(EPSIS!D$2:'EPSIS'!D$603,MATCH($M115,EPSIS!$F$2:'EPSIS'!$F$603,0)),"")</f>
        <v>150</v>
      </c>
      <c r="O115" s="16">
        <f>IFERROR(INDEX(EPSIS!E$2:'EPSIS'!E$603,MATCH($M115,EPSIS!$F$2:'EPSIS'!$F$603,0)),"")</f>
        <v>2001</v>
      </c>
      <c r="R115" s="53" t="str">
        <f t="shared" si="9"/>
        <v>-</v>
      </c>
      <c r="S115" s="53" t="str">
        <f t="shared" si="10"/>
        <v>-</v>
      </c>
    </row>
    <row r="116" spans="1:19">
      <c r="A116" s="53" t="str">
        <f>IFERROR(INDEX(EPSIS!$B$2:'EPSIS'!$B$603,MATCH($B116,EPSIS!$F$2:'EPSIS'!$F$603,0)),"")</f>
        <v/>
      </c>
      <c r="B116" s="53" t="str">
        <f t="array" ref="B116">IFERROR(INDEX(EPSIS!$F$2:'EPSIS'!$F$603,SMALL(IF(($C$33=EPSIS!$B$2:'EPSIS'!$B$603),MATCH(ROW(EPSIS!$B$2:'EPSIS'!$B$603), ROW(EPSIS!$B$2:'EPSIS'!$B$603)), ""), ROWS($A$1:A3))),"")</f>
        <v/>
      </c>
      <c r="C116" s="70" t="str">
        <f>IFERROR(INDEX(EPSIS!D$2:'EPSIS'!D$603,MATCH($B116,EPSIS!$F$2:'EPSIS'!$F$603,0)),"")</f>
        <v/>
      </c>
      <c r="D116" s="16" t="str">
        <f>IFERROR(INDEX(EPSIS!E$2:'EPSIS'!E$603,MATCH($B116,EPSIS!$F$2:'EPSIS'!$F$603,0)),"")</f>
        <v/>
      </c>
      <c r="G116" s="53" t="b">
        <f t="shared" si="11"/>
        <v>1</v>
      </c>
      <c r="H116" s="53" t="e">
        <f t="shared" si="12"/>
        <v>#VALUE!</v>
      </c>
      <c r="L116" s="53" t="str">
        <f>IFERROR(INDEX(EPSIS!$B$2:'EPSIS'!$B$603,MATCH($M116,EPSIS!$F$2:'EPSIS'!$F$603,0)),"")</f>
        <v>LNG</v>
      </c>
      <c r="M116" s="53" t="str">
        <f t="array" ref="M116">IFERROR(INDEX(EPSIS!$F$2:'EPSIS'!$F$603,SMALL(IF(($M$3=EPSIS!$B$2:'EPSIS'!$B$603),MATCH(ROW(EPSIS!$B$2:'EPSIS'!$B$603), ROW(EPSIS!$B$2:'EPSIS'!$B$603)), ""), ROWS($A$1:A112))),"")</f>
        <v>300포스코#5 GT</v>
      </c>
      <c r="N116" s="70">
        <f>IFERROR(INDEX(EPSIS!D$2:'EPSIS'!D$603,MATCH($M116,EPSIS!$F$2:'EPSIS'!$F$603,0)),"")</f>
        <v>366.40000000000003</v>
      </c>
      <c r="O116" s="16">
        <f>IFERROR(INDEX(EPSIS!E$2:'EPSIS'!E$603,MATCH($M116,EPSIS!$F$2:'EPSIS'!$F$603,0)),"")</f>
        <v>2011</v>
      </c>
      <c r="R116" s="53" t="b">
        <f t="shared" si="9"/>
        <v>1</v>
      </c>
      <c r="S116" s="53">
        <f t="shared" si="10"/>
        <v>2041</v>
      </c>
    </row>
    <row r="117" spans="1:19">
      <c r="A117" s="53" t="str">
        <f>IFERROR(INDEX(EPSIS!$B$2:'EPSIS'!$B$603,MATCH($B117,EPSIS!$F$2:'EPSIS'!$F$603,0)),"")</f>
        <v>역청탄</v>
      </c>
      <c r="B117" s="53" t="str">
        <f t="array" ref="B117">IFERROR(INDEX(EPSIS!$F$2:'EPSIS'!$F$603,SMALL(IF(($D$33=EPSIS!$B$2:'EPSIS'!$B$603),MATCH(ROW(EPSIS!$B$2:'EPSIS'!$B$603), ROW(EPSIS!$B$2:'EPSIS'!$B$603)), ""), ROWS($A$1:A1))),"")</f>
        <v>534SGC에너지#1</v>
      </c>
      <c r="C117" s="70">
        <f>IFERROR(INDEX(EPSIS!D$2:'EPSIS'!D$603,MATCH($B117,EPSIS!$F$2:'EPSIS'!$F$603,0)),"")</f>
        <v>54.529000000000003</v>
      </c>
      <c r="D117" s="16">
        <f>IFERROR(INDEX(EPSIS!E$2:'EPSIS'!E$603,MATCH($B117,EPSIS!$F$2:'EPSIS'!$F$603,0)),"")</f>
        <v>2008</v>
      </c>
      <c r="G117" s="53" t="b">
        <f t="shared" si="11"/>
        <v>1</v>
      </c>
      <c r="H117" s="53">
        <f t="shared" si="12"/>
        <v>2038</v>
      </c>
      <c r="L117" s="53" t="str">
        <f>IFERROR(INDEX(EPSIS!$B$2:'EPSIS'!$B$603,MATCH($M117,EPSIS!$F$2:'EPSIS'!$F$603,0)),"")</f>
        <v>LNG</v>
      </c>
      <c r="M117" s="53" t="str">
        <f t="array" ref="M117">IFERROR(INDEX(EPSIS!$F$2:'EPSIS'!$F$603,SMALL(IF(($M$3=EPSIS!$B$2:'EPSIS'!$B$603),MATCH(ROW(EPSIS!$B$2:'EPSIS'!$B$603), ROW(EPSIS!$B$2:'EPSIS'!$B$603)), ""), ROWS($A$1:A113))),"")</f>
        <v>301포스코#5 ST</v>
      </c>
      <c r="N117" s="70">
        <f>IFERROR(INDEX(EPSIS!D$2:'EPSIS'!D$603,MATCH($M117,EPSIS!$F$2:'EPSIS'!$F$603,0)),"")</f>
        <v>208.20000000000002</v>
      </c>
      <c r="O117" s="16">
        <f>IFERROR(INDEX(EPSIS!E$2:'EPSIS'!E$603,MATCH($M117,EPSIS!$F$2:'EPSIS'!$F$603,0)),"")</f>
        <v>2011</v>
      </c>
      <c r="R117" s="53" t="b">
        <f t="shared" si="9"/>
        <v>1</v>
      </c>
      <c r="S117" s="53">
        <f t="shared" si="10"/>
        <v>2041</v>
      </c>
    </row>
    <row r="118" spans="1:19">
      <c r="A118" s="53" t="str">
        <f>IFERROR(INDEX(EPSIS!$B$2:'EPSIS'!$B$603,MATCH($B118,EPSIS!$F$2:'EPSIS'!$F$603,0)),"")</f>
        <v>역청탄</v>
      </c>
      <c r="B118" s="53" t="str">
        <f t="array" ref="B118">IFERROR(INDEX(EPSIS!$F$2:'EPSIS'!$F$603,SMALL(IF(($D$33=EPSIS!$B$2:'EPSIS'!$B$603),MATCH(ROW(EPSIS!$B$2:'EPSIS'!$B$603), ROW(EPSIS!$B$2:'EPSIS'!$B$603)), ""), ROWS($A$1:A2))),"")</f>
        <v>535SGC에너지#2</v>
      </c>
      <c r="C118" s="70">
        <f>IFERROR(INDEX(EPSIS!D$2:'EPSIS'!D$603,MATCH($B118,EPSIS!$F$2:'EPSIS'!$F$603,0)),"")</f>
        <v>30.54</v>
      </c>
      <c r="D118" s="16">
        <f>IFERROR(INDEX(EPSIS!E$2:'EPSIS'!E$603,MATCH($B118,EPSIS!$F$2:'EPSIS'!$F$603,0)),"")</f>
        <v>2009</v>
      </c>
      <c r="G118" s="53" t="b">
        <f t="shared" si="11"/>
        <v>1</v>
      </c>
      <c r="H118" s="53">
        <f t="shared" si="12"/>
        <v>2039</v>
      </c>
      <c r="L118" s="53" t="str">
        <f>IFERROR(INDEX(EPSIS!$B$2:'EPSIS'!$B$603,MATCH($M118,EPSIS!$F$2:'EPSIS'!$F$603,0)),"")</f>
        <v>LNG</v>
      </c>
      <c r="M118" s="53" t="str">
        <f t="array" ref="M118">IFERROR(INDEX(EPSIS!$F$2:'EPSIS'!$F$603,SMALL(IF(($M$3=EPSIS!$B$2:'EPSIS'!$B$603),MATCH(ROW(EPSIS!$B$2:'EPSIS'!$B$603), ROW(EPSIS!$B$2:'EPSIS'!$B$603)), ""), ROWS($A$1:A114))),"")</f>
        <v>302포스코#6 GT</v>
      </c>
      <c r="N118" s="70">
        <f>IFERROR(INDEX(EPSIS!D$2:'EPSIS'!D$603,MATCH($M118,EPSIS!$F$2:'EPSIS'!$F$603,0)),"")</f>
        <v>366.40000000000003</v>
      </c>
      <c r="O118" s="16">
        <f>IFERROR(INDEX(EPSIS!E$2:'EPSIS'!E$603,MATCH($M118,EPSIS!$F$2:'EPSIS'!$F$603,0)),"")</f>
        <v>2011</v>
      </c>
      <c r="R118" s="53" t="b">
        <f t="shared" si="9"/>
        <v>1</v>
      </c>
      <c r="S118" s="53">
        <f t="shared" si="10"/>
        <v>2041</v>
      </c>
    </row>
    <row r="119" spans="1:19">
      <c r="L119" s="53" t="str">
        <f>IFERROR(INDEX(EPSIS!$B$2:'EPSIS'!$B$603,MATCH($M119,EPSIS!$F$2:'EPSIS'!$F$603,0)),"")</f>
        <v>LNG</v>
      </c>
      <c r="M119" s="53" t="str">
        <f t="array" ref="M119">IFERROR(INDEX(EPSIS!$F$2:'EPSIS'!$F$603,SMALL(IF(($M$3=EPSIS!$B$2:'EPSIS'!$B$603),MATCH(ROW(EPSIS!$B$2:'EPSIS'!$B$603), ROW(EPSIS!$B$2:'EPSIS'!$B$603)), ""), ROWS($A$1:A115))),"")</f>
        <v>303포스코#6 ST</v>
      </c>
      <c r="N119" s="70">
        <f>IFERROR(INDEX(EPSIS!D$2:'EPSIS'!D$603,MATCH($M119,EPSIS!$F$2:'EPSIS'!$F$603,0)),"")</f>
        <v>208.20000000000002</v>
      </c>
      <c r="O119" s="16">
        <f>IFERROR(INDEX(EPSIS!E$2:'EPSIS'!E$603,MATCH($M119,EPSIS!$F$2:'EPSIS'!$F$603,0)),"")</f>
        <v>2011</v>
      </c>
      <c r="R119" s="53" t="b">
        <f t="shared" si="9"/>
        <v>1</v>
      </c>
      <c r="S119" s="53">
        <f t="shared" si="10"/>
        <v>2041</v>
      </c>
    </row>
    <row r="120" spans="1:19">
      <c r="L120" s="53" t="str">
        <f>IFERROR(INDEX(EPSIS!$B$2:'EPSIS'!$B$603,MATCH($M120,EPSIS!$F$2:'EPSIS'!$F$603,0)),"")</f>
        <v>LNG</v>
      </c>
      <c r="M120" s="53" t="str">
        <f t="array" ref="M120">IFERROR(INDEX(EPSIS!$F$2:'EPSIS'!$F$603,SMALL(IF(($M$3=EPSIS!$B$2:'EPSIS'!$B$603),MATCH(ROW(EPSIS!$B$2:'EPSIS'!$B$603), ROW(EPSIS!$B$2:'EPSIS'!$B$603)), ""), ROWS($A$1:A116))),"")</f>
        <v>304포스코#7 GT</v>
      </c>
      <c r="N120" s="70">
        <f>IFERROR(INDEX(EPSIS!D$2:'EPSIS'!D$603,MATCH($M120,EPSIS!$F$2:'EPSIS'!$F$603,0)),"")</f>
        <v>242.70000000000002</v>
      </c>
      <c r="O120" s="16">
        <f>IFERROR(INDEX(EPSIS!E$2:'EPSIS'!E$603,MATCH($M120,EPSIS!$F$2:'EPSIS'!$F$603,0)),"")</f>
        <v>2014</v>
      </c>
      <c r="R120" s="53" t="b">
        <f t="shared" si="9"/>
        <v>1</v>
      </c>
      <c r="S120" s="53">
        <f t="shared" si="10"/>
        <v>2044</v>
      </c>
    </row>
    <row r="121" spans="1:19">
      <c r="L121" s="53" t="str">
        <f>IFERROR(INDEX(EPSIS!$B$2:'EPSIS'!$B$603,MATCH($M121,EPSIS!$F$2:'EPSIS'!$F$603,0)),"")</f>
        <v>LNG</v>
      </c>
      <c r="M121" s="53" t="str">
        <f t="array" ref="M121">IFERROR(INDEX(EPSIS!$F$2:'EPSIS'!$F$603,SMALL(IF(($M$3=EPSIS!$B$2:'EPSIS'!$B$603),MATCH(ROW(EPSIS!$B$2:'EPSIS'!$B$603), ROW(EPSIS!$B$2:'EPSIS'!$B$603)), ""), ROWS($A$1:A117))),"")</f>
        <v>305포스코#7 ST</v>
      </c>
      <c r="N121" s="70">
        <f>IFERROR(INDEX(EPSIS!D$2:'EPSIS'!D$603,MATCH($M121,EPSIS!$F$2:'EPSIS'!$F$603,0)),"")</f>
        <v>132.9</v>
      </c>
      <c r="O121" s="16">
        <f>IFERROR(INDEX(EPSIS!E$2:'EPSIS'!E$603,MATCH($M121,EPSIS!$F$2:'EPSIS'!$F$603,0)),"")</f>
        <v>2014</v>
      </c>
      <c r="R121" s="53" t="b">
        <f t="shared" si="9"/>
        <v>1</v>
      </c>
      <c r="S121" s="53">
        <f t="shared" si="10"/>
        <v>2044</v>
      </c>
    </row>
    <row r="122" spans="1:19" ht="23.5">
      <c r="A122" s="57" t="s">
        <v>1469</v>
      </c>
      <c r="E122" s="71" t="s">
        <v>378</v>
      </c>
      <c r="F122" s="72">
        <v>30</v>
      </c>
      <c r="G122" s="16" t="s">
        <v>379</v>
      </c>
      <c r="H122" s="71"/>
      <c r="I122" s="46"/>
      <c r="L122" s="53" t="str">
        <f>IFERROR(INDEX(EPSIS!$B$2:'EPSIS'!$B$603,MATCH($M122,EPSIS!$F$2:'EPSIS'!$F$603,0)),"")</f>
        <v>LNG</v>
      </c>
      <c r="M122" s="53" t="str">
        <f t="array" ref="M122">IFERROR(INDEX(EPSIS!$F$2:'EPSIS'!$F$603,SMALL(IF(($M$3=EPSIS!$B$2:'EPSIS'!$B$603),MATCH(ROW(EPSIS!$B$2:'EPSIS'!$B$603), ROW(EPSIS!$B$2:'EPSIS'!$B$603)), ""), ROWS($A$1:A118))),"")</f>
        <v>306포스코#8 GT</v>
      </c>
      <c r="N122" s="70">
        <f>IFERROR(INDEX(EPSIS!D$2:'EPSIS'!D$603,MATCH($M122,EPSIS!$F$2:'EPSIS'!$F$603,0)),"")</f>
        <v>242.70000000000002</v>
      </c>
      <c r="O122" s="16">
        <f>IFERROR(INDEX(EPSIS!E$2:'EPSIS'!E$603,MATCH($M122,EPSIS!$F$2:'EPSIS'!$F$603,0)),"")</f>
        <v>2014</v>
      </c>
      <c r="R122" s="53" t="b">
        <f t="shared" si="9"/>
        <v>1</v>
      </c>
      <c r="S122" s="53">
        <f t="shared" si="10"/>
        <v>2044</v>
      </c>
    </row>
    <row r="123" spans="1:19">
      <c r="E123" s="71" t="s">
        <v>381</v>
      </c>
      <c r="F123" s="73">
        <f>$I$1-F122</f>
        <v>2004</v>
      </c>
      <c r="G123" s="16" t="s">
        <v>382</v>
      </c>
      <c r="L123" s="53" t="str">
        <f>IFERROR(INDEX(EPSIS!$B$2:'EPSIS'!$B$603,MATCH($M123,EPSIS!$F$2:'EPSIS'!$F$603,0)),"")</f>
        <v>LNG</v>
      </c>
      <c r="M123" s="53" t="str">
        <f t="array" ref="M123">IFERROR(INDEX(EPSIS!$F$2:'EPSIS'!$F$603,SMALL(IF(($M$3=EPSIS!$B$2:'EPSIS'!$B$603),MATCH(ROW(EPSIS!$B$2:'EPSIS'!$B$603), ROW(EPSIS!$B$2:'EPSIS'!$B$603)), ""), ROWS($A$1:A119))),"")</f>
        <v>307포스코#8 ST</v>
      </c>
      <c r="N123" s="70">
        <f>IFERROR(INDEX(EPSIS!D$2:'EPSIS'!D$603,MATCH($M123,EPSIS!$F$2:'EPSIS'!$F$603,0)),"")</f>
        <v>132.9</v>
      </c>
      <c r="O123" s="16">
        <f>IFERROR(INDEX(EPSIS!E$2:'EPSIS'!E$603,MATCH($M123,EPSIS!$F$2:'EPSIS'!$F$603,0)),"")</f>
        <v>2014</v>
      </c>
      <c r="R123" s="53" t="b">
        <f t="shared" si="9"/>
        <v>1</v>
      </c>
      <c r="S123" s="53">
        <f t="shared" si="10"/>
        <v>2044</v>
      </c>
    </row>
    <row r="124" spans="1:19">
      <c r="A124" s="60" t="s">
        <v>1451</v>
      </c>
      <c r="B124" s="60" t="str">
        <f>EPSIS!I5</f>
        <v>바이오중유</v>
      </c>
      <c r="C124" s="75"/>
      <c r="D124" s="78"/>
      <c r="E124" s="53"/>
      <c r="L124" s="53" t="str">
        <f>IFERROR(INDEX(EPSIS!$B$2:'EPSIS'!$B$603,MATCH($M124,EPSIS!$F$2:'EPSIS'!$F$603,0)),"")</f>
        <v>LNG</v>
      </c>
      <c r="M124" s="53" t="str">
        <f t="array" ref="M124">IFERROR(INDEX(EPSIS!$F$2:'EPSIS'!$F$603,SMALL(IF(($M$3=EPSIS!$B$2:'EPSIS'!$B$603),MATCH(ROW(EPSIS!$B$2:'EPSIS'!$B$603), ROW(EPSIS!$B$2:'EPSIS'!$B$603)), ""), ROWS($A$1:A120))),"")</f>
        <v>308포스코#9 GT</v>
      </c>
      <c r="N124" s="70">
        <f>IFERROR(INDEX(EPSIS!D$2:'EPSIS'!D$603,MATCH($M124,EPSIS!$F$2:'EPSIS'!$F$603,0)),"")</f>
        <v>242.70000000000002</v>
      </c>
      <c r="O124" s="16">
        <f>IFERROR(INDEX(EPSIS!E$2:'EPSIS'!E$603,MATCH($M124,EPSIS!$F$2:'EPSIS'!$F$603,0)),"")</f>
        <v>2015</v>
      </c>
      <c r="R124" s="53" t="b">
        <f t="shared" si="9"/>
        <v>1</v>
      </c>
      <c r="S124" s="53">
        <f t="shared" si="10"/>
        <v>2045</v>
      </c>
    </row>
    <row r="125" spans="1:19">
      <c r="A125" s="53" t="s">
        <v>1458</v>
      </c>
      <c r="B125" s="53" t="s">
        <v>1457</v>
      </c>
      <c r="C125" s="75" t="s">
        <v>1456</v>
      </c>
      <c r="D125" s="53" t="s">
        <v>380</v>
      </c>
      <c r="G125" s="16" t="s">
        <v>384</v>
      </c>
      <c r="H125" s="53" t="s">
        <v>385</v>
      </c>
      <c r="L125" s="53" t="str">
        <f>IFERROR(INDEX(EPSIS!$B$2:'EPSIS'!$B$603,MATCH($M125,EPSIS!$F$2:'EPSIS'!$F$603,0)),"")</f>
        <v>LNG</v>
      </c>
      <c r="M125" s="53" t="str">
        <f t="array" ref="M125">IFERROR(INDEX(EPSIS!$F$2:'EPSIS'!$F$603,SMALL(IF(($M$3=EPSIS!$B$2:'EPSIS'!$B$603),MATCH(ROW(EPSIS!$B$2:'EPSIS'!$B$603), ROW(EPSIS!$B$2:'EPSIS'!$B$603)), ""), ROWS($A$1:A121))),"")</f>
        <v>309포스코#9 ST</v>
      </c>
      <c r="N125" s="70">
        <f>IFERROR(INDEX(EPSIS!D$2:'EPSIS'!D$603,MATCH($M125,EPSIS!$F$2:'EPSIS'!$F$603,0)),"")</f>
        <v>132.9</v>
      </c>
      <c r="O125" s="16">
        <f>IFERROR(INDEX(EPSIS!E$2:'EPSIS'!E$603,MATCH($M125,EPSIS!$F$2:'EPSIS'!$F$603,0)),"")</f>
        <v>2015</v>
      </c>
      <c r="R125" s="53" t="b">
        <f t="shared" si="9"/>
        <v>1</v>
      </c>
      <c r="S125" s="53">
        <f t="shared" si="10"/>
        <v>2045</v>
      </c>
    </row>
    <row r="126" spans="1:19">
      <c r="A126" s="53" t="str">
        <f>IFERROR(INDEX(EPSIS!$B$2:'EPSIS'!$B$603,MATCH($B126,EPSIS!$F$2:'EPSIS'!$F$603,0)),"")</f>
        <v>바이오중유</v>
      </c>
      <c r="B126" s="53" t="str" cm="1">
        <f t="array" ref="B126">IFERROR(INDEX(EPSIS!$F$2:'EPSIS'!$F$603,SMALL(IF(($B$124=EPSIS!$B$2:'EPSIS'!$B$603),MATCH(ROW(EPSIS!$B$2:'EPSIS'!$B$603), ROW(EPSIS!$B$2:'EPSIS'!$B$603)), ""), ROWS($A$1:A1))),"")</f>
        <v>3남제주#1</v>
      </c>
      <c r="C126" s="70">
        <f>IFERROR(INDEX(EPSIS!D$2:'EPSIS'!D$603,MATCH($B126,EPSIS!$F$2:'EPSIS'!$F$603,0)),"")</f>
        <v>100</v>
      </c>
      <c r="D126" s="16">
        <f>IFERROR(INDEX(EPSIS!E$2:'EPSIS'!E$603,MATCH($B126,EPSIS!$F$2:'EPSIS'!$F$603,0)),"")</f>
        <v>2006</v>
      </c>
      <c r="G126" s="53" t="b">
        <f>IF(D126&gt;$F$2,TRUE,"-")</f>
        <v>1</v>
      </c>
      <c r="H126" s="53">
        <f>IF(G126=TRUE,D126+30,"-")</f>
        <v>2036</v>
      </c>
      <c r="L126" s="53" t="str">
        <f>IFERROR(INDEX(EPSIS!$B$2:'EPSIS'!$B$603,MATCH($M126,EPSIS!$F$2:'EPSIS'!$F$603,0)),"")</f>
        <v>LNG</v>
      </c>
      <c r="M126" s="53" t="str">
        <f t="array" ref="M126">IFERROR(INDEX(EPSIS!$F$2:'EPSIS'!$F$603,SMALL(IF(($M$3=EPSIS!$B$2:'EPSIS'!$B$603),MATCH(ROW(EPSIS!$B$2:'EPSIS'!$B$603), ROW(EPSIS!$B$2:'EPSIS'!$B$603)), ""), ROWS($A$1:A122))),"")</f>
        <v>310포천#1 GT</v>
      </c>
      <c r="N126" s="70">
        <f>IFERROR(INDEX(EPSIS!D$2:'EPSIS'!D$603,MATCH($M126,EPSIS!$F$2:'EPSIS'!$F$603,0)),"")</f>
        <v>481</v>
      </c>
      <c r="O126" s="16">
        <f>IFERROR(INDEX(EPSIS!E$2:'EPSIS'!E$603,MATCH($M126,EPSIS!$F$2:'EPSIS'!$F$603,0)),"")</f>
        <v>2014</v>
      </c>
      <c r="R126" s="53" t="b">
        <f t="shared" si="9"/>
        <v>1</v>
      </c>
      <c r="S126" s="53">
        <f t="shared" si="10"/>
        <v>2044</v>
      </c>
    </row>
    <row r="127" spans="1:19">
      <c r="A127" s="53" t="str">
        <f>IFERROR(INDEX(EPSIS!$B$2:'EPSIS'!$B$603,MATCH($B127,EPSIS!$F$2:'EPSIS'!$F$603,0)),"")</f>
        <v>바이오중유</v>
      </c>
      <c r="B127" s="53" t="str" cm="1">
        <f t="array" ref="B127">IFERROR(INDEX(EPSIS!$F$2:'EPSIS'!$F$603,SMALL(IF(($B$124=EPSIS!$B$2:'EPSIS'!$B$603),MATCH(ROW(EPSIS!$B$2:'EPSIS'!$B$603), ROW(EPSIS!$B$2:'EPSIS'!$B$603)), ""), ROWS($A$1:A2))),"")</f>
        <v>4남제주#2</v>
      </c>
      <c r="C127" s="70">
        <f>IFERROR(INDEX(EPSIS!D$2:'EPSIS'!D$603,MATCH($B127,EPSIS!$F$2:'EPSIS'!$F$603,0)),"")</f>
        <v>100</v>
      </c>
      <c r="D127" s="16">
        <f>IFERROR(INDEX(EPSIS!E$2:'EPSIS'!E$603,MATCH($B127,EPSIS!$F$2:'EPSIS'!$F$603,0)),"")</f>
        <v>2007</v>
      </c>
      <c r="G127" s="53" t="b">
        <f t="shared" ref="G127:G129" si="13">IF(D127&gt;$F$2,TRUE,"-")</f>
        <v>1</v>
      </c>
      <c r="H127" s="53">
        <f t="shared" ref="H127:H129" si="14">IF(G127=TRUE,D127+30,"-")</f>
        <v>2037</v>
      </c>
      <c r="L127" s="53" t="str">
        <f>IFERROR(INDEX(EPSIS!$B$2:'EPSIS'!$B$603,MATCH($M127,EPSIS!$F$2:'EPSIS'!$F$603,0)),"")</f>
        <v>LNG</v>
      </c>
      <c r="M127" s="53" t="str">
        <f t="array" ref="M127">IFERROR(INDEX(EPSIS!$F$2:'EPSIS'!$F$603,SMALL(IF(($M$3=EPSIS!$B$2:'EPSIS'!$B$603),MATCH(ROW(EPSIS!$B$2:'EPSIS'!$B$603), ROW(EPSIS!$B$2:'EPSIS'!$B$603)), ""), ROWS($A$1:A123))),"")</f>
        <v>311포천#1 ST</v>
      </c>
      <c r="N127" s="70">
        <f>IFERROR(INDEX(EPSIS!D$2:'EPSIS'!D$603,MATCH($M127,EPSIS!$F$2:'EPSIS'!$F$603,0)),"")</f>
        <v>244</v>
      </c>
      <c r="O127" s="16">
        <f>IFERROR(INDEX(EPSIS!E$2:'EPSIS'!E$603,MATCH($M127,EPSIS!$F$2:'EPSIS'!$F$603,0)),"")</f>
        <v>2014</v>
      </c>
      <c r="R127" s="53" t="b">
        <f t="shared" si="9"/>
        <v>1</v>
      </c>
      <c r="S127" s="53">
        <f t="shared" si="10"/>
        <v>2044</v>
      </c>
    </row>
    <row r="128" spans="1:19">
      <c r="A128" s="53" t="str">
        <f>IFERROR(INDEX(EPSIS!$B$2:'EPSIS'!$B$603,MATCH($B128,EPSIS!$F$2:'EPSIS'!$F$603,0)),"")</f>
        <v>바이오중유</v>
      </c>
      <c r="B128" s="53" t="str" cm="1">
        <f t="array" ref="B128">IFERROR(INDEX(EPSIS!$F$2:'EPSIS'!$F$603,SMALL(IF(($B$124=EPSIS!$B$2:'EPSIS'!$B$603),MATCH(ROW(EPSIS!$B$2:'EPSIS'!$B$603), ROW(EPSIS!$B$2:'EPSIS'!$B$603)), ""), ROWS($A$1:A3))),"")</f>
        <v>39영동#2</v>
      </c>
      <c r="C128" s="70">
        <f>IFERROR(INDEX(EPSIS!D$2:'EPSIS'!D$603,MATCH($B128,EPSIS!$F$2:'EPSIS'!$F$603,0)),"")</f>
        <v>200</v>
      </c>
      <c r="D128" s="16">
        <f>IFERROR(INDEX(EPSIS!E$2:'EPSIS'!E$603,MATCH($B128,EPSIS!$F$2:'EPSIS'!$F$603,0)),"")</f>
        <v>1979</v>
      </c>
      <c r="G128" s="53" t="str">
        <f t="shared" si="13"/>
        <v>-</v>
      </c>
      <c r="H128" s="53" t="str">
        <f t="shared" si="14"/>
        <v>-</v>
      </c>
      <c r="L128" s="53" t="str">
        <f>IFERROR(INDEX(EPSIS!$B$2:'EPSIS'!$B$603,MATCH($M128,EPSIS!$F$2:'EPSIS'!$F$603,0)),"")</f>
        <v>LNG</v>
      </c>
      <c r="M128" s="53" t="str">
        <f t="array" ref="M128">IFERROR(INDEX(EPSIS!$F$2:'EPSIS'!$F$603,SMALL(IF(($M$3=EPSIS!$B$2:'EPSIS'!$B$603),MATCH(ROW(EPSIS!$B$2:'EPSIS'!$B$603), ROW(EPSIS!$B$2:'EPSIS'!$B$603)), ""), ROWS($A$1:A124))),"")</f>
        <v>312포천#2 GT</v>
      </c>
      <c r="N128" s="70">
        <f>IFERROR(INDEX(EPSIS!D$2:'EPSIS'!D$603,MATCH($M128,EPSIS!$F$2:'EPSIS'!$F$603,0)),"")</f>
        <v>481</v>
      </c>
      <c r="O128" s="16">
        <f>IFERROR(INDEX(EPSIS!E$2:'EPSIS'!E$603,MATCH($M128,EPSIS!$F$2:'EPSIS'!$F$603,0)),"")</f>
        <v>2014</v>
      </c>
      <c r="R128" s="53" t="b">
        <f t="shared" si="9"/>
        <v>1</v>
      </c>
      <c r="S128" s="53">
        <f t="shared" si="10"/>
        <v>2044</v>
      </c>
    </row>
    <row r="129" spans="1:19">
      <c r="A129" s="53" t="str">
        <f>IFERROR(INDEX(EPSIS!$B$2:'EPSIS'!$B$603,MATCH($B129,EPSIS!$F$2:'EPSIS'!$F$603,0)),"")</f>
        <v>바이오중유</v>
      </c>
      <c r="B129" s="53" t="str" cm="1">
        <f t="array" ref="B129">IFERROR(INDEX(EPSIS!$F$2:'EPSIS'!$F$603,SMALL(IF(($B$124=EPSIS!$B$2:'EPSIS'!$B$603),MATCH(ROW(EPSIS!$B$2:'EPSIS'!$B$603), ROW(EPSIS!$B$2:'EPSIS'!$B$603)), ""), ROWS($A$1:A4))),"")</f>
        <v>49제주#2</v>
      </c>
      <c r="C129" s="70">
        <f>IFERROR(INDEX(EPSIS!D$2:'EPSIS'!D$603,MATCH($B129,EPSIS!$F$2:'EPSIS'!$F$603,0)),"")</f>
        <v>75</v>
      </c>
      <c r="D129" s="16">
        <f>IFERROR(INDEX(EPSIS!E$2:'EPSIS'!E$603,MATCH($B129,EPSIS!$F$2:'EPSIS'!$F$603,0)),"")</f>
        <v>2000</v>
      </c>
      <c r="G129" s="53" t="str">
        <f t="shared" si="13"/>
        <v>-</v>
      </c>
      <c r="H129" s="53" t="str">
        <f t="shared" si="14"/>
        <v>-</v>
      </c>
      <c r="L129" s="53" t="str">
        <f>IFERROR(INDEX(EPSIS!$B$2:'EPSIS'!$B$603,MATCH($M129,EPSIS!$F$2:'EPSIS'!$F$603,0)),"")</f>
        <v>LNG</v>
      </c>
      <c r="M129" s="53" t="str">
        <f t="array" ref="M129">IFERROR(INDEX(EPSIS!$F$2:'EPSIS'!$F$603,SMALL(IF(($M$3=EPSIS!$B$2:'EPSIS'!$B$603),MATCH(ROW(EPSIS!$B$2:'EPSIS'!$B$603), ROW(EPSIS!$B$2:'EPSIS'!$B$603)), ""), ROWS($A$1:A125))),"")</f>
        <v>313포천#2 ST</v>
      </c>
      <c r="N129" s="70">
        <f>IFERROR(INDEX(EPSIS!D$2:'EPSIS'!D$603,MATCH($M129,EPSIS!$F$2:'EPSIS'!$F$603,0)),"")</f>
        <v>244</v>
      </c>
      <c r="O129" s="16">
        <f>IFERROR(INDEX(EPSIS!E$2:'EPSIS'!E$603,MATCH($M129,EPSIS!$F$2:'EPSIS'!$F$603,0)),"")</f>
        <v>2014</v>
      </c>
      <c r="R129" s="53" t="b">
        <f t="shared" si="9"/>
        <v>1</v>
      </c>
      <c r="S129" s="53">
        <f t="shared" si="10"/>
        <v>2044</v>
      </c>
    </row>
    <row r="130" spans="1:19">
      <c r="G130" s="53"/>
      <c r="H130" s="53"/>
      <c r="L130" s="53" t="str">
        <f>IFERROR(INDEX(EPSIS!$B$2:'EPSIS'!$B$603,MATCH($M130,EPSIS!$F$2:'EPSIS'!$F$603,0)),"")</f>
        <v>LNG</v>
      </c>
      <c r="M130" s="53" t="str">
        <f t="array" ref="M130">IFERROR(INDEX(EPSIS!$F$2:'EPSIS'!$F$603,SMALL(IF(($M$3=EPSIS!$B$2:'EPSIS'!$B$603),MATCH(ROW(EPSIS!$B$2:'EPSIS'!$B$603), ROW(EPSIS!$B$2:'EPSIS'!$B$603)), ""), ROWS($A$1:A126))),"")</f>
        <v>314포천천연 GT</v>
      </c>
      <c r="N130" s="70">
        <f>IFERROR(INDEX(EPSIS!D$2:'EPSIS'!D$603,MATCH($M130,EPSIS!$F$2:'EPSIS'!$F$603,0)),"")</f>
        <v>575.4</v>
      </c>
      <c r="O130" s="16">
        <f>IFERROR(INDEX(EPSIS!E$2:'EPSIS'!E$603,MATCH($M130,EPSIS!$F$2:'EPSIS'!$F$603,0)),"")</f>
        <v>2017</v>
      </c>
      <c r="R130" s="53" t="b">
        <f t="shared" si="9"/>
        <v>1</v>
      </c>
      <c r="S130" s="53">
        <f t="shared" si="10"/>
        <v>2047</v>
      </c>
    </row>
    <row r="131" spans="1:19">
      <c r="G131" s="53"/>
      <c r="H131" s="53"/>
      <c r="L131" s="53" t="str">
        <f>IFERROR(INDEX(EPSIS!$B$2:'EPSIS'!$B$603,MATCH($M131,EPSIS!$F$2:'EPSIS'!$F$603,0)),"")</f>
        <v>LNG</v>
      </c>
      <c r="M131" s="53" t="str">
        <f t="array" ref="M131">IFERROR(INDEX(EPSIS!$F$2:'EPSIS'!$F$603,SMALL(IF(($M$3=EPSIS!$B$2:'EPSIS'!$B$603),MATCH(ROW(EPSIS!$B$2:'EPSIS'!$B$603), ROW(EPSIS!$B$2:'EPSIS'!$B$603)), ""), ROWS($A$1:A127))),"")</f>
        <v>315포천천연 ST</v>
      </c>
      <c r="N131" s="70">
        <f>IFERROR(INDEX(EPSIS!D$2:'EPSIS'!D$603,MATCH($M131,EPSIS!$F$2:'EPSIS'!$F$603,0)),"")</f>
        <v>298.8</v>
      </c>
      <c r="O131" s="16">
        <f>IFERROR(INDEX(EPSIS!E$2:'EPSIS'!E$603,MATCH($M131,EPSIS!$F$2:'EPSIS'!$F$603,0)),"")</f>
        <v>2017</v>
      </c>
      <c r="R131" s="53" t="b">
        <f t="shared" si="9"/>
        <v>1</v>
      </c>
      <c r="S131" s="53">
        <f t="shared" si="10"/>
        <v>2047</v>
      </c>
    </row>
    <row r="132" spans="1:19">
      <c r="G132" s="53"/>
      <c r="H132" s="53"/>
      <c r="L132" s="53" t="str">
        <f>IFERROR(INDEX(EPSIS!$B$2:'EPSIS'!$B$603,MATCH($M132,EPSIS!$F$2:'EPSIS'!$F$603,0)),"")</f>
        <v>LNG</v>
      </c>
      <c r="M132" s="53" t="str">
        <f t="array" ref="M132">IFERROR(INDEX(EPSIS!$F$2:'EPSIS'!$F$603,SMALL(IF(($M$3=EPSIS!$B$2:'EPSIS'!$B$603),MATCH(ROW(EPSIS!$B$2:'EPSIS'!$B$603), ROW(EPSIS!$B$2:'EPSIS'!$B$603)), ""), ROWS($A$1:A128))),"")</f>
        <v>316한림 GT</v>
      </c>
      <c r="N132" s="70">
        <f>IFERROR(INDEX(EPSIS!D$2:'EPSIS'!D$603,MATCH($M132,EPSIS!$F$2:'EPSIS'!$F$603,0)),"")</f>
        <v>35</v>
      </c>
      <c r="O132" s="16">
        <f>IFERROR(INDEX(EPSIS!E$2:'EPSIS'!E$603,MATCH($M132,EPSIS!$F$2:'EPSIS'!$F$603,0)),"")</f>
        <v>1995</v>
      </c>
      <c r="R132" s="53" t="str">
        <f t="shared" si="9"/>
        <v>-</v>
      </c>
      <c r="S132" s="53" t="str">
        <f t="shared" si="10"/>
        <v>-</v>
      </c>
    </row>
    <row r="133" spans="1:19" ht="23.5">
      <c r="A133" s="57" t="s">
        <v>1465</v>
      </c>
      <c r="C133" s="16"/>
      <c r="E133" s="71" t="s">
        <v>378</v>
      </c>
      <c r="F133" s="72">
        <v>30</v>
      </c>
      <c r="G133" s="16" t="s">
        <v>379</v>
      </c>
      <c r="L133" s="53" t="str">
        <f>IFERROR(INDEX(EPSIS!$B$2:'EPSIS'!$B$603,MATCH($M133,EPSIS!$F$2:'EPSIS'!$F$603,0)),"")</f>
        <v>LNG</v>
      </c>
      <c r="M133" s="53" t="str">
        <f t="array" ref="M133">IFERROR(INDEX(EPSIS!$F$2:'EPSIS'!$F$603,SMALL(IF(($M$3=EPSIS!$B$2:'EPSIS'!$B$603),MATCH(ROW(EPSIS!$B$2:'EPSIS'!$B$603), ROW(EPSIS!$B$2:'EPSIS'!$B$603)), ""), ROWS($A$1:A129))),"")</f>
        <v>317한림 GT</v>
      </c>
      <c r="N133" s="70">
        <f>IFERROR(INDEX(EPSIS!D$2:'EPSIS'!D$603,MATCH($M133,EPSIS!$F$2:'EPSIS'!$F$603,0)),"")</f>
        <v>35</v>
      </c>
      <c r="O133" s="16">
        <f>IFERROR(INDEX(EPSIS!E$2:'EPSIS'!E$603,MATCH($M133,EPSIS!$F$2:'EPSIS'!$F$603,0)),"")</f>
        <v>1996</v>
      </c>
      <c r="R133" s="53" t="str">
        <f t="shared" si="9"/>
        <v>-</v>
      </c>
      <c r="S133" s="53" t="str">
        <f t="shared" si="10"/>
        <v>-</v>
      </c>
    </row>
    <row r="134" spans="1:19">
      <c r="A134" s="16"/>
      <c r="C134" s="16"/>
      <c r="E134" s="71" t="s">
        <v>381</v>
      </c>
      <c r="F134" s="73">
        <f>$I$1-F133</f>
        <v>2004</v>
      </c>
      <c r="G134" s="16" t="s">
        <v>382</v>
      </c>
      <c r="L134" s="53" t="str">
        <f>IFERROR(INDEX(EPSIS!$B$2:'EPSIS'!$B$603,MATCH($M134,EPSIS!$F$2:'EPSIS'!$F$603,0)),"")</f>
        <v>LNG</v>
      </c>
      <c r="M134" s="53" t="str">
        <f t="array" ref="M134">IFERROR(INDEX(EPSIS!$F$2:'EPSIS'!$F$603,SMALL(IF(($M$3=EPSIS!$B$2:'EPSIS'!$B$603),MATCH(ROW(EPSIS!$B$2:'EPSIS'!$B$603), ROW(EPSIS!$B$2:'EPSIS'!$B$603)), ""), ROWS($A$1:A130))),"")</f>
        <v>318한림 ST</v>
      </c>
      <c r="N134" s="70">
        <f>IFERROR(INDEX(EPSIS!D$2:'EPSIS'!D$603,MATCH($M134,EPSIS!$F$2:'EPSIS'!$F$603,0)),"")</f>
        <v>35</v>
      </c>
      <c r="O134" s="16">
        <f>IFERROR(INDEX(EPSIS!E$2:'EPSIS'!E$603,MATCH($M134,EPSIS!$F$2:'EPSIS'!$F$603,0)),"")</f>
        <v>1997</v>
      </c>
      <c r="R134" s="53" t="str">
        <f t="shared" ref="R134:R176" si="15">IF(O134&gt;$F$2,TRUE,"-")</f>
        <v>-</v>
      </c>
      <c r="S134" s="53" t="str">
        <f t="shared" ref="S134:S176" si="16">IF(R134=TRUE,O134+30,"-")</f>
        <v>-</v>
      </c>
    </row>
    <row r="135" spans="1:19">
      <c r="A135" s="60" t="s">
        <v>1451</v>
      </c>
      <c r="B135" s="60" t="str">
        <f>EPSIS!I9</f>
        <v>경유</v>
      </c>
      <c r="C135" s="79" t="s">
        <v>1470</v>
      </c>
      <c r="D135" s="80" t="s">
        <v>1475</v>
      </c>
      <c r="E135" s="81"/>
      <c r="F135" s="80"/>
      <c r="L135" s="53" t="str">
        <f>IFERROR(INDEX(EPSIS!$B$2:'EPSIS'!$B$603,MATCH($M135,EPSIS!$F$2:'EPSIS'!$F$603,0)),"")</f>
        <v>LNG</v>
      </c>
      <c r="M135" s="53" t="str">
        <f t="array" ref="M135">IFERROR(INDEX(EPSIS!$F$2:'EPSIS'!$F$603,SMALL(IF(($M$3=EPSIS!$B$2:'EPSIS'!$B$603),MATCH(ROW(EPSIS!$B$2:'EPSIS'!$B$603), ROW(EPSIS!$B$2:'EPSIS'!$B$603)), ""), ROWS($A$1:A131))),"")</f>
        <v>539광교열병합</v>
      </c>
      <c r="N135" s="70">
        <f>IFERROR(INDEX(EPSIS!D$2:'EPSIS'!D$603,MATCH($M135,EPSIS!$F$2:'EPSIS'!$F$603,0)),"")</f>
        <v>102.58800000000001</v>
      </c>
      <c r="O135" s="16">
        <f>IFERROR(INDEX(EPSIS!E$2:'EPSIS'!E$603,MATCH($M135,EPSIS!$F$2:'EPSIS'!$F$603,0)),"")</f>
        <v>2012</v>
      </c>
      <c r="R135" s="53" t="b">
        <f t="shared" si="15"/>
        <v>1</v>
      </c>
      <c r="S135" s="53">
        <f t="shared" si="16"/>
        <v>2042</v>
      </c>
    </row>
    <row r="136" spans="1:19">
      <c r="A136" s="53" t="s">
        <v>1458</v>
      </c>
      <c r="B136" s="53" t="s">
        <v>1457</v>
      </c>
      <c r="C136" s="75" t="s">
        <v>1456</v>
      </c>
      <c r="D136" s="53" t="s">
        <v>380</v>
      </c>
      <c r="G136" s="16" t="s">
        <v>384</v>
      </c>
      <c r="H136" s="53" t="s">
        <v>385</v>
      </c>
      <c r="L136" s="53" t="str">
        <f>IFERROR(INDEX(EPSIS!$B$2:'EPSIS'!$B$603,MATCH($M136,EPSIS!$F$2:'EPSIS'!$F$603,0)),"")</f>
        <v>LNG</v>
      </c>
      <c r="M136" s="53" t="str">
        <f t="array" ref="M136">IFERROR(INDEX(EPSIS!$F$2:'EPSIS'!$F$603,SMALL(IF(($M$3=EPSIS!$B$2:'EPSIS'!$B$603),MATCH(ROW(EPSIS!$B$2:'EPSIS'!$B$603), ROW(EPSIS!$B$2:'EPSIS'!$B$603)), ""), ROWS($A$1:A132))),"")</f>
        <v>540광교열병합</v>
      </c>
      <c r="N136" s="70">
        <f>IFERROR(INDEX(EPSIS!D$2:'EPSIS'!D$603,MATCH($M136,EPSIS!$F$2:'EPSIS'!$F$603,0)),"")</f>
        <v>42.2</v>
      </c>
      <c r="O136" s="16">
        <f>IFERROR(INDEX(EPSIS!E$2:'EPSIS'!E$603,MATCH($M136,EPSIS!$F$2:'EPSIS'!$F$603,0)),"")</f>
        <v>2012</v>
      </c>
      <c r="R136" s="53" t="b">
        <f t="shared" si="15"/>
        <v>1</v>
      </c>
      <c r="S136" s="53">
        <f t="shared" si="16"/>
        <v>2042</v>
      </c>
    </row>
    <row r="137" spans="1:19">
      <c r="A137" s="53" t="str">
        <f>IFERROR(INDEX(EPSIS!$B$2:'EPSIS'!$B$603,MATCH($B137,EPSIS!$F$2:'EPSIS'!$F$603,0)),"")</f>
        <v>경유</v>
      </c>
      <c r="B137" s="53" t="str">
        <f t="array" ref="B137">IFERROR(INDEX(EPSIS!$F$2:'EPSIS'!$F$603,SMALL(IF(($B$135=EPSIS!$B$2:'EPSIS'!$B$603),MATCH(ROW(EPSIS!$B$2:'EPSIS'!$B$603), ROW(EPSIS!$B$2:'EPSIS'!$B$603)), ""), ROWS($A$1:A1))),"")</f>
        <v>77가거도</v>
      </c>
      <c r="C137" s="70">
        <f>IFERROR(INDEX(EPSIS!D$2:'EPSIS'!D$603,MATCH($B137,EPSIS!$F$2:'EPSIS'!$F$603,0)),"")</f>
        <v>0.3</v>
      </c>
      <c r="D137" s="16">
        <f>IFERROR(INDEX(EPSIS!E$2:'EPSIS'!E$603,MATCH($B137,EPSIS!$F$2:'EPSIS'!$F$603,0)),"")</f>
        <v>2004</v>
      </c>
      <c r="G137" s="53" t="str">
        <f>IF(D137&gt;$F$2,TRUE,"-")</f>
        <v>-</v>
      </c>
      <c r="H137" s="53" t="str">
        <f>IF(G137=TRUE,D137+30,"-")</f>
        <v>-</v>
      </c>
      <c r="L137" s="53" t="str">
        <f>IFERROR(INDEX(EPSIS!$B$2:'EPSIS'!$B$603,MATCH($M137,EPSIS!$F$2:'EPSIS'!$F$603,0)),"")</f>
        <v>LNG</v>
      </c>
      <c r="M137" s="53" t="str">
        <f t="array" ref="M137">IFERROR(INDEX(EPSIS!$F$2:'EPSIS'!$F$603,SMALL(IF(($M$3=EPSIS!$B$2:'EPSIS'!$B$603),MATCH(ROW(EPSIS!$B$2:'EPSIS'!$B$603), ROW(EPSIS!$B$2:'EPSIS'!$B$603)), ""), ROWS($A$1:A132))),"")</f>
        <v>540광교열병합</v>
      </c>
      <c r="N137" s="70">
        <f>IFERROR(INDEX(EPSIS!D$2:'EPSIS'!D$603,MATCH($M137,EPSIS!$F$2:'EPSIS'!$F$603,0)),"")</f>
        <v>42.2</v>
      </c>
      <c r="O137" s="16">
        <f>IFERROR(INDEX(EPSIS!E$2:'EPSIS'!E$603,MATCH($M137,EPSIS!$F$2:'EPSIS'!$F$603,0)),"")</f>
        <v>2012</v>
      </c>
      <c r="R137" s="53" t="b">
        <f t="shared" si="15"/>
        <v>1</v>
      </c>
      <c r="S137" s="53">
        <f t="shared" si="16"/>
        <v>2042</v>
      </c>
    </row>
    <row r="138" spans="1:19">
      <c r="A138" s="53" t="str">
        <f>IFERROR(INDEX(EPSIS!$B$2:'EPSIS'!$B$603,MATCH($B138,EPSIS!$F$2:'EPSIS'!$F$603,0)),"")</f>
        <v>경유</v>
      </c>
      <c r="B138" s="53" t="str">
        <f t="array" ref="B138">IFERROR(INDEX(EPSIS!$F$2:'EPSIS'!$F$603,SMALL(IF(($B$135=EPSIS!$B$2:'EPSIS'!$B$603),MATCH(ROW(EPSIS!$B$2:'EPSIS'!$B$603), ROW(EPSIS!$B$2:'EPSIS'!$B$603)), ""), ROWS($A$1:A2))),"")</f>
        <v>78가거도</v>
      </c>
      <c r="C138" s="70">
        <f>IFERROR(INDEX(EPSIS!D$2:'EPSIS'!D$603,MATCH($B138,EPSIS!$F$2:'EPSIS'!$F$603,0)),"")</f>
        <v>0.75</v>
      </c>
      <c r="D138" s="16">
        <f>IFERROR(INDEX(EPSIS!E$2:'EPSIS'!E$603,MATCH($B138,EPSIS!$F$2:'EPSIS'!$F$603,0)),"")</f>
        <v>2009</v>
      </c>
      <c r="G138" s="53" t="b">
        <f t="shared" ref="G138:G189" si="17">IF(D138&gt;$F$2,TRUE,"-")</f>
        <v>1</v>
      </c>
      <c r="H138" s="53">
        <f t="shared" ref="H138:H189" si="18">IF(G138=TRUE,D138+30,"-")</f>
        <v>2039</v>
      </c>
      <c r="L138" s="53" t="str">
        <f>IFERROR(INDEX(EPSIS!$B$2:'EPSIS'!$B$603,MATCH($M138,EPSIS!$F$2:'EPSIS'!$F$603,0)),"")</f>
        <v>LNG</v>
      </c>
      <c r="M138" s="53" t="str">
        <f t="array" ref="M138">IFERROR(INDEX(EPSIS!$F$2:'EPSIS'!$F$603,SMALL(IF(($M$3=EPSIS!$B$2:'EPSIS'!$B$603),MATCH(ROW(EPSIS!$B$2:'EPSIS'!$B$603), ROW(EPSIS!$B$2:'EPSIS'!$B$603)), ""), ROWS($A$1:A132))),"")</f>
        <v>540광교열병합</v>
      </c>
      <c r="N138" s="70">
        <f>IFERROR(INDEX(EPSIS!D$2:'EPSIS'!D$603,MATCH($M138,EPSIS!$F$2:'EPSIS'!$F$603,0)),"")</f>
        <v>42.2</v>
      </c>
      <c r="O138" s="16">
        <f>IFERROR(INDEX(EPSIS!E$2:'EPSIS'!E$603,MATCH($M138,EPSIS!$F$2:'EPSIS'!$F$603,0)),"")</f>
        <v>2012</v>
      </c>
      <c r="R138" s="53" t="b">
        <f t="shared" si="15"/>
        <v>1</v>
      </c>
      <c r="S138" s="53">
        <f t="shared" si="16"/>
        <v>2042</v>
      </c>
    </row>
    <row r="139" spans="1:19">
      <c r="A139" s="53" t="str">
        <f>IFERROR(INDEX(EPSIS!$B$2:'EPSIS'!$B$603,MATCH($B139,EPSIS!$F$2:'EPSIS'!$F$603,0)),"")</f>
        <v>경유</v>
      </c>
      <c r="B139" s="53" t="str">
        <f t="array" ref="B139">IFERROR(INDEX(EPSIS!$F$2:'EPSIS'!$F$603,SMALL(IF(($B$135=EPSIS!$B$2:'EPSIS'!$B$603),MATCH(ROW(EPSIS!$B$2:'EPSIS'!$B$603), ROW(EPSIS!$B$2:'EPSIS'!$B$603)), ""), ROWS($A$1:A3))),"")</f>
        <v>79가의도</v>
      </c>
      <c r="C139" s="70">
        <f>IFERROR(INDEX(EPSIS!D$2:'EPSIS'!D$603,MATCH($B139,EPSIS!$F$2:'EPSIS'!$F$603,0)),"")</f>
        <v>0.24</v>
      </c>
      <c r="D139" s="16">
        <f>IFERROR(INDEX(EPSIS!E$2:'EPSIS'!E$603,MATCH($B139,EPSIS!$F$2:'EPSIS'!$F$603,0)),"")</f>
        <v>1996</v>
      </c>
      <c r="G139" s="53" t="str">
        <f t="shared" si="17"/>
        <v>-</v>
      </c>
      <c r="H139" s="53" t="str">
        <f t="shared" si="18"/>
        <v>-</v>
      </c>
      <c r="L139" s="53" t="str">
        <f>IFERROR(INDEX(EPSIS!$B$2:'EPSIS'!$B$603,MATCH($M139,EPSIS!$F$2:'EPSIS'!$F$603,0)),"")</f>
        <v>LNG</v>
      </c>
      <c r="M139" s="53" t="str">
        <f t="array" ref="M139">IFERROR(INDEX(EPSIS!$F$2:'EPSIS'!$F$603,SMALL(IF(($M$3=EPSIS!$B$2:'EPSIS'!$B$603),MATCH(ROW(EPSIS!$B$2:'EPSIS'!$B$603), ROW(EPSIS!$B$2:'EPSIS'!$B$603)), ""), ROWS($A$1:A132))),"")</f>
        <v>540광교열병합</v>
      </c>
      <c r="N139" s="70">
        <f>IFERROR(INDEX(EPSIS!D$2:'EPSIS'!D$603,MATCH($M139,EPSIS!$F$2:'EPSIS'!$F$603,0)),"")</f>
        <v>42.2</v>
      </c>
      <c r="O139" s="16">
        <f>IFERROR(INDEX(EPSIS!E$2:'EPSIS'!E$603,MATCH($M139,EPSIS!$F$2:'EPSIS'!$F$603,0)),"")</f>
        <v>2012</v>
      </c>
      <c r="R139" s="53" t="b">
        <f t="shared" si="15"/>
        <v>1</v>
      </c>
      <c r="S139" s="53">
        <f t="shared" si="16"/>
        <v>2042</v>
      </c>
    </row>
    <row r="140" spans="1:19">
      <c r="A140" s="53" t="str">
        <f>IFERROR(INDEX(EPSIS!$B$2:'EPSIS'!$B$603,MATCH($B140,EPSIS!$F$2:'EPSIS'!$F$603,0)),"")</f>
        <v>경유</v>
      </c>
      <c r="B140" s="53" t="str">
        <f t="array" ref="B140">IFERROR(INDEX(EPSIS!$F$2:'EPSIS'!$F$603,SMALL(IF(($B$135=EPSIS!$B$2:'EPSIS'!$B$603),MATCH(ROW(EPSIS!$B$2:'EPSIS'!$B$603), ROW(EPSIS!$B$2:'EPSIS'!$B$603)), ""), ROWS($A$1:A4))),"")</f>
        <v>80가파도</v>
      </c>
      <c r="C140" s="70">
        <f>IFERROR(INDEX(EPSIS!D$2:'EPSIS'!D$603,MATCH($B140,EPSIS!$F$2:'EPSIS'!$F$603,0)),"")</f>
        <v>0.45</v>
      </c>
      <c r="D140" s="16">
        <f>IFERROR(INDEX(EPSIS!E$2:'EPSIS'!E$603,MATCH($B140,EPSIS!$F$2:'EPSIS'!$F$603,0)),"")</f>
        <v>1993</v>
      </c>
      <c r="G140" s="53" t="str">
        <f t="shared" si="17"/>
        <v>-</v>
      </c>
      <c r="H140" s="53" t="str">
        <f t="shared" si="18"/>
        <v>-</v>
      </c>
      <c r="L140" s="53" t="str">
        <f>IFERROR(INDEX(EPSIS!$B$2:'EPSIS'!$B$603,MATCH($M140,EPSIS!$F$2:'EPSIS'!$F$603,0)),"")</f>
        <v>LNG</v>
      </c>
      <c r="M140" s="53" t="str">
        <f t="array" ref="M140">IFERROR(INDEX(EPSIS!$F$2:'EPSIS'!$F$603,SMALL(IF(($M$3=EPSIS!$B$2:'EPSIS'!$B$603),MATCH(ROW(EPSIS!$B$2:'EPSIS'!$B$603), ROW(EPSIS!$B$2:'EPSIS'!$B$603)), ""), ROWS($A$1:A132))),"")</f>
        <v>540광교열병합</v>
      </c>
      <c r="N140" s="70">
        <f>IFERROR(INDEX(EPSIS!D$2:'EPSIS'!D$603,MATCH($M140,EPSIS!$F$2:'EPSIS'!$F$603,0)),"")</f>
        <v>42.2</v>
      </c>
      <c r="O140" s="16">
        <f>IFERROR(INDEX(EPSIS!E$2:'EPSIS'!E$603,MATCH($M140,EPSIS!$F$2:'EPSIS'!$F$603,0)),"")</f>
        <v>2012</v>
      </c>
      <c r="R140" s="53" t="b">
        <f t="shared" si="15"/>
        <v>1</v>
      </c>
      <c r="S140" s="53">
        <f t="shared" si="16"/>
        <v>2042</v>
      </c>
    </row>
    <row r="141" spans="1:19">
      <c r="A141" s="53" t="str">
        <f>IFERROR(INDEX(EPSIS!$B$2:'EPSIS'!$B$603,MATCH($B141,EPSIS!$F$2:'EPSIS'!$F$603,0)),"")</f>
        <v>경유</v>
      </c>
      <c r="B141" s="53" t="str">
        <f t="array" ref="B141">IFERROR(INDEX(EPSIS!$F$2:'EPSIS'!$F$603,SMALL(IF(($B$135=EPSIS!$B$2:'EPSIS'!$B$603),MATCH(ROW(EPSIS!$B$2:'EPSIS'!$B$603), ROW(EPSIS!$B$2:'EPSIS'!$B$603)), ""), ROWS($A$1:A5))),"")</f>
        <v>81개야도</v>
      </c>
      <c r="C141" s="70">
        <f>IFERROR(INDEX(EPSIS!D$2:'EPSIS'!D$603,MATCH($B141,EPSIS!$F$2:'EPSIS'!$F$603,0)),"")</f>
        <v>0.5</v>
      </c>
      <c r="D141" s="16">
        <f>IFERROR(INDEX(EPSIS!E$2:'EPSIS'!E$603,MATCH($B141,EPSIS!$F$2:'EPSIS'!$F$603,0)),"")</f>
        <v>1994</v>
      </c>
      <c r="G141" s="53" t="str">
        <f t="shared" si="17"/>
        <v>-</v>
      </c>
      <c r="H141" s="53" t="str">
        <f t="shared" si="18"/>
        <v>-</v>
      </c>
      <c r="L141" s="53" t="str">
        <f>IFERROR(INDEX(EPSIS!$B$2:'EPSIS'!$B$603,MATCH($M141,EPSIS!$F$2:'EPSIS'!$F$603,0)),"")</f>
        <v>LNG</v>
      </c>
      <c r="M141" s="53" t="str">
        <f t="array" ref="M141">IFERROR(INDEX(EPSIS!$F$2:'EPSIS'!$F$603,SMALL(IF(($M$3=EPSIS!$B$2:'EPSIS'!$B$603),MATCH(ROW(EPSIS!$B$2:'EPSIS'!$B$603), ROW(EPSIS!$B$2:'EPSIS'!$B$603)), ""), ROWS($A$1:A137))),"")</f>
        <v>549노원열병합</v>
      </c>
      <c r="N141" s="70">
        <f>IFERROR(INDEX(EPSIS!D$2:'EPSIS'!D$603,MATCH($M141,EPSIS!$F$2:'EPSIS'!$F$603,0)),"")</f>
        <v>37</v>
      </c>
      <c r="O141" s="16">
        <f>IFERROR(INDEX(EPSIS!E$2:'EPSIS'!E$603,MATCH($M141,EPSIS!$F$2:'EPSIS'!$F$603,0)),"")</f>
        <v>1994</v>
      </c>
      <c r="R141" s="53" t="str">
        <f t="shared" si="15"/>
        <v>-</v>
      </c>
      <c r="S141" s="53" t="str">
        <f t="shared" si="16"/>
        <v>-</v>
      </c>
    </row>
    <row r="142" spans="1:19">
      <c r="A142" s="53" t="str">
        <f>IFERROR(INDEX(EPSIS!$B$2:'EPSIS'!$B$603,MATCH($B142,EPSIS!$F$2:'EPSIS'!$F$603,0)),"")</f>
        <v>경유</v>
      </c>
      <c r="B142" s="53" t="str">
        <f t="array" ref="B142">IFERROR(INDEX(EPSIS!$F$2:'EPSIS'!$F$603,SMALL(IF(($B$135=EPSIS!$B$2:'EPSIS'!$B$603),MATCH(ROW(EPSIS!$B$2:'EPSIS'!$B$603), ROW(EPSIS!$B$2:'EPSIS'!$B$603)), ""), ROWS($A$1:A6))),"")</f>
        <v>82개야도</v>
      </c>
      <c r="C142" s="70">
        <f>IFERROR(INDEX(EPSIS!D$2:'EPSIS'!D$603,MATCH($B142,EPSIS!$F$2:'EPSIS'!$F$603,0)),"")</f>
        <v>1</v>
      </c>
      <c r="D142" s="16">
        <f>IFERROR(INDEX(EPSIS!E$2:'EPSIS'!E$603,MATCH($B142,EPSIS!$F$2:'EPSIS'!$F$603,0)),"")</f>
        <v>2006</v>
      </c>
      <c r="G142" s="53" t="b">
        <f t="shared" si="17"/>
        <v>1</v>
      </c>
      <c r="H142" s="53">
        <f t="shared" si="18"/>
        <v>2036</v>
      </c>
      <c r="L142" s="53" t="str">
        <f>IFERROR(INDEX(EPSIS!$B$2:'EPSIS'!$B$603,MATCH($M142,EPSIS!$F$2:'EPSIS'!$F$603,0)),"")</f>
        <v>LNG</v>
      </c>
      <c r="M142" s="53" t="str">
        <f t="array" ref="M142">IFERROR(INDEX(EPSIS!$F$2:'EPSIS'!$F$603,SMALL(IF(($M$3=EPSIS!$B$2:'EPSIS'!$B$603),MATCH(ROW(EPSIS!$B$2:'EPSIS'!$B$603), ROW(EPSIS!$B$2:'EPSIS'!$B$603)), ""), ROWS($A$1:A138))),"")</f>
        <v>550논현열병합</v>
      </c>
      <c r="N142" s="70">
        <f>IFERROR(INDEX(EPSIS!D$2:'EPSIS'!D$603,MATCH($M142,EPSIS!$F$2:'EPSIS'!$F$603,0)),"")</f>
        <v>24</v>
      </c>
      <c r="O142" s="16">
        <f>IFERROR(INDEX(EPSIS!E$2:'EPSIS'!E$603,MATCH($M142,EPSIS!$F$2:'EPSIS'!$F$603,0)),"")</f>
        <v>2007</v>
      </c>
      <c r="R142" s="53" t="b">
        <f t="shared" si="15"/>
        <v>1</v>
      </c>
      <c r="S142" s="53">
        <f t="shared" si="16"/>
        <v>2037</v>
      </c>
    </row>
    <row r="143" spans="1:19">
      <c r="A143" s="53" t="str">
        <f>IFERROR(INDEX(EPSIS!$B$2:'EPSIS'!$B$603,MATCH($B143,EPSIS!$F$2:'EPSIS'!$F$603,0)),"")</f>
        <v>경유</v>
      </c>
      <c r="B143" s="53" t="str">
        <f t="array" ref="B143">IFERROR(INDEX(EPSIS!$F$2:'EPSIS'!$F$603,SMALL(IF(($B$135=EPSIS!$B$2:'EPSIS'!$B$603),MATCH(ROW(EPSIS!$B$2:'EPSIS'!$B$603), ROW(EPSIS!$B$2:'EPSIS'!$B$603)), ""), ROWS($A$1:A7))),"")</f>
        <v>83거문도</v>
      </c>
      <c r="C143" s="70">
        <f>IFERROR(INDEX(EPSIS!D$2:'EPSIS'!D$603,MATCH($B143,EPSIS!$F$2:'EPSIS'!$F$603,0)),"")</f>
        <v>2</v>
      </c>
      <c r="D143" s="16">
        <f>IFERROR(INDEX(EPSIS!E$2:'EPSIS'!E$603,MATCH($B143,EPSIS!$F$2:'EPSIS'!$F$603,0)),"")</f>
        <v>1989</v>
      </c>
      <c r="G143" s="53" t="str">
        <f t="shared" si="17"/>
        <v>-</v>
      </c>
      <c r="H143" s="53" t="str">
        <f t="shared" si="18"/>
        <v>-</v>
      </c>
      <c r="L143" s="53" t="str">
        <f>IFERROR(INDEX(EPSIS!$B$2:'EPSIS'!$B$603,MATCH($M143,EPSIS!$F$2:'EPSIS'!$F$603,0)),"")</f>
        <v>LNG</v>
      </c>
      <c r="M143" s="53" t="str">
        <f t="array" ref="M143">IFERROR(INDEX(EPSIS!$F$2:'EPSIS'!$F$603,SMALL(IF(($M$3=EPSIS!$B$2:'EPSIS'!$B$603),MATCH(ROW(EPSIS!$B$2:'EPSIS'!$B$603), ROW(EPSIS!$B$2:'EPSIS'!$B$603)), ""), ROWS($A$1:A139))),"")</f>
        <v>551대구그린파워</v>
      </c>
      <c r="N143" s="70">
        <f>IFERROR(INDEX(EPSIS!D$2:'EPSIS'!D$603,MATCH($M143,EPSIS!$F$2:'EPSIS'!$F$603,0)),"")</f>
        <v>239.9</v>
      </c>
      <c r="O143" s="16">
        <f>IFERROR(INDEX(EPSIS!E$2:'EPSIS'!E$603,MATCH($M143,EPSIS!$F$2:'EPSIS'!$F$603,0)),"")</f>
        <v>2014</v>
      </c>
      <c r="R143" s="53" t="b">
        <f t="shared" si="15"/>
        <v>1</v>
      </c>
      <c r="S143" s="53">
        <f t="shared" si="16"/>
        <v>2044</v>
      </c>
    </row>
    <row r="144" spans="1:19">
      <c r="A144" s="53" t="str">
        <f>IFERROR(INDEX(EPSIS!$B$2:'EPSIS'!$B$603,MATCH($B144,EPSIS!$F$2:'EPSIS'!$F$603,0)),"")</f>
        <v>경유</v>
      </c>
      <c r="B144" s="53" t="str">
        <f t="array" ref="B144">IFERROR(INDEX(EPSIS!$F$2:'EPSIS'!$F$603,SMALL(IF(($B$135=EPSIS!$B$2:'EPSIS'!$B$603),MATCH(ROW(EPSIS!$B$2:'EPSIS'!$B$603), ROW(EPSIS!$B$2:'EPSIS'!$B$603)), ""), ROWS($A$1:A8))),"")</f>
        <v>84거문도</v>
      </c>
      <c r="C144" s="70">
        <f>IFERROR(INDEX(EPSIS!D$2:'EPSIS'!D$603,MATCH($B144,EPSIS!$F$2:'EPSIS'!$F$603,0)),"")</f>
        <v>0.5</v>
      </c>
      <c r="D144" s="16">
        <f>IFERROR(INDEX(EPSIS!E$2:'EPSIS'!E$603,MATCH($B144,EPSIS!$F$2:'EPSIS'!$F$603,0)),"")</f>
        <v>1997</v>
      </c>
      <c r="G144" s="53" t="str">
        <f t="shared" si="17"/>
        <v>-</v>
      </c>
      <c r="H144" s="53" t="str">
        <f t="shared" si="18"/>
        <v>-</v>
      </c>
      <c r="L144" s="53" t="str">
        <f>IFERROR(INDEX(EPSIS!$B$2:'EPSIS'!$B$603,MATCH($M144,EPSIS!$F$2:'EPSIS'!$F$603,0)),"")</f>
        <v>LNG</v>
      </c>
      <c r="M144" s="53" t="str">
        <f t="array" ref="M144">IFERROR(INDEX(EPSIS!$F$2:'EPSIS'!$F$603,SMALL(IF(($M$3=EPSIS!$B$2:'EPSIS'!$B$603),MATCH(ROW(EPSIS!$B$2:'EPSIS'!$B$603), ROW(EPSIS!$B$2:'EPSIS'!$B$603)), ""), ROWS($A$1:A140))),"")</f>
        <v>552대구그린파워</v>
      </c>
      <c r="N144" s="70">
        <f>IFERROR(INDEX(EPSIS!D$2:'EPSIS'!D$603,MATCH($M144,EPSIS!$F$2:'EPSIS'!$F$603,0)),"")</f>
        <v>130.80000000000001</v>
      </c>
      <c r="O144" s="16">
        <f>IFERROR(INDEX(EPSIS!E$2:'EPSIS'!E$603,MATCH($M144,EPSIS!$F$2:'EPSIS'!$F$603,0)),"")</f>
        <v>2014</v>
      </c>
      <c r="R144" s="53" t="b">
        <f t="shared" si="15"/>
        <v>1</v>
      </c>
      <c r="S144" s="53">
        <f t="shared" si="16"/>
        <v>2044</v>
      </c>
    </row>
    <row r="145" spans="1:19">
      <c r="A145" s="53" t="str">
        <f>IFERROR(INDEX(EPSIS!$B$2:'EPSIS'!$B$603,MATCH($B145,EPSIS!$F$2:'EPSIS'!$F$603,0)),"")</f>
        <v>경유</v>
      </c>
      <c r="B145" s="53" t="str">
        <f t="array" ref="B145">IFERROR(INDEX(EPSIS!$F$2:'EPSIS'!$F$603,SMALL(IF(($B$135=EPSIS!$B$2:'EPSIS'!$B$603),MATCH(ROW(EPSIS!$B$2:'EPSIS'!$B$603), ROW(EPSIS!$B$2:'EPSIS'!$B$603)), ""), ROWS($A$1:A9))),"")</f>
        <v>85거문도</v>
      </c>
      <c r="C145" s="70">
        <f>IFERROR(INDEX(EPSIS!D$2:'EPSIS'!D$603,MATCH($B145,EPSIS!$F$2:'EPSIS'!$F$603,0)),"")</f>
        <v>2</v>
      </c>
      <c r="D145" s="16">
        <f>IFERROR(INDEX(EPSIS!E$2:'EPSIS'!E$603,MATCH($B145,EPSIS!$F$2:'EPSIS'!$F$603,0)),"")</f>
        <v>2005</v>
      </c>
      <c r="G145" s="53" t="b">
        <f t="shared" si="17"/>
        <v>1</v>
      </c>
      <c r="H145" s="53">
        <f t="shared" si="18"/>
        <v>2035</v>
      </c>
      <c r="L145" s="53" t="str">
        <f>IFERROR(INDEX(EPSIS!$B$2:'EPSIS'!$B$603,MATCH($M145,EPSIS!$F$2:'EPSIS'!$F$603,0)),"")</f>
        <v>LNG</v>
      </c>
      <c r="M145" s="53" t="str">
        <f t="array" ref="M145">IFERROR(INDEX(EPSIS!$F$2:'EPSIS'!$F$603,SMALL(IF(($M$3=EPSIS!$B$2:'EPSIS'!$B$603),MATCH(ROW(EPSIS!$B$2:'EPSIS'!$B$603), ROW(EPSIS!$B$2:'EPSIS'!$B$603)), ""), ROWS($A$1:A141))),"")</f>
        <v>555대전서남부</v>
      </c>
      <c r="N145" s="70">
        <f>IFERROR(INDEX(EPSIS!D$2:'EPSIS'!D$603,MATCH($M145,EPSIS!$F$2:'EPSIS'!$F$603,0)),"")</f>
        <v>48.300000000000004</v>
      </c>
      <c r="O145" s="16">
        <f>IFERROR(INDEX(EPSIS!E$2:'EPSIS'!E$603,MATCH($M145,EPSIS!$F$2:'EPSIS'!$F$603,0)),"")</f>
        <v>2011</v>
      </c>
      <c r="R145" s="53" t="b">
        <f t="shared" si="15"/>
        <v>1</v>
      </c>
      <c r="S145" s="53">
        <f t="shared" si="16"/>
        <v>2041</v>
      </c>
    </row>
    <row r="146" spans="1:19">
      <c r="A146" s="53" t="str">
        <f>IFERROR(INDEX(EPSIS!$B$2:'EPSIS'!$B$603,MATCH($B146,EPSIS!$F$2:'EPSIS'!$F$603,0)),"")</f>
        <v>경유</v>
      </c>
      <c r="B146" s="53" t="str">
        <f t="array" ref="B146">IFERROR(INDEX(EPSIS!$F$2:'EPSIS'!$F$603,SMALL(IF(($B$135=EPSIS!$B$2:'EPSIS'!$B$603),MATCH(ROW(EPSIS!$B$2:'EPSIS'!$B$603), ROW(EPSIS!$B$2:'EPSIS'!$B$603)), ""), ROWS($A$1:A10))),"")</f>
        <v>86고대도</v>
      </c>
      <c r="C146" s="70">
        <f>IFERROR(INDEX(EPSIS!D$2:'EPSIS'!D$603,MATCH($B146,EPSIS!$F$2:'EPSIS'!$F$603,0)),"")</f>
        <v>0.1</v>
      </c>
      <c r="D146" s="16">
        <f>IFERROR(INDEX(EPSIS!E$2:'EPSIS'!E$603,MATCH($B146,EPSIS!$F$2:'EPSIS'!$F$603,0)),"")</f>
        <v>1996</v>
      </c>
      <c r="G146" s="53" t="str">
        <f t="shared" si="17"/>
        <v>-</v>
      </c>
      <c r="H146" s="53" t="str">
        <f t="shared" si="18"/>
        <v>-</v>
      </c>
      <c r="L146" s="53" t="str">
        <f>IFERROR(INDEX(EPSIS!$B$2:'EPSIS'!$B$603,MATCH($M146,EPSIS!$F$2:'EPSIS'!$F$603,0)),"")</f>
        <v>LNG</v>
      </c>
      <c r="M146" s="53" t="str">
        <f t="array" ref="M146">IFERROR(INDEX(EPSIS!$F$2:'EPSIS'!$F$603,SMALL(IF(($M$3=EPSIS!$B$2:'EPSIS'!$B$603),MATCH(ROW(EPSIS!$B$2:'EPSIS'!$B$603), ROW(EPSIS!$B$2:'EPSIS'!$B$603)), ""), ROWS($A$1:A142))),"")</f>
        <v>558동탄열병합 #1 GT</v>
      </c>
      <c r="N146" s="70">
        <f>IFERROR(INDEX(EPSIS!D$2:'EPSIS'!D$603,MATCH($M146,EPSIS!$F$2:'EPSIS'!$F$603,0)),"")</f>
        <v>246.47</v>
      </c>
      <c r="O146" s="16">
        <f>IFERROR(INDEX(EPSIS!E$2:'EPSIS'!E$603,MATCH($M146,EPSIS!$F$2:'EPSIS'!$F$603,0)),"")</f>
        <v>2017</v>
      </c>
      <c r="R146" s="53" t="b">
        <f t="shared" si="15"/>
        <v>1</v>
      </c>
      <c r="S146" s="53">
        <f t="shared" si="16"/>
        <v>2047</v>
      </c>
    </row>
    <row r="147" spans="1:19">
      <c r="A147" s="53" t="str">
        <f>IFERROR(INDEX(EPSIS!$B$2:'EPSIS'!$B$603,MATCH($B147,EPSIS!$F$2:'EPSIS'!$F$603,0)),"")</f>
        <v>경유</v>
      </c>
      <c r="B147" s="53" t="str">
        <f t="array" ref="B147">IFERROR(INDEX(EPSIS!$F$2:'EPSIS'!$F$603,SMALL(IF(($B$135=EPSIS!$B$2:'EPSIS'!$B$603),MATCH(ROW(EPSIS!$B$2:'EPSIS'!$B$603), ROW(EPSIS!$B$2:'EPSIS'!$B$603)), ""), ROWS($A$1:A11))),"")</f>
        <v>87고대도</v>
      </c>
      <c r="C147" s="70">
        <f>IFERROR(INDEX(EPSIS!D$2:'EPSIS'!D$603,MATCH($B147,EPSIS!$F$2:'EPSIS'!$F$603,0)),"")</f>
        <v>0.3</v>
      </c>
      <c r="D147" s="16">
        <f>IFERROR(INDEX(EPSIS!E$2:'EPSIS'!E$603,MATCH($B147,EPSIS!$F$2:'EPSIS'!$F$603,0)),"")</f>
        <v>1996</v>
      </c>
      <c r="G147" s="53" t="str">
        <f t="shared" si="17"/>
        <v>-</v>
      </c>
      <c r="H147" s="53" t="str">
        <f t="shared" si="18"/>
        <v>-</v>
      </c>
      <c r="L147" s="53" t="str">
        <f>IFERROR(INDEX(EPSIS!$B$2:'EPSIS'!$B$603,MATCH($M147,EPSIS!$F$2:'EPSIS'!$F$603,0)),"")</f>
        <v>LNG</v>
      </c>
      <c r="M147" s="53" t="str">
        <f t="array" ref="M147">IFERROR(INDEX(EPSIS!$F$2:'EPSIS'!$F$603,SMALL(IF(($M$3=EPSIS!$B$2:'EPSIS'!$B$603),MATCH(ROW(EPSIS!$B$2:'EPSIS'!$B$603), ROW(EPSIS!$B$2:'EPSIS'!$B$603)), ""), ROWS($A$1:A143))),"")</f>
        <v>559동탄열병합 #1 ST</v>
      </c>
      <c r="N147" s="70">
        <f>IFERROR(INDEX(EPSIS!D$2:'EPSIS'!D$603,MATCH($M147,EPSIS!$F$2:'EPSIS'!$F$603,0)),"")</f>
        <v>131.91</v>
      </c>
      <c r="O147" s="16">
        <f>IFERROR(INDEX(EPSIS!E$2:'EPSIS'!E$603,MATCH($M147,EPSIS!$F$2:'EPSIS'!$F$603,0)),"")</f>
        <v>2017</v>
      </c>
      <c r="R147" s="53" t="b">
        <f t="shared" si="15"/>
        <v>1</v>
      </c>
      <c r="S147" s="53">
        <f t="shared" si="16"/>
        <v>2047</v>
      </c>
    </row>
    <row r="148" spans="1:19">
      <c r="A148" s="53" t="str">
        <f>IFERROR(INDEX(EPSIS!$B$2:'EPSIS'!$B$603,MATCH($B148,EPSIS!$F$2:'EPSIS'!$F$603,0)),"")</f>
        <v>경유</v>
      </c>
      <c r="B148" s="53" t="str">
        <f t="array" ref="B148">IFERROR(INDEX(EPSIS!$F$2:'EPSIS'!$F$603,SMALL(IF(($B$135=EPSIS!$B$2:'EPSIS'!$B$603),MATCH(ROW(EPSIS!$B$2:'EPSIS'!$B$603), ROW(EPSIS!$B$2:'EPSIS'!$B$603)), ""), ROWS($A$1:A12))),"")</f>
        <v>88구자도</v>
      </c>
      <c r="C148" s="70">
        <f>IFERROR(INDEX(EPSIS!D$2:'EPSIS'!D$603,MATCH($B148,EPSIS!$F$2:'EPSIS'!$F$603,0)),"")</f>
        <v>0.24</v>
      </c>
      <c r="D148" s="16">
        <f>IFERROR(INDEX(EPSIS!E$2:'EPSIS'!E$603,MATCH($B148,EPSIS!$F$2:'EPSIS'!$F$603,0)),"")</f>
        <v>2007</v>
      </c>
      <c r="G148" s="53" t="b">
        <f t="shared" si="17"/>
        <v>1</v>
      </c>
      <c r="H148" s="53">
        <f t="shared" si="18"/>
        <v>2037</v>
      </c>
      <c r="L148" s="53" t="str">
        <f>IFERROR(INDEX(EPSIS!$B$2:'EPSIS'!$B$603,MATCH($M148,EPSIS!$F$2:'EPSIS'!$F$603,0)),"")</f>
        <v>LNG</v>
      </c>
      <c r="M148" s="53" t="str">
        <f t="array" ref="M148">IFERROR(INDEX(EPSIS!$F$2:'EPSIS'!$F$603,SMALL(IF(($M$3=EPSIS!$B$2:'EPSIS'!$B$603),MATCH(ROW(EPSIS!$B$2:'EPSIS'!$B$603), ROW(EPSIS!$B$2:'EPSIS'!$B$603)), ""), ROWS($A$1:A144))),"")</f>
        <v>560동탄열병합 #2 GT</v>
      </c>
      <c r="N148" s="70">
        <f>IFERROR(INDEX(EPSIS!D$2:'EPSIS'!D$603,MATCH($M148,EPSIS!$F$2:'EPSIS'!$F$603,0)),"")</f>
        <v>246.47</v>
      </c>
      <c r="O148" s="16">
        <f>IFERROR(INDEX(EPSIS!E$2:'EPSIS'!E$603,MATCH($M148,EPSIS!$F$2:'EPSIS'!$F$603,0)),"")</f>
        <v>2017</v>
      </c>
      <c r="R148" s="53" t="b">
        <f t="shared" si="15"/>
        <v>1</v>
      </c>
      <c r="S148" s="53">
        <f t="shared" si="16"/>
        <v>2047</v>
      </c>
    </row>
    <row r="149" spans="1:19">
      <c r="A149" s="53" t="str">
        <f>IFERROR(INDEX(EPSIS!$B$2:'EPSIS'!$B$603,MATCH($B149,EPSIS!$F$2:'EPSIS'!$F$603,0)),"")</f>
        <v>경유</v>
      </c>
      <c r="B149" s="53" t="str">
        <f t="array" ref="B149">IFERROR(INDEX(EPSIS!$F$2:'EPSIS'!$F$603,SMALL(IF(($B$135=EPSIS!$B$2:'EPSIS'!$B$603),MATCH(ROW(EPSIS!$B$2:'EPSIS'!$B$603), ROW(EPSIS!$B$2:'EPSIS'!$B$603)), ""), ROWS($A$1:A13))),"")</f>
        <v>89낙월도</v>
      </c>
      <c r="C149" s="70">
        <f>IFERROR(INDEX(EPSIS!D$2:'EPSIS'!D$603,MATCH($B149,EPSIS!$F$2:'EPSIS'!$F$603,0)),"")</f>
        <v>0.75</v>
      </c>
      <c r="D149" s="16">
        <f>IFERROR(INDEX(EPSIS!E$2:'EPSIS'!E$603,MATCH($B149,EPSIS!$F$2:'EPSIS'!$F$603,0)),"")</f>
        <v>1994</v>
      </c>
      <c r="G149" s="53" t="str">
        <f t="shared" si="17"/>
        <v>-</v>
      </c>
      <c r="H149" s="53" t="str">
        <f t="shared" si="18"/>
        <v>-</v>
      </c>
      <c r="L149" s="53" t="str">
        <f>IFERROR(INDEX(EPSIS!$B$2:'EPSIS'!$B$603,MATCH($M149,EPSIS!$F$2:'EPSIS'!$F$603,0)),"")</f>
        <v>LNG</v>
      </c>
      <c r="M149" s="53" t="str">
        <f t="array" ref="M149">IFERROR(INDEX(EPSIS!$F$2:'EPSIS'!$F$603,SMALL(IF(($M$3=EPSIS!$B$2:'EPSIS'!$B$603),MATCH(ROW(EPSIS!$B$2:'EPSIS'!$B$603), ROW(EPSIS!$B$2:'EPSIS'!$B$603)), ""), ROWS($A$1:A145))),"")</f>
        <v>561동탄열병합 #2 ST</v>
      </c>
      <c r="N149" s="70">
        <f>IFERROR(INDEX(EPSIS!D$2:'EPSIS'!D$603,MATCH($M149,EPSIS!$F$2:'EPSIS'!$F$603,0)),"")</f>
        <v>131.91</v>
      </c>
      <c r="O149" s="16">
        <f>IFERROR(INDEX(EPSIS!E$2:'EPSIS'!E$603,MATCH($M149,EPSIS!$F$2:'EPSIS'!$F$603,0)),"")</f>
        <v>2017</v>
      </c>
      <c r="R149" s="53" t="b">
        <f t="shared" si="15"/>
        <v>1</v>
      </c>
      <c r="S149" s="53">
        <f t="shared" si="16"/>
        <v>2047</v>
      </c>
    </row>
    <row r="150" spans="1:19">
      <c r="A150" s="53" t="str">
        <f>IFERROR(INDEX(EPSIS!$B$2:'EPSIS'!$B$603,MATCH($B150,EPSIS!$F$2:'EPSIS'!$F$603,0)),"")</f>
        <v>경유</v>
      </c>
      <c r="B150" s="53" t="str">
        <f t="array" ref="B150">IFERROR(INDEX(EPSIS!$F$2:'EPSIS'!$F$603,SMALL(IF(($B$135=EPSIS!$B$2:'EPSIS'!$B$603),MATCH(ROW(EPSIS!$B$2:'EPSIS'!$B$603), ROW(EPSIS!$B$2:'EPSIS'!$B$603)), ""), ROWS($A$1:A14))),"")</f>
        <v>90녹도</v>
      </c>
      <c r="C150" s="70">
        <f>IFERROR(INDEX(EPSIS!D$2:'EPSIS'!D$603,MATCH($B150,EPSIS!$F$2:'EPSIS'!$F$603,0)),"")</f>
        <v>0.16</v>
      </c>
      <c r="D150" s="16">
        <f>IFERROR(INDEX(EPSIS!E$2:'EPSIS'!E$603,MATCH($B150,EPSIS!$F$2:'EPSIS'!$F$603,0)),"")</f>
        <v>1996</v>
      </c>
      <c r="G150" s="53" t="str">
        <f t="shared" si="17"/>
        <v>-</v>
      </c>
      <c r="H150" s="53" t="str">
        <f t="shared" si="18"/>
        <v>-</v>
      </c>
      <c r="L150" s="53" t="str">
        <f>IFERROR(INDEX(EPSIS!$B$2:'EPSIS'!$B$603,MATCH($M150,EPSIS!$F$2:'EPSIS'!$F$603,0)),"")</f>
        <v>LNG</v>
      </c>
      <c r="M150" s="53" t="str">
        <f t="array" ref="M150">IFERROR(INDEX(EPSIS!$F$2:'EPSIS'!$F$603,SMALL(IF(($M$3=EPSIS!$B$2:'EPSIS'!$B$603),MATCH(ROW(EPSIS!$B$2:'EPSIS'!$B$603), ROW(EPSIS!$B$2:'EPSIS'!$B$603)), ""), ROWS($A$1:A146))),"")</f>
        <v>562명품오산열병합</v>
      </c>
      <c r="N150" s="70">
        <f>IFERROR(INDEX(EPSIS!D$2:'EPSIS'!D$603,MATCH($M150,EPSIS!$F$2:'EPSIS'!$F$603,0)),"")</f>
        <v>289.3</v>
      </c>
      <c r="O150" s="16">
        <f>IFERROR(INDEX(EPSIS!E$2:'EPSIS'!E$603,MATCH($M150,EPSIS!$F$2:'EPSIS'!$F$603,0)),"")</f>
        <v>2016</v>
      </c>
      <c r="R150" s="53" t="b">
        <f t="shared" si="15"/>
        <v>1</v>
      </c>
      <c r="S150" s="53">
        <f t="shared" si="16"/>
        <v>2046</v>
      </c>
    </row>
    <row r="151" spans="1:19">
      <c r="A151" s="53" t="str">
        <f>IFERROR(INDEX(EPSIS!$B$2:'EPSIS'!$B$603,MATCH($B151,EPSIS!$F$2:'EPSIS'!$F$603,0)),"")</f>
        <v>경유</v>
      </c>
      <c r="B151" s="53" t="str">
        <f t="array" ref="B151">IFERROR(INDEX(EPSIS!$F$2:'EPSIS'!$F$603,SMALL(IF(($B$135=EPSIS!$B$2:'EPSIS'!$B$603),MATCH(ROW(EPSIS!$B$2:'EPSIS'!$B$603), ROW(EPSIS!$B$2:'EPSIS'!$B$603)), ""), ROWS($A$1:A15))),"")</f>
        <v>91녹도</v>
      </c>
      <c r="C151" s="70">
        <f>IFERROR(INDEX(EPSIS!D$2:'EPSIS'!D$603,MATCH($B151,EPSIS!$F$2:'EPSIS'!$F$603,0)),"")</f>
        <v>0.1</v>
      </c>
      <c r="D151" s="16">
        <f>IFERROR(INDEX(EPSIS!E$2:'EPSIS'!E$603,MATCH($B151,EPSIS!$F$2:'EPSIS'!$F$603,0)),"")</f>
        <v>2011</v>
      </c>
      <c r="G151" s="53" t="b">
        <f t="shared" si="17"/>
        <v>1</v>
      </c>
      <c r="H151" s="53">
        <f t="shared" si="18"/>
        <v>2041</v>
      </c>
      <c r="L151" s="53" t="str">
        <f>IFERROR(INDEX(EPSIS!$B$2:'EPSIS'!$B$603,MATCH($M151,EPSIS!$F$2:'EPSIS'!$F$603,0)),"")</f>
        <v>LNG</v>
      </c>
      <c r="M151" s="53" t="str">
        <f t="array" ref="M151">IFERROR(INDEX(EPSIS!$F$2:'EPSIS'!$F$603,SMALL(IF(($M$3=EPSIS!$B$2:'EPSIS'!$B$603),MATCH(ROW(EPSIS!$B$2:'EPSIS'!$B$603), ROW(EPSIS!$B$2:'EPSIS'!$B$603)), ""), ROWS($A$1:A147))),"")</f>
        <v>563명품오산열병합</v>
      </c>
      <c r="N151" s="70">
        <f>IFERROR(INDEX(EPSIS!D$2:'EPSIS'!D$603,MATCH($M151,EPSIS!$F$2:'EPSIS'!$F$603,0)),"")</f>
        <v>146.80000000000001</v>
      </c>
      <c r="O151" s="16">
        <f>IFERROR(INDEX(EPSIS!E$2:'EPSIS'!E$603,MATCH($M151,EPSIS!$F$2:'EPSIS'!$F$603,0)),"")</f>
        <v>2016</v>
      </c>
      <c r="R151" s="53" t="b">
        <f t="shared" si="15"/>
        <v>1</v>
      </c>
      <c r="S151" s="53">
        <f t="shared" si="16"/>
        <v>2046</v>
      </c>
    </row>
    <row r="152" spans="1:19">
      <c r="A152" s="53" t="str">
        <f>IFERROR(INDEX(EPSIS!$B$2:'EPSIS'!$B$603,MATCH($B152,EPSIS!$F$2:'EPSIS'!$F$603,0)),"")</f>
        <v>경유</v>
      </c>
      <c r="B152" s="53" t="str">
        <f t="array" ref="B152">IFERROR(INDEX(EPSIS!$F$2:'EPSIS'!$F$603,SMALL(IF(($B$135=EPSIS!$B$2:'EPSIS'!$B$603),MATCH(ROW(EPSIS!$B$2:'EPSIS'!$B$603), ROW(EPSIS!$B$2:'EPSIS'!$B$603)), ""), ROWS($A$1:A16))),"")</f>
        <v>92대청도</v>
      </c>
      <c r="C152" s="70">
        <f>IFERROR(INDEX(EPSIS!D$2:'EPSIS'!D$603,MATCH($B152,EPSIS!$F$2:'EPSIS'!$F$603,0)),"")</f>
        <v>0.45</v>
      </c>
      <c r="D152" s="16">
        <f>IFERROR(INDEX(EPSIS!E$2:'EPSIS'!E$603,MATCH($B152,EPSIS!$F$2:'EPSIS'!$F$603,0)),"")</f>
        <v>1995</v>
      </c>
      <c r="G152" s="53" t="str">
        <f t="shared" si="17"/>
        <v>-</v>
      </c>
      <c r="H152" s="53" t="str">
        <f t="shared" si="18"/>
        <v>-</v>
      </c>
      <c r="L152" s="53" t="str">
        <f>IFERROR(INDEX(EPSIS!$B$2:'EPSIS'!$B$603,MATCH($M152,EPSIS!$F$2:'EPSIS'!$F$603,0)),"")</f>
        <v>LNG</v>
      </c>
      <c r="M152" s="53" t="str">
        <f t="array" ref="M152">IFERROR(INDEX(EPSIS!$F$2:'EPSIS'!$F$603,SMALL(IF(($M$3=EPSIS!$B$2:'EPSIS'!$B$603),MATCH(ROW(EPSIS!$B$2:'EPSIS'!$B$603), ROW(EPSIS!$B$2:'EPSIS'!$B$603)), ""), ROWS($A$1:A148))),"")</f>
        <v>564목동열병합</v>
      </c>
      <c r="N152" s="70">
        <f>IFERROR(INDEX(EPSIS!D$2:'EPSIS'!D$603,MATCH($M152,EPSIS!$F$2:'EPSIS'!$F$603,0)),"")</f>
        <v>21</v>
      </c>
      <c r="O152" s="16">
        <f>IFERROR(INDEX(EPSIS!E$2:'EPSIS'!E$603,MATCH($M152,EPSIS!$F$2:'EPSIS'!$F$603,0)),"")</f>
        <v>1987</v>
      </c>
      <c r="R152" s="53" t="str">
        <f t="shared" si="15"/>
        <v>-</v>
      </c>
      <c r="S152" s="53" t="str">
        <f t="shared" si="16"/>
        <v>-</v>
      </c>
    </row>
    <row r="153" spans="1:19">
      <c r="A153" s="53" t="str">
        <f>IFERROR(INDEX(EPSIS!$B$2:'EPSIS'!$B$603,MATCH($B153,EPSIS!$F$2:'EPSIS'!$F$603,0)),"")</f>
        <v>경유</v>
      </c>
      <c r="B153" s="53" t="str">
        <f t="array" ref="B153">IFERROR(INDEX(EPSIS!$F$2:'EPSIS'!$F$603,SMALL(IF(($B$135=EPSIS!$B$2:'EPSIS'!$B$603),MATCH(ROW(EPSIS!$B$2:'EPSIS'!$B$603), ROW(EPSIS!$B$2:'EPSIS'!$B$603)), ""), ROWS($A$1:A17))),"")</f>
        <v>93대청도</v>
      </c>
      <c r="C153" s="70">
        <f>IFERROR(INDEX(EPSIS!D$2:'EPSIS'!D$603,MATCH($B153,EPSIS!$F$2:'EPSIS'!$F$603,0)),"")</f>
        <v>0.5</v>
      </c>
      <c r="D153" s="16">
        <f>IFERROR(INDEX(EPSIS!E$2:'EPSIS'!E$603,MATCH($B153,EPSIS!$F$2:'EPSIS'!$F$603,0)),"")</f>
        <v>2006</v>
      </c>
      <c r="G153" s="53" t="b">
        <f t="shared" si="17"/>
        <v>1</v>
      </c>
      <c r="H153" s="53">
        <f t="shared" si="18"/>
        <v>2036</v>
      </c>
      <c r="L153" s="53" t="str">
        <f>IFERROR(INDEX(EPSIS!$B$2:'EPSIS'!$B$603,MATCH($M153,EPSIS!$F$2:'EPSIS'!$F$603,0)),"")</f>
        <v>LNG</v>
      </c>
      <c r="M153" s="53" t="str">
        <f t="array" ref="M153">IFERROR(INDEX(EPSIS!$F$2:'EPSIS'!$F$603,SMALL(IF(($M$3=EPSIS!$B$2:'EPSIS'!$B$603),MATCH(ROW(EPSIS!$B$2:'EPSIS'!$B$603), ROW(EPSIS!$B$2:'EPSIS'!$B$603)), ""), ROWS($A$1:A149))),"")</f>
        <v>567별내열병합</v>
      </c>
      <c r="N153" s="70">
        <f>IFERROR(INDEX(EPSIS!D$2:'EPSIS'!D$603,MATCH($M153,EPSIS!$F$2:'EPSIS'!$F$603,0)),"")</f>
        <v>80.06</v>
      </c>
      <c r="O153" s="16">
        <f>IFERROR(INDEX(EPSIS!E$2:'EPSIS'!E$603,MATCH($M153,EPSIS!$F$2:'EPSIS'!$F$603,0)),"")</f>
        <v>2013</v>
      </c>
      <c r="R153" s="53" t="b">
        <f t="shared" si="15"/>
        <v>1</v>
      </c>
      <c r="S153" s="53">
        <f t="shared" si="16"/>
        <v>2043</v>
      </c>
    </row>
    <row r="154" spans="1:19">
      <c r="A154" s="53" t="str">
        <f>IFERROR(INDEX(EPSIS!$B$2:'EPSIS'!$B$603,MATCH($B154,EPSIS!$F$2:'EPSIS'!$F$603,0)),"")</f>
        <v>경유</v>
      </c>
      <c r="B154" s="53" t="str">
        <f t="array" ref="B154">IFERROR(INDEX(EPSIS!$F$2:'EPSIS'!$F$603,SMALL(IF(($B$135=EPSIS!$B$2:'EPSIS'!$B$603),MATCH(ROW(EPSIS!$B$2:'EPSIS'!$B$603), ROW(EPSIS!$B$2:'EPSIS'!$B$603)), ""), ROWS($A$1:A18))),"")</f>
        <v>94대청도</v>
      </c>
      <c r="C154" s="70">
        <f>IFERROR(INDEX(EPSIS!D$2:'EPSIS'!D$603,MATCH($B154,EPSIS!$F$2:'EPSIS'!$F$603,0)),"")</f>
        <v>2.6</v>
      </c>
      <c r="D154" s="16">
        <f>IFERROR(INDEX(EPSIS!E$2:'EPSIS'!E$603,MATCH($B154,EPSIS!$F$2:'EPSIS'!$F$603,0)),"")</f>
        <v>2011</v>
      </c>
      <c r="G154" s="53" t="b">
        <f t="shared" si="17"/>
        <v>1</v>
      </c>
      <c r="H154" s="53">
        <f t="shared" si="18"/>
        <v>2041</v>
      </c>
      <c r="L154" s="53" t="str">
        <f>IFERROR(INDEX(EPSIS!$B$2:'EPSIS'!$B$603,MATCH($M154,EPSIS!$F$2:'EPSIS'!$F$603,0)),"")</f>
        <v>LNG</v>
      </c>
      <c r="M154" s="53" t="str">
        <f t="array" ref="M154">IFERROR(INDEX(EPSIS!$F$2:'EPSIS'!$F$603,SMALL(IF(($M$3=EPSIS!$B$2:'EPSIS'!$B$603),MATCH(ROW(EPSIS!$B$2:'EPSIS'!$B$603), ROW(EPSIS!$B$2:'EPSIS'!$B$603)), ""), ROWS($A$1:A150))),"")</f>
        <v>568별내열병합</v>
      </c>
      <c r="N154" s="70">
        <f>IFERROR(INDEX(EPSIS!D$2:'EPSIS'!D$603,MATCH($M154,EPSIS!$F$2:'EPSIS'!$F$603,0)),"")</f>
        <v>35.35</v>
      </c>
      <c r="O154" s="16">
        <f>IFERROR(INDEX(EPSIS!E$2:'EPSIS'!E$603,MATCH($M154,EPSIS!$F$2:'EPSIS'!$F$603,0)),"")</f>
        <v>2013</v>
      </c>
      <c r="R154" s="53" t="b">
        <f t="shared" si="15"/>
        <v>1</v>
      </c>
      <c r="S154" s="53">
        <f t="shared" si="16"/>
        <v>2043</v>
      </c>
    </row>
    <row r="155" spans="1:19">
      <c r="A155" s="53" t="str">
        <f>IFERROR(INDEX(EPSIS!$B$2:'EPSIS'!$B$603,MATCH($B155,EPSIS!$F$2:'EPSIS'!$F$603,0)),"")</f>
        <v>경유</v>
      </c>
      <c r="B155" s="53" t="str">
        <f t="array" ref="B155">IFERROR(INDEX(EPSIS!$F$2:'EPSIS'!$F$603,SMALL(IF(($B$135=EPSIS!$B$2:'EPSIS'!$B$603),MATCH(ROW(EPSIS!$B$2:'EPSIS'!$B$603), ROW(EPSIS!$B$2:'EPSIS'!$B$603)), ""), ROWS($A$1:A19))),"")</f>
        <v>95덕우도</v>
      </c>
      <c r="C155" s="70">
        <f>IFERROR(INDEX(EPSIS!D$2:'EPSIS'!D$603,MATCH($B155,EPSIS!$F$2:'EPSIS'!$F$603,0)),"")</f>
        <v>0.24</v>
      </c>
      <c r="D155" s="16">
        <f>IFERROR(INDEX(EPSIS!E$2:'EPSIS'!E$603,MATCH($B155,EPSIS!$F$2:'EPSIS'!$F$603,0)),"")</f>
        <v>1996</v>
      </c>
      <c r="G155" s="53" t="str">
        <f t="shared" si="17"/>
        <v>-</v>
      </c>
      <c r="H155" s="53" t="str">
        <f t="shared" si="18"/>
        <v>-</v>
      </c>
      <c r="L155" s="53" t="str">
        <f>IFERROR(INDEX(EPSIS!$B$2:'EPSIS'!$B$603,MATCH($M155,EPSIS!$F$2:'EPSIS'!$F$603,0)),"")</f>
        <v>LNG</v>
      </c>
      <c r="M155" s="53" t="str">
        <f t="array" ref="M155">IFERROR(INDEX(EPSIS!$F$2:'EPSIS'!$F$603,SMALL(IF(($M$3=EPSIS!$B$2:'EPSIS'!$B$603),MATCH(ROW(EPSIS!$B$2:'EPSIS'!$B$603), ROW(EPSIS!$B$2:'EPSIS'!$B$603)), ""), ROWS($A$1:A151))),"")</f>
        <v>570부천 GT</v>
      </c>
      <c r="N155" s="70">
        <f>IFERROR(INDEX(EPSIS!D$2:'EPSIS'!D$603,MATCH($M155,EPSIS!$F$2:'EPSIS'!$F$603,0)),"")</f>
        <v>200</v>
      </c>
      <c r="O155" s="16">
        <f>IFERROR(INDEX(EPSIS!E$2:'EPSIS'!E$603,MATCH($M155,EPSIS!$F$2:'EPSIS'!$F$603,0)),"")</f>
        <v>1993</v>
      </c>
      <c r="R155" s="53" t="str">
        <f t="shared" si="15"/>
        <v>-</v>
      </c>
      <c r="S155" s="53" t="str">
        <f t="shared" si="16"/>
        <v>-</v>
      </c>
    </row>
    <row r="156" spans="1:19">
      <c r="A156" s="53" t="str">
        <f>IFERROR(INDEX(EPSIS!$B$2:'EPSIS'!$B$603,MATCH($B156,EPSIS!$F$2:'EPSIS'!$F$603,0)),"")</f>
        <v>경유</v>
      </c>
      <c r="B156" s="53" t="str">
        <f t="array" ref="B156">IFERROR(INDEX(EPSIS!$F$2:'EPSIS'!$F$603,SMALL(IF(($B$135=EPSIS!$B$2:'EPSIS'!$B$603),MATCH(ROW(EPSIS!$B$2:'EPSIS'!$B$603), ROW(EPSIS!$B$2:'EPSIS'!$B$603)), ""), ROWS($A$1:A20))),"")</f>
        <v>96덕우도</v>
      </c>
      <c r="C156" s="70">
        <f>IFERROR(INDEX(EPSIS!D$2:'EPSIS'!D$603,MATCH($B156,EPSIS!$F$2:'EPSIS'!$F$603,0)),"")</f>
        <v>0.15</v>
      </c>
      <c r="D156" s="16">
        <f>IFERROR(INDEX(EPSIS!E$2:'EPSIS'!E$603,MATCH($B156,EPSIS!$F$2:'EPSIS'!$F$603,0)),"")</f>
        <v>2000</v>
      </c>
      <c r="G156" s="53" t="str">
        <f t="shared" si="17"/>
        <v>-</v>
      </c>
      <c r="H156" s="53" t="str">
        <f t="shared" si="18"/>
        <v>-</v>
      </c>
      <c r="L156" s="53" t="str">
        <f>IFERROR(INDEX(EPSIS!$B$2:'EPSIS'!$B$603,MATCH($M156,EPSIS!$F$2:'EPSIS'!$F$603,0)),"")</f>
        <v>LNG</v>
      </c>
      <c r="M156" s="53" t="str">
        <f t="array" ref="M156">IFERROR(INDEX(EPSIS!$F$2:'EPSIS'!$F$603,SMALL(IF(($M$3=EPSIS!$B$2:'EPSIS'!$B$603),MATCH(ROW(EPSIS!$B$2:'EPSIS'!$B$603), ROW(EPSIS!$B$2:'EPSIS'!$B$603)), ""), ROWS($A$1:A152))),"")</f>
        <v>571부천 GT</v>
      </c>
      <c r="N156" s="70">
        <f>IFERROR(INDEX(EPSIS!D$2:'EPSIS'!D$603,MATCH($M156,EPSIS!$F$2:'EPSIS'!$F$603,0)),"")</f>
        <v>100</v>
      </c>
      <c r="O156" s="16">
        <f>IFERROR(INDEX(EPSIS!E$2:'EPSIS'!E$603,MATCH($M156,EPSIS!$F$2:'EPSIS'!$F$603,0)),"")</f>
        <v>1993</v>
      </c>
      <c r="R156" s="53" t="str">
        <f t="shared" si="15"/>
        <v>-</v>
      </c>
      <c r="S156" s="53" t="str">
        <f t="shared" si="16"/>
        <v>-</v>
      </c>
    </row>
    <row r="157" spans="1:19">
      <c r="A157" s="53" t="str">
        <f>IFERROR(INDEX(EPSIS!$B$2:'EPSIS'!$B$603,MATCH($B157,EPSIS!$F$2:'EPSIS'!$F$603,0)),"")</f>
        <v>경유</v>
      </c>
      <c r="B157" s="53" t="str">
        <f t="array" ref="B157">IFERROR(INDEX(EPSIS!$F$2:'EPSIS'!$F$603,SMALL(IF(($B$135=EPSIS!$B$2:'EPSIS'!$B$603),MATCH(ROW(EPSIS!$B$2:'EPSIS'!$B$603), ROW(EPSIS!$B$2:'EPSIS'!$B$603)), ""), ROWS($A$1:A21))),"")</f>
        <v>97덕적도</v>
      </c>
      <c r="C157" s="70">
        <f>IFERROR(INDEX(EPSIS!D$2:'EPSIS'!D$603,MATCH($B157,EPSIS!$F$2:'EPSIS'!$F$603,0)),"")</f>
        <v>0.9</v>
      </c>
      <c r="D157" s="16">
        <f>IFERROR(INDEX(EPSIS!E$2:'EPSIS'!E$603,MATCH($B157,EPSIS!$F$2:'EPSIS'!$F$603,0)),"")</f>
        <v>1989</v>
      </c>
      <c r="G157" s="53" t="str">
        <f t="shared" si="17"/>
        <v>-</v>
      </c>
      <c r="H157" s="53" t="str">
        <f t="shared" si="18"/>
        <v>-</v>
      </c>
      <c r="L157" s="53" t="str">
        <f>IFERROR(INDEX(EPSIS!$B$2:'EPSIS'!$B$603,MATCH($M157,EPSIS!$F$2:'EPSIS'!$F$603,0)),"")</f>
        <v>LNG</v>
      </c>
      <c r="M157" s="53" t="str">
        <f t="array" ref="M157">IFERROR(INDEX(EPSIS!$F$2:'EPSIS'!$F$603,SMALL(IF(($M$3=EPSIS!$B$2:'EPSIS'!$B$603),MATCH(ROW(EPSIS!$B$2:'EPSIS'!$B$603), ROW(EPSIS!$B$2:'EPSIS'!$B$603)), ""), ROWS($A$1:A153))),"")</f>
        <v>572부천 ST</v>
      </c>
      <c r="N157" s="70">
        <f>IFERROR(INDEX(EPSIS!D$2:'EPSIS'!D$603,MATCH($M157,EPSIS!$F$2:'EPSIS'!$F$603,0)),"")</f>
        <v>150</v>
      </c>
      <c r="O157" s="16">
        <f>IFERROR(INDEX(EPSIS!E$2:'EPSIS'!E$603,MATCH($M157,EPSIS!$F$2:'EPSIS'!$F$603,0)),"")</f>
        <v>1993</v>
      </c>
      <c r="R157" s="53" t="str">
        <f t="shared" si="15"/>
        <v>-</v>
      </c>
      <c r="S157" s="53" t="str">
        <f t="shared" si="16"/>
        <v>-</v>
      </c>
    </row>
    <row r="158" spans="1:19">
      <c r="A158" s="53" t="str">
        <f>IFERROR(INDEX(EPSIS!$B$2:'EPSIS'!$B$603,MATCH($B158,EPSIS!$F$2:'EPSIS'!$F$603,0)),"")</f>
        <v>경유</v>
      </c>
      <c r="B158" s="53" t="str">
        <f t="array" ref="B158">IFERROR(INDEX(EPSIS!$F$2:'EPSIS'!$F$603,SMALL(IF(($B$135=EPSIS!$B$2:'EPSIS'!$B$603),MATCH(ROW(EPSIS!$B$2:'EPSIS'!$B$603), ROW(EPSIS!$B$2:'EPSIS'!$B$603)), ""), ROWS($A$1:A22))),"")</f>
        <v>98덕적도</v>
      </c>
      <c r="C158" s="70">
        <f>IFERROR(INDEX(EPSIS!D$2:'EPSIS'!D$603,MATCH($B158,EPSIS!$F$2:'EPSIS'!$F$603,0)),"")</f>
        <v>0.5</v>
      </c>
      <c r="D158" s="16">
        <f>IFERROR(INDEX(EPSIS!E$2:'EPSIS'!E$603,MATCH($B158,EPSIS!$F$2:'EPSIS'!$F$603,0)),"")</f>
        <v>1997</v>
      </c>
      <c r="G158" s="53" t="str">
        <f t="shared" si="17"/>
        <v>-</v>
      </c>
      <c r="H158" s="53" t="str">
        <f t="shared" si="18"/>
        <v>-</v>
      </c>
      <c r="L158" s="53" t="str">
        <f>IFERROR(INDEX(EPSIS!$B$2:'EPSIS'!$B$603,MATCH($M158,EPSIS!$F$2:'EPSIS'!$F$603,0)),"")</f>
        <v>LNG</v>
      </c>
      <c r="M158" s="53" t="str">
        <f t="array" ref="M158">IFERROR(INDEX(EPSIS!$F$2:'EPSIS'!$F$603,SMALL(IF(($M$3=EPSIS!$B$2:'EPSIS'!$B$603),MATCH(ROW(EPSIS!$B$2:'EPSIS'!$B$603), ROW(EPSIS!$B$2:'EPSIS'!$B$603)), ""), ROWS($A$1:A154))),"")</f>
        <v>576세종천연가스</v>
      </c>
      <c r="N158" s="70">
        <f>IFERROR(INDEX(EPSIS!D$2:'EPSIS'!D$603,MATCH($M158,EPSIS!$F$2:'EPSIS'!$F$603,0)),"")</f>
        <v>334.20800000000003</v>
      </c>
      <c r="O158" s="16">
        <f>IFERROR(INDEX(EPSIS!E$2:'EPSIS'!E$603,MATCH($M158,EPSIS!$F$2:'EPSIS'!$F$603,0)),"")</f>
        <v>2013</v>
      </c>
      <c r="R158" s="53" t="b">
        <f t="shared" si="15"/>
        <v>1</v>
      </c>
      <c r="S158" s="53">
        <f t="shared" si="16"/>
        <v>2043</v>
      </c>
    </row>
    <row r="159" spans="1:19">
      <c r="A159" s="53" t="str">
        <f>IFERROR(INDEX(EPSIS!$B$2:'EPSIS'!$B$603,MATCH($B159,EPSIS!$F$2:'EPSIS'!$F$603,0)),"")</f>
        <v>경유</v>
      </c>
      <c r="B159" s="53" t="str">
        <f t="array" ref="B159">IFERROR(INDEX(EPSIS!$F$2:'EPSIS'!$F$603,SMALL(IF(($B$135=EPSIS!$B$2:'EPSIS'!$B$603),MATCH(ROW(EPSIS!$B$2:'EPSIS'!$B$603), ROW(EPSIS!$B$2:'EPSIS'!$B$603)), ""), ROWS($A$1:A23))),"")</f>
        <v>99덕적도</v>
      </c>
      <c r="C159" s="70">
        <f>IFERROR(INDEX(EPSIS!D$2:'EPSIS'!D$603,MATCH($B159,EPSIS!$F$2:'EPSIS'!$F$603,0)),"")</f>
        <v>0.5</v>
      </c>
      <c r="D159" s="16">
        <f>IFERROR(INDEX(EPSIS!E$2:'EPSIS'!E$603,MATCH($B159,EPSIS!$F$2:'EPSIS'!$F$603,0)),"")</f>
        <v>2001</v>
      </c>
      <c r="G159" s="53" t="str">
        <f t="shared" si="17"/>
        <v>-</v>
      </c>
      <c r="H159" s="53" t="str">
        <f t="shared" si="18"/>
        <v>-</v>
      </c>
      <c r="L159" s="53" t="str">
        <f>IFERROR(INDEX(EPSIS!$B$2:'EPSIS'!$B$603,MATCH($M159,EPSIS!$F$2:'EPSIS'!$F$603,0)),"")</f>
        <v>LNG</v>
      </c>
      <c r="M159" s="53" t="str">
        <f t="array" ref="M159">IFERROR(INDEX(EPSIS!$F$2:'EPSIS'!$F$603,SMALL(IF(($M$3=EPSIS!$B$2:'EPSIS'!$B$603),MATCH(ROW(EPSIS!$B$2:'EPSIS'!$B$603), ROW(EPSIS!$B$2:'EPSIS'!$B$603)), ""), ROWS($A$1:A155))),"")</f>
        <v>577세종천연가스</v>
      </c>
      <c r="N159" s="70">
        <f>IFERROR(INDEX(EPSIS!D$2:'EPSIS'!D$603,MATCH($M159,EPSIS!$F$2:'EPSIS'!$F$603,0)),"")</f>
        <v>196.233</v>
      </c>
      <c r="O159" s="16">
        <f>IFERROR(INDEX(EPSIS!E$2:'EPSIS'!E$603,MATCH($M159,EPSIS!$F$2:'EPSIS'!$F$603,0)),"")</f>
        <v>2013</v>
      </c>
      <c r="R159" s="53" t="b">
        <f t="shared" si="15"/>
        <v>1</v>
      </c>
      <c r="S159" s="53">
        <f t="shared" si="16"/>
        <v>2043</v>
      </c>
    </row>
    <row r="160" spans="1:19">
      <c r="A160" s="53" t="str">
        <f>IFERROR(INDEX(EPSIS!$B$2:'EPSIS'!$B$603,MATCH($B160,EPSIS!$F$2:'EPSIS'!$F$603,0)),"")</f>
        <v>경유</v>
      </c>
      <c r="B160" s="53" t="str">
        <f t="array" ref="B160">IFERROR(INDEX(EPSIS!$F$2:'EPSIS'!$F$603,SMALL(IF(($B$135=EPSIS!$B$2:'EPSIS'!$B$603),MATCH(ROW(EPSIS!$B$2:'EPSIS'!$B$603), ROW(EPSIS!$B$2:'EPSIS'!$B$603)), ""), ROWS($A$1:A24))),"")</f>
        <v>100덕적도</v>
      </c>
      <c r="C160" s="70">
        <f>IFERROR(INDEX(EPSIS!D$2:'EPSIS'!D$603,MATCH($B160,EPSIS!$F$2:'EPSIS'!$F$603,0)),"")</f>
        <v>1</v>
      </c>
      <c r="D160" s="16">
        <f>IFERROR(INDEX(EPSIS!E$2:'EPSIS'!E$603,MATCH($B160,EPSIS!$F$2:'EPSIS'!$F$603,0)),"")</f>
        <v>2005</v>
      </c>
      <c r="G160" s="53" t="b">
        <f t="shared" si="17"/>
        <v>1</v>
      </c>
      <c r="H160" s="53">
        <f t="shared" si="18"/>
        <v>2035</v>
      </c>
      <c r="L160" s="53" t="str">
        <f>IFERROR(INDEX(EPSIS!$B$2:'EPSIS'!$B$603,MATCH($M160,EPSIS!$F$2:'EPSIS'!$F$603,0)),"")</f>
        <v>LNG</v>
      </c>
      <c r="M160" s="53" t="str">
        <f t="array" ref="M160">IFERROR(INDEX(EPSIS!$F$2:'EPSIS'!$F$603,SMALL(IF(($M$3=EPSIS!$B$2:'EPSIS'!$B$603),MATCH(ROW(EPSIS!$B$2:'EPSIS'!$B$603), ROW(EPSIS!$B$2:'EPSIS'!$B$603)), ""), ROWS($A$1:A156))),"")</f>
        <v>578송도복합</v>
      </c>
      <c r="N160" s="70">
        <f>IFERROR(INDEX(EPSIS!D$2:'EPSIS'!D$603,MATCH($M160,EPSIS!$F$2:'EPSIS'!$F$603,0)),"")</f>
        <v>134.9</v>
      </c>
      <c r="O160" s="16">
        <f>IFERROR(INDEX(EPSIS!E$2:'EPSIS'!E$603,MATCH($M160,EPSIS!$F$2:'EPSIS'!$F$603,0)),"")</f>
        <v>2010</v>
      </c>
      <c r="R160" s="53" t="b">
        <f t="shared" si="15"/>
        <v>1</v>
      </c>
      <c r="S160" s="53">
        <f t="shared" si="16"/>
        <v>2040</v>
      </c>
    </row>
    <row r="161" spans="1:19">
      <c r="A161" s="53" t="str">
        <f>IFERROR(INDEX(EPSIS!$B$2:'EPSIS'!$B$603,MATCH($B161,EPSIS!$F$2:'EPSIS'!$F$603,0)),"")</f>
        <v>경유</v>
      </c>
      <c r="B161" s="53" t="str">
        <f t="array" ref="B161">IFERROR(INDEX(EPSIS!$F$2:'EPSIS'!$F$603,SMALL(IF(($B$135=EPSIS!$B$2:'EPSIS'!$B$603),MATCH(ROW(EPSIS!$B$2:'EPSIS'!$B$603), ROW(EPSIS!$B$2:'EPSIS'!$B$603)), ""), ROWS($A$1:A25))),"")</f>
        <v>101독거도</v>
      </c>
      <c r="C161" s="70">
        <f>IFERROR(INDEX(EPSIS!D$2:'EPSIS'!D$603,MATCH($B161,EPSIS!$F$2:'EPSIS'!$F$603,0)),"")</f>
        <v>0.08</v>
      </c>
      <c r="D161" s="16">
        <f>IFERROR(INDEX(EPSIS!E$2:'EPSIS'!E$603,MATCH($B161,EPSIS!$F$2:'EPSIS'!$F$603,0)),"")</f>
        <v>2004</v>
      </c>
      <c r="G161" s="53" t="str">
        <f t="shared" si="17"/>
        <v>-</v>
      </c>
      <c r="H161" s="53" t="str">
        <f t="shared" si="18"/>
        <v>-</v>
      </c>
      <c r="L161" s="53" t="str">
        <f>IFERROR(INDEX(EPSIS!$B$2:'EPSIS'!$B$603,MATCH($M161,EPSIS!$F$2:'EPSIS'!$F$603,0)),"")</f>
        <v>LNG</v>
      </c>
      <c r="M161" s="53" t="str">
        <f t="array" ref="M161">IFERROR(INDEX(EPSIS!$F$2:'EPSIS'!$F$603,SMALL(IF(($M$3=EPSIS!$B$2:'EPSIS'!$B$603),MATCH(ROW(EPSIS!$B$2:'EPSIS'!$B$603), ROW(EPSIS!$B$2:'EPSIS'!$B$603)), ""), ROWS($A$1:A157))),"")</f>
        <v>579송도복합</v>
      </c>
      <c r="N161" s="70">
        <f>IFERROR(INDEX(EPSIS!D$2:'EPSIS'!D$603,MATCH($M161,EPSIS!$F$2:'EPSIS'!$F$603,0)),"")</f>
        <v>52.4</v>
      </c>
      <c r="O161" s="16">
        <f>IFERROR(INDEX(EPSIS!E$2:'EPSIS'!E$603,MATCH($M161,EPSIS!$F$2:'EPSIS'!$F$603,0)),"")</f>
        <v>2010</v>
      </c>
      <c r="R161" s="53" t="b">
        <f t="shared" si="15"/>
        <v>1</v>
      </c>
      <c r="S161" s="53">
        <f t="shared" si="16"/>
        <v>2040</v>
      </c>
    </row>
    <row r="162" spans="1:19">
      <c r="A162" s="53" t="str">
        <f>IFERROR(INDEX(EPSIS!$B$2:'EPSIS'!$B$603,MATCH($B162,EPSIS!$F$2:'EPSIS'!$F$603,0)),"")</f>
        <v>경유</v>
      </c>
      <c r="B162" s="53" t="str">
        <f t="array" ref="B162">IFERROR(INDEX(EPSIS!$F$2:'EPSIS'!$F$603,SMALL(IF(($B$135=EPSIS!$B$2:'EPSIS'!$B$603),MATCH(ROW(EPSIS!$B$2:'EPSIS'!$B$603), ROW(EPSIS!$B$2:'EPSIS'!$B$603)), ""), ROWS($A$1:A26))),"")</f>
        <v>102독거도</v>
      </c>
      <c r="C162" s="70">
        <f>IFERROR(INDEX(EPSIS!D$2:'EPSIS'!D$603,MATCH($B162,EPSIS!$F$2:'EPSIS'!$F$603,0)),"")</f>
        <v>0.08</v>
      </c>
      <c r="D162" s="16">
        <f>IFERROR(INDEX(EPSIS!E$2:'EPSIS'!E$603,MATCH($B162,EPSIS!$F$2:'EPSIS'!$F$603,0)),"")</f>
        <v>2010</v>
      </c>
      <c r="G162" s="53" t="b">
        <f t="shared" si="17"/>
        <v>1</v>
      </c>
      <c r="H162" s="53">
        <f t="shared" si="18"/>
        <v>2040</v>
      </c>
      <c r="L162" s="53" t="str">
        <f>IFERROR(INDEX(EPSIS!$B$2:'EPSIS'!$B$603,MATCH($M162,EPSIS!$F$2:'EPSIS'!$F$603,0)),"")</f>
        <v>LNG</v>
      </c>
      <c r="M162" s="53" t="str">
        <f t="array" ref="M162">IFERROR(INDEX(EPSIS!$F$2:'EPSIS'!$F$603,SMALL(IF(($M$3=EPSIS!$B$2:'EPSIS'!$B$603),MATCH(ROW(EPSIS!$B$2:'EPSIS'!$B$603), ROW(EPSIS!$B$2:'EPSIS'!$B$603)), ""), ROWS($A$1:A158))),"")</f>
        <v>580수완에너지</v>
      </c>
      <c r="N162" s="70">
        <f>IFERROR(INDEX(EPSIS!D$2:'EPSIS'!D$603,MATCH($M162,EPSIS!$F$2:'EPSIS'!$F$603,0)),"")</f>
        <v>80.066000000000003</v>
      </c>
      <c r="O162" s="16">
        <f>IFERROR(INDEX(EPSIS!E$2:'EPSIS'!E$603,MATCH($M162,EPSIS!$F$2:'EPSIS'!$F$603,0)),"")</f>
        <v>2010</v>
      </c>
      <c r="R162" s="53" t="b">
        <f t="shared" si="15"/>
        <v>1</v>
      </c>
      <c r="S162" s="53">
        <f t="shared" si="16"/>
        <v>2040</v>
      </c>
    </row>
    <row r="163" spans="1:19">
      <c r="A163" s="53" t="str">
        <f>IFERROR(INDEX(EPSIS!$B$2:'EPSIS'!$B$603,MATCH($B163,EPSIS!$F$2:'EPSIS'!$F$603,0)),"")</f>
        <v>경유</v>
      </c>
      <c r="B163" s="53" t="str">
        <f t="array" ref="B163">IFERROR(INDEX(EPSIS!$F$2:'EPSIS'!$F$603,SMALL(IF(($B$135=EPSIS!$B$2:'EPSIS'!$B$603),MATCH(ROW(EPSIS!$B$2:'EPSIS'!$B$603), ROW(EPSIS!$B$2:'EPSIS'!$B$603)), ""), ROWS($A$1:A27))),"")</f>
        <v>103득량도</v>
      </c>
      <c r="C163" s="70">
        <f>IFERROR(INDEX(EPSIS!D$2:'EPSIS'!D$603,MATCH($B163,EPSIS!$F$2:'EPSIS'!$F$603,0)),"")</f>
        <v>0.3</v>
      </c>
      <c r="D163" s="16">
        <f>IFERROR(INDEX(EPSIS!E$2:'EPSIS'!E$603,MATCH($B163,EPSIS!$F$2:'EPSIS'!$F$603,0)),"")</f>
        <v>1994</v>
      </c>
      <c r="G163" s="53" t="str">
        <f t="shared" si="17"/>
        <v>-</v>
      </c>
      <c r="H163" s="53" t="str">
        <f t="shared" si="18"/>
        <v>-</v>
      </c>
      <c r="L163" s="53" t="str">
        <f>IFERROR(INDEX(EPSIS!$B$2:'EPSIS'!$B$603,MATCH($M163,EPSIS!$F$2:'EPSIS'!$F$603,0)),"")</f>
        <v>LNG</v>
      </c>
      <c r="M163" s="53" t="str">
        <f t="array" ref="M163">IFERROR(INDEX(EPSIS!$F$2:'EPSIS'!$F$603,SMALL(IF(($M$3=EPSIS!$B$2:'EPSIS'!$B$603),MATCH(ROW(EPSIS!$B$2:'EPSIS'!$B$603), ROW(EPSIS!$B$2:'EPSIS'!$B$603)), ""), ROWS($A$1:A159))),"")</f>
        <v>581수완에너지</v>
      </c>
      <c r="N163" s="70">
        <f>IFERROR(INDEX(EPSIS!D$2:'EPSIS'!D$603,MATCH($M163,EPSIS!$F$2:'EPSIS'!$F$603,0)),"")</f>
        <v>0</v>
      </c>
      <c r="O163" s="16">
        <f>IFERROR(INDEX(EPSIS!E$2:'EPSIS'!E$603,MATCH($M163,EPSIS!$F$2:'EPSIS'!$F$603,0)),"")</f>
        <v>2013</v>
      </c>
      <c r="R163" s="53" t="b">
        <f t="shared" si="15"/>
        <v>1</v>
      </c>
      <c r="S163" s="53">
        <f t="shared" si="16"/>
        <v>2043</v>
      </c>
    </row>
    <row r="164" spans="1:19">
      <c r="A164" s="53" t="str">
        <f>IFERROR(INDEX(EPSIS!$B$2:'EPSIS'!$B$603,MATCH($B164,EPSIS!$F$2:'EPSIS'!$F$603,0)),"")</f>
        <v>경유</v>
      </c>
      <c r="B164" s="53" t="str">
        <f t="array" ref="B164">IFERROR(INDEX(EPSIS!$F$2:'EPSIS'!$F$603,SMALL(IF(($B$135=EPSIS!$B$2:'EPSIS'!$B$603),MATCH(ROW(EPSIS!$B$2:'EPSIS'!$B$603), ROW(EPSIS!$B$2:'EPSIS'!$B$603)), ""), ROWS($A$1:A28))),"")</f>
        <v>104마라도</v>
      </c>
      <c r="C164" s="70">
        <f>IFERROR(INDEX(EPSIS!D$2:'EPSIS'!D$603,MATCH($B164,EPSIS!$F$2:'EPSIS'!$F$603,0)),"")</f>
        <v>0.3</v>
      </c>
      <c r="D164" s="16">
        <f>IFERROR(INDEX(EPSIS!E$2:'EPSIS'!E$603,MATCH($B164,EPSIS!$F$2:'EPSIS'!$F$603,0)),"")</f>
        <v>2011</v>
      </c>
      <c r="G164" s="53" t="b">
        <f t="shared" si="17"/>
        <v>1</v>
      </c>
      <c r="H164" s="53">
        <f t="shared" si="18"/>
        <v>2041</v>
      </c>
      <c r="L164" s="53" t="str">
        <f>IFERROR(INDEX(EPSIS!$B$2:'EPSIS'!$B$603,MATCH($M164,EPSIS!$F$2:'EPSIS'!$F$603,0)),"")</f>
        <v>LNG</v>
      </c>
      <c r="M164" s="53" t="str">
        <f t="array" ref="M164">IFERROR(INDEX(EPSIS!$F$2:'EPSIS'!$F$603,SMALL(IF(($M$3=EPSIS!$B$2:'EPSIS'!$B$603),MATCH(ROW(EPSIS!$B$2:'EPSIS'!$B$603), ROW(EPSIS!$B$2:'EPSIS'!$B$603)), ""), ROWS($A$1:A160))),"")</f>
        <v>582수완에너지</v>
      </c>
      <c r="N164" s="70">
        <f>IFERROR(INDEX(EPSIS!D$2:'EPSIS'!D$603,MATCH($M164,EPSIS!$F$2:'EPSIS'!$F$603,0)),"")</f>
        <v>35.18</v>
      </c>
      <c r="O164" s="16">
        <f>IFERROR(INDEX(EPSIS!E$2:'EPSIS'!E$603,MATCH($M164,EPSIS!$F$2:'EPSIS'!$F$603,0)),"")</f>
        <v>2010</v>
      </c>
      <c r="R164" s="53" t="b">
        <f t="shared" si="15"/>
        <v>1</v>
      </c>
      <c r="S164" s="53">
        <f t="shared" si="16"/>
        <v>2040</v>
      </c>
    </row>
    <row r="165" spans="1:19">
      <c r="A165" s="53" t="str">
        <f>IFERROR(INDEX(EPSIS!$B$2:'EPSIS'!$B$603,MATCH($B165,EPSIS!$F$2:'EPSIS'!$F$603,0)),"")</f>
        <v>경유</v>
      </c>
      <c r="B165" s="53" t="str">
        <f t="array" ref="B165">IFERROR(INDEX(EPSIS!$F$2:'EPSIS'!$F$603,SMALL(IF(($B$135=EPSIS!$B$2:'EPSIS'!$B$603),MATCH(ROW(EPSIS!$B$2:'EPSIS'!$B$603), ROW(EPSIS!$B$2:'EPSIS'!$B$603)), ""), ROWS($A$1:A29))),"")</f>
        <v>105마라도</v>
      </c>
      <c r="C165" s="70">
        <f>IFERROR(INDEX(EPSIS!D$2:'EPSIS'!D$603,MATCH($B165,EPSIS!$F$2:'EPSIS'!$F$603,0)),"")</f>
        <v>0.2</v>
      </c>
      <c r="D165" s="16">
        <f>IFERROR(INDEX(EPSIS!E$2:'EPSIS'!E$603,MATCH($B165,EPSIS!$F$2:'EPSIS'!$F$603,0)),"")</f>
        <v>2011</v>
      </c>
      <c r="G165" s="53" t="b">
        <f t="shared" si="17"/>
        <v>1</v>
      </c>
      <c r="H165" s="53">
        <f t="shared" si="18"/>
        <v>2041</v>
      </c>
      <c r="L165" s="53" t="str">
        <f>IFERROR(INDEX(EPSIS!$B$2:'EPSIS'!$B$603,MATCH($M165,EPSIS!$F$2:'EPSIS'!$F$603,0)),"")</f>
        <v>LNG</v>
      </c>
      <c r="M165" s="53" t="str">
        <f t="array" ref="M165">IFERROR(INDEX(EPSIS!$F$2:'EPSIS'!$F$603,SMALL(IF(($M$3=EPSIS!$B$2:'EPSIS'!$B$603),MATCH(ROW(EPSIS!$B$2:'EPSIS'!$B$603), ROW(EPSIS!$B$2:'EPSIS'!$B$603)), ""), ROWS($A$1:A161))),"")</f>
        <v>583수완에너지</v>
      </c>
      <c r="N165" s="70">
        <f>IFERROR(INDEX(EPSIS!D$2:'EPSIS'!D$603,MATCH($M165,EPSIS!$F$2:'EPSIS'!$F$603,0)),"")</f>
        <v>0</v>
      </c>
      <c r="O165" s="16">
        <f>IFERROR(INDEX(EPSIS!E$2:'EPSIS'!E$603,MATCH($M165,EPSIS!$F$2:'EPSIS'!$F$603,0)),"")</f>
        <v>2013</v>
      </c>
      <c r="R165" s="53" t="b">
        <f t="shared" si="15"/>
        <v>1</v>
      </c>
      <c r="S165" s="53">
        <f t="shared" si="16"/>
        <v>2043</v>
      </c>
    </row>
    <row r="166" spans="1:19">
      <c r="A166" s="53" t="str">
        <f>IFERROR(INDEX(EPSIS!$B$2:'EPSIS'!$B$603,MATCH($B166,EPSIS!$F$2:'EPSIS'!$F$603,0)),"")</f>
        <v>경유</v>
      </c>
      <c r="B166" s="53" t="str">
        <f t="array" ref="B166">IFERROR(INDEX(EPSIS!$F$2:'EPSIS'!$F$603,SMALL(IF(($B$135=EPSIS!$B$2:'EPSIS'!$B$603),MATCH(ROW(EPSIS!$B$2:'EPSIS'!$B$603), ROW(EPSIS!$B$2:'EPSIS'!$B$603)), ""), ROWS($A$1:A30))),"")</f>
        <v>106마라도</v>
      </c>
      <c r="C166" s="70">
        <f>IFERROR(INDEX(EPSIS!D$2:'EPSIS'!D$603,MATCH($B166,EPSIS!$F$2:'EPSIS'!$F$603,0)),"")</f>
        <v>0.2</v>
      </c>
      <c r="D166" s="16">
        <f>IFERROR(INDEX(EPSIS!E$2:'EPSIS'!E$603,MATCH($B166,EPSIS!$F$2:'EPSIS'!$F$603,0)),"")</f>
        <v>2013</v>
      </c>
      <c r="G166" s="53" t="b">
        <f t="shared" si="17"/>
        <v>1</v>
      </c>
      <c r="H166" s="53">
        <f t="shared" si="18"/>
        <v>2043</v>
      </c>
      <c r="L166" s="53" t="str">
        <f>IFERROR(INDEX(EPSIS!$B$2:'EPSIS'!$B$603,MATCH($M166,EPSIS!$F$2:'EPSIS'!$F$603,0)),"")</f>
        <v>LNG</v>
      </c>
      <c r="M166" s="53" t="str">
        <f t="array" ref="M166">IFERROR(INDEX(EPSIS!$F$2:'EPSIS'!$F$603,SMALL(IF(($M$3=EPSIS!$B$2:'EPSIS'!$B$603),MATCH(ROW(EPSIS!$B$2:'EPSIS'!$B$603), ROW(EPSIS!$B$2:'EPSIS'!$B$603)), ""), ROWS($A$1:A162))),"")</f>
        <v>585신정열병합</v>
      </c>
      <c r="N166" s="70">
        <f>IFERROR(INDEX(EPSIS!D$2:'EPSIS'!D$603,MATCH($M166,EPSIS!$F$2:'EPSIS'!$F$603,0)),"")</f>
        <v>6</v>
      </c>
      <c r="O166" s="16">
        <f>IFERROR(INDEX(EPSIS!E$2:'EPSIS'!E$603,MATCH($M166,EPSIS!$F$2:'EPSIS'!$F$603,0)),"")</f>
        <v>2011</v>
      </c>
      <c r="R166" s="53" t="b">
        <f t="shared" si="15"/>
        <v>1</v>
      </c>
      <c r="S166" s="53">
        <f t="shared" si="16"/>
        <v>2041</v>
      </c>
    </row>
    <row r="167" spans="1:19">
      <c r="A167" s="53" t="str">
        <f>IFERROR(INDEX(EPSIS!$B$2:'EPSIS'!$B$603,MATCH($B167,EPSIS!$F$2:'EPSIS'!$F$603,0)),"")</f>
        <v>경유</v>
      </c>
      <c r="B167" s="53" t="str">
        <f t="array" ref="B167">IFERROR(INDEX(EPSIS!$F$2:'EPSIS'!$F$603,SMALL(IF(($B$135=EPSIS!$B$2:'EPSIS'!$B$603),MATCH(ROW(EPSIS!$B$2:'EPSIS'!$B$603), ROW(EPSIS!$B$2:'EPSIS'!$B$603)), ""), ROWS($A$1:A31))),"")</f>
        <v>107매물도</v>
      </c>
      <c r="C167" s="70">
        <f>IFERROR(INDEX(EPSIS!D$2:'EPSIS'!D$603,MATCH($B167,EPSIS!$F$2:'EPSIS'!$F$603,0)),"")</f>
        <v>0.45</v>
      </c>
      <c r="D167" s="16">
        <f>IFERROR(INDEX(EPSIS!E$2:'EPSIS'!E$603,MATCH($B167,EPSIS!$F$2:'EPSIS'!$F$603,0)),"")</f>
        <v>1994</v>
      </c>
      <c r="G167" s="53" t="str">
        <f t="shared" si="17"/>
        <v>-</v>
      </c>
      <c r="H167" s="53" t="str">
        <f t="shared" si="18"/>
        <v>-</v>
      </c>
      <c r="L167" s="53" t="str">
        <f>IFERROR(INDEX(EPSIS!$B$2:'EPSIS'!$B$603,MATCH($M167,EPSIS!$F$2:'EPSIS'!$F$603,0)),"")</f>
        <v>LNG</v>
      </c>
      <c r="M167" s="53" t="str">
        <f t="array" ref="M167">IFERROR(INDEX(EPSIS!$F$2:'EPSIS'!$F$603,SMALL(IF(($M$3=EPSIS!$B$2:'EPSIS'!$B$603),MATCH(ROW(EPSIS!$B$2:'EPSIS'!$B$603), ROW(EPSIS!$B$2:'EPSIS'!$B$603)), ""), ROWS($A$1:A163))),"")</f>
        <v>586아산배방열병합</v>
      </c>
      <c r="N167" s="70">
        <f>IFERROR(INDEX(EPSIS!D$2:'EPSIS'!D$603,MATCH($M167,EPSIS!$F$2:'EPSIS'!$F$603,0)),"")</f>
        <v>79.3</v>
      </c>
      <c r="O167" s="16">
        <f>IFERROR(INDEX(EPSIS!E$2:'EPSIS'!E$603,MATCH($M167,EPSIS!$F$2:'EPSIS'!$F$603,0)),"")</f>
        <v>2011</v>
      </c>
      <c r="R167" s="53" t="b">
        <f t="shared" si="15"/>
        <v>1</v>
      </c>
      <c r="S167" s="53">
        <f t="shared" si="16"/>
        <v>2041</v>
      </c>
    </row>
    <row r="168" spans="1:19">
      <c r="A168" s="53" t="str">
        <f>IFERROR(INDEX(EPSIS!$B$2:'EPSIS'!$B$603,MATCH($B168,EPSIS!$F$2:'EPSIS'!$F$603,0)),"")</f>
        <v>경유</v>
      </c>
      <c r="B168" s="53" t="str">
        <f t="array" ref="B168">IFERROR(INDEX(EPSIS!$F$2:'EPSIS'!$F$603,SMALL(IF(($B$135=EPSIS!$B$2:'EPSIS'!$B$603),MATCH(ROW(EPSIS!$B$2:'EPSIS'!$B$603), ROW(EPSIS!$B$2:'EPSIS'!$B$603)), ""), ROWS($A$1:A32))),"")</f>
        <v>108문갑도</v>
      </c>
      <c r="C168" s="70">
        <f>IFERROR(INDEX(EPSIS!D$2:'EPSIS'!D$603,MATCH($B168,EPSIS!$F$2:'EPSIS'!$F$603,0)),"")</f>
        <v>0.24</v>
      </c>
      <c r="D168" s="16">
        <f>IFERROR(INDEX(EPSIS!E$2:'EPSIS'!E$603,MATCH($B168,EPSIS!$F$2:'EPSIS'!$F$603,0)),"")</f>
        <v>2004</v>
      </c>
      <c r="G168" s="53" t="str">
        <f t="shared" si="17"/>
        <v>-</v>
      </c>
      <c r="H168" s="53" t="str">
        <f t="shared" si="18"/>
        <v>-</v>
      </c>
      <c r="L168" s="53" t="str">
        <f>IFERROR(INDEX(EPSIS!$B$2:'EPSIS'!$B$603,MATCH($M168,EPSIS!$F$2:'EPSIS'!$F$603,0)),"")</f>
        <v>LNG</v>
      </c>
      <c r="M168" s="53" t="str">
        <f t="array" ref="M168">IFERROR(INDEX(EPSIS!$F$2:'EPSIS'!$F$603,SMALL(IF(($M$3=EPSIS!$B$2:'EPSIS'!$B$603),MATCH(ROW(EPSIS!$B$2:'EPSIS'!$B$603), ROW(EPSIS!$B$2:'EPSIS'!$B$603)), ""), ROWS($A$1:A164))),"")</f>
        <v>587아산배방열병합</v>
      </c>
      <c r="N168" s="70">
        <f>IFERROR(INDEX(EPSIS!D$2:'EPSIS'!D$603,MATCH($M168,EPSIS!$F$2:'EPSIS'!$F$603,0)),"")</f>
        <v>0</v>
      </c>
      <c r="O168" s="16">
        <f>IFERROR(INDEX(EPSIS!E$2:'EPSIS'!E$603,MATCH($M168,EPSIS!$F$2:'EPSIS'!$F$603,0)),"")</f>
        <v>2014</v>
      </c>
      <c r="R168" s="53" t="b">
        <f t="shared" si="15"/>
        <v>1</v>
      </c>
      <c r="S168" s="53">
        <f t="shared" si="16"/>
        <v>2044</v>
      </c>
    </row>
    <row r="169" spans="1:19">
      <c r="A169" s="53" t="str">
        <f>IFERROR(INDEX(EPSIS!$B$2:'EPSIS'!$B$603,MATCH($B169,EPSIS!$F$2:'EPSIS'!$F$603,0)),"")</f>
        <v>경유</v>
      </c>
      <c r="B169" s="53" t="str">
        <f t="array" ref="B169">IFERROR(INDEX(EPSIS!$F$2:'EPSIS'!$F$603,SMALL(IF(($B$135=EPSIS!$B$2:'EPSIS'!$B$603),MATCH(ROW(EPSIS!$B$2:'EPSIS'!$B$603), ROW(EPSIS!$B$2:'EPSIS'!$B$603)), ""), ROWS($A$1:A33))),"")</f>
        <v>109백령도</v>
      </c>
      <c r="C169" s="70">
        <f>IFERROR(INDEX(EPSIS!D$2:'EPSIS'!D$603,MATCH($B169,EPSIS!$F$2:'EPSIS'!$F$603,0)),"")</f>
        <v>4.5</v>
      </c>
      <c r="D169" s="16">
        <f>IFERROR(INDEX(EPSIS!E$2:'EPSIS'!E$603,MATCH($B169,EPSIS!$F$2:'EPSIS'!$F$603,0)),"")</f>
        <v>1999</v>
      </c>
      <c r="G169" s="53" t="str">
        <f t="shared" si="17"/>
        <v>-</v>
      </c>
      <c r="H169" s="53" t="str">
        <f t="shared" si="18"/>
        <v>-</v>
      </c>
      <c r="L169" s="53" t="str">
        <f>IFERROR(INDEX(EPSIS!$B$2:'EPSIS'!$B$603,MATCH($M169,EPSIS!$F$2:'EPSIS'!$F$603,0)),"")</f>
        <v>LNG</v>
      </c>
      <c r="M169" s="53" t="str">
        <f t="array" ref="M169">IFERROR(INDEX(EPSIS!$F$2:'EPSIS'!$F$603,SMALL(IF(($M$3=EPSIS!$B$2:'EPSIS'!$B$603),MATCH(ROW(EPSIS!$B$2:'EPSIS'!$B$603), ROW(EPSIS!$B$2:'EPSIS'!$B$603)), ""), ROWS($A$1:A165))),"")</f>
        <v>588아산배방열병합</v>
      </c>
      <c r="N169" s="70">
        <f>IFERROR(INDEX(EPSIS!D$2:'EPSIS'!D$603,MATCH($M169,EPSIS!$F$2:'EPSIS'!$F$603,0)),"")</f>
        <v>22.400000000000002</v>
      </c>
      <c r="O169" s="16">
        <f>IFERROR(INDEX(EPSIS!E$2:'EPSIS'!E$603,MATCH($M169,EPSIS!$F$2:'EPSIS'!$F$603,0)),"")</f>
        <v>2011</v>
      </c>
      <c r="R169" s="53" t="b">
        <f t="shared" si="15"/>
        <v>1</v>
      </c>
      <c r="S169" s="53">
        <f t="shared" si="16"/>
        <v>2041</v>
      </c>
    </row>
    <row r="170" spans="1:19">
      <c r="A170" s="53" t="str">
        <f>IFERROR(INDEX(EPSIS!$B$2:'EPSIS'!$B$603,MATCH($B170,EPSIS!$F$2:'EPSIS'!$F$603,0)),"")</f>
        <v>경유</v>
      </c>
      <c r="B170" s="53" t="str">
        <f t="array" ref="B170">IFERROR(INDEX(EPSIS!$F$2:'EPSIS'!$F$603,SMALL(IF(($B$135=EPSIS!$B$2:'EPSIS'!$B$603),MATCH(ROW(EPSIS!$B$2:'EPSIS'!$B$603), ROW(EPSIS!$B$2:'EPSIS'!$B$603)), ""), ROWS($A$1:A34))),"")</f>
        <v>110백령도</v>
      </c>
      <c r="C170" s="70">
        <f>IFERROR(INDEX(EPSIS!D$2:'EPSIS'!D$603,MATCH($B170,EPSIS!$F$2:'EPSIS'!$F$603,0)),"")</f>
        <v>1.5</v>
      </c>
      <c r="D170" s="16">
        <f>IFERROR(INDEX(EPSIS!E$2:'EPSIS'!E$603,MATCH($B170,EPSIS!$F$2:'EPSIS'!$F$603,0)),"")</f>
        <v>2001</v>
      </c>
      <c r="G170" s="53" t="str">
        <f t="shared" si="17"/>
        <v>-</v>
      </c>
      <c r="H170" s="53" t="str">
        <f t="shared" si="18"/>
        <v>-</v>
      </c>
      <c r="L170" s="53" t="str">
        <f>IFERROR(INDEX(EPSIS!$B$2:'EPSIS'!$B$603,MATCH($M170,EPSIS!$F$2:'EPSIS'!$F$603,0)),"")</f>
        <v>LNG</v>
      </c>
      <c r="M170" s="53" t="str">
        <f t="array" ref="M170">IFERROR(INDEX(EPSIS!$F$2:'EPSIS'!$F$603,SMALL(IF(($M$3=EPSIS!$B$2:'EPSIS'!$B$603),MATCH(ROW(EPSIS!$B$2:'EPSIS'!$B$603), ROW(EPSIS!$B$2:'EPSIS'!$B$603)), ""), ROWS($A$1:A166))),"")</f>
        <v>589아산배방열병합</v>
      </c>
      <c r="N170" s="70">
        <f>IFERROR(INDEX(EPSIS!D$2:'EPSIS'!D$603,MATCH($M170,EPSIS!$F$2:'EPSIS'!$F$603,0)),"")</f>
        <v>0</v>
      </c>
      <c r="O170" s="16">
        <f>IFERROR(INDEX(EPSIS!E$2:'EPSIS'!E$603,MATCH($M170,EPSIS!$F$2:'EPSIS'!$F$603,0)),"")</f>
        <v>2014</v>
      </c>
      <c r="R170" s="53" t="b">
        <f t="shared" si="15"/>
        <v>1</v>
      </c>
      <c r="S170" s="53">
        <f t="shared" si="16"/>
        <v>2044</v>
      </c>
    </row>
    <row r="171" spans="1:19">
      <c r="A171" s="53" t="str">
        <f>IFERROR(INDEX(EPSIS!$B$2:'EPSIS'!$B$603,MATCH($B171,EPSIS!$F$2:'EPSIS'!$F$603,0)),"")</f>
        <v>경유</v>
      </c>
      <c r="B171" s="53" t="str">
        <f t="array" ref="B171">IFERROR(INDEX(EPSIS!$F$2:'EPSIS'!$F$603,SMALL(IF(($B$135=EPSIS!$B$2:'EPSIS'!$B$603),MATCH(ROW(EPSIS!$B$2:'EPSIS'!$B$603), ROW(EPSIS!$B$2:'EPSIS'!$B$603)), ""), ROWS($A$1:A35))),"")</f>
        <v>111백령도</v>
      </c>
      <c r="C171" s="70">
        <f>IFERROR(INDEX(EPSIS!D$2:'EPSIS'!D$603,MATCH($B171,EPSIS!$F$2:'EPSIS'!$F$603,0)),"")</f>
        <v>3</v>
      </c>
      <c r="D171" s="16">
        <f>IFERROR(INDEX(EPSIS!E$2:'EPSIS'!E$603,MATCH($B171,EPSIS!$F$2:'EPSIS'!$F$603,0)),"")</f>
        <v>2003</v>
      </c>
      <c r="G171" s="53" t="str">
        <f t="shared" si="17"/>
        <v>-</v>
      </c>
      <c r="H171" s="53" t="str">
        <f t="shared" si="18"/>
        <v>-</v>
      </c>
      <c r="L171" s="53" t="str">
        <f>IFERROR(INDEX(EPSIS!$B$2:'EPSIS'!$B$603,MATCH($M171,EPSIS!$F$2:'EPSIS'!$F$603,0)),"")</f>
        <v>LNG</v>
      </c>
      <c r="M171" s="53" t="str">
        <f t="array" ref="M171">IFERROR(INDEX(EPSIS!$F$2:'EPSIS'!$F$603,SMALL(IF(($M$3=EPSIS!$B$2:'EPSIS'!$B$603),MATCH(ROW(EPSIS!$B$2:'EPSIS'!$B$603), ROW(EPSIS!$B$2:'EPSIS'!$B$603)), ""), ROWS($A$1:A167))),"")</f>
        <v>590안산열병합</v>
      </c>
      <c r="N171" s="70">
        <f>IFERROR(INDEX(EPSIS!D$2:'EPSIS'!D$603,MATCH($M171,EPSIS!$F$2:'EPSIS'!$F$603,0)),"")</f>
        <v>60</v>
      </c>
      <c r="O171" s="16">
        <f>IFERROR(INDEX(EPSIS!E$2:'EPSIS'!E$603,MATCH($M171,EPSIS!$F$2:'EPSIS'!$F$603,0)),"")</f>
        <v>2001</v>
      </c>
      <c r="R171" s="53" t="str">
        <f t="shared" si="15"/>
        <v>-</v>
      </c>
      <c r="S171" s="53" t="str">
        <f t="shared" si="16"/>
        <v>-</v>
      </c>
    </row>
    <row r="172" spans="1:19">
      <c r="A172" s="53" t="str">
        <f>IFERROR(INDEX(EPSIS!$B$2:'EPSIS'!$B$603,MATCH($B172,EPSIS!$F$2:'EPSIS'!$F$603,0)),"")</f>
        <v>경유</v>
      </c>
      <c r="B172" s="53" t="str">
        <f t="array" ref="B172">IFERROR(INDEX(EPSIS!$F$2:'EPSIS'!$F$603,SMALL(IF(($B$135=EPSIS!$B$2:'EPSIS'!$B$603),MATCH(ROW(EPSIS!$B$2:'EPSIS'!$B$603), ROW(EPSIS!$B$2:'EPSIS'!$B$603)), ""), ROWS($A$1:A36))),"")</f>
        <v>112백령도</v>
      </c>
      <c r="C172" s="70">
        <f>IFERROR(INDEX(EPSIS!D$2:'EPSIS'!D$603,MATCH($B172,EPSIS!$F$2:'EPSIS'!$F$603,0)),"")</f>
        <v>6</v>
      </c>
      <c r="D172" s="16">
        <f>IFERROR(INDEX(EPSIS!E$2:'EPSIS'!E$603,MATCH($B172,EPSIS!$F$2:'EPSIS'!$F$603,0)),"")</f>
        <v>2013</v>
      </c>
      <c r="G172" s="53" t="b">
        <f t="shared" si="17"/>
        <v>1</v>
      </c>
      <c r="H172" s="53">
        <f t="shared" si="18"/>
        <v>2043</v>
      </c>
      <c r="L172" s="53" t="str">
        <f>IFERROR(INDEX(EPSIS!$B$2:'EPSIS'!$B$603,MATCH($M172,EPSIS!$F$2:'EPSIS'!$F$603,0)),"")</f>
        <v>LNG</v>
      </c>
      <c r="M172" s="53" t="str">
        <f t="array" ref="M172">IFERROR(INDEX(EPSIS!$F$2:'EPSIS'!$F$603,SMALL(IF(($M$3=EPSIS!$B$2:'EPSIS'!$B$603),MATCH(ROW(EPSIS!$B$2:'EPSIS'!$B$603), ROW(EPSIS!$B$2:'EPSIS'!$B$603)), ""), ROWS($A$1:A168))),"")</f>
        <v>591안양 GT</v>
      </c>
      <c r="N172" s="70">
        <f>IFERROR(INDEX(EPSIS!D$2:'EPSIS'!D$603,MATCH($M172,EPSIS!$F$2:'EPSIS'!$F$603,0)),"")</f>
        <v>300</v>
      </c>
      <c r="O172" s="16">
        <f>IFERROR(INDEX(EPSIS!E$2:'EPSIS'!E$603,MATCH($M172,EPSIS!$F$2:'EPSIS'!$F$603,0)),"")</f>
        <v>1992</v>
      </c>
      <c r="R172" s="53" t="str">
        <f t="shared" si="15"/>
        <v>-</v>
      </c>
      <c r="S172" s="53" t="str">
        <f t="shared" si="16"/>
        <v>-</v>
      </c>
    </row>
    <row r="173" spans="1:19">
      <c r="A173" s="53" t="str">
        <f>IFERROR(INDEX(EPSIS!$B$2:'EPSIS'!$B$603,MATCH($B173,EPSIS!$F$2:'EPSIS'!$F$603,0)),"")</f>
        <v>경유</v>
      </c>
      <c r="B173" s="53" t="str">
        <f t="array" ref="B173">IFERROR(INDEX(EPSIS!$F$2:'EPSIS'!$F$603,SMALL(IF(($B$135=EPSIS!$B$2:'EPSIS'!$B$603),MATCH(ROW(EPSIS!$B$2:'EPSIS'!$B$603), ROW(EPSIS!$B$2:'EPSIS'!$B$603)), ""), ROWS($A$1:A37))),"")</f>
        <v>113비안도</v>
      </c>
      <c r="C173" s="70">
        <f>IFERROR(INDEX(EPSIS!D$2:'EPSIS'!D$603,MATCH($B173,EPSIS!$F$2:'EPSIS'!$F$603,0)),"")</f>
        <v>0.45</v>
      </c>
      <c r="D173" s="16">
        <f>IFERROR(INDEX(EPSIS!E$2:'EPSIS'!E$603,MATCH($B173,EPSIS!$F$2:'EPSIS'!$F$603,0)),"")</f>
        <v>1994</v>
      </c>
      <c r="G173" s="53" t="str">
        <f t="shared" si="17"/>
        <v>-</v>
      </c>
      <c r="H173" s="53" t="str">
        <f t="shared" si="18"/>
        <v>-</v>
      </c>
      <c r="L173" s="53" t="str">
        <f>IFERROR(INDEX(EPSIS!$B$2:'EPSIS'!$B$603,MATCH($M173,EPSIS!$F$2:'EPSIS'!$F$603,0)),"")</f>
        <v>LNG</v>
      </c>
      <c r="M173" s="53" t="str">
        <f t="array" ref="M173">IFERROR(INDEX(EPSIS!$F$2:'EPSIS'!$F$603,SMALL(IF(($M$3=EPSIS!$B$2:'EPSIS'!$B$603),MATCH(ROW(EPSIS!$B$2:'EPSIS'!$B$603), ROW(EPSIS!$B$2:'EPSIS'!$B$603)), ""), ROWS($A$1:A169))),"")</f>
        <v>592안양 ST</v>
      </c>
      <c r="N173" s="70">
        <f>IFERROR(INDEX(EPSIS!D$2:'EPSIS'!D$603,MATCH($M173,EPSIS!$F$2:'EPSIS'!$F$603,0)),"")</f>
        <v>150</v>
      </c>
      <c r="O173" s="16">
        <f>IFERROR(INDEX(EPSIS!E$2:'EPSIS'!E$603,MATCH($M173,EPSIS!$F$2:'EPSIS'!$F$603,0)),"")</f>
        <v>1993</v>
      </c>
      <c r="R173" s="53" t="str">
        <f t="shared" si="15"/>
        <v>-</v>
      </c>
      <c r="S173" s="53" t="str">
        <f t="shared" si="16"/>
        <v>-</v>
      </c>
    </row>
    <row r="174" spans="1:19">
      <c r="A174" s="53" t="str">
        <f>IFERROR(INDEX(EPSIS!$B$2:'EPSIS'!$B$603,MATCH($B174,EPSIS!$F$2:'EPSIS'!$F$603,0)),"")</f>
        <v>경유</v>
      </c>
      <c r="B174" s="53" t="str">
        <f t="array" ref="B174">IFERROR(INDEX(EPSIS!$F$2:'EPSIS'!$F$603,SMALL(IF(($B$135=EPSIS!$B$2:'EPSIS'!$B$603),MATCH(ROW(EPSIS!$B$2:'EPSIS'!$B$603), ROW(EPSIS!$B$2:'EPSIS'!$B$603)), ""), ROWS($A$1:A38))),"")</f>
        <v>114비양도</v>
      </c>
      <c r="C174" s="70">
        <f>IFERROR(INDEX(EPSIS!D$2:'EPSIS'!D$603,MATCH($B174,EPSIS!$F$2:'EPSIS'!$F$603,0)),"")</f>
        <v>0.24</v>
      </c>
      <c r="D174" s="16">
        <f>IFERROR(INDEX(EPSIS!E$2:'EPSIS'!E$603,MATCH($B174,EPSIS!$F$2:'EPSIS'!$F$603,0)),"")</f>
        <v>1996</v>
      </c>
      <c r="G174" s="53" t="str">
        <f t="shared" si="17"/>
        <v>-</v>
      </c>
      <c r="H174" s="53" t="str">
        <f t="shared" si="18"/>
        <v>-</v>
      </c>
      <c r="L174" s="53" t="str">
        <f>IFERROR(INDEX(EPSIS!$B$2:'EPSIS'!$B$603,MATCH($M174,EPSIS!$F$2:'EPSIS'!$F$603,0)),"")</f>
        <v>LNG</v>
      </c>
      <c r="M174" s="53" t="str">
        <f t="array" ref="M174">IFERROR(INDEX(EPSIS!$F$2:'EPSIS'!$F$603,SMALL(IF(($M$3=EPSIS!$B$2:'EPSIS'!$B$603),MATCH(ROW(EPSIS!$B$2:'EPSIS'!$B$603), ROW(EPSIS!$B$2:'EPSIS'!$B$603)), ""), ROWS($A$1:A170))),"")</f>
        <v>593안양열병합#2-1 GT</v>
      </c>
      <c r="N174" s="70">
        <f>IFERROR(INDEX(EPSIS!D$2:'EPSIS'!D$603,MATCH($M174,EPSIS!$F$2:'EPSIS'!$F$603,0)),"")</f>
        <v>320.72000000000003</v>
      </c>
      <c r="O174" s="16">
        <f>IFERROR(INDEX(EPSIS!E$2:'EPSIS'!E$603,MATCH($M174,EPSIS!$F$2:'EPSIS'!$F$603,0)),"")</f>
        <v>2018</v>
      </c>
      <c r="R174" s="53" t="b">
        <f t="shared" si="15"/>
        <v>1</v>
      </c>
      <c r="S174" s="53">
        <f t="shared" si="16"/>
        <v>2048</v>
      </c>
    </row>
    <row r="175" spans="1:19">
      <c r="A175" s="53" t="str">
        <f>IFERROR(INDEX(EPSIS!$B$2:'EPSIS'!$B$603,MATCH($B175,EPSIS!$F$2:'EPSIS'!$F$603,0)),"")</f>
        <v>경유</v>
      </c>
      <c r="B175" s="53" t="str">
        <f t="array" ref="B175">IFERROR(INDEX(EPSIS!$F$2:'EPSIS'!$F$603,SMALL(IF(($B$135=EPSIS!$B$2:'EPSIS'!$B$603),MATCH(ROW(EPSIS!$B$2:'EPSIS'!$B$603), ROW(EPSIS!$B$2:'EPSIS'!$B$603)), ""), ROWS($A$1:A39))),"")</f>
        <v>115삽시도</v>
      </c>
      <c r="C175" s="70">
        <f>IFERROR(INDEX(EPSIS!D$2:'EPSIS'!D$603,MATCH($B175,EPSIS!$F$2:'EPSIS'!$F$603,0)),"")</f>
        <v>1</v>
      </c>
      <c r="D175" s="16">
        <f>IFERROR(INDEX(EPSIS!E$2:'EPSIS'!E$603,MATCH($B175,EPSIS!$F$2:'EPSIS'!$F$603,0)),"")</f>
        <v>1993</v>
      </c>
      <c r="G175" s="53" t="str">
        <f t="shared" si="17"/>
        <v>-</v>
      </c>
      <c r="H175" s="53" t="str">
        <f t="shared" si="18"/>
        <v>-</v>
      </c>
      <c r="L175" s="53" t="str">
        <f>IFERROR(INDEX(EPSIS!$B$2:'EPSIS'!$B$603,MATCH($M175,EPSIS!$F$2:'EPSIS'!$F$603,0)),"")</f>
        <v>LNG</v>
      </c>
      <c r="M175" s="53" t="str">
        <f t="array" ref="M175">IFERROR(INDEX(EPSIS!$F$2:'EPSIS'!$F$603,SMALL(IF(($M$3=EPSIS!$B$2:'EPSIS'!$B$603),MATCH(ROW(EPSIS!$B$2:'EPSIS'!$B$603), ROW(EPSIS!$B$2:'EPSIS'!$B$603)), ""), ROWS($A$1:A171))),"")</f>
        <v>594안양열병합#2-1 ST</v>
      </c>
      <c r="N175" s="70">
        <f>IFERROR(INDEX(EPSIS!D$2:'EPSIS'!D$603,MATCH($M175,EPSIS!$F$2:'EPSIS'!$F$603,0)),"")</f>
        <v>160.97</v>
      </c>
      <c r="O175" s="16">
        <f>IFERROR(INDEX(EPSIS!E$2:'EPSIS'!E$603,MATCH($M175,EPSIS!$F$2:'EPSIS'!$F$603,0)),"")</f>
        <v>2018</v>
      </c>
      <c r="R175" s="53" t="b">
        <f t="shared" si="15"/>
        <v>1</v>
      </c>
      <c r="S175" s="53">
        <f t="shared" si="16"/>
        <v>2048</v>
      </c>
    </row>
    <row r="176" spans="1:19">
      <c r="A176" s="53" t="str">
        <f>IFERROR(INDEX(EPSIS!$B$2:'EPSIS'!$B$603,MATCH($B176,EPSIS!$F$2:'EPSIS'!$F$603,0)),"")</f>
        <v>경유</v>
      </c>
      <c r="B176" s="53" t="str">
        <f t="array" ref="B176">IFERROR(INDEX(EPSIS!$F$2:'EPSIS'!$F$603,SMALL(IF(($B$135=EPSIS!$B$2:'EPSIS'!$B$603),MATCH(ROW(EPSIS!$B$2:'EPSIS'!$B$603), ROW(EPSIS!$B$2:'EPSIS'!$B$603)), ""), ROWS($A$1:A40))),"")</f>
        <v>116삽시도</v>
      </c>
      <c r="C176" s="70">
        <f>IFERROR(INDEX(EPSIS!D$2:'EPSIS'!D$603,MATCH($B176,EPSIS!$F$2:'EPSIS'!$F$603,0)),"")</f>
        <v>0.6</v>
      </c>
      <c r="D176" s="16">
        <f>IFERROR(INDEX(EPSIS!E$2:'EPSIS'!E$603,MATCH($B176,EPSIS!$F$2:'EPSIS'!$F$603,0)),"")</f>
        <v>2006</v>
      </c>
      <c r="G176" s="53" t="b">
        <f t="shared" si="17"/>
        <v>1</v>
      </c>
      <c r="H176" s="53">
        <f t="shared" si="18"/>
        <v>2036</v>
      </c>
      <c r="L176" s="53" t="str">
        <f>IFERROR(INDEX(EPSIS!$B$2:'EPSIS'!$B$603,MATCH($M176,EPSIS!$F$2:'EPSIS'!$F$603,0)),"")</f>
        <v>LNG</v>
      </c>
      <c r="M176" s="53" t="str">
        <f t="array" ref="M176">IFERROR(INDEX(EPSIS!$F$2:'EPSIS'!$F$603,SMALL(IF(($M$3=EPSIS!$B$2:'EPSIS'!$B$603),MATCH(ROW(EPSIS!$B$2:'EPSIS'!$B$603), ROW(EPSIS!$B$2:'EPSIS'!$B$603)), ""), ROWS($A$1:A172))),"")</f>
        <v>595양산열병합GT</v>
      </c>
      <c r="N176" s="70">
        <f>IFERROR(INDEX(EPSIS!D$2:'EPSIS'!D$603,MATCH($M176,EPSIS!$F$2:'EPSIS'!$F$603,0)),"")</f>
        <v>78.012</v>
      </c>
      <c r="O176" s="16">
        <f>IFERROR(INDEX(EPSIS!E$2:'EPSIS'!E$603,MATCH($M176,EPSIS!$F$2:'EPSIS'!$F$603,0)),"")</f>
        <v>2023</v>
      </c>
      <c r="R176" s="53" t="b">
        <f t="shared" si="15"/>
        <v>1</v>
      </c>
      <c r="S176" s="53">
        <f t="shared" si="16"/>
        <v>2053</v>
      </c>
    </row>
    <row r="177" spans="1:19">
      <c r="A177" s="53" t="str">
        <f>IFERROR(INDEX(EPSIS!$B$2:'EPSIS'!$B$603,MATCH($B177,EPSIS!$F$2:'EPSIS'!$F$603,0)),"")</f>
        <v>경유</v>
      </c>
      <c r="B177" s="53" t="str">
        <f t="array" ref="B177">IFERROR(INDEX(EPSIS!$F$2:'EPSIS'!$F$603,SMALL(IF(($B$135=EPSIS!$B$2:'EPSIS'!$B$603),MATCH(ROW(EPSIS!$B$2:'EPSIS'!$B$603), ROW(EPSIS!$B$2:'EPSIS'!$B$603)), ""), ROWS($A$1:A41))),"")</f>
        <v>117상화도</v>
      </c>
      <c r="C177" s="70">
        <f>IFERROR(INDEX(EPSIS!D$2:'EPSIS'!D$603,MATCH($B177,EPSIS!$F$2:'EPSIS'!$F$603,0)),"")</f>
        <v>0.08</v>
      </c>
      <c r="D177" s="16">
        <f>IFERROR(INDEX(EPSIS!E$2:'EPSIS'!E$603,MATCH($B177,EPSIS!$F$2:'EPSIS'!$F$603,0)),"")</f>
        <v>2006</v>
      </c>
      <c r="G177" s="53" t="b">
        <f t="shared" si="17"/>
        <v>1</v>
      </c>
      <c r="H177" s="53">
        <f t="shared" si="18"/>
        <v>2036</v>
      </c>
      <c r="L177" s="53" t="str">
        <f>IFERROR(INDEX(EPSIS!$B$2:'EPSIS'!$B$603,MATCH($M177,EPSIS!$F$2:'EPSIS'!$F$603,0)),"")</f>
        <v>LNG</v>
      </c>
      <c r="M177" s="53" t="str">
        <f t="array" ref="M177">IFERROR(INDEX(EPSIS!$F$2:'EPSIS'!$F$603,SMALL(IF(($M$3=EPSIS!$B$2:'EPSIS'!$B$603),MATCH(ROW(EPSIS!$B$2:'EPSIS'!$B$603), ROW(EPSIS!$B$2:'EPSIS'!$B$603)), ""), ROWS($A$1:A173))),"")</f>
        <v>596양산열병합ST</v>
      </c>
      <c r="N177" s="70">
        <f>IFERROR(INDEX(EPSIS!D$2:'EPSIS'!D$603,MATCH($M177,EPSIS!$F$2:'EPSIS'!$F$603,0)),"")</f>
        <v>40.96</v>
      </c>
      <c r="O177" s="16">
        <f>IFERROR(INDEX(EPSIS!E$2:'EPSIS'!E$603,MATCH($M177,EPSIS!$F$2:'EPSIS'!$F$603,0)),"")</f>
        <v>2023</v>
      </c>
      <c r="R177" s="53" t="b">
        <f t="shared" ref="R177:R178" si="19">IF(O177&gt;$F$2,TRUE,"-")</f>
        <v>1</v>
      </c>
      <c r="S177" s="53">
        <f t="shared" ref="S177:S178" si="20">IF(R177=TRUE,O177+30,"-")</f>
        <v>2053</v>
      </c>
    </row>
    <row r="178" spans="1:19">
      <c r="A178" s="53" t="str">
        <f>IFERROR(INDEX(EPSIS!$B$2:'EPSIS'!$B$603,MATCH($B178,EPSIS!$F$2:'EPSIS'!$F$603,0)),"")</f>
        <v>경유</v>
      </c>
      <c r="B178" s="53" t="str">
        <f t="array" ref="B178">IFERROR(INDEX(EPSIS!$F$2:'EPSIS'!$F$603,SMALL(IF(($B$135=EPSIS!$B$2:'EPSIS'!$B$603),MATCH(ROW(EPSIS!$B$2:'EPSIS'!$B$603), ROW(EPSIS!$B$2:'EPSIS'!$B$603)), ""), ROWS($A$1:A42))),"")</f>
        <v>118상화도</v>
      </c>
      <c r="C178" s="70">
        <f>IFERROR(INDEX(EPSIS!D$2:'EPSIS'!D$603,MATCH($B178,EPSIS!$F$2:'EPSIS'!$F$603,0)),"")</f>
        <v>0.08</v>
      </c>
      <c r="D178" s="16">
        <f>IFERROR(INDEX(EPSIS!E$2:'EPSIS'!E$603,MATCH($B178,EPSIS!$F$2:'EPSIS'!$F$603,0)),"")</f>
        <v>2006</v>
      </c>
      <c r="G178" s="53" t="b">
        <f t="shared" si="17"/>
        <v>1</v>
      </c>
      <c r="H178" s="53">
        <f t="shared" si="18"/>
        <v>2036</v>
      </c>
      <c r="L178" s="53" t="str">
        <f>IFERROR(INDEX(EPSIS!$B$2:'EPSIS'!$B$603,MATCH($M178,EPSIS!$F$2:'EPSIS'!$F$603,0)),"")</f>
        <v>LNG</v>
      </c>
      <c r="M178" s="53" t="str">
        <f t="array" ref="M178">IFERROR(INDEX(EPSIS!$F$2:'EPSIS'!$F$603,SMALL(IF(($M$3=EPSIS!$B$2:'EPSIS'!$B$603),MATCH(ROW(EPSIS!$B$2:'EPSIS'!$B$603), ROW(EPSIS!$B$2:'EPSIS'!$B$603)), ""), ROWS($A$1:A174))),"")</f>
        <v>597양주열병합</v>
      </c>
      <c r="N178" s="70">
        <f>IFERROR(INDEX(EPSIS!D$2:'EPSIS'!D$603,MATCH($M178,EPSIS!$F$2:'EPSIS'!$F$603,0)),"")</f>
        <v>330</v>
      </c>
      <c r="O178" s="16">
        <f>IFERROR(INDEX(EPSIS!E$2:'EPSIS'!E$603,MATCH($M178,EPSIS!$F$2:'EPSIS'!$F$603,0)),"")</f>
        <v>2014</v>
      </c>
      <c r="R178" s="53" t="b">
        <f t="shared" si="19"/>
        <v>1</v>
      </c>
      <c r="S178" s="53">
        <f t="shared" si="20"/>
        <v>2044</v>
      </c>
    </row>
    <row r="179" spans="1:19">
      <c r="A179" s="53" t="str">
        <f>IFERROR(INDEX(EPSIS!$B$2:'EPSIS'!$B$603,MATCH($B179,EPSIS!$F$2:'EPSIS'!$F$603,0)),"")</f>
        <v>경유</v>
      </c>
      <c r="B179" s="53" t="str">
        <f t="array" ref="B179">IFERROR(INDEX(EPSIS!$F$2:'EPSIS'!$F$603,SMALL(IF(($B$135=EPSIS!$B$2:'EPSIS'!$B$603),MATCH(ROW(EPSIS!$B$2:'EPSIS'!$B$603), ROW(EPSIS!$B$2:'EPSIS'!$B$603)), ""), ROWS($A$1:A43))),"")</f>
        <v>119상화도</v>
      </c>
      <c r="C179" s="70">
        <f>IFERROR(INDEX(EPSIS!D$2:'EPSIS'!D$603,MATCH($B179,EPSIS!$F$2:'EPSIS'!$F$603,0)),"")</f>
        <v>0.08</v>
      </c>
      <c r="D179" s="16">
        <f>IFERROR(INDEX(EPSIS!E$2:'EPSIS'!E$603,MATCH($B179,EPSIS!$F$2:'EPSIS'!$F$603,0)),"")</f>
        <v>2008</v>
      </c>
      <c r="G179" s="53" t="b">
        <f t="shared" si="17"/>
        <v>1</v>
      </c>
      <c r="H179" s="53">
        <f t="shared" si="18"/>
        <v>2038</v>
      </c>
      <c r="L179" s="53" t="str">
        <f>IFERROR(INDEX(EPSIS!$B$2:'EPSIS'!$B$603,MATCH($M179,EPSIS!$F$2:'EPSIS'!$F$603,0)),"")</f>
        <v>LNG</v>
      </c>
      <c r="M179" s="53" t="str">
        <f t="array" ref="M179">IFERROR(INDEX(EPSIS!$F$2:'EPSIS'!$F$603,SMALL(IF(($M$3=EPSIS!$B$2:'EPSIS'!$B$603),MATCH(ROW(EPSIS!$B$2:'EPSIS'!$B$603), ROW(EPSIS!$B$2:'EPSIS'!$B$603)), ""), ROWS($A$1:A175))),"")</f>
        <v>598양주열병합</v>
      </c>
      <c r="N179" s="70">
        <f>IFERROR(INDEX(EPSIS!D$2:'EPSIS'!D$603,MATCH($M179,EPSIS!$F$2:'EPSIS'!$F$603,0)),"")</f>
        <v>194.3</v>
      </c>
      <c r="O179" s="16">
        <f>IFERROR(INDEX(EPSIS!E$2:'EPSIS'!E$603,MATCH($M179,EPSIS!$F$2:'EPSIS'!$F$603,0)),"")</f>
        <v>2014</v>
      </c>
      <c r="R179" s="53" t="b">
        <f t="shared" ref="R179:R188" si="21">IF(O179&gt;$F$2,TRUE,"-")</f>
        <v>1</v>
      </c>
      <c r="S179" s="53">
        <f t="shared" ref="S179:S188" si="22">IF(R179=TRUE,O179+30,"-")</f>
        <v>2044</v>
      </c>
    </row>
    <row r="180" spans="1:19">
      <c r="A180" s="53" t="str">
        <f>IFERROR(INDEX(EPSIS!$B$2:'EPSIS'!$B$603,MATCH($B180,EPSIS!$F$2:'EPSIS'!$F$603,0)),"")</f>
        <v>경유</v>
      </c>
      <c r="B180" s="53" t="str">
        <f t="array" ref="B180">IFERROR(INDEX(EPSIS!$F$2:'EPSIS'!$F$603,SMALL(IF(($B$135=EPSIS!$B$2:'EPSIS'!$B$603),MATCH(ROW(EPSIS!$B$2:'EPSIS'!$B$603), ROW(EPSIS!$B$2:'EPSIS'!$B$603)), ""), ROWS($A$1:A44))),"")</f>
        <v>120성남도</v>
      </c>
      <c r="C180" s="70">
        <f>IFERROR(INDEX(EPSIS!D$2:'EPSIS'!D$603,MATCH($B180,EPSIS!$F$2:'EPSIS'!$F$603,0)),"")</f>
        <v>0.08</v>
      </c>
      <c r="D180" s="16">
        <f>IFERROR(INDEX(EPSIS!E$2:'EPSIS'!E$603,MATCH($B180,EPSIS!$F$2:'EPSIS'!$F$603,0)),"")</f>
        <v>2004</v>
      </c>
      <c r="G180" s="53" t="str">
        <f t="shared" si="17"/>
        <v>-</v>
      </c>
      <c r="H180" s="53" t="str">
        <f t="shared" si="18"/>
        <v>-</v>
      </c>
      <c r="L180" s="53" t="str">
        <f>IFERROR(INDEX(EPSIS!$B$2:'EPSIS'!$B$603,MATCH($M180,EPSIS!$F$2:'EPSIS'!$F$603,0)),"")</f>
        <v>LNG</v>
      </c>
      <c r="M180" s="53" t="str">
        <f t="array" ref="M180">IFERROR(INDEX(EPSIS!$F$2:'EPSIS'!$F$603,SMALL(IF(($M$3=EPSIS!$B$2:'EPSIS'!$B$603),MATCH(ROW(EPSIS!$B$2:'EPSIS'!$B$603), ROW(EPSIS!$B$2:'EPSIS'!$B$603)), ""), ROWS($A$1:A176))),"")</f>
        <v>599위례열병합</v>
      </c>
      <c r="N180" s="70">
        <f>IFERROR(INDEX(EPSIS!D$2:'EPSIS'!D$603,MATCH($M180,EPSIS!$F$2:'EPSIS'!$F$603,0)),"")</f>
        <v>270.39999999999998</v>
      </c>
      <c r="O180" s="16">
        <f>IFERROR(INDEX(EPSIS!E$2:'EPSIS'!E$603,MATCH($M180,EPSIS!$F$2:'EPSIS'!$F$603,0)),"")</f>
        <v>2017</v>
      </c>
      <c r="R180" s="53" t="b">
        <f t="shared" si="21"/>
        <v>1</v>
      </c>
      <c r="S180" s="53">
        <f t="shared" si="22"/>
        <v>2047</v>
      </c>
    </row>
    <row r="181" spans="1:19" ht="23.25" customHeight="1">
      <c r="A181" s="53" t="str">
        <f>IFERROR(INDEX(EPSIS!$B$2:'EPSIS'!$B$603,MATCH($B181,EPSIS!$F$2:'EPSIS'!$F$603,0)),"")</f>
        <v>경유</v>
      </c>
      <c r="B181" s="53" t="str">
        <f t="array" ref="B181">IFERROR(INDEX(EPSIS!$F$2:'EPSIS'!$F$603,SMALL(IF(($B$135=EPSIS!$B$2:'EPSIS'!$B$603),MATCH(ROW(EPSIS!$B$2:'EPSIS'!$B$603), ROW(EPSIS!$B$2:'EPSIS'!$B$603)), ""), ROWS($A$1:A45))),"")</f>
        <v>121성남도</v>
      </c>
      <c r="C181" s="70">
        <f>IFERROR(INDEX(EPSIS!D$2:'EPSIS'!D$603,MATCH($B181,EPSIS!$F$2:'EPSIS'!$F$603,0)),"")</f>
        <v>0.08</v>
      </c>
      <c r="D181" s="16">
        <f>IFERROR(INDEX(EPSIS!E$2:'EPSIS'!E$603,MATCH($B181,EPSIS!$F$2:'EPSIS'!$F$603,0)),"")</f>
        <v>2010</v>
      </c>
      <c r="G181" s="53" t="b">
        <f t="shared" si="17"/>
        <v>1</v>
      </c>
      <c r="H181" s="53">
        <f t="shared" si="18"/>
        <v>2040</v>
      </c>
      <c r="L181" s="53" t="str">
        <f>IFERROR(INDEX(EPSIS!$B$2:'EPSIS'!$B$603,MATCH($M181,EPSIS!$F$2:'EPSIS'!$F$603,0)),"")</f>
        <v>LNG</v>
      </c>
      <c r="M181" s="53" t="str">
        <f t="array" ref="M181">IFERROR(INDEX(EPSIS!$F$2:'EPSIS'!$F$603,SMALL(IF(($M$3=EPSIS!$B$2:'EPSIS'!$B$603),MATCH(ROW(EPSIS!$B$2:'EPSIS'!$B$603), ROW(EPSIS!$B$2:'EPSIS'!$B$603)), ""), ROWS($A$1:A177))),"")</f>
        <v>600위례열병합</v>
      </c>
      <c r="N181" s="70">
        <f>IFERROR(INDEX(EPSIS!D$2:'EPSIS'!D$603,MATCH($M181,EPSIS!$F$2:'EPSIS'!$F$603,0)),"")</f>
        <v>142.20000000000002</v>
      </c>
      <c r="O181" s="16">
        <f>IFERROR(INDEX(EPSIS!E$2:'EPSIS'!E$603,MATCH($M181,EPSIS!$F$2:'EPSIS'!$F$603,0)),"")</f>
        <v>2017</v>
      </c>
      <c r="R181" s="53" t="b">
        <f t="shared" si="21"/>
        <v>1</v>
      </c>
      <c r="S181" s="53">
        <f t="shared" si="22"/>
        <v>2047</v>
      </c>
    </row>
    <row r="182" spans="1:19">
      <c r="A182" s="53" t="str">
        <f>IFERROR(INDEX(EPSIS!$B$2:'EPSIS'!$B$603,MATCH($B182,EPSIS!$F$2:'EPSIS'!$F$603,0)),"")</f>
        <v>경유</v>
      </c>
      <c r="B182" s="53" t="str">
        <f t="array" ref="B182">IFERROR(INDEX(EPSIS!$F$2:'EPSIS'!$F$603,SMALL(IF(($B$135=EPSIS!$B$2:'EPSIS'!$B$603),MATCH(ROW(EPSIS!$B$2:'EPSIS'!$B$603), ROW(EPSIS!$B$2:'EPSIS'!$B$603)), ""), ROWS($A$1:A46))),"")</f>
        <v>122소연평도</v>
      </c>
      <c r="C182" s="70">
        <f>IFERROR(INDEX(EPSIS!D$2:'EPSIS'!D$603,MATCH($B182,EPSIS!$F$2:'EPSIS'!$F$603,0)),"")</f>
        <v>0.5</v>
      </c>
      <c r="D182" s="16">
        <f>IFERROR(INDEX(EPSIS!E$2:'EPSIS'!E$603,MATCH($B182,EPSIS!$F$2:'EPSIS'!$F$603,0)),"")</f>
        <v>2002</v>
      </c>
      <c r="G182" s="53" t="str">
        <f t="shared" si="17"/>
        <v>-</v>
      </c>
      <c r="H182" s="53" t="str">
        <f t="shared" si="18"/>
        <v>-</v>
      </c>
      <c r="L182" s="53" t="str">
        <f>IFERROR(INDEX(EPSIS!$B$2:'EPSIS'!$B$603,MATCH($M182,EPSIS!$F$2:'EPSIS'!$F$603,0)),"")</f>
        <v>LNG</v>
      </c>
      <c r="M182" s="53" t="str">
        <f t="array" ref="M182">IFERROR(INDEX(EPSIS!$F$2:'EPSIS'!$F$603,SMALL(IF(($M$3=EPSIS!$B$2:'EPSIS'!$B$603),MATCH(ROW(EPSIS!$B$2:'EPSIS'!$B$603), ROW(EPSIS!$B$2:'EPSIS'!$B$603)), ""), ROWS($A$1:A178))),"")</f>
        <v>601인천공항</v>
      </c>
      <c r="N182" s="70">
        <f>IFERROR(INDEX(EPSIS!D$2:'EPSIS'!D$603,MATCH($M182,EPSIS!$F$2:'EPSIS'!$F$603,0)),"")</f>
        <v>94</v>
      </c>
      <c r="O182" s="16">
        <f>IFERROR(INDEX(EPSIS!E$2:'EPSIS'!E$603,MATCH($M182,EPSIS!$F$2:'EPSIS'!$F$603,0)),"")</f>
        <v>2001</v>
      </c>
      <c r="R182" s="53" t="str">
        <f t="shared" si="21"/>
        <v>-</v>
      </c>
      <c r="S182" s="53" t="str">
        <f t="shared" si="22"/>
        <v>-</v>
      </c>
    </row>
    <row r="183" spans="1:19">
      <c r="A183" s="53" t="str">
        <f>IFERROR(INDEX(EPSIS!$B$2:'EPSIS'!$B$603,MATCH($B183,EPSIS!$F$2:'EPSIS'!$F$603,0)),"")</f>
        <v>경유</v>
      </c>
      <c r="B183" s="53" t="str">
        <f t="array" ref="B183">IFERROR(INDEX(EPSIS!$F$2:'EPSIS'!$F$603,SMALL(IF(($B$135=EPSIS!$B$2:'EPSIS'!$B$603),MATCH(ROW(EPSIS!$B$2:'EPSIS'!$B$603), ROW(EPSIS!$B$2:'EPSIS'!$B$603)), ""), ROWS($A$1:A47))),"")</f>
        <v>123소연평도</v>
      </c>
      <c r="C183" s="70">
        <f>IFERROR(INDEX(EPSIS!D$2:'EPSIS'!D$603,MATCH($B183,EPSIS!$F$2:'EPSIS'!$F$603,0)),"")</f>
        <v>0.1</v>
      </c>
      <c r="D183" s="16">
        <f>IFERROR(INDEX(EPSIS!E$2:'EPSIS'!E$603,MATCH($B183,EPSIS!$F$2:'EPSIS'!$F$603,0)),"")</f>
        <v>2002</v>
      </c>
      <c r="G183" s="53" t="str">
        <f t="shared" si="17"/>
        <v>-</v>
      </c>
      <c r="H183" s="53" t="str">
        <f t="shared" si="18"/>
        <v>-</v>
      </c>
      <c r="L183" s="53" t="str">
        <f>IFERROR(INDEX(EPSIS!$B$2:'EPSIS'!$B$603,MATCH($M183,EPSIS!$F$2:'EPSIS'!$F$603,0)),"")</f>
        <v>LNG</v>
      </c>
      <c r="M183" s="53" t="str">
        <f t="array" ref="M183">IFERROR(INDEX(EPSIS!$F$2:'EPSIS'!$F$603,SMALL(IF(($M$3=EPSIS!$B$2:'EPSIS'!$B$603),MATCH(ROW(EPSIS!$B$2:'EPSIS'!$B$603), ROW(EPSIS!$B$2:'EPSIS'!$B$603)), ""), ROWS($A$1:A179))),"")</f>
        <v>602인천공항</v>
      </c>
      <c r="N183" s="70">
        <f>IFERROR(INDEX(EPSIS!D$2:'EPSIS'!D$603,MATCH($M183,EPSIS!$F$2:'EPSIS'!$F$603,0)),"")</f>
        <v>33</v>
      </c>
      <c r="O183" s="16">
        <f>IFERROR(INDEX(EPSIS!E$2:'EPSIS'!E$603,MATCH($M183,EPSIS!$F$2:'EPSIS'!$F$603,0)),"")</f>
        <v>2001</v>
      </c>
      <c r="R183" s="53" t="str">
        <f t="shared" si="21"/>
        <v>-</v>
      </c>
      <c r="S183" s="53" t="str">
        <f t="shared" si="22"/>
        <v>-</v>
      </c>
    </row>
    <row r="184" spans="1:19">
      <c r="A184" s="53" t="str">
        <f>IFERROR(INDEX(EPSIS!$B$2:'EPSIS'!$B$603,MATCH($B184,EPSIS!$F$2:'EPSIS'!$F$603,0)),"")</f>
        <v>경유</v>
      </c>
      <c r="B184" s="53" t="str">
        <f t="array" ref="B184">IFERROR(INDEX(EPSIS!$F$2:'EPSIS'!$F$603,SMALL(IF(($B$135=EPSIS!$B$2:'EPSIS'!$B$603),MATCH(ROW(EPSIS!$B$2:'EPSIS'!$B$603), ROW(EPSIS!$B$2:'EPSIS'!$B$603)), ""), ROWS($A$1:A48))),"")</f>
        <v>124소청도</v>
      </c>
      <c r="C184" s="70">
        <f>IFERROR(INDEX(EPSIS!D$2:'EPSIS'!D$603,MATCH($B184,EPSIS!$F$2:'EPSIS'!$F$603,0)),"")</f>
        <v>2.4</v>
      </c>
      <c r="D184" s="16">
        <f>IFERROR(INDEX(EPSIS!E$2:'EPSIS'!E$603,MATCH($B184,EPSIS!$F$2:'EPSIS'!$F$603,0)),"")</f>
        <v>1995</v>
      </c>
      <c r="G184" s="53" t="str">
        <f t="shared" si="17"/>
        <v>-</v>
      </c>
      <c r="H184" s="53" t="str">
        <f t="shared" si="18"/>
        <v>-</v>
      </c>
      <c r="L184" s="53" t="str">
        <f>IFERROR(INDEX(EPSIS!$B$2:'EPSIS'!$B$603,MATCH($M184,EPSIS!$F$2:'EPSIS'!$F$603,0)),"")</f>
        <v/>
      </c>
      <c r="M184" s="53" t="str">
        <f t="array" ref="M184">IFERROR(INDEX(EPSIS!$F$2:'EPSIS'!$F$603,SMALL(IF(($M$3=EPSIS!$B$2:'EPSIS'!$B$603),MATCH(ROW(EPSIS!$B$2:'EPSIS'!$B$603), ROW(EPSIS!$B$2:'EPSIS'!$B$603)), ""), ROWS($A$1:A180))),"")</f>
        <v/>
      </c>
      <c r="N184" s="70" t="str">
        <f>IFERROR(INDEX(EPSIS!D$2:'EPSIS'!D$603,MATCH($M184,EPSIS!$F$2:'EPSIS'!$F$603,0)),"")</f>
        <v/>
      </c>
      <c r="O184" s="16" t="str">
        <f>IFERROR(INDEX(EPSIS!E$2:'EPSIS'!E$603,MATCH($M184,EPSIS!$F$2:'EPSIS'!$F$603,0)),"")</f>
        <v/>
      </c>
      <c r="R184" s="53" t="b">
        <f t="shared" si="21"/>
        <v>1</v>
      </c>
      <c r="S184" s="53" t="e">
        <f t="shared" si="22"/>
        <v>#VALUE!</v>
      </c>
    </row>
    <row r="185" spans="1:19">
      <c r="A185" s="53" t="str">
        <f>IFERROR(INDEX(EPSIS!$B$2:'EPSIS'!$B$603,MATCH($B185,EPSIS!$F$2:'EPSIS'!$F$603,0)),"")</f>
        <v>경유</v>
      </c>
      <c r="B185" s="53" t="str">
        <f t="array" ref="B185">IFERROR(INDEX(EPSIS!$F$2:'EPSIS'!$F$603,SMALL(IF(($B$135=EPSIS!$B$2:'EPSIS'!$B$603),MATCH(ROW(EPSIS!$B$2:'EPSIS'!$B$603), ROW(EPSIS!$B$2:'EPSIS'!$B$603)), ""), ROWS($A$1:A49))),"")</f>
        <v>125손죽도</v>
      </c>
      <c r="C185" s="70">
        <f>IFERROR(INDEX(EPSIS!D$2:'EPSIS'!D$603,MATCH($B185,EPSIS!$F$2:'EPSIS'!$F$603,0)),"")</f>
        <v>0.3</v>
      </c>
      <c r="D185" s="16">
        <f>IFERROR(INDEX(EPSIS!E$2:'EPSIS'!E$603,MATCH($B185,EPSIS!$F$2:'EPSIS'!$F$603,0)),"")</f>
        <v>1994</v>
      </c>
      <c r="G185" s="53" t="str">
        <f t="shared" si="17"/>
        <v>-</v>
      </c>
      <c r="H185" s="53" t="str">
        <f t="shared" si="18"/>
        <v>-</v>
      </c>
      <c r="L185" s="53" t="str">
        <f>IFERROR(INDEX(EPSIS!$B$2:'EPSIS'!$B$603,MATCH($M185,EPSIS!$F$2:'EPSIS'!$F$603,0)),"")</f>
        <v/>
      </c>
      <c r="M185" s="53" t="str">
        <f t="array" ref="M185">IFERROR(INDEX(EPSIS!$F$2:'EPSIS'!$F$603,SMALL(IF(($M$3=EPSIS!$B$2:'EPSIS'!$B$603),MATCH(ROW(EPSIS!$B$2:'EPSIS'!$B$603), ROW(EPSIS!$B$2:'EPSIS'!$B$603)), ""), ROWS($A$1:A181))),"")</f>
        <v/>
      </c>
      <c r="N185" s="70" t="str">
        <f>IFERROR(INDEX(EPSIS!D$2:'EPSIS'!D$603,MATCH($M185,EPSIS!$F$2:'EPSIS'!$F$603,0)),"")</f>
        <v/>
      </c>
      <c r="O185" s="16" t="str">
        <f>IFERROR(INDEX(EPSIS!E$2:'EPSIS'!E$603,MATCH($M185,EPSIS!$F$2:'EPSIS'!$F$603,0)),"")</f>
        <v/>
      </c>
      <c r="R185" s="53" t="b">
        <f t="shared" si="21"/>
        <v>1</v>
      </c>
      <c r="S185" s="53" t="e">
        <f t="shared" si="22"/>
        <v>#VALUE!</v>
      </c>
    </row>
    <row r="186" spans="1:19">
      <c r="A186" s="53" t="str">
        <f>IFERROR(INDEX(EPSIS!$B$2:'EPSIS'!$B$603,MATCH($B186,EPSIS!$F$2:'EPSIS'!$F$603,0)),"")</f>
        <v>경유</v>
      </c>
      <c r="B186" s="53" t="str">
        <f t="array" ref="B186">IFERROR(INDEX(EPSIS!$F$2:'EPSIS'!$F$603,SMALL(IF(($B$135=EPSIS!$B$2:'EPSIS'!$B$603),MATCH(ROW(EPSIS!$B$2:'EPSIS'!$B$603), ROW(EPSIS!$B$2:'EPSIS'!$B$603)), ""), ROWS($A$1:A50))),"")</f>
        <v>126송이도</v>
      </c>
      <c r="C186" s="70">
        <f>IFERROR(INDEX(EPSIS!D$2:'EPSIS'!D$603,MATCH($B186,EPSIS!$F$2:'EPSIS'!$F$603,0)),"")</f>
        <v>0.2</v>
      </c>
      <c r="D186" s="16">
        <f>IFERROR(INDEX(EPSIS!E$2:'EPSIS'!E$603,MATCH($B186,EPSIS!$F$2:'EPSIS'!$F$603,0)),"")</f>
        <v>1996</v>
      </c>
      <c r="G186" s="53" t="str">
        <f t="shared" si="17"/>
        <v>-</v>
      </c>
      <c r="H186" s="53" t="str">
        <f t="shared" si="18"/>
        <v>-</v>
      </c>
      <c r="L186" s="53" t="str">
        <f>IFERROR(INDEX(EPSIS!$B$2:'EPSIS'!$B$603,MATCH($M186,EPSIS!$F$2:'EPSIS'!$F$603,0)),"")</f>
        <v/>
      </c>
      <c r="M186" s="53" t="str">
        <f t="array" ref="M186">IFERROR(INDEX(EPSIS!$F$2:'EPSIS'!$F$603,SMALL(IF(($M$3=EPSIS!$B$2:'EPSIS'!$B$603),MATCH(ROW(EPSIS!$B$2:'EPSIS'!$B$603), ROW(EPSIS!$B$2:'EPSIS'!$B$603)), ""), ROWS($A$1:A182))),"")</f>
        <v/>
      </c>
      <c r="N186" s="70" t="str">
        <f>IFERROR(INDEX(EPSIS!D$2:'EPSIS'!D$603,MATCH($M186,EPSIS!$F$2:'EPSIS'!$F$603,0)),"")</f>
        <v/>
      </c>
      <c r="O186" s="16" t="str">
        <f>IFERROR(INDEX(EPSIS!E$2:'EPSIS'!E$603,MATCH($M186,EPSIS!$F$2:'EPSIS'!$F$603,0)),"")</f>
        <v/>
      </c>
      <c r="R186" s="53" t="b">
        <f t="shared" si="21"/>
        <v>1</v>
      </c>
      <c r="S186" s="53" t="e">
        <f t="shared" si="22"/>
        <v>#VALUE!</v>
      </c>
    </row>
    <row r="187" spans="1:19">
      <c r="A187" s="53" t="str">
        <f>IFERROR(INDEX(EPSIS!$B$2:'EPSIS'!$B$603,MATCH($B187,EPSIS!$F$2:'EPSIS'!$F$603,0)),"")</f>
        <v>경유</v>
      </c>
      <c r="B187" s="53" t="str">
        <f t="array" ref="B187">IFERROR(INDEX(EPSIS!$F$2:'EPSIS'!$F$603,SMALL(IF(($B$135=EPSIS!$B$2:'EPSIS'!$B$603),MATCH(ROW(EPSIS!$B$2:'EPSIS'!$B$603), ROW(EPSIS!$B$2:'EPSIS'!$B$603)), ""), ROWS($A$1:A51))),"")</f>
        <v>127송이도</v>
      </c>
      <c r="C187" s="70">
        <f>IFERROR(INDEX(EPSIS!D$2:'EPSIS'!D$603,MATCH($B187,EPSIS!$F$2:'EPSIS'!$F$603,0)),"")</f>
        <v>0.1</v>
      </c>
      <c r="D187" s="16">
        <f>IFERROR(INDEX(EPSIS!E$2:'EPSIS'!E$603,MATCH($B187,EPSIS!$F$2:'EPSIS'!$F$603,0)),"")</f>
        <v>2011</v>
      </c>
      <c r="G187" s="53" t="b">
        <f t="shared" si="17"/>
        <v>1</v>
      </c>
      <c r="H187" s="53">
        <f t="shared" si="18"/>
        <v>2041</v>
      </c>
      <c r="L187" s="53" t="str">
        <f>IFERROR(INDEX(EPSIS!$B$2:'EPSIS'!$B$603,MATCH($M187,EPSIS!$F$2:'EPSIS'!$F$603,0)),"")</f>
        <v/>
      </c>
      <c r="M187" s="53" t="str">
        <f t="array" ref="M187">IFERROR(INDEX(EPSIS!$F$2:'EPSIS'!$F$603,SMALL(IF(($M$3=EPSIS!$B$2:'EPSIS'!$B$603),MATCH(ROW(EPSIS!$B$2:'EPSIS'!$B$603), ROW(EPSIS!$B$2:'EPSIS'!$B$603)), ""), ROWS($A$1:A183))),"")</f>
        <v/>
      </c>
      <c r="N187" s="70" t="str">
        <f>IFERROR(INDEX(EPSIS!D$2:'EPSIS'!D$603,MATCH($M187,EPSIS!$F$2:'EPSIS'!$F$603,0)),"")</f>
        <v/>
      </c>
      <c r="O187" s="16" t="str">
        <f>IFERROR(INDEX(EPSIS!E$2:'EPSIS'!E$603,MATCH($M187,EPSIS!$F$2:'EPSIS'!$F$603,0)),"")</f>
        <v/>
      </c>
      <c r="R187" s="53" t="b">
        <f t="shared" si="21"/>
        <v>1</v>
      </c>
      <c r="S187" s="53" t="e">
        <f t="shared" si="22"/>
        <v>#VALUE!</v>
      </c>
    </row>
    <row r="188" spans="1:19">
      <c r="A188" s="53" t="str">
        <f>IFERROR(INDEX(EPSIS!$B$2:'EPSIS'!$B$603,MATCH($B188,EPSIS!$F$2:'EPSIS'!$F$603,0)),"")</f>
        <v>경유</v>
      </c>
      <c r="B188" s="53" t="str">
        <f t="array" ref="B188">IFERROR(INDEX(EPSIS!$F$2:'EPSIS'!$F$603,SMALL(IF(($B$135=EPSIS!$B$2:'EPSIS'!$B$603),MATCH(ROW(EPSIS!$B$2:'EPSIS'!$B$603), ROW(EPSIS!$B$2:'EPSIS'!$B$603)), ""), ROWS($A$1:A52))),"")</f>
        <v>128수우도</v>
      </c>
      <c r="C188" s="70">
        <f>IFERROR(INDEX(EPSIS!D$2:'EPSIS'!D$603,MATCH($B188,EPSIS!$F$2:'EPSIS'!$F$603,0)),"")</f>
        <v>0.08</v>
      </c>
      <c r="D188" s="16">
        <f>IFERROR(INDEX(EPSIS!E$2:'EPSIS'!E$603,MATCH($B188,EPSIS!$F$2:'EPSIS'!$F$603,0)),"")</f>
        <v>1996</v>
      </c>
      <c r="G188" s="53" t="str">
        <f t="shared" si="17"/>
        <v>-</v>
      </c>
      <c r="H188" s="53" t="str">
        <f t="shared" si="18"/>
        <v>-</v>
      </c>
      <c r="L188" s="53" t="str">
        <f>IFERROR(INDEX(EPSIS!$B$2:'EPSIS'!$B$603,MATCH($M188,EPSIS!$F$2:'EPSIS'!$F$603,0)),"")</f>
        <v/>
      </c>
      <c r="M188" s="53" t="str">
        <f t="array" ref="M188">IFERROR(INDEX(EPSIS!$F$2:'EPSIS'!$F$603,SMALL(IF(($M$3=EPSIS!$B$2:'EPSIS'!$B$603),MATCH(ROW(EPSIS!$B$2:'EPSIS'!$B$603), ROW(EPSIS!$B$2:'EPSIS'!$B$603)), ""), ROWS($A$1:A184))),"")</f>
        <v/>
      </c>
      <c r="N188" s="70" t="str">
        <f>IFERROR(INDEX(EPSIS!D$2:'EPSIS'!D$603,MATCH($M188,EPSIS!$F$2:'EPSIS'!$F$603,0)),"")</f>
        <v/>
      </c>
      <c r="O188" s="16" t="str">
        <f>IFERROR(INDEX(EPSIS!E$2:'EPSIS'!E$603,MATCH($M188,EPSIS!$F$2:'EPSIS'!$F$603,0)),"")</f>
        <v/>
      </c>
      <c r="R188" s="53" t="b">
        <f t="shared" si="21"/>
        <v>1</v>
      </c>
      <c r="S188" s="53" t="e">
        <f t="shared" si="22"/>
        <v>#VALUE!</v>
      </c>
    </row>
    <row r="189" spans="1:19">
      <c r="A189" s="53" t="str">
        <f>IFERROR(INDEX(EPSIS!$B$2:'EPSIS'!$B$603,MATCH($B189,EPSIS!$F$2:'EPSIS'!$F$603,0)),"")</f>
        <v>경유</v>
      </c>
      <c r="B189" s="53" t="str">
        <f t="array" ref="B189">IFERROR(INDEX(EPSIS!$F$2:'EPSIS'!$F$603,SMALL(IF(($B$135=EPSIS!$B$2:'EPSIS'!$B$603),MATCH(ROW(EPSIS!$B$2:'EPSIS'!$B$603), ROW(EPSIS!$B$2:'EPSIS'!$B$603)), ""), ROWS($A$1:A53))),"")</f>
        <v>129수우도</v>
      </c>
      <c r="C189" s="70">
        <f>IFERROR(INDEX(EPSIS!D$2:'EPSIS'!D$603,MATCH($B189,EPSIS!$F$2:'EPSIS'!$F$603,0)),"")</f>
        <v>0.08</v>
      </c>
      <c r="D189" s="16">
        <f>IFERROR(INDEX(EPSIS!E$2:'EPSIS'!E$603,MATCH($B189,EPSIS!$F$2:'EPSIS'!$F$603,0)),"")</f>
        <v>2008</v>
      </c>
      <c r="G189" s="53" t="b">
        <f t="shared" si="17"/>
        <v>1</v>
      </c>
      <c r="H189" s="53">
        <f t="shared" si="18"/>
        <v>2038</v>
      </c>
    </row>
    <row r="190" spans="1:19" ht="23.5">
      <c r="A190" s="53" t="str">
        <f>IFERROR(INDEX(EPSIS!$B$2:'EPSIS'!$B$603,MATCH($B190,EPSIS!$F$2:'EPSIS'!$F$603,0)),"")</f>
        <v>경유</v>
      </c>
      <c r="B190" s="53" t="str">
        <f t="array" ref="B190">IFERROR(INDEX(EPSIS!$F$2:'EPSIS'!$F$603,SMALL(IF(($B$135=EPSIS!$B$2:'EPSIS'!$B$603),MATCH(ROW(EPSIS!$B$2:'EPSIS'!$B$603), ROW(EPSIS!$B$2:'EPSIS'!$B$603)), ""), ROWS($A$1:A54))),"")</f>
        <v>130슬도</v>
      </c>
      <c r="C190" s="70">
        <f>IFERROR(INDEX(EPSIS!D$2:'EPSIS'!D$603,MATCH($B190,EPSIS!$F$2:'EPSIS'!$F$603,0)),"")</f>
        <v>0.24</v>
      </c>
      <c r="D190" s="16">
        <f>IFERROR(INDEX(EPSIS!E$2:'EPSIS'!E$603,MATCH($B190,EPSIS!$F$2:'EPSIS'!$F$603,0)),"")</f>
        <v>2006</v>
      </c>
      <c r="G190" s="53" t="b">
        <f>IF(D190&gt;$F$2,TRUE,"-")</f>
        <v>1</v>
      </c>
      <c r="H190" s="53">
        <f>IF(G190=TRUE,D190+30,"-")</f>
        <v>2036</v>
      </c>
      <c r="L190" s="57" t="s">
        <v>1466</v>
      </c>
    </row>
    <row r="191" spans="1:19">
      <c r="A191" s="53" t="str">
        <f>IFERROR(INDEX(EPSIS!$B$2:'EPSIS'!$B$603,MATCH($B191,EPSIS!$F$2:'EPSIS'!$F$603,0)),"")</f>
        <v>경유</v>
      </c>
      <c r="B191" s="53" t="str">
        <f t="array" ref="B191">IFERROR(INDEX(EPSIS!$F$2:'EPSIS'!$F$603,SMALL(IF(($B$135=EPSIS!$B$2:'EPSIS'!$B$603),MATCH(ROW(EPSIS!$B$2:'EPSIS'!$B$603), ROW(EPSIS!$B$2:'EPSIS'!$B$603)), ""), ROWS($A$1:A55))),"")</f>
        <v>131승봉도</v>
      </c>
      <c r="C191" s="70">
        <f>IFERROR(INDEX(EPSIS!D$2:'EPSIS'!D$603,MATCH($B191,EPSIS!$F$2:'EPSIS'!$F$603,0)),"")</f>
        <v>0.45</v>
      </c>
      <c r="D191" s="16">
        <f>IFERROR(INDEX(EPSIS!E$2:'EPSIS'!E$603,MATCH($B191,EPSIS!$F$2:'EPSIS'!$F$603,0)),"")</f>
        <v>1994</v>
      </c>
      <c r="G191" s="53" t="str">
        <f t="shared" ref="G191:G195" si="23">IF(D191&gt;$F$2,TRUE,"-")</f>
        <v>-</v>
      </c>
      <c r="H191" s="53" t="str">
        <f t="shared" ref="H191:H195" si="24">IF(G191=TRUE,D191+30,"-")</f>
        <v>-</v>
      </c>
      <c r="M191" s="53"/>
      <c r="P191" s="71" t="s">
        <v>378</v>
      </c>
      <c r="Q191" s="72">
        <v>30</v>
      </c>
      <c r="R191" s="16" t="s">
        <v>379</v>
      </c>
    </row>
    <row r="192" spans="1:19">
      <c r="A192" s="53" t="str">
        <f>IFERROR(INDEX(EPSIS!$B$2:'EPSIS'!$B$603,MATCH($B192,EPSIS!$F$2:'EPSIS'!$F$603,0)),"")</f>
        <v>경유</v>
      </c>
      <c r="B192" s="53" t="str">
        <f t="array" ref="B192">IFERROR(INDEX(EPSIS!$F$2:'EPSIS'!$F$603,SMALL(IF(($B$135=EPSIS!$B$2:'EPSIS'!$B$603),MATCH(ROW(EPSIS!$B$2:'EPSIS'!$B$603), ROW(EPSIS!$B$2:'EPSIS'!$B$603)), ""), ROWS($A$1:A56))),"")</f>
        <v>132승봉도</v>
      </c>
      <c r="C192" s="70">
        <f>IFERROR(INDEX(EPSIS!D$2:'EPSIS'!D$603,MATCH($B192,EPSIS!$F$2:'EPSIS'!$F$603,0)),"")</f>
        <v>0.5</v>
      </c>
      <c r="D192" s="16">
        <f>IFERROR(INDEX(EPSIS!E$2:'EPSIS'!E$603,MATCH($B192,EPSIS!$F$2:'EPSIS'!$F$603,0)),"")</f>
        <v>2004</v>
      </c>
      <c r="G192" s="53" t="str">
        <f t="shared" si="23"/>
        <v>-</v>
      </c>
      <c r="H192" s="53" t="str">
        <f t="shared" si="24"/>
        <v>-</v>
      </c>
      <c r="M192" s="53"/>
      <c r="P192" s="71" t="s">
        <v>381</v>
      </c>
      <c r="Q192" s="73">
        <f>$I$1-Q191</f>
        <v>2004</v>
      </c>
      <c r="R192" s="16" t="s">
        <v>382</v>
      </c>
    </row>
    <row r="193" spans="1:19">
      <c r="A193" s="53" t="str">
        <f>IFERROR(INDEX(EPSIS!$B$2:'EPSIS'!$B$603,MATCH($B193,EPSIS!$F$2:'EPSIS'!$F$603,0)),"")</f>
        <v>경유</v>
      </c>
      <c r="B193" s="53" t="str">
        <f t="array" ref="B193">IFERROR(INDEX(EPSIS!$F$2:'EPSIS'!$F$603,SMALL(IF(($B$135=EPSIS!$B$2:'EPSIS'!$B$603),MATCH(ROW(EPSIS!$B$2:'EPSIS'!$B$603), ROW(EPSIS!$B$2:'EPSIS'!$B$603)), ""), ROWS($A$1:A57))),"")</f>
        <v>133승봉도</v>
      </c>
      <c r="C193" s="70">
        <f>IFERROR(INDEX(EPSIS!D$2:'EPSIS'!D$603,MATCH($B193,EPSIS!$F$2:'EPSIS'!$F$603,0)),"")</f>
        <v>1</v>
      </c>
      <c r="D193" s="16">
        <f>IFERROR(INDEX(EPSIS!E$2:'EPSIS'!E$603,MATCH($B193,EPSIS!$F$2:'EPSIS'!$F$603,0)),"")</f>
        <v>2008</v>
      </c>
      <c r="G193" s="53" t="b">
        <f t="shared" si="23"/>
        <v>1</v>
      </c>
      <c r="H193" s="53">
        <f t="shared" si="24"/>
        <v>2038</v>
      </c>
      <c r="L193" s="60" t="s">
        <v>1451</v>
      </c>
      <c r="M193" s="60" t="str">
        <f>EPSIS!I8</f>
        <v>중유</v>
      </c>
      <c r="N193" s="75"/>
      <c r="P193" s="53"/>
    </row>
    <row r="194" spans="1:19">
      <c r="A194" s="53" t="str">
        <f>IFERROR(INDEX(EPSIS!$B$2:'EPSIS'!$B$603,MATCH($B194,EPSIS!$F$2:'EPSIS'!$F$603,0)),"")</f>
        <v>경유</v>
      </c>
      <c r="B194" s="53" t="str">
        <f t="array" ref="B194">IFERROR(INDEX(EPSIS!$F$2:'EPSIS'!$F$603,SMALL(IF(($B$135=EPSIS!$B$2:'EPSIS'!$B$603),MATCH(ROW(EPSIS!$B$2:'EPSIS'!$B$603), ROW(EPSIS!$B$2:'EPSIS'!$B$603)), ""), ROWS($A$1:A58))),"")</f>
        <v>134시산도</v>
      </c>
      <c r="C194" s="70">
        <f>IFERROR(INDEX(EPSIS!D$2:'EPSIS'!D$603,MATCH($B194,EPSIS!$F$2:'EPSIS'!$F$603,0)),"")</f>
        <v>0.75</v>
      </c>
      <c r="D194" s="16">
        <f>IFERROR(INDEX(EPSIS!E$2:'EPSIS'!E$603,MATCH($B194,EPSIS!$F$2:'EPSIS'!$F$603,0)),"")</f>
        <v>1994</v>
      </c>
      <c r="G194" s="53" t="str">
        <f t="shared" si="23"/>
        <v>-</v>
      </c>
      <c r="H194" s="53" t="str">
        <f t="shared" si="24"/>
        <v>-</v>
      </c>
      <c r="L194" s="53" t="s">
        <v>1458</v>
      </c>
      <c r="M194" s="53" t="s">
        <v>1457</v>
      </c>
      <c r="N194" s="75" t="s">
        <v>1456</v>
      </c>
      <c r="O194" s="53" t="s">
        <v>380</v>
      </c>
      <c r="R194" s="16" t="s">
        <v>384</v>
      </c>
      <c r="S194" s="53" t="s">
        <v>385</v>
      </c>
    </row>
    <row r="195" spans="1:19">
      <c r="A195" s="53" t="str">
        <f>IFERROR(INDEX(EPSIS!$B$2:'EPSIS'!$B$603,MATCH($B195,EPSIS!$F$2:'EPSIS'!$F$603,0)),"")</f>
        <v>경유</v>
      </c>
      <c r="B195" s="53" t="str">
        <f t="array" ref="B195">IFERROR(INDEX(EPSIS!$F$2:'EPSIS'!$F$603,SMALL(IF(($B$135=EPSIS!$B$2:'EPSIS'!$B$603),MATCH(ROW(EPSIS!$B$2:'EPSIS'!$B$603), ROW(EPSIS!$B$2:'EPSIS'!$B$603)), ""), ROWS($A$1:A59))),"")</f>
        <v>135어룡도</v>
      </c>
      <c r="C195" s="70">
        <f>IFERROR(INDEX(EPSIS!D$2:'EPSIS'!D$603,MATCH($B195,EPSIS!$F$2:'EPSIS'!$F$603,0)),"")</f>
        <v>0.24</v>
      </c>
      <c r="D195" s="16">
        <f>IFERROR(INDEX(EPSIS!E$2:'EPSIS'!E$603,MATCH($B195,EPSIS!$F$2:'EPSIS'!$F$603,0)),"")</f>
        <v>2006</v>
      </c>
      <c r="G195" s="53" t="b">
        <f t="shared" si="23"/>
        <v>1</v>
      </c>
      <c r="H195" s="53">
        <f t="shared" si="24"/>
        <v>2036</v>
      </c>
      <c r="L195" s="53" t="str">
        <f>IFERROR(INDEX(EPSIS!$B$2:'EPSIS'!$B$603,MATCH($M195,EPSIS!$F$2:'EPSIS'!$F$603,0)),"")</f>
        <v>중유</v>
      </c>
      <c r="M195" s="53" t="str">
        <f t="array" ref="M195">IFERROR(INDEX(EPSIS!$F$2:'EPSIS'!$F$603,SMALL(IF(($M$193=EPSIS!$B$2:'EPSIS'!$B$603),MATCH(ROW(EPSIS!$B$2:'EPSIS'!$B$603), ROW(EPSIS!$B$2:'EPSIS'!$B$603)), ""), ROWS($A$1:A1))),"")</f>
        <v>46울산#4</v>
      </c>
      <c r="N195" s="70">
        <f>IFERROR(INDEX(EPSIS!D$2:'EPSIS'!D$603,MATCH($M195,EPSIS!$F$2:'EPSIS'!$F$603,0)),"")</f>
        <v>400</v>
      </c>
      <c r="O195" s="16">
        <f>IFERROR(INDEX(EPSIS!E$2:'EPSIS'!E$603,MATCH($M195,EPSIS!$F$2:'EPSIS'!$F$603,0)),"")</f>
        <v>1980</v>
      </c>
      <c r="R195" s="53" t="str">
        <f t="shared" ref="R195:R208" si="25">IF(O195&gt;$F$2,TRUE,"-")</f>
        <v>-</v>
      </c>
      <c r="S195" s="53" t="str">
        <f t="shared" ref="S195:S208" si="26">IF(R195=TRUE,O195+30,"-")</f>
        <v>-</v>
      </c>
    </row>
    <row r="196" spans="1:19">
      <c r="A196" s="53" t="str">
        <f>IFERROR(INDEX(EPSIS!$B$2:'EPSIS'!$B$603,MATCH($B196,EPSIS!$F$2:'EPSIS'!$F$603,0)),"")</f>
        <v>경유</v>
      </c>
      <c r="B196" s="53" t="str">
        <f t="array" ref="B196">IFERROR(INDEX(EPSIS!$F$2:'EPSIS'!$F$603,SMALL(IF(($B$135=EPSIS!$B$2:'EPSIS'!$B$603),MATCH(ROW(EPSIS!$B$2:'EPSIS'!$B$603), ROW(EPSIS!$B$2:'EPSIS'!$B$603)), ""), ROWS($A$1:A60))),"")</f>
        <v>136어의도</v>
      </c>
      <c r="C196" s="70">
        <f>IFERROR(INDEX(EPSIS!D$2:'EPSIS'!D$603,MATCH($B196,EPSIS!$F$2:'EPSIS'!$F$603,0)),"")</f>
        <v>0.08</v>
      </c>
      <c r="D196" s="16">
        <f>IFERROR(INDEX(EPSIS!E$2:'EPSIS'!E$603,MATCH($B196,EPSIS!$F$2:'EPSIS'!$F$603,0)),"")</f>
        <v>1996</v>
      </c>
      <c r="G196" s="53" t="str">
        <f>IF(D196&gt;$F$2,TRUE,"-")</f>
        <v>-</v>
      </c>
      <c r="H196" s="53" t="str">
        <f>IF(G196=TRUE,D196+30,"-")</f>
        <v>-</v>
      </c>
      <c r="L196" s="53" t="str">
        <f>IFERROR(INDEX(EPSIS!$B$2:'EPSIS'!$B$603,MATCH($M196,EPSIS!$F$2:'EPSIS'!$F$603,0)),"")</f>
        <v>중유</v>
      </c>
      <c r="M196" s="53" t="str">
        <f t="array" ref="M196">IFERROR(INDEX(EPSIS!$F$2:'EPSIS'!$F$603,SMALL(IF(($M$193=EPSIS!$B$2:'EPSIS'!$B$603),MATCH(ROW(EPSIS!$B$2:'EPSIS'!$B$603), ROW(EPSIS!$B$2:'EPSIS'!$B$603)), ""), ROWS($A$1:A2))),"")</f>
        <v>47울산#5</v>
      </c>
      <c r="N196" s="70">
        <f>IFERROR(INDEX(EPSIS!D$2:'EPSIS'!D$603,MATCH($M196,EPSIS!$F$2:'EPSIS'!$F$603,0)),"")</f>
        <v>400</v>
      </c>
      <c r="O196" s="16">
        <f>IFERROR(INDEX(EPSIS!E$2:'EPSIS'!E$603,MATCH($M196,EPSIS!$F$2:'EPSIS'!$F$603,0)),"")</f>
        <v>1980</v>
      </c>
      <c r="R196" s="53" t="str">
        <f t="shared" si="25"/>
        <v>-</v>
      </c>
      <c r="S196" s="53" t="str">
        <f t="shared" si="26"/>
        <v>-</v>
      </c>
    </row>
    <row r="197" spans="1:19">
      <c r="A197" s="53" t="str">
        <f>IFERROR(INDEX(EPSIS!$B$2:'EPSIS'!$B$603,MATCH($B197,EPSIS!$F$2:'EPSIS'!$F$603,0)),"")</f>
        <v>경유</v>
      </c>
      <c r="B197" s="53" t="str">
        <f t="array" ref="B197">IFERROR(INDEX(EPSIS!$F$2:'EPSIS'!$F$603,SMALL(IF(($B$135=EPSIS!$B$2:'EPSIS'!$B$603),MATCH(ROW(EPSIS!$B$2:'EPSIS'!$B$603), ROW(EPSIS!$B$2:'EPSIS'!$B$603)), ""), ROWS($A$1:A61))),"")</f>
        <v>137어의도</v>
      </c>
      <c r="C197" s="70">
        <f>IFERROR(INDEX(EPSIS!D$2:'EPSIS'!D$603,MATCH($B197,EPSIS!$F$2:'EPSIS'!$F$603,0)),"")</f>
        <v>0.08</v>
      </c>
      <c r="D197" s="16">
        <f>IFERROR(INDEX(EPSIS!E$2:'EPSIS'!E$603,MATCH($B197,EPSIS!$F$2:'EPSIS'!$F$603,0)),"")</f>
        <v>1996</v>
      </c>
      <c r="G197" s="53" t="str">
        <f t="shared" ref="G197:G202" si="27">IF(D197&gt;$F$2,TRUE,"-")</f>
        <v>-</v>
      </c>
      <c r="H197" s="53" t="str">
        <f t="shared" ref="H197:H202" si="28">IF(G197=TRUE,D197+30,"-")</f>
        <v>-</v>
      </c>
      <c r="L197" s="53" t="str">
        <f>IFERROR(INDEX(EPSIS!$B$2:'EPSIS'!$B$603,MATCH($M197,EPSIS!$F$2:'EPSIS'!$F$603,0)),"")</f>
        <v>중유</v>
      </c>
      <c r="M197" s="53" t="str">
        <f t="array" ref="M197">IFERROR(INDEX(EPSIS!$F$2:'EPSIS'!$F$603,SMALL(IF(($M$193=EPSIS!$B$2:'EPSIS'!$B$603),MATCH(ROW(EPSIS!$B$2:'EPSIS'!$B$603), ROW(EPSIS!$B$2:'EPSIS'!$B$603)), ""), ROWS($A$1:A3))),"")</f>
        <v>48울산#6</v>
      </c>
      <c r="N197" s="70">
        <f>IFERROR(INDEX(EPSIS!D$2:'EPSIS'!D$603,MATCH($M197,EPSIS!$F$2:'EPSIS'!$F$603,0)),"")</f>
        <v>400</v>
      </c>
      <c r="O197" s="16">
        <f>IFERROR(INDEX(EPSIS!E$2:'EPSIS'!E$603,MATCH($M197,EPSIS!$F$2:'EPSIS'!$F$603,0)),"")</f>
        <v>1981</v>
      </c>
      <c r="R197" s="53" t="str">
        <f t="shared" si="25"/>
        <v>-</v>
      </c>
      <c r="S197" s="53" t="str">
        <f t="shared" si="26"/>
        <v>-</v>
      </c>
    </row>
    <row r="198" spans="1:19">
      <c r="A198" s="53" t="str">
        <f>IFERROR(INDEX(EPSIS!$B$2:'EPSIS'!$B$603,MATCH($B198,EPSIS!$F$2:'EPSIS'!$F$603,0)),"")</f>
        <v>경유</v>
      </c>
      <c r="B198" s="53" t="str">
        <f t="array" ref="B198">IFERROR(INDEX(EPSIS!$F$2:'EPSIS'!$F$603,SMALL(IF(($B$135=EPSIS!$B$2:'EPSIS'!$B$603),MATCH(ROW(EPSIS!$B$2:'EPSIS'!$B$603), ROW(EPSIS!$B$2:'EPSIS'!$B$603)), ""), ROWS($A$1:A62))),"")</f>
        <v>138어청도</v>
      </c>
      <c r="C198" s="70">
        <f>IFERROR(INDEX(EPSIS!D$2:'EPSIS'!D$603,MATCH($B198,EPSIS!$F$2:'EPSIS'!$F$603,0)),"")</f>
        <v>0.3</v>
      </c>
      <c r="D198" s="16">
        <f>IFERROR(INDEX(EPSIS!E$2:'EPSIS'!E$603,MATCH($B198,EPSIS!$F$2:'EPSIS'!$F$603,0)),"")</f>
        <v>1994</v>
      </c>
      <c r="G198" s="53" t="str">
        <f t="shared" si="27"/>
        <v>-</v>
      </c>
      <c r="H198" s="53" t="str">
        <f t="shared" si="28"/>
        <v>-</v>
      </c>
      <c r="L198" s="53" t="str">
        <f>IFERROR(INDEX(EPSIS!$B$2:'EPSIS'!$B$603,MATCH($M198,EPSIS!$F$2:'EPSIS'!$F$603,0)),"")</f>
        <v>중유</v>
      </c>
      <c r="M198" s="53" t="str">
        <f t="array" ref="M198">IFERROR(INDEX(EPSIS!$F$2:'EPSIS'!$F$603,SMALL(IF(($M$193=EPSIS!$B$2:'EPSIS'!$B$603),MATCH(ROW(EPSIS!$B$2:'EPSIS'!$B$603), ROW(EPSIS!$B$2:'EPSIS'!$B$603)), ""), ROWS($A$1:A4))),"")</f>
        <v>167제주내연#1</v>
      </c>
      <c r="N198" s="70">
        <f>IFERROR(INDEX(EPSIS!D$2:'EPSIS'!D$603,MATCH($M198,EPSIS!$F$2:'EPSIS'!$F$603,0)),"")</f>
        <v>40</v>
      </c>
      <c r="O198" s="16">
        <f>IFERROR(INDEX(EPSIS!E$2:'EPSIS'!E$603,MATCH($M198,EPSIS!$F$2:'EPSIS'!$F$603,0)),"")</f>
        <v>2005</v>
      </c>
      <c r="R198" s="53" t="b">
        <f t="shared" si="25"/>
        <v>1</v>
      </c>
      <c r="S198" s="53">
        <f t="shared" si="26"/>
        <v>2035</v>
      </c>
    </row>
    <row r="199" spans="1:19">
      <c r="A199" s="53" t="str">
        <f>IFERROR(INDEX(EPSIS!$B$2:'EPSIS'!$B$603,MATCH($B199,EPSIS!$F$2:'EPSIS'!$F$603,0)),"")</f>
        <v>경유</v>
      </c>
      <c r="B199" s="53" t="str">
        <f t="array" ref="B199">IFERROR(INDEX(EPSIS!$F$2:'EPSIS'!$F$603,SMALL(IF(($B$135=EPSIS!$B$2:'EPSIS'!$B$603),MATCH(ROW(EPSIS!$B$2:'EPSIS'!$B$603), ROW(EPSIS!$B$2:'EPSIS'!$B$603)), ""), ROWS($A$1:A63))),"")</f>
        <v>139어청도</v>
      </c>
      <c r="C199" s="70">
        <f>IFERROR(INDEX(EPSIS!D$2:'EPSIS'!D$603,MATCH($B199,EPSIS!$F$2:'EPSIS'!$F$603,0)),"")</f>
        <v>0.6</v>
      </c>
      <c r="D199" s="16">
        <f>IFERROR(INDEX(EPSIS!E$2:'EPSIS'!E$603,MATCH($B199,EPSIS!$F$2:'EPSIS'!$F$603,0)),"")</f>
        <v>2007</v>
      </c>
      <c r="G199" s="53" t="b">
        <f t="shared" si="27"/>
        <v>1</v>
      </c>
      <c r="H199" s="53">
        <f t="shared" si="28"/>
        <v>2037</v>
      </c>
      <c r="L199" s="53" t="str">
        <f>IFERROR(INDEX(EPSIS!$B$2:'EPSIS'!$B$603,MATCH($M199,EPSIS!$F$2:'EPSIS'!$F$603,0)),"")</f>
        <v>중유</v>
      </c>
      <c r="M199" s="53" t="str">
        <f t="array" ref="M199">IFERROR(INDEX(EPSIS!$F$2:'EPSIS'!$F$603,SMALL(IF(($M$193=EPSIS!$B$2:'EPSIS'!$B$603),MATCH(ROW(EPSIS!$B$2:'EPSIS'!$B$603), ROW(EPSIS!$B$2:'EPSIS'!$B$603)), ""), ROWS($A$1:A5))),"")</f>
        <v>168제주내연#2</v>
      </c>
      <c r="N199" s="70">
        <f>IFERROR(INDEX(EPSIS!D$2:'EPSIS'!D$603,MATCH($M199,EPSIS!$F$2:'EPSIS'!$F$603,0)),"")</f>
        <v>40</v>
      </c>
      <c r="O199" s="16">
        <f>IFERROR(INDEX(EPSIS!E$2:'EPSIS'!E$603,MATCH($M199,EPSIS!$F$2:'EPSIS'!$F$603,0)),"")</f>
        <v>2009</v>
      </c>
      <c r="R199" s="53" t="b">
        <f t="shared" si="25"/>
        <v>1</v>
      </c>
      <c r="S199" s="53">
        <f t="shared" si="26"/>
        <v>2039</v>
      </c>
    </row>
    <row r="200" spans="1:19">
      <c r="A200" s="53" t="str">
        <f>IFERROR(INDEX(EPSIS!$B$2:'EPSIS'!$B$603,MATCH($B200,EPSIS!$F$2:'EPSIS'!$F$603,0)),"")</f>
        <v>경유</v>
      </c>
      <c r="B200" s="53" t="str">
        <f t="array" ref="B200">IFERROR(INDEX(EPSIS!$F$2:'EPSIS'!$F$603,SMALL(IF(($B$135=EPSIS!$B$2:'EPSIS'!$B$603),MATCH(ROW(EPSIS!$B$2:'EPSIS'!$B$603), ROW(EPSIS!$B$2:'EPSIS'!$B$603)), ""), ROWS($A$1:A64))),"")</f>
        <v>140어청도</v>
      </c>
      <c r="C200" s="70">
        <f>IFERROR(INDEX(EPSIS!D$2:'EPSIS'!D$603,MATCH($B200,EPSIS!$F$2:'EPSIS'!$F$603,0)),"")</f>
        <v>0.5</v>
      </c>
      <c r="D200" s="16">
        <f>IFERROR(INDEX(EPSIS!E$2:'EPSIS'!E$603,MATCH($B200,EPSIS!$F$2:'EPSIS'!$F$603,0)),"")</f>
        <v>2012</v>
      </c>
      <c r="G200" s="53" t="b">
        <f t="shared" si="27"/>
        <v>1</v>
      </c>
      <c r="H200" s="53">
        <f t="shared" si="28"/>
        <v>2042</v>
      </c>
      <c r="L200" s="53" t="str">
        <f>IFERROR(INDEX(EPSIS!$B$2:'EPSIS'!$B$603,MATCH($M200,EPSIS!$F$2:'EPSIS'!$F$603,0)),"")</f>
        <v>중유</v>
      </c>
      <c r="M200" s="53" t="str">
        <f t="array" ref="M200">IFERROR(INDEX(EPSIS!$F$2:'EPSIS'!$F$603,SMALL(IF(($M$193=EPSIS!$B$2:'EPSIS'!$B$603),MATCH(ROW(EPSIS!$B$2:'EPSIS'!$B$603), ROW(EPSIS!$B$2:'EPSIS'!$B$603)), ""), ROWS($A$1:A6))),"")</f>
        <v>553대구열병합</v>
      </c>
      <c r="N200" s="70">
        <f>IFERROR(INDEX(EPSIS!D$2:'EPSIS'!D$603,MATCH($M200,EPSIS!$F$2:'EPSIS'!$F$603,0)),"")</f>
        <v>43.5</v>
      </c>
      <c r="O200" s="16">
        <f>IFERROR(INDEX(EPSIS!E$2:'EPSIS'!E$603,MATCH($M200,EPSIS!$F$2:'EPSIS'!$F$603,0)),"")</f>
        <v>1997</v>
      </c>
      <c r="R200" s="53" t="str">
        <f t="shared" si="25"/>
        <v>-</v>
      </c>
      <c r="S200" s="53" t="str">
        <f t="shared" si="26"/>
        <v>-</v>
      </c>
    </row>
    <row r="201" spans="1:19">
      <c r="A201" s="53" t="str">
        <f>IFERROR(INDEX(EPSIS!$B$2:'EPSIS'!$B$603,MATCH($B201,EPSIS!$F$2:'EPSIS'!$F$603,0)),"")</f>
        <v>경유</v>
      </c>
      <c r="B201" s="53" t="str">
        <f t="array" ref="B201">IFERROR(INDEX(EPSIS!$F$2:'EPSIS'!$F$603,SMALL(IF(($B$135=EPSIS!$B$2:'EPSIS'!$B$603),MATCH(ROW(EPSIS!$B$2:'EPSIS'!$B$603), ROW(EPSIS!$B$2:'EPSIS'!$B$603)), ""), ROWS($A$1:A65))),"")</f>
        <v>141여서도</v>
      </c>
      <c r="C201" s="70">
        <f>IFERROR(INDEX(EPSIS!D$2:'EPSIS'!D$603,MATCH($B201,EPSIS!$F$2:'EPSIS'!$F$603,0)),"")</f>
        <v>0.24</v>
      </c>
      <c r="D201" s="16">
        <f>IFERROR(INDEX(EPSIS!E$2:'EPSIS'!E$603,MATCH($B201,EPSIS!$F$2:'EPSIS'!$F$603,0)),"")</f>
        <v>1996</v>
      </c>
      <c r="G201" s="53" t="str">
        <f t="shared" si="27"/>
        <v>-</v>
      </c>
      <c r="H201" s="53" t="str">
        <f t="shared" si="28"/>
        <v>-</v>
      </c>
      <c r="L201" s="53" t="str">
        <f>IFERROR(INDEX(EPSIS!$B$2:'EPSIS'!$B$603,MATCH($M201,EPSIS!$F$2:'EPSIS'!$F$603,0)),"")</f>
        <v>중유</v>
      </c>
      <c r="M201" s="53" t="str">
        <f t="array" ref="M201">IFERROR(INDEX(EPSIS!$F$2:'EPSIS'!$F$603,SMALL(IF(($M$193=EPSIS!$B$2:'EPSIS'!$B$603),MATCH(ROW(EPSIS!$B$2:'EPSIS'!$B$603), ROW(EPSIS!$B$2:'EPSIS'!$B$603)), ""), ROWS($A$1:A7))),"")</f>
        <v>556대전열병합</v>
      </c>
      <c r="N201" s="70">
        <f>IFERROR(INDEX(EPSIS!D$2:'EPSIS'!D$603,MATCH($M201,EPSIS!$F$2:'EPSIS'!$F$603,0)),"")</f>
        <v>88</v>
      </c>
      <c r="O201" s="16">
        <f>IFERROR(INDEX(EPSIS!E$2:'EPSIS'!E$603,MATCH($M201,EPSIS!$F$2:'EPSIS'!$F$603,0)),"")</f>
        <v>1997</v>
      </c>
      <c r="R201" s="53" t="str">
        <f t="shared" si="25"/>
        <v>-</v>
      </c>
      <c r="S201" s="53" t="str">
        <f t="shared" si="26"/>
        <v>-</v>
      </c>
    </row>
    <row r="202" spans="1:19">
      <c r="A202" s="53" t="str">
        <f>IFERROR(INDEX(EPSIS!$B$2:'EPSIS'!$B$603,MATCH($B202,EPSIS!$F$2:'EPSIS'!$F$603,0)),"")</f>
        <v>경유</v>
      </c>
      <c r="B202" s="53" t="str">
        <f t="array" ref="B202">IFERROR(INDEX(EPSIS!$F$2:'EPSIS'!$F$603,SMALL(IF(($B$135=EPSIS!$B$2:'EPSIS'!$B$603),MATCH(ROW(EPSIS!$B$2:'EPSIS'!$B$603), ROW(EPSIS!$B$2:'EPSIS'!$B$603)), ""), ROWS($A$1:A66))),"")</f>
        <v>142여자도</v>
      </c>
      <c r="C202" s="70">
        <f>IFERROR(INDEX(EPSIS!D$2:'EPSIS'!D$603,MATCH($B202,EPSIS!$F$2:'EPSIS'!$F$603,0)),"")</f>
        <v>0.45</v>
      </c>
      <c r="D202" s="16">
        <f>IFERROR(INDEX(EPSIS!E$2:'EPSIS'!E$603,MATCH($B202,EPSIS!$F$2:'EPSIS'!$F$603,0)),"")</f>
        <v>1994</v>
      </c>
      <c r="G202" s="53" t="str">
        <f t="shared" si="27"/>
        <v>-</v>
      </c>
      <c r="H202" s="53" t="str">
        <f t="shared" si="28"/>
        <v>-</v>
      </c>
      <c r="L202" s="53" t="str">
        <f>IFERROR(INDEX(EPSIS!$B$2:'EPSIS'!$B$603,MATCH($M202,EPSIS!$F$2:'EPSIS'!$F$603,0)),"")</f>
        <v>중유</v>
      </c>
      <c r="M202" s="53" t="str">
        <f t="array" ref="M202">IFERROR(INDEX(EPSIS!$F$2:'EPSIS'!$F$603,SMALL(IF(($M$193=EPSIS!$B$2:'EPSIS'!$B$603),MATCH(ROW(EPSIS!$B$2:'EPSIS'!$B$603), ROW(EPSIS!$B$2:'EPSIS'!$B$603)), ""), ROWS($A$1:A8))),"")</f>
        <v>565무림파워텍열병합</v>
      </c>
      <c r="N202" s="70">
        <f>IFERROR(INDEX(EPSIS!D$2:'EPSIS'!D$603,MATCH($M202,EPSIS!$F$2:'EPSIS'!$F$603,0)),"")</f>
        <v>26.3</v>
      </c>
      <c r="O202" s="16">
        <f>IFERROR(INDEX(EPSIS!E$2:'EPSIS'!E$603,MATCH($M202,EPSIS!$F$2:'EPSIS'!$F$603,0)),"")</f>
        <v>1999</v>
      </c>
      <c r="R202" s="53" t="str">
        <f t="shared" si="25"/>
        <v>-</v>
      </c>
      <c r="S202" s="53" t="str">
        <f t="shared" si="26"/>
        <v>-</v>
      </c>
    </row>
    <row r="203" spans="1:19">
      <c r="A203" s="53" t="str">
        <f>IFERROR(INDEX(EPSIS!$B$2:'EPSIS'!$B$603,MATCH($B203,EPSIS!$F$2:'EPSIS'!$F$603,0)),"")</f>
        <v>경유</v>
      </c>
      <c r="B203" s="53" t="str">
        <f t="array" ref="B203">IFERROR(INDEX(EPSIS!$F$2:'EPSIS'!$F$603,SMALL(IF(($B$135=EPSIS!$B$2:'EPSIS'!$B$603),MATCH(ROW(EPSIS!$B$2:'EPSIS'!$B$603), ROW(EPSIS!$B$2:'EPSIS'!$B$603)), ""), ROWS($A$1:A67))),"")</f>
        <v>143연도</v>
      </c>
      <c r="C203" s="70">
        <f>IFERROR(INDEX(EPSIS!D$2:'EPSIS'!D$603,MATCH($B203,EPSIS!$F$2:'EPSIS'!$F$603,0)),"")</f>
        <v>0.16</v>
      </c>
      <c r="D203" s="16">
        <f>IFERROR(INDEX(EPSIS!E$2:'EPSIS'!E$603,MATCH($B203,EPSIS!$F$2:'EPSIS'!$F$603,0)),"")</f>
        <v>1996</v>
      </c>
      <c r="G203" s="53" t="str">
        <f>IF(D203&gt;$F$2,TRUE,"-")</f>
        <v>-</v>
      </c>
      <c r="H203" s="53" t="str">
        <f>IF(G203=TRUE,D203+30,"-")</f>
        <v>-</v>
      </c>
      <c r="L203" s="53" t="str">
        <f>IFERROR(INDEX(EPSIS!$B$2:'EPSIS'!$B$603,MATCH($M203,EPSIS!$F$2:'EPSIS'!$F$603,0)),"")</f>
        <v>중유</v>
      </c>
      <c r="M203" s="53" t="str">
        <f t="array" ref="M203">IFERROR(INDEX(EPSIS!$F$2:'EPSIS'!$F$603,SMALL(IF(($M$193=EPSIS!$B$2:'EPSIS'!$B$603),MATCH(ROW(EPSIS!$B$2:'EPSIS'!$B$603), ROW(EPSIS!$B$2:'EPSIS'!$B$603)), ""), ROWS($A$1:A9))),"")</f>
        <v>584수원열병합</v>
      </c>
      <c r="N203" s="70">
        <f>IFERROR(INDEX(EPSIS!D$2:'EPSIS'!D$603,MATCH($M203,EPSIS!$F$2:'EPSIS'!$F$603,0)),"")</f>
        <v>43.2</v>
      </c>
      <c r="O203" s="16">
        <f>IFERROR(INDEX(EPSIS!E$2:'EPSIS'!E$603,MATCH($M203,EPSIS!$F$2:'EPSIS'!$F$603,0)),"")</f>
        <v>1997</v>
      </c>
      <c r="R203" s="53" t="str">
        <f t="shared" si="25"/>
        <v>-</v>
      </c>
      <c r="S203" s="53" t="str">
        <f t="shared" si="26"/>
        <v>-</v>
      </c>
    </row>
    <row r="204" spans="1:19">
      <c r="A204" s="53" t="str">
        <f>IFERROR(INDEX(EPSIS!$B$2:'EPSIS'!$B$603,MATCH($B204,EPSIS!$F$2:'EPSIS'!$F$603,0)),"")</f>
        <v>경유</v>
      </c>
      <c r="B204" s="53" t="str">
        <f t="array" ref="B204">IFERROR(INDEX(EPSIS!$F$2:'EPSIS'!$F$603,SMALL(IF(($B$135=EPSIS!$B$2:'EPSIS'!$B$603),MATCH(ROW(EPSIS!$B$2:'EPSIS'!$B$603), ROW(EPSIS!$B$2:'EPSIS'!$B$603)), ""), ROWS($A$1:A68))),"")</f>
        <v>144연도</v>
      </c>
      <c r="C204" s="70">
        <f>IFERROR(INDEX(EPSIS!D$2:'EPSIS'!D$603,MATCH($B204,EPSIS!$F$2:'EPSIS'!$F$603,0)),"")</f>
        <v>0.1</v>
      </c>
      <c r="D204" s="16">
        <f>IFERROR(INDEX(EPSIS!E$2:'EPSIS'!E$603,MATCH($B204,EPSIS!$F$2:'EPSIS'!$F$603,0)),"")</f>
        <v>2011</v>
      </c>
      <c r="G204" s="53" t="b">
        <f t="shared" ref="G204:G209" si="29">IF(D204&gt;$F$2,TRUE,"-")</f>
        <v>1</v>
      </c>
      <c r="H204" s="53">
        <f t="shared" ref="H204:H209" si="30">IF(G204=TRUE,D204+30,"-")</f>
        <v>2041</v>
      </c>
      <c r="L204" s="53" t="str">
        <f>IFERROR(INDEX(EPSIS!$B$2:'EPSIS'!$B$603,MATCH($M204,EPSIS!$F$2:'EPSIS'!$F$603,0)),"")</f>
        <v/>
      </c>
      <c r="M204" s="53" t="str">
        <f t="array" ref="M204">IFERROR(INDEX(EPSIS!$F$2:'EPSIS'!$F$603,SMALL(IF(($M$193=EPSIS!$B$2:'EPSIS'!$B$603),MATCH(ROW(EPSIS!$B$2:'EPSIS'!$B$603), ROW(EPSIS!$B$2:'EPSIS'!$B$603)), ""), ROWS($A$1:A10))),"")</f>
        <v/>
      </c>
      <c r="N204" s="70" t="str">
        <f>IFERROR(INDEX(EPSIS!D$2:'EPSIS'!D$603,MATCH($M204,EPSIS!$F$2:'EPSIS'!$F$603,0)),"")</f>
        <v/>
      </c>
      <c r="O204" s="16" t="str">
        <f>IFERROR(INDEX(EPSIS!E$2:'EPSIS'!E$603,MATCH($M204,EPSIS!$F$2:'EPSIS'!$F$603,0)),"")</f>
        <v/>
      </c>
      <c r="R204" s="53" t="b">
        <f t="shared" si="25"/>
        <v>1</v>
      </c>
      <c r="S204" s="53" t="e">
        <f t="shared" si="26"/>
        <v>#VALUE!</v>
      </c>
    </row>
    <row r="205" spans="1:19">
      <c r="A205" s="53" t="str">
        <f>IFERROR(INDEX(EPSIS!$B$2:'EPSIS'!$B$603,MATCH($B205,EPSIS!$F$2:'EPSIS'!$F$603,0)),"")</f>
        <v>경유</v>
      </c>
      <c r="B205" s="53" t="str">
        <f t="array" ref="B205">IFERROR(INDEX(EPSIS!$F$2:'EPSIS'!$F$603,SMALL(IF(($B$135=EPSIS!$B$2:'EPSIS'!$B$603),MATCH(ROW(EPSIS!$B$2:'EPSIS'!$B$603), ROW(EPSIS!$B$2:'EPSIS'!$B$603)), ""), ROWS($A$1:A69))),"")</f>
        <v>145연평도</v>
      </c>
      <c r="C205" s="70">
        <f>IFERROR(INDEX(EPSIS!D$2:'EPSIS'!D$603,MATCH($B205,EPSIS!$F$2:'EPSIS'!$F$603,0)),"")</f>
        <v>2</v>
      </c>
      <c r="D205" s="16">
        <f>IFERROR(INDEX(EPSIS!E$2:'EPSIS'!E$603,MATCH($B205,EPSIS!$F$2:'EPSIS'!$F$603,0)),"")</f>
        <v>2005</v>
      </c>
      <c r="G205" s="53" t="b">
        <f t="shared" si="29"/>
        <v>1</v>
      </c>
      <c r="H205" s="53">
        <f t="shared" si="30"/>
        <v>2035</v>
      </c>
      <c r="L205" s="53" t="str">
        <f>IFERROR(INDEX(EPSIS!$B$2:'EPSIS'!$B$603,MATCH($M205,EPSIS!$F$2:'EPSIS'!$F$603,0)),"")</f>
        <v/>
      </c>
      <c r="M205" s="53" t="str">
        <f t="array" ref="M205">IFERROR(INDEX(EPSIS!$F$2:'EPSIS'!$F$603,SMALL(IF(($M$193=EPSIS!$B$2:'EPSIS'!$B$603),MATCH(ROW(EPSIS!$B$2:'EPSIS'!$B$603), ROW(EPSIS!$B$2:'EPSIS'!$B$603)), ""), ROWS($A$1:A11))),"")</f>
        <v/>
      </c>
      <c r="N205" s="70" t="str">
        <f>IFERROR(INDEX(EPSIS!D$2:'EPSIS'!D$603,MATCH($M205,EPSIS!$F$2:'EPSIS'!$F$603,0)),"")</f>
        <v/>
      </c>
      <c r="O205" s="16" t="str">
        <f>IFERROR(INDEX(EPSIS!E$2:'EPSIS'!E$603,MATCH($M205,EPSIS!$F$2:'EPSIS'!$F$603,0)),"")</f>
        <v/>
      </c>
      <c r="R205" s="53" t="b">
        <f t="shared" si="25"/>
        <v>1</v>
      </c>
      <c r="S205" s="53" t="e">
        <f t="shared" si="26"/>
        <v>#VALUE!</v>
      </c>
    </row>
    <row r="206" spans="1:19">
      <c r="A206" s="53" t="str">
        <f>IFERROR(INDEX(EPSIS!$B$2:'EPSIS'!$B$603,MATCH($B206,EPSIS!$F$2:'EPSIS'!$F$603,0)),"")</f>
        <v>경유</v>
      </c>
      <c r="B206" s="53" t="str">
        <f t="array" ref="B206">IFERROR(INDEX(EPSIS!$F$2:'EPSIS'!$F$603,SMALL(IF(($B$135=EPSIS!$B$2:'EPSIS'!$B$603),MATCH(ROW(EPSIS!$B$2:'EPSIS'!$B$603), ROW(EPSIS!$B$2:'EPSIS'!$B$603)), ""), ROWS($A$1:A70))),"")</f>
        <v>146연평도</v>
      </c>
      <c r="C206" s="70">
        <f>IFERROR(INDEX(EPSIS!D$2:'EPSIS'!D$603,MATCH($B206,EPSIS!$F$2:'EPSIS'!$F$603,0)),"")</f>
        <v>5.7</v>
      </c>
      <c r="D206" s="16">
        <f>IFERROR(INDEX(EPSIS!E$2:'EPSIS'!E$603,MATCH($B206,EPSIS!$F$2:'EPSIS'!$F$603,0)),"")</f>
        <v>2011</v>
      </c>
      <c r="G206" s="53" t="b">
        <f t="shared" si="29"/>
        <v>1</v>
      </c>
      <c r="H206" s="53">
        <f t="shared" si="30"/>
        <v>2041</v>
      </c>
      <c r="L206" s="53" t="str">
        <f>IFERROR(INDEX(EPSIS!$B$2:'EPSIS'!$B$603,MATCH($M206,EPSIS!$F$2:'EPSIS'!$F$603,0)),"")</f>
        <v/>
      </c>
      <c r="M206" s="53" t="str">
        <f t="array" ref="M206">IFERROR(INDEX(EPSIS!$F$2:'EPSIS'!$F$603,SMALL(IF(($M$193=EPSIS!$B$2:'EPSIS'!$B$603),MATCH(ROW(EPSIS!$B$2:'EPSIS'!$B$603), ROW(EPSIS!$B$2:'EPSIS'!$B$603)), ""), ROWS($A$1:A12))),"")</f>
        <v/>
      </c>
      <c r="N206" s="70" t="str">
        <f>IFERROR(INDEX(EPSIS!D$2:'EPSIS'!D$603,MATCH($M206,EPSIS!$F$2:'EPSIS'!$F$603,0)),"")</f>
        <v/>
      </c>
      <c r="O206" s="16" t="str">
        <f>IFERROR(INDEX(EPSIS!E$2:'EPSIS'!E$603,MATCH($M206,EPSIS!$F$2:'EPSIS'!$F$603,0)),"")</f>
        <v/>
      </c>
      <c r="R206" s="53" t="b">
        <f t="shared" si="25"/>
        <v>1</v>
      </c>
      <c r="S206" s="53" t="e">
        <f t="shared" si="26"/>
        <v>#VALUE!</v>
      </c>
    </row>
    <row r="207" spans="1:19">
      <c r="A207" s="53" t="str">
        <f>IFERROR(INDEX(EPSIS!$B$2:'EPSIS'!$B$603,MATCH($B207,EPSIS!$F$2:'EPSIS'!$F$603,0)),"")</f>
        <v>경유</v>
      </c>
      <c r="B207" s="53" t="str">
        <f t="array" ref="B207">IFERROR(INDEX(EPSIS!$F$2:'EPSIS'!$F$603,SMALL(IF(($B$135=EPSIS!$B$2:'EPSIS'!$B$603),MATCH(ROW(EPSIS!$B$2:'EPSIS'!$B$603), ROW(EPSIS!$B$2:'EPSIS'!$B$603)), ""), ROWS($A$1:A71))),"")</f>
        <v>147영산도</v>
      </c>
      <c r="C207" s="70">
        <f>IFERROR(INDEX(EPSIS!D$2:'EPSIS'!D$603,MATCH($B207,EPSIS!$F$2:'EPSIS'!$F$603,0)),"")</f>
        <v>0.24</v>
      </c>
      <c r="D207" s="16">
        <f>IFERROR(INDEX(EPSIS!E$2:'EPSIS'!E$603,MATCH($B207,EPSIS!$F$2:'EPSIS'!$F$603,0)),"")</f>
        <v>2015</v>
      </c>
      <c r="G207" s="53" t="b">
        <f t="shared" si="29"/>
        <v>1</v>
      </c>
      <c r="H207" s="53">
        <f t="shared" si="30"/>
        <v>2045</v>
      </c>
      <c r="L207" s="53" t="str">
        <f>IFERROR(INDEX(EPSIS!$B$2:'EPSIS'!$B$603,MATCH($M207,EPSIS!$F$2:'EPSIS'!$F$603,0)),"")</f>
        <v/>
      </c>
      <c r="M207" s="53" t="str">
        <f t="array" ref="M207">IFERROR(INDEX(EPSIS!$F$2:'EPSIS'!$F$603,SMALL(IF(($M$193=EPSIS!$B$2:'EPSIS'!$B$603),MATCH(ROW(EPSIS!$B$2:'EPSIS'!$B$603), ROW(EPSIS!$B$2:'EPSIS'!$B$603)), ""), ROWS($A$1:A13))),"")</f>
        <v/>
      </c>
      <c r="N207" s="70" t="str">
        <f>IFERROR(INDEX(EPSIS!D$2:'EPSIS'!D$603,MATCH($M207,EPSIS!$F$2:'EPSIS'!$F$603,0)),"")</f>
        <v/>
      </c>
      <c r="O207" s="16" t="str">
        <f>IFERROR(INDEX(EPSIS!E$2:'EPSIS'!E$603,MATCH($M207,EPSIS!$F$2:'EPSIS'!$F$603,0)),"")</f>
        <v/>
      </c>
      <c r="R207" s="53" t="b">
        <f t="shared" si="25"/>
        <v>1</v>
      </c>
      <c r="S207" s="53" t="e">
        <f t="shared" si="26"/>
        <v>#VALUE!</v>
      </c>
    </row>
    <row r="208" spans="1:19">
      <c r="A208" s="53" t="str">
        <f>IFERROR(INDEX(EPSIS!$B$2:'EPSIS'!$B$603,MATCH($B208,EPSIS!$F$2:'EPSIS'!$F$603,0)),"")</f>
        <v>경유</v>
      </c>
      <c r="B208" s="53" t="str">
        <f t="array" ref="B208">IFERROR(INDEX(EPSIS!$F$2:'EPSIS'!$F$603,SMALL(IF(($B$135=EPSIS!$B$2:'EPSIS'!$B$603),MATCH(ROW(EPSIS!$B$2:'EPSIS'!$B$603), ROW(EPSIS!$B$2:'EPSIS'!$B$603)), ""), ROWS($A$1:A72))),"")</f>
        <v>148왕등도</v>
      </c>
      <c r="C208" s="70">
        <f>IFERROR(INDEX(EPSIS!D$2:'EPSIS'!D$603,MATCH($B208,EPSIS!$F$2:'EPSIS'!$F$603,0)),"")</f>
        <v>0.24</v>
      </c>
      <c r="D208" s="16">
        <f>IFERROR(INDEX(EPSIS!E$2:'EPSIS'!E$603,MATCH($B208,EPSIS!$F$2:'EPSIS'!$F$603,0)),"")</f>
        <v>2006</v>
      </c>
      <c r="G208" s="53" t="b">
        <f t="shared" si="29"/>
        <v>1</v>
      </c>
      <c r="H208" s="53">
        <f t="shared" si="30"/>
        <v>2036</v>
      </c>
      <c r="L208" s="53" t="str">
        <f>IFERROR(INDEX(EPSIS!$B$2:'EPSIS'!$B$603,MATCH($M208,EPSIS!$F$2:'EPSIS'!$F$603,0)),"")</f>
        <v/>
      </c>
      <c r="M208" s="53" t="str">
        <f t="array" ref="M208">IFERROR(INDEX(EPSIS!$F$2:'EPSIS'!$F$603,SMALL(IF(($M$193=EPSIS!$B$2:'EPSIS'!$B$603),MATCH(ROW(EPSIS!$B$2:'EPSIS'!$B$603), ROW(EPSIS!$B$2:'EPSIS'!$B$603)), ""), ROWS($A$1:A14))),"")</f>
        <v/>
      </c>
      <c r="N208" s="70" t="str">
        <f>IFERROR(INDEX(EPSIS!D$2:'EPSIS'!D$603,MATCH($M208,EPSIS!$F$2:'EPSIS'!$F$603,0)),"")</f>
        <v/>
      </c>
      <c r="O208" s="16" t="str">
        <f>IFERROR(INDEX(EPSIS!E$2:'EPSIS'!E$603,MATCH($M208,EPSIS!$F$2:'EPSIS'!$F$603,0)),"")</f>
        <v/>
      </c>
      <c r="R208" s="53" t="b">
        <f t="shared" si="25"/>
        <v>1</v>
      </c>
      <c r="S208" s="53" t="e">
        <f t="shared" si="26"/>
        <v>#VALUE!</v>
      </c>
    </row>
    <row r="209" spans="1:19">
      <c r="A209" s="53" t="str">
        <f>IFERROR(INDEX(EPSIS!$B$2:'EPSIS'!$B$603,MATCH($B209,EPSIS!$F$2:'EPSIS'!$F$603,0)),"")</f>
        <v>경유</v>
      </c>
      <c r="B209" s="53" t="str">
        <f t="array" ref="B209">IFERROR(INDEX(EPSIS!$F$2:'EPSIS'!$F$603,SMALL(IF(($B$135=EPSIS!$B$2:'EPSIS'!$B$603),MATCH(ROW(EPSIS!$B$2:'EPSIS'!$B$603), ROW(EPSIS!$B$2:'EPSIS'!$B$603)), ""), ROWS($A$1:A73))),"")</f>
        <v>149외도</v>
      </c>
      <c r="C209" s="70">
        <f>IFERROR(INDEX(EPSIS!D$2:'EPSIS'!D$603,MATCH($B209,EPSIS!$F$2:'EPSIS'!$F$603,0)),"")</f>
        <v>0.16</v>
      </c>
      <c r="D209" s="16">
        <f>IFERROR(INDEX(EPSIS!E$2:'EPSIS'!E$603,MATCH($B209,EPSIS!$F$2:'EPSIS'!$F$603,0)),"")</f>
        <v>2015</v>
      </c>
      <c r="G209" s="53" t="b">
        <f t="shared" si="29"/>
        <v>1</v>
      </c>
      <c r="H209" s="53">
        <f t="shared" si="30"/>
        <v>2045</v>
      </c>
    </row>
    <row r="210" spans="1:19">
      <c r="A210" s="53" t="str">
        <f>IFERROR(INDEX(EPSIS!$B$2:'EPSIS'!$B$603,MATCH($B210,EPSIS!$F$2:'EPSIS'!$F$603,0)),"")</f>
        <v>경유</v>
      </c>
      <c r="B210" s="53" t="str">
        <f t="array" ref="B210">IFERROR(INDEX(EPSIS!$F$2:'EPSIS'!$F$603,SMALL(IF(($B$135=EPSIS!$B$2:'EPSIS'!$B$603),MATCH(ROW(EPSIS!$B$2:'EPSIS'!$B$603), ROW(EPSIS!$B$2:'EPSIS'!$B$603)), ""), ROWS($A$1:A74))),"")</f>
        <v>150외도</v>
      </c>
      <c r="C210" s="70">
        <f>IFERROR(INDEX(EPSIS!D$2:'EPSIS'!D$603,MATCH($B210,EPSIS!$F$2:'EPSIS'!$F$603,0)),"")</f>
        <v>0.06</v>
      </c>
      <c r="D210" s="16">
        <f>IFERROR(INDEX(EPSIS!E$2:'EPSIS'!E$603,MATCH($B210,EPSIS!$F$2:'EPSIS'!$F$603,0)),"")</f>
        <v>2015</v>
      </c>
      <c r="G210" s="53" t="b">
        <f>IF(D210&gt;$F$2,TRUE,"-")</f>
        <v>1</v>
      </c>
      <c r="H210" s="53">
        <f>IF(G210=TRUE,D210+30,"-")</f>
        <v>2045</v>
      </c>
    </row>
    <row r="211" spans="1:19">
      <c r="A211" s="53" t="str">
        <f>IFERROR(INDEX(EPSIS!$B$2:'EPSIS'!$B$603,MATCH($B211,EPSIS!$F$2:'EPSIS'!$F$603,0)),"")</f>
        <v>경유</v>
      </c>
      <c r="B211" s="53" t="str">
        <f t="array" ref="B211">IFERROR(INDEX(EPSIS!$F$2:'EPSIS'!$F$603,SMALL(IF(($B$135=EPSIS!$B$2:'EPSIS'!$B$603),MATCH(ROW(EPSIS!$B$2:'EPSIS'!$B$603), ROW(EPSIS!$B$2:'EPSIS'!$B$603)), ""), ROWS($A$1:A75))),"")</f>
        <v>151외연도</v>
      </c>
      <c r="C211" s="70">
        <f>IFERROR(INDEX(EPSIS!D$2:'EPSIS'!D$603,MATCH($B211,EPSIS!$F$2:'EPSIS'!$F$603,0)),"")</f>
        <v>0.45</v>
      </c>
      <c r="D211" s="16">
        <f>IFERROR(INDEX(EPSIS!E$2:'EPSIS'!E$603,MATCH($B211,EPSIS!$F$2:'EPSIS'!$F$603,0)),"")</f>
        <v>1994</v>
      </c>
      <c r="G211" s="53" t="str">
        <f t="shared" ref="G211:G216" si="31">IF(D211&gt;$F$2,TRUE,"-")</f>
        <v>-</v>
      </c>
      <c r="H211" s="53" t="str">
        <f t="shared" ref="H211:H216" si="32">IF(G211=TRUE,D211+30,"-")</f>
        <v>-</v>
      </c>
    </row>
    <row r="212" spans="1:19">
      <c r="A212" s="53" t="str">
        <f>IFERROR(INDEX(EPSIS!$B$2:'EPSIS'!$B$603,MATCH($B212,EPSIS!$F$2:'EPSIS'!$F$603,0)),"")</f>
        <v>경유</v>
      </c>
      <c r="B212" s="53" t="str">
        <f t="array" ref="B212">IFERROR(INDEX(EPSIS!$F$2:'EPSIS'!$F$603,SMALL(IF(($B$135=EPSIS!$B$2:'EPSIS'!$B$603),MATCH(ROW(EPSIS!$B$2:'EPSIS'!$B$603), ROW(EPSIS!$B$2:'EPSIS'!$B$603)), ""), ROWS($A$1:A76))),"")</f>
        <v>152외연도</v>
      </c>
      <c r="C212" s="70">
        <f>IFERROR(INDEX(EPSIS!D$2:'EPSIS'!D$603,MATCH($B212,EPSIS!$F$2:'EPSIS'!$F$603,0)),"")</f>
        <v>0.3</v>
      </c>
      <c r="D212" s="16">
        <f>IFERROR(INDEX(EPSIS!E$2:'EPSIS'!E$603,MATCH($B212,EPSIS!$F$2:'EPSIS'!$F$603,0)),"")</f>
        <v>2004</v>
      </c>
      <c r="G212" s="53" t="str">
        <f t="shared" si="31"/>
        <v>-</v>
      </c>
      <c r="H212" s="53" t="str">
        <f t="shared" si="32"/>
        <v>-</v>
      </c>
    </row>
    <row r="213" spans="1:19">
      <c r="A213" s="53" t="str">
        <f>IFERROR(INDEX(EPSIS!$B$2:'EPSIS'!$B$603,MATCH($B213,EPSIS!$F$2:'EPSIS'!$F$603,0)),"")</f>
        <v>경유</v>
      </c>
      <c r="B213" s="53" t="str">
        <f t="array" ref="B213">IFERROR(INDEX(EPSIS!$F$2:'EPSIS'!$F$603,SMALL(IF(($B$135=EPSIS!$B$2:'EPSIS'!$B$603),MATCH(ROW(EPSIS!$B$2:'EPSIS'!$B$603), ROW(EPSIS!$B$2:'EPSIS'!$B$603)), ""), ROWS($A$1:A77))),"")</f>
        <v>153울도</v>
      </c>
      <c r="C213" s="70">
        <f>IFERROR(INDEX(EPSIS!D$2:'EPSIS'!D$603,MATCH($B213,EPSIS!$F$2:'EPSIS'!$F$603,0)),"")</f>
        <v>0.24</v>
      </c>
      <c r="D213" s="16">
        <f>IFERROR(INDEX(EPSIS!E$2:'EPSIS'!E$603,MATCH($B213,EPSIS!$F$2:'EPSIS'!$F$603,0)),"")</f>
        <v>2003</v>
      </c>
      <c r="G213" s="53" t="str">
        <f t="shared" si="31"/>
        <v>-</v>
      </c>
      <c r="H213" s="53" t="str">
        <f t="shared" si="32"/>
        <v>-</v>
      </c>
    </row>
    <row r="214" spans="1:19">
      <c r="A214" s="53" t="str">
        <f>IFERROR(INDEX(EPSIS!$B$2:'EPSIS'!$B$603,MATCH($B214,EPSIS!$F$2:'EPSIS'!$F$603,0)),"")</f>
        <v>경유</v>
      </c>
      <c r="B214" s="53" t="str">
        <f t="array" ref="B214">IFERROR(INDEX(EPSIS!$F$2:'EPSIS'!$F$603,SMALL(IF(($B$135=EPSIS!$B$2:'EPSIS'!$B$603),MATCH(ROW(EPSIS!$B$2:'EPSIS'!$B$603), ROW(EPSIS!$B$2:'EPSIS'!$B$603)), ""), ROWS($A$1:A78))),"")</f>
        <v>154울릉도</v>
      </c>
      <c r="C214" s="70">
        <f>IFERROR(INDEX(EPSIS!D$2:'EPSIS'!D$603,MATCH($B214,EPSIS!$F$2:'EPSIS'!$F$603,0)),"")</f>
        <v>2</v>
      </c>
      <c r="D214" s="16">
        <f>IFERROR(INDEX(EPSIS!E$2:'EPSIS'!E$603,MATCH($B214,EPSIS!$F$2:'EPSIS'!$F$603,0)),"")</f>
        <v>1986</v>
      </c>
      <c r="G214" s="53" t="str">
        <f t="shared" si="31"/>
        <v>-</v>
      </c>
      <c r="H214" s="53" t="str">
        <f t="shared" si="32"/>
        <v>-</v>
      </c>
      <c r="L214" s="53" t="str">
        <f>IFERROR(INDEX(EPSIS!$B$2:'EPSIS'!$B$603,MATCH($M214,EPSIS!$F$2:'EPSIS'!$F$603,0)),"")</f>
        <v/>
      </c>
      <c r="M214" s="53" t="str">
        <f t="array" ref="M214">IFERROR(INDEX(EPSIS!$F$2:'EPSIS'!$F$603,SMALL(IF(($M$193=EPSIS!$B$2:'EPSIS'!$B$603),MATCH(ROW(EPSIS!$B$2:'EPSIS'!$B$603), ROW(EPSIS!$B$2:'EPSIS'!$B$603)), ""), ROWS($A$1:A15))),"")</f>
        <v/>
      </c>
      <c r="N214" s="70" t="str">
        <f>IFERROR(INDEX(EPSIS!D$2:'EPSIS'!D$603,MATCH($M214,EPSIS!$F$2:'EPSIS'!$F$603,0)),"")</f>
        <v/>
      </c>
      <c r="O214" s="16" t="str">
        <f>IFERROR(INDEX(EPSIS!E$2:'EPSIS'!E$603,MATCH($M214,EPSIS!$F$2:'EPSIS'!$F$603,0)),"")</f>
        <v/>
      </c>
      <c r="R214" s="53" t="b">
        <f t="shared" ref="R214" si="33">IF(O214&gt;$F$2,TRUE,"-")</f>
        <v>1</v>
      </c>
      <c r="S214" s="53" t="e">
        <f t="shared" ref="S214" si="34">IF(R214=TRUE,O214+30,"-")</f>
        <v>#VALUE!</v>
      </c>
    </row>
    <row r="215" spans="1:19">
      <c r="A215" s="53" t="str">
        <f>IFERROR(INDEX(EPSIS!$B$2:'EPSIS'!$B$603,MATCH($B215,EPSIS!$F$2:'EPSIS'!$F$603,0)),"")</f>
        <v>경유</v>
      </c>
      <c r="B215" s="53" t="str">
        <f t="array" ref="B215">IFERROR(INDEX(EPSIS!$F$2:'EPSIS'!$F$603,SMALL(IF(($B$135=EPSIS!$B$2:'EPSIS'!$B$603),MATCH(ROW(EPSIS!$B$2:'EPSIS'!$B$603), ROW(EPSIS!$B$2:'EPSIS'!$B$603)), ""), ROWS($A$1:A79))),"")</f>
        <v>155울릉도</v>
      </c>
      <c r="C215" s="70">
        <f>IFERROR(INDEX(EPSIS!D$2:'EPSIS'!D$603,MATCH($B215,EPSIS!$F$2:'EPSIS'!$F$603,0)),"")</f>
        <v>3</v>
      </c>
      <c r="D215" s="16">
        <f>IFERROR(INDEX(EPSIS!E$2:'EPSIS'!E$603,MATCH($B215,EPSIS!$F$2:'EPSIS'!$F$603,0)),"")</f>
        <v>1996</v>
      </c>
      <c r="G215" s="53" t="str">
        <f t="shared" si="31"/>
        <v>-</v>
      </c>
      <c r="H215" s="53" t="str">
        <f t="shared" si="32"/>
        <v>-</v>
      </c>
      <c r="L215" s="53"/>
      <c r="M215" s="53"/>
      <c r="R215" s="53"/>
      <c r="S215" s="53"/>
    </row>
    <row r="216" spans="1:19">
      <c r="A216" s="53" t="str">
        <f>IFERROR(INDEX(EPSIS!$B$2:'EPSIS'!$B$603,MATCH($B216,EPSIS!$F$2:'EPSIS'!$F$603,0)),"")</f>
        <v>경유</v>
      </c>
      <c r="B216" s="53" t="str">
        <f t="array" ref="B216">IFERROR(INDEX(EPSIS!$F$2:'EPSIS'!$F$603,SMALL(IF(($B$135=EPSIS!$B$2:'EPSIS'!$B$603),MATCH(ROW(EPSIS!$B$2:'EPSIS'!$B$603), ROW(EPSIS!$B$2:'EPSIS'!$B$603)), ""), ROWS($A$1:A80))),"")</f>
        <v>156울릉도</v>
      </c>
      <c r="C216" s="70">
        <f>IFERROR(INDEX(EPSIS!D$2:'EPSIS'!D$603,MATCH($B216,EPSIS!$F$2:'EPSIS'!$F$603,0)),"")</f>
        <v>1.5</v>
      </c>
      <c r="D216" s="16">
        <f>IFERROR(INDEX(EPSIS!E$2:'EPSIS'!E$603,MATCH($B216,EPSIS!$F$2:'EPSIS'!$F$603,0)),"")</f>
        <v>2002</v>
      </c>
      <c r="G216" s="53" t="str">
        <f t="shared" si="31"/>
        <v>-</v>
      </c>
      <c r="H216" s="53" t="str">
        <f t="shared" si="32"/>
        <v>-</v>
      </c>
      <c r="L216" s="53"/>
      <c r="M216" s="53"/>
      <c r="R216" s="53"/>
      <c r="S216" s="53"/>
    </row>
    <row r="217" spans="1:19">
      <c r="A217" s="53" t="str">
        <f>IFERROR(INDEX(EPSIS!$B$2:'EPSIS'!$B$603,MATCH($B217,EPSIS!$F$2:'EPSIS'!$F$603,0)),"")</f>
        <v>경유</v>
      </c>
      <c r="B217" s="53" t="str">
        <f t="array" ref="B217">IFERROR(INDEX(EPSIS!$F$2:'EPSIS'!$F$603,SMALL(IF(($B$135=EPSIS!$B$2:'EPSIS'!$B$603),MATCH(ROW(EPSIS!$B$2:'EPSIS'!$B$603), ROW(EPSIS!$B$2:'EPSIS'!$B$603)), ""), ROWS($A$1:A81))),"")</f>
        <v>157울릉도</v>
      </c>
      <c r="C217" s="70">
        <f>IFERROR(INDEX(EPSIS!D$2:'EPSIS'!D$603,MATCH($B217,EPSIS!$F$2:'EPSIS'!$F$603,0)),"")</f>
        <v>6</v>
      </c>
      <c r="D217" s="16">
        <f>IFERROR(INDEX(EPSIS!E$2:'EPSIS'!E$603,MATCH($B217,EPSIS!$F$2:'EPSIS'!$F$603,0)),"")</f>
        <v>2007</v>
      </c>
      <c r="G217" s="53" t="b">
        <f>IF(D217&gt;$F$2,TRUE,"-")</f>
        <v>1</v>
      </c>
      <c r="H217" s="53">
        <f>IF(G217=TRUE,D217+30,"-")</f>
        <v>2037</v>
      </c>
      <c r="L217" s="53"/>
      <c r="M217" s="53"/>
      <c r="R217" s="53"/>
      <c r="S217" s="53"/>
    </row>
    <row r="218" spans="1:19">
      <c r="A218" s="53" t="str">
        <f>IFERROR(INDEX(EPSIS!$B$2:'EPSIS'!$B$603,MATCH($B218,EPSIS!$F$2:'EPSIS'!$F$603,0)),"")</f>
        <v>경유</v>
      </c>
      <c r="B218" s="53" t="str">
        <f t="array" ref="B218">IFERROR(INDEX(EPSIS!$F$2:'EPSIS'!$F$603,SMALL(IF(($B$135=EPSIS!$B$2:'EPSIS'!$B$603),MATCH(ROW(EPSIS!$B$2:'EPSIS'!$B$603), ROW(EPSIS!$B$2:'EPSIS'!$B$603)), ""), ROWS($A$1:A82))),"")</f>
        <v>158울릉도</v>
      </c>
      <c r="C218" s="70">
        <f>IFERROR(INDEX(EPSIS!D$2:'EPSIS'!D$603,MATCH($B218,EPSIS!$F$2:'EPSIS'!$F$603,0)),"")</f>
        <v>6</v>
      </c>
      <c r="D218" s="16">
        <f>IFERROR(INDEX(EPSIS!E$2:'EPSIS'!E$603,MATCH($B218,EPSIS!$F$2:'EPSIS'!$F$603,0)),"")</f>
        <v>2011</v>
      </c>
      <c r="G218" s="53" t="b">
        <f t="shared" ref="G218:G226" si="35">IF(D218&gt;$F$2,TRUE,"-")</f>
        <v>1</v>
      </c>
      <c r="H218" s="53">
        <f t="shared" ref="H218:H226" si="36">IF(G218=TRUE,D218+30,"-")</f>
        <v>2041</v>
      </c>
      <c r="L218" s="53"/>
      <c r="M218" s="53"/>
      <c r="R218" s="53"/>
      <c r="S218" s="53"/>
    </row>
    <row r="219" spans="1:19">
      <c r="A219" s="53" t="str">
        <f>IFERROR(INDEX(EPSIS!$B$2:'EPSIS'!$B$603,MATCH($B219,EPSIS!$F$2:'EPSIS'!$F$603,0)),"")</f>
        <v>경유</v>
      </c>
      <c r="B219" s="53" t="str">
        <f t="array" ref="B219">IFERROR(INDEX(EPSIS!$F$2:'EPSIS'!$F$603,SMALL(IF(($B$135=EPSIS!$B$2:'EPSIS'!$B$603),MATCH(ROW(EPSIS!$B$2:'EPSIS'!$B$603), ROW(EPSIS!$B$2:'EPSIS'!$B$603)), ""), ROWS($A$1:A83))),"")</f>
        <v>159위도</v>
      </c>
      <c r="C219" s="70">
        <f>IFERROR(INDEX(EPSIS!D$2:'EPSIS'!D$603,MATCH($B219,EPSIS!$F$2:'EPSIS'!$F$603,0)),"")</f>
        <v>1.35</v>
      </c>
      <c r="D219" s="16">
        <f>IFERROR(INDEX(EPSIS!E$2:'EPSIS'!E$603,MATCH($B219,EPSIS!$F$2:'EPSIS'!$F$603,0)),"")</f>
        <v>1993</v>
      </c>
      <c r="G219" s="53" t="str">
        <f t="shared" si="35"/>
        <v>-</v>
      </c>
      <c r="H219" s="53" t="str">
        <f t="shared" si="36"/>
        <v>-</v>
      </c>
      <c r="L219" s="53"/>
      <c r="M219" s="53"/>
      <c r="R219" s="53"/>
      <c r="S219" s="53"/>
    </row>
    <row r="220" spans="1:19">
      <c r="A220" s="53" t="str">
        <f>IFERROR(INDEX(EPSIS!$B$2:'EPSIS'!$B$603,MATCH($B220,EPSIS!$F$2:'EPSIS'!$F$603,0)),"")</f>
        <v>경유</v>
      </c>
      <c r="B220" s="53" t="str">
        <f t="array" ref="B220">IFERROR(INDEX(EPSIS!$F$2:'EPSIS'!$F$603,SMALL(IF(($B$135=EPSIS!$B$2:'EPSIS'!$B$603),MATCH(ROW(EPSIS!$B$2:'EPSIS'!$B$603), ROW(EPSIS!$B$2:'EPSIS'!$B$603)), ""), ROWS($A$1:A84))),"")</f>
        <v>160위도</v>
      </c>
      <c r="C220" s="70">
        <f>IFERROR(INDEX(EPSIS!D$2:'EPSIS'!D$603,MATCH($B220,EPSIS!$F$2:'EPSIS'!$F$603,0)),"")</f>
        <v>0.5</v>
      </c>
      <c r="D220" s="16">
        <f>IFERROR(INDEX(EPSIS!E$2:'EPSIS'!E$603,MATCH($B220,EPSIS!$F$2:'EPSIS'!$F$603,0)),"")</f>
        <v>2002</v>
      </c>
      <c r="G220" s="53" t="str">
        <f t="shared" si="35"/>
        <v>-</v>
      </c>
      <c r="H220" s="53" t="str">
        <f t="shared" si="36"/>
        <v>-</v>
      </c>
      <c r="L220" s="53"/>
      <c r="M220" s="53"/>
      <c r="R220" s="53"/>
      <c r="S220" s="53"/>
    </row>
    <row r="221" spans="1:19">
      <c r="A221" s="53" t="str">
        <f>IFERROR(INDEX(EPSIS!$B$2:'EPSIS'!$B$603,MATCH($B221,EPSIS!$F$2:'EPSIS'!$F$603,0)),"")</f>
        <v>경유</v>
      </c>
      <c r="B221" s="53" t="str">
        <f t="array" ref="B221">IFERROR(INDEX(EPSIS!$F$2:'EPSIS'!$F$603,SMALL(IF(($B$135=EPSIS!$B$2:'EPSIS'!$B$603),MATCH(ROW(EPSIS!$B$2:'EPSIS'!$B$603), ROW(EPSIS!$B$2:'EPSIS'!$B$603)), ""), ROWS($A$1:A85))),"")</f>
        <v>161위도</v>
      </c>
      <c r="C221" s="70">
        <f>IFERROR(INDEX(EPSIS!D$2:'EPSIS'!D$603,MATCH($B221,EPSIS!$F$2:'EPSIS'!$F$603,0)),"")</f>
        <v>1</v>
      </c>
      <c r="D221" s="16">
        <f>IFERROR(INDEX(EPSIS!E$2:'EPSIS'!E$603,MATCH($B221,EPSIS!$F$2:'EPSIS'!$F$603,0)),"")</f>
        <v>2003</v>
      </c>
      <c r="G221" s="53" t="str">
        <f t="shared" si="35"/>
        <v>-</v>
      </c>
      <c r="H221" s="53" t="str">
        <f t="shared" si="36"/>
        <v>-</v>
      </c>
      <c r="L221" s="53"/>
      <c r="M221" s="53"/>
      <c r="R221" s="53"/>
      <c r="S221" s="53"/>
    </row>
    <row r="222" spans="1:19">
      <c r="A222" s="53" t="str">
        <f>IFERROR(INDEX(EPSIS!$B$2:'EPSIS'!$B$603,MATCH($B222,EPSIS!$F$2:'EPSIS'!$F$603,0)),"")</f>
        <v>경유</v>
      </c>
      <c r="B222" s="53" t="str">
        <f t="array" ref="B222">IFERROR(INDEX(EPSIS!$F$2:'EPSIS'!$F$603,SMALL(IF(($B$135=EPSIS!$B$2:'EPSIS'!$B$603),MATCH(ROW(EPSIS!$B$2:'EPSIS'!$B$603), ROW(EPSIS!$B$2:'EPSIS'!$B$603)), ""), ROWS($A$1:A86))),"")</f>
        <v>162자월도</v>
      </c>
      <c r="C222" s="70">
        <f>IFERROR(INDEX(EPSIS!D$2:'EPSIS'!D$603,MATCH($B222,EPSIS!$F$2:'EPSIS'!$F$603,0)),"")</f>
        <v>0.15</v>
      </c>
      <c r="D222" s="16">
        <f>IFERROR(INDEX(EPSIS!E$2:'EPSIS'!E$603,MATCH($B222,EPSIS!$F$2:'EPSIS'!$F$603,0)),"")</f>
        <v>1993</v>
      </c>
      <c r="G222" s="53" t="str">
        <f t="shared" si="35"/>
        <v>-</v>
      </c>
      <c r="H222" s="53" t="str">
        <f t="shared" si="36"/>
        <v>-</v>
      </c>
      <c r="L222" s="53"/>
      <c r="M222" s="53"/>
      <c r="R222" s="53"/>
      <c r="S222" s="53"/>
    </row>
    <row r="223" spans="1:19">
      <c r="A223" s="53" t="str">
        <f>IFERROR(INDEX(EPSIS!$B$2:'EPSIS'!$B$603,MATCH($B223,EPSIS!$F$2:'EPSIS'!$F$603,0)),"")</f>
        <v>경유</v>
      </c>
      <c r="B223" s="53" t="str">
        <f t="array" ref="B223">IFERROR(INDEX(EPSIS!$F$2:'EPSIS'!$F$603,SMALL(IF(($B$135=EPSIS!$B$2:'EPSIS'!$B$603),MATCH(ROW(EPSIS!$B$2:'EPSIS'!$B$603), ROW(EPSIS!$B$2:'EPSIS'!$B$603)), ""), ROWS($A$1:A87))),"")</f>
        <v>163자월도</v>
      </c>
      <c r="C223" s="70">
        <f>IFERROR(INDEX(EPSIS!D$2:'EPSIS'!D$603,MATCH($B223,EPSIS!$F$2:'EPSIS'!$F$603,0)),"")</f>
        <v>1.5</v>
      </c>
      <c r="D223" s="16">
        <f>IFERROR(INDEX(EPSIS!E$2:'EPSIS'!E$603,MATCH($B223,EPSIS!$F$2:'EPSIS'!$F$603,0)),"")</f>
        <v>2004</v>
      </c>
      <c r="G223" s="53" t="str">
        <f t="shared" si="35"/>
        <v>-</v>
      </c>
      <c r="H223" s="53" t="str">
        <f t="shared" si="36"/>
        <v>-</v>
      </c>
      <c r="L223" s="53"/>
      <c r="M223" s="53"/>
      <c r="R223" s="53"/>
      <c r="S223" s="53"/>
    </row>
    <row r="224" spans="1:19">
      <c r="A224" s="53" t="str">
        <f>IFERROR(INDEX(EPSIS!$B$2:'EPSIS'!$B$603,MATCH($B224,EPSIS!$F$2:'EPSIS'!$F$603,0)),"")</f>
        <v>경유</v>
      </c>
      <c r="B224" s="53" t="str">
        <f t="array" ref="B224">IFERROR(INDEX(EPSIS!$F$2:'EPSIS'!$F$603,SMALL(IF(($B$135=EPSIS!$B$2:'EPSIS'!$B$603),MATCH(ROW(EPSIS!$B$2:'EPSIS'!$B$603), ROW(EPSIS!$B$2:'EPSIS'!$B$603)), ""), ROWS($A$1:A88))),"")</f>
        <v>164장고도</v>
      </c>
      <c r="C224" s="70">
        <f>IFERROR(INDEX(EPSIS!D$2:'EPSIS'!D$603,MATCH($B224,EPSIS!$F$2:'EPSIS'!$F$603,0)),"")</f>
        <v>0.45</v>
      </c>
      <c r="D224" s="16">
        <f>IFERROR(INDEX(EPSIS!E$2:'EPSIS'!E$603,MATCH($B224,EPSIS!$F$2:'EPSIS'!$F$603,0)),"")</f>
        <v>1996</v>
      </c>
      <c r="G224" s="53" t="str">
        <f t="shared" si="35"/>
        <v>-</v>
      </c>
      <c r="H224" s="53" t="str">
        <f t="shared" si="36"/>
        <v>-</v>
      </c>
      <c r="L224" s="53"/>
      <c r="M224" s="53"/>
      <c r="R224" s="53"/>
      <c r="S224" s="53"/>
    </row>
    <row r="225" spans="1:19">
      <c r="A225" s="53" t="str">
        <f>IFERROR(INDEX(EPSIS!$B$2:'EPSIS'!$B$603,MATCH($B225,EPSIS!$F$2:'EPSIS'!$F$603,0)),"")</f>
        <v>경유</v>
      </c>
      <c r="B225" s="53" t="str">
        <f t="array" ref="B225">IFERROR(INDEX(EPSIS!$F$2:'EPSIS'!$F$603,SMALL(IF(($B$135=EPSIS!$B$2:'EPSIS'!$B$603),MATCH(ROW(EPSIS!$B$2:'EPSIS'!$B$603), ROW(EPSIS!$B$2:'EPSIS'!$B$603)), ""), ROWS($A$1:A89))),"")</f>
        <v>165제주GT#1,2</v>
      </c>
      <c r="C225" s="70">
        <f>IFERROR(INDEX(EPSIS!D$2:'EPSIS'!D$603,MATCH($B225,EPSIS!$F$2:'EPSIS'!$F$603,0)),"")</f>
        <v>110</v>
      </c>
      <c r="D225" s="16">
        <f>IFERROR(INDEX(EPSIS!E$2:'EPSIS'!E$603,MATCH($B225,EPSIS!$F$2:'EPSIS'!$F$603,0)),"")</f>
        <v>1977</v>
      </c>
      <c r="G225" s="53" t="str">
        <f t="shared" si="35"/>
        <v>-</v>
      </c>
      <c r="H225" s="53" t="str">
        <f t="shared" si="36"/>
        <v>-</v>
      </c>
      <c r="L225" s="53"/>
      <c r="M225" s="53"/>
      <c r="R225" s="53"/>
      <c r="S225" s="53"/>
    </row>
    <row r="226" spans="1:19">
      <c r="A226" s="53" t="str">
        <f>IFERROR(INDEX(EPSIS!$B$2:'EPSIS'!$B$603,MATCH($B226,EPSIS!$F$2:'EPSIS'!$F$603,0)),"")</f>
        <v>경유</v>
      </c>
      <c r="B226" s="53" t="str">
        <f t="array" ref="B226">IFERROR(INDEX(EPSIS!$F$2:'EPSIS'!$F$603,SMALL(IF(($B$135=EPSIS!$B$2:'EPSIS'!$B$603),MATCH(ROW(EPSIS!$B$2:'EPSIS'!$B$603), ROW(EPSIS!$B$2:'EPSIS'!$B$603)), ""), ROWS($A$1:A90))),"")</f>
        <v>166제주GT#3</v>
      </c>
      <c r="C226" s="70">
        <f>IFERROR(INDEX(EPSIS!D$2:'EPSIS'!D$603,MATCH($B226,EPSIS!$F$2:'EPSIS'!$F$603,0)),"")</f>
        <v>55</v>
      </c>
      <c r="D226" s="16">
        <f>IFERROR(INDEX(EPSIS!E$2:'EPSIS'!E$603,MATCH($B226,EPSIS!$F$2:'EPSIS'!$F$603,0)),"")</f>
        <v>1977</v>
      </c>
      <c r="G226" s="53" t="str">
        <f t="shared" si="35"/>
        <v>-</v>
      </c>
      <c r="H226" s="53" t="str">
        <f t="shared" si="36"/>
        <v>-</v>
      </c>
      <c r="L226" s="53"/>
      <c r="M226" s="53"/>
      <c r="R226" s="53"/>
      <c r="S226" s="53"/>
    </row>
    <row r="227" spans="1:19">
      <c r="A227" s="53" t="str">
        <f>IFERROR(INDEX(EPSIS!$B$2:'EPSIS'!$B$603,MATCH($B227,EPSIS!$F$2:'EPSIS'!$F$603,0)),"")</f>
        <v>경유</v>
      </c>
      <c r="B227" s="53" t="str">
        <f t="array" ref="B227">IFERROR(INDEX(EPSIS!$F$2:'EPSIS'!$F$603,SMALL(IF(($B$135=EPSIS!$B$2:'EPSIS'!$B$603),MATCH(ROW(EPSIS!$B$2:'EPSIS'!$B$603), ROW(EPSIS!$B$2:'EPSIS'!$B$603)), ""), ROWS($A$1:A91))),"")</f>
        <v>169조도</v>
      </c>
      <c r="C227" s="70">
        <f>IFERROR(INDEX(EPSIS!D$2:'EPSIS'!D$603,MATCH($B227,EPSIS!$F$2:'EPSIS'!$F$603,0)),"")</f>
        <v>1</v>
      </c>
      <c r="D227" s="16">
        <f>IFERROR(INDEX(EPSIS!E$2:'EPSIS'!E$603,MATCH($B227,EPSIS!$F$2:'EPSIS'!$F$603,0)),"")</f>
        <v>1996</v>
      </c>
      <c r="G227" s="53" t="str">
        <f>IF(D227&gt;$F$2,TRUE,"-")</f>
        <v>-</v>
      </c>
      <c r="H227" s="53" t="str">
        <f>IF(G227=TRUE,D227+30,"-")</f>
        <v>-</v>
      </c>
      <c r="L227" s="53"/>
      <c r="M227" s="53"/>
      <c r="R227" s="53"/>
      <c r="S227" s="53"/>
    </row>
    <row r="228" spans="1:19">
      <c r="A228" s="53" t="str">
        <f>IFERROR(INDEX(EPSIS!$B$2:'EPSIS'!$B$603,MATCH($B228,EPSIS!$F$2:'EPSIS'!$F$603,0)),"")</f>
        <v>경유</v>
      </c>
      <c r="B228" s="53" t="str">
        <f t="array" ref="B228">IFERROR(INDEX(EPSIS!$F$2:'EPSIS'!$F$603,SMALL(IF(($B$135=EPSIS!$B$2:'EPSIS'!$B$603),MATCH(ROW(EPSIS!$B$2:'EPSIS'!$B$603), ROW(EPSIS!$B$2:'EPSIS'!$B$603)), ""), ROWS($A$1:A92))),"")</f>
        <v>170조도</v>
      </c>
      <c r="C228" s="70">
        <f>IFERROR(INDEX(EPSIS!D$2:'EPSIS'!D$603,MATCH($B228,EPSIS!$F$2:'EPSIS'!$F$603,0)),"")</f>
        <v>1.6</v>
      </c>
      <c r="D228" s="16">
        <f>IFERROR(INDEX(EPSIS!E$2:'EPSIS'!E$603,MATCH($B228,EPSIS!$F$2:'EPSIS'!$F$603,0)),"")</f>
        <v>2008</v>
      </c>
      <c r="G228" s="53" t="b">
        <f t="shared" ref="G228:G243" si="37">IF(D228&gt;$F$2,TRUE,"-")</f>
        <v>1</v>
      </c>
      <c r="H228" s="53">
        <f t="shared" ref="H228:H243" si="38">IF(G228=TRUE,D228+30,"-")</f>
        <v>2038</v>
      </c>
      <c r="L228" s="53"/>
      <c r="M228" s="53"/>
      <c r="R228" s="53"/>
      <c r="S228" s="53"/>
    </row>
    <row r="229" spans="1:19">
      <c r="A229" s="53" t="str">
        <f>IFERROR(INDEX(EPSIS!$B$2:'EPSIS'!$B$603,MATCH($B229,EPSIS!$F$2:'EPSIS'!$F$603,0)),"")</f>
        <v>경유</v>
      </c>
      <c r="B229" s="53" t="str">
        <f t="array" ref="B229">IFERROR(INDEX(EPSIS!$F$2:'EPSIS'!$F$603,SMALL(IF(($B$135=EPSIS!$B$2:'EPSIS'!$B$603),MATCH(ROW(EPSIS!$B$2:'EPSIS'!$B$603), ROW(EPSIS!$B$2:'EPSIS'!$B$603)), ""), ROWS($A$1:A93))),"")</f>
        <v>171조도</v>
      </c>
      <c r="C229" s="70">
        <f>IFERROR(INDEX(EPSIS!D$2:'EPSIS'!D$603,MATCH($B229,EPSIS!$F$2:'EPSIS'!$F$603,0)),"")</f>
        <v>0.8</v>
      </c>
      <c r="D229" s="16">
        <f>IFERROR(INDEX(EPSIS!E$2:'EPSIS'!E$603,MATCH($B229,EPSIS!$F$2:'EPSIS'!$F$603,0)),"")</f>
        <v>2016</v>
      </c>
      <c r="G229" s="53" t="b">
        <f t="shared" si="37"/>
        <v>1</v>
      </c>
      <c r="H229" s="53">
        <f t="shared" si="38"/>
        <v>2046</v>
      </c>
      <c r="L229" s="53"/>
      <c r="M229" s="53"/>
      <c r="R229" s="53"/>
      <c r="S229" s="53"/>
    </row>
    <row r="230" spans="1:19">
      <c r="A230" s="53" t="str">
        <f>IFERROR(INDEX(EPSIS!$B$2:'EPSIS'!$B$603,MATCH($B230,EPSIS!$F$2:'EPSIS'!$F$603,0)),"")</f>
        <v>경유</v>
      </c>
      <c r="B230" s="53" t="str">
        <f t="array" ref="B230">IFERROR(INDEX(EPSIS!$F$2:'EPSIS'!$F$603,SMALL(IF(($B$135=EPSIS!$B$2:'EPSIS'!$B$603),MATCH(ROW(EPSIS!$B$2:'EPSIS'!$B$603), ROW(EPSIS!$B$2:'EPSIS'!$B$603)), ""), ROWS($A$1:A94))),"")</f>
        <v>172초도</v>
      </c>
      <c r="C230" s="70">
        <f>IFERROR(INDEX(EPSIS!D$2:'EPSIS'!D$603,MATCH($B230,EPSIS!$F$2:'EPSIS'!$F$603,0)),"")</f>
        <v>0.75</v>
      </c>
      <c r="D230" s="16">
        <f>IFERROR(INDEX(EPSIS!E$2:'EPSIS'!E$603,MATCH($B230,EPSIS!$F$2:'EPSIS'!$F$603,0)),"")</f>
        <v>1992</v>
      </c>
      <c r="G230" s="53" t="str">
        <f t="shared" si="37"/>
        <v>-</v>
      </c>
      <c r="H230" s="53" t="str">
        <f t="shared" si="38"/>
        <v>-</v>
      </c>
      <c r="L230" s="53"/>
      <c r="M230" s="53"/>
      <c r="R230" s="53"/>
      <c r="S230" s="53"/>
    </row>
    <row r="231" spans="1:19">
      <c r="A231" s="53" t="str">
        <f>IFERROR(INDEX(EPSIS!$B$2:'EPSIS'!$B$603,MATCH($B231,EPSIS!$F$2:'EPSIS'!$F$603,0)),"")</f>
        <v>경유</v>
      </c>
      <c r="B231" s="53" t="str">
        <f t="array" ref="B231">IFERROR(INDEX(EPSIS!$F$2:'EPSIS'!$F$603,SMALL(IF(($B$135=EPSIS!$B$2:'EPSIS'!$B$603),MATCH(ROW(EPSIS!$B$2:'EPSIS'!$B$603), ROW(EPSIS!$B$2:'EPSIS'!$B$603)), ""), ROWS($A$1:A95))),"")</f>
        <v>173추도</v>
      </c>
      <c r="C231" s="70">
        <f>IFERROR(INDEX(EPSIS!D$2:'EPSIS'!D$603,MATCH($B231,EPSIS!$F$2:'EPSIS'!$F$603,0)),"")</f>
        <v>0.24</v>
      </c>
      <c r="D231" s="16">
        <f>IFERROR(INDEX(EPSIS!E$2:'EPSIS'!E$603,MATCH($B231,EPSIS!$F$2:'EPSIS'!$F$603,0)),"")</f>
        <v>1994</v>
      </c>
      <c r="G231" s="53" t="str">
        <f t="shared" si="37"/>
        <v>-</v>
      </c>
      <c r="H231" s="53" t="str">
        <f t="shared" si="38"/>
        <v>-</v>
      </c>
      <c r="L231" s="53"/>
      <c r="M231" s="53"/>
      <c r="R231" s="53"/>
      <c r="S231" s="53"/>
    </row>
    <row r="232" spans="1:19">
      <c r="A232" s="53" t="str">
        <f>IFERROR(INDEX(EPSIS!$B$2:'EPSIS'!$B$603,MATCH($B232,EPSIS!$F$2:'EPSIS'!$F$603,0)),"")</f>
        <v>경유</v>
      </c>
      <c r="B232" s="53" t="str">
        <f t="array" ref="B232">IFERROR(INDEX(EPSIS!$F$2:'EPSIS'!$F$603,SMALL(IF(($B$135=EPSIS!$B$2:'EPSIS'!$B$603),MATCH(ROW(EPSIS!$B$2:'EPSIS'!$B$603), ROW(EPSIS!$B$2:'EPSIS'!$B$603)), ""), ROWS($A$1:A96))),"")</f>
        <v>174추자도</v>
      </c>
      <c r="C232" s="70">
        <f>IFERROR(INDEX(EPSIS!D$2:'EPSIS'!D$603,MATCH($B232,EPSIS!$F$2:'EPSIS'!$F$603,0)),"")</f>
        <v>0.5</v>
      </c>
      <c r="D232" s="16">
        <f>IFERROR(INDEX(EPSIS!E$2:'EPSIS'!E$603,MATCH($B232,EPSIS!$F$2:'EPSIS'!$F$603,0)),"")</f>
        <v>1995</v>
      </c>
      <c r="G232" s="53" t="str">
        <f t="shared" si="37"/>
        <v>-</v>
      </c>
      <c r="H232" s="53" t="str">
        <f t="shared" si="38"/>
        <v>-</v>
      </c>
      <c r="L232" s="53"/>
      <c r="M232" s="53"/>
      <c r="R232" s="53"/>
      <c r="S232" s="53"/>
    </row>
    <row r="233" spans="1:19">
      <c r="A233" s="53" t="str">
        <f>IFERROR(INDEX(EPSIS!$B$2:'EPSIS'!$B$603,MATCH($B233,EPSIS!$F$2:'EPSIS'!$F$603,0)),"")</f>
        <v>경유</v>
      </c>
      <c r="B233" s="53" t="str">
        <f t="array" ref="B233">IFERROR(INDEX(EPSIS!$F$2:'EPSIS'!$F$603,SMALL(IF(($B$135=EPSIS!$B$2:'EPSIS'!$B$603),MATCH(ROW(EPSIS!$B$2:'EPSIS'!$B$603), ROW(EPSIS!$B$2:'EPSIS'!$B$603)), ""), ROWS($A$1:A97))),"")</f>
        <v>175추자도</v>
      </c>
      <c r="C233" s="70">
        <f>IFERROR(INDEX(EPSIS!D$2:'EPSIS'!D$603,MATCH($B233,EPSIS!$F$2:'EPSIS'!$F$603,0)),"")</f>
        <v>0.5</v>
      </c>
      <c r="D233" s="16">
        <f>IFERROR(INDEX(EPSIS!E$2:'EPSIS'!E$603,MATCH($B233,EPSIS!$F$2:'EPSIS'!$F$603,0)),"")</f>
        <v>1999</v>
      </c>
      <c r="G233" s="53" t="str">
        <f t="shared" si="37"/>
        <v>-</v>
      </c>
      <c r="H233" s="53" t="str">
        <f t="shared" si="38"/>
        <v>-</v>
      </c>
      <c r="L233" s="53"/>
      <c r="M233" s="53"/>
      <c r="R233" s="53"/>
      <c r="S233" s="53"/>
    </row>
    <row r="234" spans="1:19">
      <c r="A234" s="53" t="str">
        <f>IFERROR(INDEX(EPSIS!$B$2:'EPSIS'!$B$603,MATCH($B234,EPSIS!$F$2:'EPSIS'!$F$603,0)),"")</f>
        <v>경유</v>
      </c>
      <c r="B234" s="53" t="str">
        <f t="array" ref="B234">IFERROR(INDEX(EPSIS!$F$2:'EPSIS'!$F$603,SMALL(IF(($B$135=EPSIS!$B$2:'EPSIS'!$B$603),MATCH(ROW(EPSIS!$B$2:'EPSIS'!$B$603), ROW(EPSIS!$B$2:'EPSIS'!$B$603)), ""), ROWS($A$1:A98))),"")</f>
        <v>176추자도</v>
      </c>
      <c r="C234" s="70">
        <f>IFERROR(INDEX(EPSIS!D$2:'EPSIS'!D$603,MATCH($B234,EPSIS!$F$2:'EPSIS'!$F$603,0)),"")</f>
        <v>0.5</v>
      </c>
      <c r="D234" s="16">
        <f>IFERROR(INDEX(EPSIS!E$2:'EPSIS'!E$603,MATCH($B234,EPSIS!$F$2:'EPSIS'!$F$603,0)),"")</f>
        <v>1999</v>
      </c>
      <c r="G234" s="53" t="str">
        <f t="shared" si="37"/>
        <v>-</v>
      </c>
      <c r="H234" s="53" t="str">
        <f t="shared" si="38"/>
        <v>-</v>
      </c>
      <c r="L234" s="53"/>
      <c r="M234" s="53"/>
      <c r="R234" s="53"/>
      <c r="S234" s="53"/>
    </row>
    <row r="235" spans="1:19">
      <c r="A235" s="53" t="str">
        <f>IFERROR(INDEX(EPSIS!$B$2:'EPSIS'!$B$603,MATCH($B235,EPSIS!$F$2:'EPSIS'!$F$603,0)),"")</f>
        <v>경유</v>
      </c>
      <c r="B235" s="53" t="str">
        <f t="array" ref="B235">IFERROR(INDEX(EPSIS!$F$2:'EPSIS'!$F$603,SMALL(IF(($B$135=EPSIS!$B$2:'EPSIS'!$B$603),MATCH(ROW(EPSIS!$B$2:'EPSIS'!$B$603), ROW(EPSIS!$B$2:'EPSIS'!$B$603)), ""), ROWS($A$1:A99))),"")</f>
        <v>177추자도</v>
      </c>
      <c r="C235" s="70">
        <f>IFERROR(INDEX(EPSIS!D$2:'EPSIS'!D$603,MATCH($B235,EPSIS!$F$2:'EPSIS'!$F$603,0)),"")</f>
        <v>2</v>
      </c>
      <c r="D235" s="16">
        <f>IFERROR(INDEX(EPSIS!E$2:'EPSIS'!E$603,MATCH($B235,EPSIS!$F$2:'EPSIS'!$F$603,0)),"")</f>
        <v>2007</v>
      </c>
      <c r="G235" s="53" t="b">
        <f t="shared" si="37"/>
        <v>1</v>
      </c>
      <c r="H235" s="53">
        <f t="shared" si="38"/>
        <v>2037</v>
      </c>
      <c r="L235" s="53"/>
      <c r="M235" s="53"/>
      <c r="R235" s="53"/>
      <c r="S235" s="53"/>
    </row>
    <row r="236" spans="1:19">
      <c r="A236" s="53" t="str">
        <f>IFERROR(INDEX(EPSIS!$B$2:'EPSIS'!$B$603,MATCH($B236,EPSIS!$F$2:'EPSIS'!$F$603,0)),"")</f>
        <v>경유</v>
      </c>
      <c r="B236" s="53" t="str">
        <f t="array" ref="B236">IFERROR(INDEX(EPSIS!$F$2:'EPSIS'!$F$603,SMALL(IF(($B$135=EPSIS!$B$2:'EPSIS'!$B$603),MATCH(ROW(EPSIS!$B$2:'EPSIS'!$B$603), ROW(EPSIS!$B$2:'EPSIS'!$B$603)), ""), ROWS($A$1:A100))),"")</f>
        <v>178추자도</v>
      </c>
      <c r="C236" s="70">
        <f>IFERROR(INDEX(EPSIS!D$2:'EPSIS'!D$603,MATCH($B236,EPSIS!$F$2:'EPSIS'!$F$603,0)),"")</f>
        <v>2</v>
      </c>
      <c r="D236" s="16">
        <f>IFERROR(INDEX(EPSIS!E$2:'EPSIS'!E$603,MATCH($B236,EPSIS!$F$2:'EPSIS'!$F$603,0)),"")</f>
        <v>2012</v>
      </c>
      <c r="G236" s="53" t="b">
        <f t="shared" si="37"/>
        <v>1</v>
      </c>
      <c r="H236" s="53">
        <f t="shared" si="38"/>
        <v>2042</v>
      </c>
      <c r="L236" s="53"/>
      <c r="M236" s="53"/>
      <c r="R236" s="53"/>
      <c r="S236" s="53"/>
    </row>
    <row r="237" spans="1:19">
      <c r="A237" s="53" t="str">
        <f>IFERROR(INDEX(EPSIS!$B$2:'EPSIS'!$B$603,MATCH($B237,EPSIS!$F$2:'EPSIS'!$F$603,0)),"")</f>
        <v>경유</v>
      </c>
      <c r="B237" s="53" t="str">
        <f t="array" ref="B237">IFERROR(INDEX(EPSIS!$F$2:'EPSIS'!$F$603,SMALL(IF(($B$135=EPSIS!$B$2:'EPSIS'!$B$603),MATCH(ROW(EPSIS!$B$2:'EPSIS'!$B$603), ROW(EPSIS!$B$2:'EPSIS'!$B$603)), ""), ROWS($A$1:A101))),"")</f>
        <v>179평도</v>
      </c>
      <c r="C237" s="70">
        <f>IFERROR(INDEX(EPSIS!D$2:'EPSIS'!D$603,MATCH($B237,EPSIS!$F$2:'EPSIS'!$F$603,0)),"")</f>
        <v>0.24</v>
      </c>
      <c r="D237" s="16">
        <f>IFERROR(INDEX(EPSIS!E$2:'EPSIS'!E$603,MATCH($B237,EPSIS!$F$2:'EPSIS'!$F$603,0)),"")</f>
        <v>2005</v>
      </c>
      <c r="G237" s="53" t="b">
        <f t="shared" si="37"/>
        <v>1</v>
      </c>
      <c r="H237" s="53">
        <f t="shared" si="38"/>
        <v>2035</v>
      </c>
      <c r="L237" s="53"/>
      <c r="M237" s="53"/>
      <c r="R237" s="53"/>
      <c r="S237" s="53"/>
    </row>
    <row r="238" spans="1:19">
      <c r="A238" s="53" t="str">
        <f>IFERROR(INDEX(EPSIS!$B$2:'EPSIS'!$B$603,MATCH($B238,EPSIS!$F$2:'EPSIS'!$F$603,0)),"")</f>
        <v>경유</v>
      </c>
      <c r="B238" s="53" t="str">
        <f t="array" ref="B238">IFERROR(INDEX(EPSIS!$F$2:'EPSIS'!$F$603,SMALL(IF(($B$135=EPSIS!$B$2:'EPSIS'!$B$603),MATCH(ROW(EPSIS!$B$2:'EPSIS'!$B$603), ROW(EPSIS!$B$2:'EPSIS'!$B$603)), ""), ROWS($A$1:A102))),"")</f>
        <v>180풍도</v>
      </c>
      <c r="C238" s="70">
        <f>IFERROR(INDEX(EPSIS!D$2:'EPSIS'!D$603,MATCH($B238,EPSIS!$F$2:'EPSIS'!$F$603,0)),"")</f>
        <v>0.45</v>
      </c>
      <c r="D238" s="16">
        <f>IFERROR(INDEX(EPSIS!E$2:'EPSIS'!E$603,MATCH($B238,EPSIS!$F$2:'EPSIS'!$F$603,0)),"")</f>
        <v>1996</v>
      </c>
      <c r="G238" s="53" t="str">
        <f t="shared" si="37"/>
        <v>-</v>
      </c>
      <c r="H238" s="53" t="str">
        <f t="shared" si="38"/>
        <v>-</v>
      </c>
      <c r="L238" s="53"/>
      <c r="M238" s="53"/>
      <c r="R238" s="53"/>
      <c r="S238" s="53"/>
    </row>
    <row r="239" spans="1:19">
      <c r="A239" s="53" t="str">
        <f>IFERROR(INDEX(EPSIS!$B$2:'EPSIS'!$B$603,MATCH($B239,EPSIS!$F$2:'EPSIS'!$F$603,0)),"")</f>
        <v>경유</v>
      </c>
      <c r="B239" s="53" t="str">
        <f t="array" ref="B239">IFERROR(INDEX(EPSIS!$F$2:'EPSIS'!$F$603,SMALL(IF(($B$135=EPSIS!$B$2:'EPSIS'!$B$603),MATCH(ROW(EPSIS!$B$2:'EPSIS'!$B$603), ROW(EPSIS!$B$2:'EPSIS'!$B$603)), ""), ROWS($A$1:A103))),"")</f>
        <v>181호도</v>
      </c>
      <c r="C239" s="70">
        <f>IFERROR(INDEX(EPSIS!D$2:'EPSIS'!D$603,MATCH($B239,EPSIS!$F$2:'EPSIS'!$F$603,0)),"")</f>
        <v>0.6</v>
      </c>
      <c r="D239" s="16">
        <f>IFERROR(INDEX(EPSIS!E$2:'EPSIS'!E$603,MATCH($B239,EPSIS!$F$2:'EPSIS'!$F$603,0)),"")</f>
        <v>1997</v>
      </c>
      <c r="G239" s="53" t="str">
        <f t="shared" si="37"/>
        <v>-</v>
      </c>
      <c r="H239" s="53" t="str">
        <f t="shared" si="38"/>
        <v>-</v>
      </c>
      <c r="L239" s="53"/>
      <c r="M239" s="53"/>
      <c r="R239" s="53"/>
      <c r="S239" s="53"/>
    </row>
    <row r="240" spans="1:19">
      <c r="A240" s="53" t="str">
        <f>IFERROR(INDEX(EPSIS!$B$2:'EPSIS'!$B$603,MATCH($B240,EPSIS!$F$2:'EPSIS'!$F$603,0)),"")</f>
        <v>경유</v>
      </c>
      <c r="B240" s="53" t="str">
        <f t="array" ref="B240">IFERROR(INDEX(EPSIS!$F$2:'EPSIS'!$F$603,SMALL(IF(($B$135=EPSIS!$B$2:'EPSIS'!$B$603),MATCH(ROW(EPSIS!$B$2:'EPSIS'!$B$603), ROW(EPSIS!$B$2:'EPSIS'!$B$603)), ""), ROWS($A$1:A104))),"")</f>
        <v>182홍도</v>
      </c>
      <c r="C240" s="70">
        <f>IFERROR(INDEX(EPSIS!D$2:'EPSIS'!D$603,MATCH($B240,EPSIS!$F$2:'EPSIS'!$F$603,0)),"")</f>
        <v>0.25</v>
      </c>
      <c r="D240" s="16">
        <f>IFERROR(INDEX(EPSIS!E$2:'EPSIS'!E$603,MATCH($B240,EPSIS!$F$2:'EPSIS'!$F$603,0)),"")</f>
        <v>1993</v>
      </c>
      <c r="G240" s="53" t="str">
        <f t="shared" si="37"/>
        <v>-</v>
      </c>
      <c r="H240" s="53" t="str">
        <f t="shared" si="38"/>
        <v>-</v>
      </c>
      <c r="L240" s="53"/>
      <c r="M240" s="53"/>
      <c r="R240" s="53"/>
      <c r="S240" s="53"/>
    </row>
    <row r="241" spans="1:19">
      <c r="A241" s="53" t="str">
        <f>IFERROR(INDEX(EPSIS!$B$2:'EPSIS'!$B$603,MATCH($B241,EPSIS!$F$2:'EPSIS'!$F$603,0)),"")</f>
        <v>경유</v>
      </c>
      <c r="B241" s="53" t="str">
        <f t="array" ref="B241">IFERROR(INDEX(EPSIS!$F$2:'EPSIS'!$F$603,SMALL(IF(($B$135=EPSIS!$B$2:'EPSIS'!$B$603),MATCH(ROW(EPSIS!$B$2:'EPSIS'!$B$603), ROW(EPSIS!$B$2:'EPSIS'!$B$603)), ""), ROWS($A$1:A105))),"")</f>
        <v>183홍도</v>
      </c>
      <c r="C241" s="70">
        <f>IFERROR(INDEX(EPSIS!D$2:'EPSIS'!D$603,MATCH($B241,EPSIS!$F$2:'EPSIS'!$F$603,0)),"")</f>
        <v>0.5</v>
      </c>
      <c r="D241" s="16">
        <f>IFERROR(INDEX(EPSIS!E$2:'EPSIS'!E$603,MATCH($B241,EPSIS!$F$2:'EPSIS'!$F$603,0)),"")</f>
        <v>2004</v>
      </c>
      <c r="G241" s="53" t="str">
        <f t="shared" si="37"/>
        <v>-</v>
      </c>
      <c r="H241" s="53" t="str">
        <f t="shared" si="38"/>
        <v>-</v>
      </c>
      <c r="L241" s="53"/>
      <c r="M241" s="53"/>
      <c r="R241" s="53"/>
      <c r="S241" s="53"/>
    </row>
    <row r="242" spans="1:19">
      <c r="A242" s="53" t="str">
        <f>IFERROR(INDEX(EPSIS!$B$2:'EPSIS'!$B$603,MATCH($B242,EPSIS!$F$2:'EPSIS'!$F$603,0)),"")</f>
        <v>경유</v>
      </c>
      <c r="B242" s="53" t="str">
        <f t="array" ref="B242">IFERROR(INDEX(EPSIS!$F$2:'EPSIS'!$F$603,SMALL(IF(($B$135=EPSIS!$B$2:'EPSIS'!$B$603),MATCH(ROW(EPSIS!$B$2:'EPSIS'!$B$603), ROW(EPSIS!$B$2:'EPSIS'!$B$603)), ""), ROWS($A$1:A106))),"")</f>
        <v>184홍도</v>
      </c>
      <c r="C242" s="70">
        <f>IFERROR(INDEX(EPSIS!D$2:'EPSIS'!D$603,MATCH($B242,EPSIS!$F$2:'EPSIS'!$F$603,0)),"")</f>
        <v>1.6</v>
      </c>
      <c r="D242" s="16">
        <f>IFERROR(INDEX(EPSIS!E$2:'EPSIS'!E$603,MATCH($B242,EPSIS!$F$2:'EPSIS'!$F$603,0)),"")</f>
        <v>2010</v>
      </c>
      <c r="G242" s="53" t="b">
        <f t="shared" si="37"/>
        <v>1</v>
      </c>
      <c r="H242" s="53">
        <f t="shared" si="38"/>
        <v>2040</v>
      </c>
      <c r="L242" s="53"/>
      <c r="M242" s="53"/>
      <c r="R242" s="53"/>
      <c r="S242" s="53"/>
    </row>
    <row r="243" spans="1:19">
      <c r="A243" s="53" t="str">
        <f>IFERROR(INDEX(EPSIS!$B$2:'EPSIS'!$B$603,MATCH($B243,EPSIS!$F$2:'EPSIS'!$F$603,0)),"")</f>
        <v>경유</v>
      </c>
      <c r="B243" s="53" t="str">
        <f t="array" ref="B243">IFERROR(INDEX(EPSIS!$F$2:'EPSIS'!$F$603,SMALL(IF(($B$135=EPSIS!$B$2:'EPSIS'!$B$603),MATCH(ROW(EPSIS!$B$2:'EPSIS'!$B$603), ROW(EPSIS!$B$2:'EPSIS'!$B$603)), ""), ROWS($A$1:A107))),"")</f>
        <v>185화도</v>
      </c>
      <c r="C243" s="70">
        <f>IFERROR(INDEX(EPSIS!D$2:'EPSIS'!D$603,MATCH($B243,EPSIS!$F$2:'EPSIS'!$F$603,0)),"")</f>
        <v>0.08</v>
      </c>
      <c r="D243" s="16">
        <f>IFERROR(INDEX(EPSIS!E$2:'EPSIS'!E$603,MATCH($B243,EPSIS!$F$2:'EPSIS'!$F$603,0)),"")</f>
        <v>2002</v>
      </c>
      <c r="G243" s="53" t="str">
        <f t="shared" si="37"/>
        <v>-</v>
      </c>
      <c r="H243" s="53" t="str">
        <f t="shared" si="38"/>
        <v>-</v>
      </c>
      <c r="L243" s="53"/>
      <c r="M243" s="53"/>
      <c r="R243" s="53"/>
      <c r="S243" s="53"/>
    </row>
    <row r="244" spans="1:19">
      <c r="A244" s="53" t="str">
        <f>IFERROR(INDEX(EPSIS!$B$2:'EPSIS'!$B$603,MATCH($B244,EPSIS!$F$2:'EPSIS'!$F$603,0)),"")</f>
        <v>경유</v>
      </c>
      <c r="B244" s="53" t="str">
        <f t="array" ref="B244">IFERROR(INDEX(EPSIS!$F$2:'EPSIS'!$F$603,SMALL(IF(($B$135=EPSIS!$B$2:'EPSIS'!$B$603),MATCH(ROW(EPSIS!$B$2:'EPSIS'!$B$603), ROW(EPSIS!$B$2:'EPSIS'!$B$603)), ""), ROWS($A$1:A108))),"")</f>
        <v>186화도</v>
      </c>
      <c r="C244" s="70">
        <f>IFERROR(INDEX(EPSIS!D$2:'EPSIS'!D$603,MATCH($B244,EPSIS!$F$2:'EPSIS'!$F$603,0)),"")</f>
        <v>0.08</v>
      </c>
      <c r="D244" s="16">
        <f>IFERROR(INDEX(EPSIS!E$2:'EPSIS'!E$603,MATCH($B244,EPSIS!$F$2:'EPSIS'!$F$603,0)),"")</f>
        <v>2007</v>
      </c>
      <c r="G244" s="53" t="b">
        <f>IF(D244&gt;$F$2,TRUE,"-")</f>
        <v>1</v>
      </c>
      <c r="H244" s="53">
        <f>IF(G244=TRUE,D244+30,"-")</f>
        <v>2037</v>
      </c>
      <c r="L244" s="53"/>
      <c r="M244" s="53"/>
      <c r="R244" s="53"/>
      <c r="S244" s="53"/>
    </row>
    <row r="245" spans="1:19">
      <c r="A245" s="53" t="str">
        <f>IFERROR(INDEX(EPSIS!$B$2:'EPSIS'!$B$603,MATCH($B245,EPSIS!$F$2:'EPSIS'!$F$603,0)),"")</f>
        <v>경유</v>
      </c>
      <c r="B245" s="53" t="str">
        <f t="array" ref="B245">IFERROR(INDEX(EPSIS!$F$2:'EPSIS'!$F$603,SMALL(IF(($B$135=EPSIS!$B$2:'EPSIS'!$B$603),MATCH(ROW(EPSIS!$B$2:'EPSIS'!$B$603), ROW(EPSIS!$B$2:'EPSIS'!$B$603)), ""), ROWS($A$1:A109))),"")</f>
        <v>187화도</v>
      </c>
      <c r="C245" s="70">
        <f>IFERROR(INDEX(EPSIS!D$2:'EPSIS'!D$603,MATCH($B245,EPSIS!$F$2:'EPSIS'!$F$603,0)),"")</f>
        <v>0.08</v>
      </c>
      <c r="D245" s="16">
        <f>IFERROR(INDEX(EPSIS!E$2:'EPSIS'!E$603,MATCH($B245,EPSIS!$F$2:'EPSIS'!$F$603,0)),"")</f>
        <v>2010</v>
      </c>
      <c r="G245" s="53" t="b">
        <f t="shared" ref="G245:G248" si="39">IF(D245&gt;$F$2,TRUE,"-")</f>
        <v>1</v>
      </c>
      <c r="H245" s="53">
        <f t="shared" ref="H245:H248" si="40">IF(G245=TRUE,D245+30,"-")</f>
        <v>2040</v>
      </c>
      <c r="L245" s="53"/>
      <c r="M245" s="53"/>
      <c r="R245" s="53"/>
      <c r="S245" s="53"/>
    </row>
    <row r="246" spans="1:19">
      <c r="A246" s="53" t="str">
        <f>IFERROR(INDEX(EPSIS!$B$2:'EPSIS'!$B$603,MATCH($B246,EPSIS!$F$2:'EPSIS'!$F$603,0)),"")</f>
        <v>경유</v>
      </c>
      <c r="B246" s="53" t="str">
        <f t="array" ref="B246">IFERROR(INDEX(EPSIS!$F$2:'EPSIS'!$F$603,SMALL(IF(($B$135=EPSIS!$B$2:'EPSIS'!$B$603),MATCH(ROW(EPSIS!$B$2:'EPSIS'!$B$603), ROW(EPSIS!$B$2:'EPSIS'!$B$603)), ""), ROWS($A$1:A110))),"")</f>
        <v>188흑산도</v>
      </c>
      <c r="C246" s="70">
        <f>IFERROR(INDEX(EPSIS!D$2:'EPSIS'!D$603,MATCH($B246,EPSIS!$F$2:'EPSIS'!$F$603,0)),"")</f>
        <v>0.5</v>
      </c>
      <c r="D246" s="16">
        <f>IFERROR(INDEX(EPSIS!E$2:'EPSIS'!E$603,MATCH($B246,EPSIS!$F$2:'EPSIS'!$F$603,0)),"")</f>
        <v>1994</v>
      </c>
      <c r="G246" s="53" t="str">
        <f t="shared" si="39"/>
        <v>-</v>
      </c>
      <c r="H246" s="53" t="str">
        <f t="shared" si="40"/>
        <v>-</v>
      </c>
      <c r="L246" s="53"/>
      <c r="M246" s="53"/>
      <c r="R246" s="53"/>
      <c r="S246" s="53"/>
    </row>
    <row r="247" spans="1:19">
      <c r="A247" s="53" t="str">
        <f>IFERROR(INDEX(EPSIS!$B$2:'EPSIS'!$B$603,MATCH($B247,EPSIS!$F$2:'EPSIS'!$F$603,0)),"")</f>
        <v>경유</v>
      </c>
      <c r="B247" s="53" t="str">
        <f t="array" ref="B247">IFERROR(INDEX(EPSIS!$F$2:'EPSIS'!$F$603,SMALL(IF(($B$135=EPSIS!$B$2:'EPSIS'!$B$603),MATCH(ROW(EPSIS!$B$2:'EPSIS'!$B$603), ROW(EPSIS!$B$2:'EPSIS'!$B$603)), ""), ROWS($A$1:A111))),"")</f>
        <v>189흑산도</v>
      </c>
      <c r="C247" s="70">
        <f>IFERROR(INDEX(EPSIS!D$2:'EPSIS'!D$603,MATCH($B247,EPSIS!$F$2:'EPSIS'!$F$603,0)),"")</f>
        <v>1.5</v>
      </c>
      <c r="D247" s="16">
        <f>IFERROR(INDEX(EPSIS!E$2:'EPSIS'!E$603,MATCH($B247,EPSIS!$F$2:'EPSIS'!$F$603,0)),"")</f>
        <v>1996</v>
      </c>
      <c r="G247" s="53" t="str">
        <f t="shared" si="39"/>
        <v>-</v>
      </c>
      <c r="H247" s="53" t="str">
        <f t="shared" si="40"/>
        <v>-</v>
      </c>
      <c r="L247" s="53"/>
      <c r="M247" s="53"/>
      <c r="R247" s="53"/>
      <c r="S247" s="53"/>
    </row>
    <row r="248" spans="1:19">
      <c r="A248" s="53" t="str">
        <f>IFERROR(INDEX(EPSIS!$B$2:'EPSIS'!$B$603,MATCH($B248,EPSIS!$F$2:'EPSIS'!$F$603,0)),"")</f>
        <v>경유</v>
      </c>
      <c r="B248" s="53" t="str">
        <f t="array" ref="B248">IFERROR(INDEX(EPSIS!$F$2:'EPSIS'!$F$603,SMALL(IF(($B$135=EPSIS!$B$2:'EPSIS'!$B$603),MATCH(ROW(EPSIS!$B$2:'EPSIS'!$B$603), ROW(EPSIS!$B$2:'EPSIS'!$B$603)), ""), ROWS($A$1:A112))),"")</f>
        <v>190흑산도</v>
      </c>
      <c r="C248" s="70">
        <f>IFERROR(INDEX(EPSIS!D$2:'EPSIS'!D$603,MATCH($B248,EPSIS!$F$2:'EPSIS'!$F$603,0)),"")</f>
        <v>2</v>
      </c>
      <c r="D248" s="16">
        <f>IFERROR(INDEX(EPSIS!E$2:'EPSIS'!E$603,MATCH($B248,EPSIS!$F$2:'EPSIS'!$F$603,0)),"")</f>
        <v>2008</v>
      </c>
      <c r="G248" s="53" t="b">
        <f t="shared" si="39"/>
        <v>1</v>
      </c>
      <c r="H248" s="53">
        <f t="shared" si="40"/>
        <v>2038</v>
      </c>
      <c r="L248" s="53"/>
      <c r="M248" s="53"/>
      <c r="R248" s="53"/>
      <c r="S248" s="53"/>
    </row>
    <row r="249" spans="1:19">
      <c r="A249" s="81" t="str">
        <f>IFERROR(INDEX(EPSIS!$B$2:'EPSIS'!$B$603,MATCH($B249,EPSIS!$F$2:'EPSIS'!$F$603,0)),"")</f>
        <v>유류</v>
      </c>
      <c r="B249" s="53" t="str" cm="1">
        <f t="array" ref="B249">IFERROR(INDEX(EPSIS!$F$2:'EPSIS'!$F$603,SMALL(IF(($C$135=EPSIS!$B$2:'EPSIS'!$B$603),MATCH(ROW(EPSIS!$B$2:'EPSIS'!$B$603), ROW(EPSIS!$B$2:'EPSIS'!$B$603)), ""), ROWS($A$1:A1))),"")</f>
        <v>286제주복합#1 GT</v>
      </c>
      <c r="C249" s="70">
        <f>IFERROR(INDEX(EPSIS!D$2:'EPSIS'!D$603,MATCH($B249,EPSIS!$F$2:'EPSIS'!$F$603,0)),"")</f>
        <v>71.893000000000001</v>
      </c>
      <c r="D249" s="16">
        <f>IFERROR(INDEX(EPSIS!E$2:'EPSIS'!E$603,MATCH($B249,EPSIS!$F$2:'EPSIS'!$F$603,0)),"")</f>
        <v>2018</v>
      </c>
      <c r="G249" s="53" t="b">
        <f t="shared" ref="G249:G252" si="41">IF(D249&gt;$F$2,TRUE,"-")</f>
        <v>1</v>
      </c>
      <c r="H249" s="53">
        <f t="shared" ref="H249:H252" si="42">IF(G249=TRUE,D249+30,"-")</f>
        <v>2048</v>
      </c>
      <c r="L249" s="53"/>
      <c r="M249" s="53"/>
      <c r="R249" s="53"/>
      <c r="S249" s="53"/>
    </row>
    <row r="250" spans="1:19">
      <c r="A250" s="81" t="str">
        <f>IFERROR(INDEX(EPSIS!$B$2:'EPSIS'!$B$603,MATCH($B250,EPSIS!$F$2:'EPSIS'!$F$603,0)),"")</f>
        <v>유류</v>
      </c>
      <c r="B250" s="53" t="str" cm="1">
        <f t="array" ref="B250">IFERROR(INDEX(EPSIS!$F$2:'EPSIS'!$F$603,SMALL(IF(($C$135=EPSIS!$B$2:'EPSIS'!$B$603),MATCH(ROW(EPSIS!$B$2:'EPSIS'!$B$603), ROW(EPSIS!$B$2:'EPSIS'!$B$603)), ""), ROWS($A$1:A2))),"")</f>
        <v>287제주복합#1 ST</v>
      </c>
      <c r="C250" s="70">
        <f>IFERROR(INDEX(EPSIS!D$2:'EPSIS'!D$603,MATCH($B250,EPSIS!$F$2:'EPSIS'!$F$603,0)),"")</f>
        <v>42.474000000000004</v>
      </c>
      <c r="D250" s="16">
        <f>IFERROR(INDEX(EPSIS!E$2:'EPSIS'!E$603,MATCH($B250,EPSIS!$F$2:'EPSIS'!$F$603,0)),"")</f>
        <v>2018</v>
      </c>
      <c r="G250" s="53" t="b">
        <f t="shared" si="41"/>
        <v>1</v>
      </c>
      <c r="H250" s="53">
        <f t="shared" si="42"/>
        <v>2048</v>
      </c>
      <c r="L250" s="53"/>
      <c r="M250" s="53"/>
      <c r="R250" s="53"/>
      <c r="S250" s="53"/>
    </row>
    <row r="251" spans="1:19">
      <c r="A251" s="81" t="str">
        <f>IFERROR(INDEX(EPSIS!$B$2:'EPSIS'!$B$603,MATCH($B251,EPSIS!$F$2:'EPSIS'!$F$603,0)),"")</f>
        <v/>
      </c>
      <c r="B251" s="53" t="str" cm="1">
        <f t="array" ref="B251">IFERROR(INDEX(EPSIS!$F$2:'EPSIS'!$F$603,SMALL(IF(($C$135=EPSIS!$B$2:'EPSIS'!$B$603),MATCH(ROW(EPSIS!$B$2:'EPSIS'!$B$603), ROW(EPSIS!$B$2:'EPSIS'!$B$603)), ""), ROWS($A$1:A3))),"")</f>
        <v/>
      </c>
      <c r="C251" s="70" t="str">
        <f>IFERROR(INDEX(EPSIS!D$2:'EPSIS'!D$603,MATCH($B251,EPSIS!$F$2:'EPSIS'!$F$603,0)),"")</f>
        <v/>
      </c>
      <c r="D251" s="16" t="str">
        <f>IFERROR(INDEX(EPSIS!E$2:'EPSIS'!E$603,MATCH($B251,EPSIS!$F$2:'EPSIS'!$F$603,0)),"")</f>
        <v/>
      </c>
      <c r="G251" s="53" t="b">
        <f t="shared" si="41"/>
        <v>1</v>
      </c>
      <c r="H251" s="53" t="e">
        <f t="shared" si="42"/>
        <v>#VALUE!</v>
      </c>
      <c r="L251" s="53"/>
      <c r="M251" s="53"/>
      <c r="R251" s="53"/>
      <c r="S251" s="53"/>
    </row>
    <row r="252" spans="1:19">
      <c r="A252" s="81" t="str">
        <f>IFERROR(INDEX(EPSIS!$B$2:'EPSIS'!$B$603,MATCH($B252,EPSIS!$F$2:'EPSIS'!$F$603,0)),"")</f>
        <v/>
      </c>
      <c r="B252" s="53" t="str" cm="1">
        <f t="array" ref="B252">IFERROR(INDEX(EPSIS!$F$2:'EPSIS'!$F$603,SMALL(IF(($C$135=EPSIS!$B$2:'EPSIS'!$B$603),MATCH(ROW(EPSIS!$B$2:'EPSIS'!$B$603), ROW(EPSIS!$B$2:'EPSIS'!$B$603)), ""), ROWS($A$1:A4))),"")</f>
        <v/>
      </c>
      <c r="C252" s="70" t="str">
        <f>IFERROR(INDEX(EPSIS!D$2:'EPSIS'!D$603,MATCH($B252,EPSIS!$F$2:'EPSIS'!$F$603,0)),"")</f>
        <v/>
      </c>
      <c r="D252" s="16" t="str">
        <f>IFERROR(INDEX(EPSIS!E$2:'EPSIS'!E$603,MATCH($B252,EPSIS!$F$2:'EPSIS'!$F$603,0)),"")</f>
        <v/>
      </c>
      <c r="G252" s="53" t="b">
        <f t="shared" si="41"/>
        <v>1</v>
      </c>
      <c r="H252" s="53" t="e">
        <f t="shared" si="42"/>
        <v>#VALUE!</v>
      </c>
      <c r="L252" s="53"/>
      <c r="M252" s="53"/>
      <c r="R252" s="53"/>
      <c r="S252" s="53"/>
    </row>
    <row r="253" spans="1:19">
      <c r="G253" s="53"/>
      <c r="H253" s="53"/>
      <c r="L253" s="53"/>
      <c r="M253" s="53"/>
      <c r="R253" s="53"/>
      <c r="S253" s="53"/>
    </row>
    <row r="254" spans="1:19">
      <c r="G254" s="53"/>
      <c r="H254" s="53"/>
      <c r="L254" s="53"/>
      <c r="M254" s="53"/>
      <c r="R254" s="53"/>
      <c r="S254" s="53"/>
    </row>
    <row r="255" spans="1:19">
      <c r="G255" s="53"/>
      <c r="H255" s="53"/>
      <c r="L255" s="53"/>
      <c r="M255" s="53"/>
      <c r="R255" s="53"/>
      <c r="S255" s="53"/>
    </row>
    <row r="256" spans="1:19">
      <c r="G256" s="53"/>
      <c r="H256" s="53"/>
      <c r="L256" s="53"/>
      <c r="M256" s="53"/>
      <c r="R256" s="53"/>
      <c r="S256" s="53"/>
    </row>
    <row r="257" spans="7:19">
      <c r="G257" s="53"/>
      <c r="H257" s="53"/>
      <c r="L257" s="53"/>
      <c r="M257" s="53"/>
      <c r="R257" s="53"/>
      <c r="S257" s="53"/>
    </row>
    <row r="258" spans="7:19">
      <c r="G258" s="53"/>
      <c r="H258" s="53"/>
      <c r="L258" s="53"/>
      <c r="M258" s="53"/>
      <c r="R258" s="53"/>
      <c r="S258" s="53"/>
    </row>
    <row r="259" spans="7:19">
      <c r="G259" s="53"/>
      <c r="H259" s="53"/>
      <c r="L259" s="53"/>
      <c r="M259" s="53"/>
      <c r="R259" s="53"/>
      <c r="S259" s="53"/>
    </row>
    <row r="260" spans="7:19">
      <c r="G260" s="53"/>
      <c r="H260" s="53"/>
      <c r="L260" s="53"/>
      <c r="M260" s="53"/>
      <c r="R260" s="53"/>
      <c r="S260" s="53"/>
    </row>
    <row r="261" spans="7:19">
      <c r="G261" s="53"/>
      <c r="H261" s="53"/>
      <c r="L261" s="53"/>
      <c r="M261" s="53"/>
      <c r="R261" s="53"/>
      <c r="S261" s="53"/>
    </row>
    <row r="262" spans="7:19">
      <c r="G262" s="53"/>
      <c r="H262" s="53"/>
      <c r="L262" s="53"/>
      <c r="M262" s="53"/>
      <c r="R262" s="53"/>
      <c r="S262" s="53"/>
    </row>
    <row r="263" spans="7:19">
      <c r="G263" s="53"/>
      <c r="H263" s="53"/>
      <c r="L263" s="53"/>
      <c r="M263" s="53"/>
      <c r="R263" s="53"/>
      <c r="S263" s="53"/>
    </row>
    <row r="264" spans="7:19">
      <c r="G264" s="53"/>
      <c r="H264" s="53"/>
      <c r="L264" s="53"/>
      <c r="M264" s="53"/>
      <c r="R264" s="53"/>
      <c r="S264" s="53"/>
    </row>
    <row r="265" spans="7:19">
      <c r="G265" s="53"/>
      <c r="H265" s="53"/>
      <c r="L265" s="53"/>
      <c r="M265" s="53"/>
      <c r="R265" s="53"/>
      <c r="S265" s="53"/>
    </row>
    <row r="266" spans="7:19">
      <c r="G266" s="53"/>
      <c r="H266" s="53"/>
      <c r="L266" s="53"/>
      <c r="M266" s="53"/>
      <c r="R266" s="53"/>
      <c r="S266" s="53"/>
    </row>
    <row r="267" spans="7:19">
      <c r="G267" s="53"/>
      <c r="H267" s="53"/>
      <c r="L267" s="53"/>
      <c r="M267" s="53"/>
      <c r="R267" s="53"/>
      <c r="S267" s="53"/>
    </row>
    <row r="268" spans="7:19">
      <c r="G268" s="53"/>
      <c r="H268" s="53"/>
      <c r="L268" s="53"/>
      <c r="M268" s="53"/>
      <c r="R268" s="53"/>
      <c r="S268" s="53"/>
    </row>
    <row r="269" spans="7:19">
      <c r="G269" s="53"/>
      <c r="H269" s="53"/>
      <c r="L269" s="53"/>
      <c r="M269" s="53"/>
      <c r="R269" s="53"/>
      <c r="S269" s="53"/>
    </row>
    <row r="270" spans="7:19">
      <c r="G270" s="53"/>
      <c r="H270" s="53"/>
      <c r="L270" s="53"/>
      <c r="M270" s="53"/>
      <c r="R270" s="53"/>
      <c r="S270" s="53"/>
    </row>
    <row r="271" spans="7:19">
      <c r="G271" s="53"/>
      <c r="H271" s="53"/>
      <c r="L271" s="53"/>
      <c r="M271" s="53"/>
      <c r="R271" s="53"/>
      <c r="S271" s="53"/>
    </row>
    <row r="272" spans="7:19">
      <c r="G272" s="53"/>
      <c r="H272" s="53"/>
      <c r="L272" s="53"/>
      <c r="M272" s="53"/>
      <c r="R272" s="53"/>
      <c r="S272" s="53"/>
    </row>
    <row r="273" spans="7:19">
      <c r="G273" s="53"/>
      <c r="H273" s="53"/>
      <c r="L273" s="53"/>
      <c r="M273" s="53"/>
      <c r="R273" s="53"/>
      <c r="S273" s="53"/>
    </row>
    <row r="274" spans="7:19">
      <c r="G274" s="53"/>
      <c r="H274" s="53"/>
      <c r="L274" s="53"/>
      <c r="M274" s="53"/>
      <c r="R274" s="53"/>
      <c r="S274" s="53"/>
    </row>
    <row r="275" spans="7:19">
      <c r="G275" s="53"/>
      <c r="H275" s="53"/>
      <c r="L275" s="53"/>
      <c r="M275" s="53"/>
      <c r="R275" s="53"/>
      <c r="S275" s="53"/>
    </row>
    <row r="276" spans="7:19">
      <c r="G276" s="53"/>
      <c r="H276" s="53"/>
      <c r="L276" s="53"/>
      <c r="M276" s="53"/>
      <c r="R276" s="53"/>
      <c r="S276" s="53"/>
    </row>
    <row r="277" spans="7:19">
      <c r="G277" s="53"/>
      <c r="H277" s="53"/>
      <c r="L277" s="53"/>
      <c r="M277" s="53"/>
      <c r="R277" s="53"/>
      <c r="S277" s="53"/>
    </row>
    <row r="278" spans="7:19">
      <c r="G278" s="53"/>
      <c r="H278" s="53"/>
      <c r="L278" s="53"/>
      <c r="M278" s="53"/>
      <c r="R278" s="53"/>
      <c r="S278" s="53"/>
    </row>
    <row r="279" spans="7:19">
      <c r="G279" s="53"/>
      <c r="H279" s="53"/>
      <c r="L279" s="53"/>
      <c r="M279" s="53"/>
      <c r="R279" s="53"/>
      <c r="S279" s="53"/>
    </row>
    <row r="280" spans="7:19">
      <c r="G280" s="53"/>
      <c r="H280" s="53"/>
      <c r="L280" s="53"/>
      <c r="M280" s="53"/>
      <c r="R280" s="53"/>
      <c r="S280" s="53"/>
    </row>
    <row r="281" spans="7:19">
      <c r="G281" s="53"/>
      <c r="H281" s="53"/>
      <c r="L281" s="53"/>
      <c r="M281" s="53"/>
      <c r="R281" s="53"/>
      <c r="S281" s="53"/>
    </row>
    <row r="282" spans="7:19">
      <c r="G282" s="53"/>
      <c r="H282" s="53"/>
      <c r="L282" s="53"/>
      <c r="M282" s="53"/>
      <c r="R282" s="53"/>
      <c r="S282" s="53"/>
    </row>
    <row r="283" spans="7:19">
      <c r="G283" s="53"/>
      <c r="H283" s="53"/>
      <c r="L283" s="53"/>
      <c r="M283" s="53"/>
      <c r="R283" s="53"/>
      <c r="S283" s="53"/>
    </row>
    <row r="284" spans="7:19">
      <c r="G284" s="53"/>
      <c r="H284" s="53"/>
      <c r="L284" s="53"/>
      <c r="M284" s="53"/>
      <c r="R284" s="53"/>
      <c r="S284" s="53"/>
    </row>
    <row r="285" spans="7:19">
      <c r="G285" s="53"/>
      <c r="H285" s="53"/>
      <c r="L285" s="53"/>
      <c r="M285" s="53"/>
      <c r="R285" s="53"/>
      <c r="S285" s="53"/>
    </row>
    <row r="286" spans="7:19">
      <c r="G286" s="53"/>
      <c r="H286" s="53"/>
      <c r="L286" s="53"/>
      <c r="M286" s="53"/>
      <c r="R286" s="53"/>
      <c r="S286" s="53"/>
    </row>
    <row r="287" spans="7:19">
      <c r="G287" s="53"/>
      <c r="H287" s="53"/>
      <c r="L287" s="53"/>
      <c r="M287" s="53"/>
      <c r="R287" s="53"/>
      <c r="S287" s="53"/>
    </row>
    <row r="288" spans="7:19">
      <c r="G288" s="53"/>
      <c r="H288" s="53"/>
      <c r="L288" s="53"/>
      <c r="M288" s="53"/>
      <c r="R288" s="53"/>
      <c r="S288" s="53"/>
    </row>
    <row r="289" spans="7:19">
      <c r="G289" s="53"/>
      <c r="H289" s="53"/>
      <c r="L289" s="53"/>
      <c r="M289" s="53"/>
      <c r="R289" s="53"/>
      <c r="S289" s="53"/>
    </row>
    <row r="290" spans="7:19">
      <c r="G290" s="53"/>
      <c r="H290" s="53"/>
      <c r="L290" s="53"/>
      <c r="M290" s="53"/>
      <c r="R290" s="53"/>
      <c r="S290" s="53"/>
    </row>
    <row r="291" spans="7:19">
      <c r="G291" s="53"/>
      <c r="H291" s="53"/>
      <c r="L291" s="53"/>
      <c r="M291" s="53"/>
      <c r="R291" s="53"/>
      <c r="S291" s="53"/>
    </row>
    <row r="292" spans="7:19">
      <c r="G292" s="53"/>
      <c r="H292" s="53"/>
      <c r="L292" s="53"/>
      <c r="M292" s="53"/>
      <c r="R292" s="53"/>
      <c r="S292" s="53"/>
    </row>
    <row r="293" spans="7:19">
      <c r="G293" s="53"/>
      <c r="H293" s="53"/>
      <c r="L293" s="53"/>
      <c r="M293" s="53"/>
      <c r="R293" s="53"/>
      <c r="S293" s="53"/>
    </row>
    <row r="294" spans="7:19">
      <c r="G294" s="53"/>
      <c r="H294" s="53"/>
      <c r="L294" s="53"/>
      <c r="M294" s="53"/>
      <c r="R294" s="53"/>
      <c r="S294" s="53"/>
    </row>
    <row r="295" spans="7:19">
      <c r="G295" s="53"/>
      <c r="H295" s="53"/>
      <c r="L295" s="53"/>
      <c r="M295" s="53"/>
      <c r="R295" s="53"/>
      <c r="S295" s="53"/>
    </row>
    <row r="296" spans="7:19">
      <c r="G296" s="53"/>
      <c r="H296" s="53"/>
      <c r="L296" s="53"/>
      <c r="M296" s="53"/>
      <c r="R296" s="53"/>
      <c r="S296" s="53"/>
    </row>
    <row r="297" spans="7:19">
      <c r="G297" s="53"/>
      <c r="H297" s="53"/>
      <c r="L297" s="53"/>
      <c r="M297" s="53"/>
      <c r="R297" s="53"/>
      <c r="S297" s="53"/>
    </row>
    <row r="298" spans="7:19">
      <c r="G298" s="53"/>
      <c r="H298" s="53"/>
    </row>
    <row r="317" spans="12:13">
      <c r="L317" s="53"/>
      <c r="M317" s="53"/>
    </row>
    <row r="318" spans="12:13">
      <c r="L318" s="53"/>
      <c r="M318" s="53"/>
    </row>
    <row r="319" spans="12:13">
      <c r="L319" s="53"/>
      <c r="M319" s="53"/>
    </row>
    <row r="320" spans="12:13">
      <c r="L320" s="53"/>
      <c r="M320" s="53"/>
    </row>
    <row r="321" spans="12:13">
      <c r="L321" s="53"/>
      <c r="M321" s="53"/>
    </row>
    <row r="322" spans="12:13">
      <c r="L322" s="53"/>
      <c r="M322" s="53"/>
    </row>
    <row r="323" spans="12:13">
      <c r="L323" s="53"/>
      <c r="M323" s="53"/>
    </row>
    <row r="324" spans="12:13">
      <c r="L324" s="53"/>
      <c r="M324" s="53"/>
    </row>
    <row r="325" spans="12:13">
      <c r="L325" s="53"/>
      <c r="M325" s="53"/>
    </row>
    <row r="326" spans="12:13">
      <c r="L326" s="53"/>
      <c r="M326" s="53"/>
    </row>
    <row r="327" spans="12:13">
      <c r="L327" s="53"/>
      <c r="M327" s="53"/>
    </row>
    <row r="328" spans="12:13">
      <c r="L328" s="53"/>
      <c r="M328" s="53"/>
    </row>
    <row r="329" spans="12:13">
      <c r="L329" s="53"/>
      <c r="M329" s="53"/>
    </row>
    <row r="330" spans="12:13">
      <c r="L330" s="53"/>
      <c r="M330" s="53"/>
    </row>
    <row r="331" spans="12:13">
      <c r="L331" s="53"/>
      <c r="M331" s="53"/>
    </row>
    <row r="332" spans="12:13">
      <c r="L332" s="53"/>
      <c r="M332" s="53"/>
    </row>
    <row r="333" spans="12:13">
      <c r="L333" s="53"/>
      <c r="M333" s="53"/>
    </row>
    <row r="334" spans="12:13">
      <c r="L334" s="53"/>
      <c r="M334" s="53"/>
    </row>
    <row r="335" spans="12:13">
      <c r="L335" s="53"/>
      <c r="M335" s="53"/>
    </row>
    <row r="336" spans="12:13">
      <c r="L336" s="53"/>
      <c r="M336" s="53"/>
    </row>
    <row r="337" spans="12:13">
      <c r="L337" s="53"/>
      <c r="M337" s="53"/>
    </row>
    <row r="338" spans="12:13">
      <c r="L338" s="53"/>
      <c r="M338" s="53"/>
    </row>
    <row r="339" spans="12:13">
      <c r="L339" s="53"/>
      <c r="M339" s="53"/>
    </row>
    <row r="340" spans="12:13">
      <c r="L340" s="53"/>
      <c r="M340" s="53"/>
    </row>
    <row r="341" spans="12:13">
      <c r="L341" s="53"/>
      <c r="M341" s="53"/>
    </row>
    <row r="342" spans="12:13">
      <c r="L342" s="53"/>
      <c r="M342" s="53"/>
    </row>
    <row r="343" spans="12:13">
      <c r="L343" s="53"/>
      <c r="M343" s="53"/>
    </row>
    <row r="344" spans="12:13">
      <c r="L344" s="53"/>
      <c r="M344" s="53"/>
    </row>
    <row r="345" spans="12:13">
      <c r="L345" s="53"/>
      <c r="M345" s="53"/>
    </row>
    <row r="346" spans="12:13">
      <c r="L346" s="53"/>
      <c r="M346" s="53"/>
    </row>
    <row r="347" spans="12:13">
      <c r="L347" s="53"/>
      <c r="M347" s="53"/>
    </row>
    <row r="348" spans="12:13">
      <c r="L348" s="53"/>
      <c r="M348" s="53"/>
    </row>
    <row r="349" spans="12:13">
      <c r="L349" s="53"/>
      <c r="M349" s="53"/>
    </row>
    <row r="350" spans="12:13">
      <c r="L350" s="53"/>
      <c r="M350" s="53"/>
    </row>
    <row r="351" spans="12:13">
      <c r="L351" s="53"/>
      <c r="M351" s="53"/>
    </row>
    <row r="352" spans="12:13">
      <c r="L352" s="53"/>
      <c r="M352" s="53"/>
    </row>
    <row r="353" spans="12:13">
      <c r="L353" s="53"/>
      <c r="M353" s="53"/>
    </row>
    <row r="354" spans="12:13">
      <c r="L354" s="53"/>
      <c r="M354" s="53"/>
    </row>
    <row r="355" spans="12:13">
      <c r="L355" s="53"/>
      <c r="M355" s="53"/>
    </row>
    <row r="356" spans="12:13">
      <c r="L356" s="53"/>
      <c r="M356" s="53"/>
    </row>
    <row r="357" spans="12:13">
      <c r="L357" s="53"/>
      <c r="M357" s="53"/>
    </row>
    <row r="358" spans="12:13">
      <c r="L358" s="53"/>
      <c r="M358" s="53"/>
    </row>
    <row r="359" spans="12:13">
      <c r="L359" s="53"/>
      <c r="M359" s="53"/>
    </row>
    <row r="360" spans="12:13">
      <c r="L360" s="53"/>
      <c r="M360" s="53"/>
    </row>
    <row r="361" spans="12:13">
      <c r="L361" s="53"/>
      <c r="M361" s="53"/>
    </row>
    <row r="362" spans="12:13">
      <c r="L362" s="53"/>
      <c r="M362" s="53"/>
    </row>
    <row r="363" spans="12:13">
      <c r="L363" s="53"/>
      <c r="M363" s="53"/>
    </row>
    <row r="364" spans="12:13">
      <c r="L364" s="53"/>
      <c r="M364" s="53"/>
    </row>
    <row r="365" spans="12:13">
      <c r="L365" s="53"/>
      <c r="M365" s="53"/>
    </row>
    <row r="366" spans="12:13">
      <c r="L366" s="53"/>
      <c r="M366" s="53"/>
    </row>
    <row r="367" spans="12:13">
      <c r="L367" s="53"/>
      <c r="M367" s="53"/>
    </row>
    <row r="368" spans="12:13">
      <c r="L368" s="53"/>
      <c r="M368" s="53"/>
    </row>
    <row r="369" spans="12:15">
      <c r="L369" s="53"/>
      <c r="M369" s="53"/>
    </row>
    <row r="370" spans="12:15">
      <c r="L370" s="53"/>
      <c r="M370" s="53"/>
    </row>
    <row r="371" spans="12:15">
      <c r="L371" s="53"/>
      <c r="M371" s="53"/>
    </row>
    <row r="372" spans="12:15">
      <c r="L372" s="53"/>
      <c r="M372" s="53"/>
    </row>
    <row r="373" spans="12:15">
      <c r="L373" s="53"/>
      <c r="M373" s="53"/>
    </row>
    <row r="374" spans="12:15">
      <c r="L374" s="53"/>
      <c r="M374" s="53"/>
    </row>
    <row r="375" spans="12:15">
      <c r="L375" s="53"/>
      <c r="M375" s="53"/>
    </row>
    <row r="376" spans="12:15">
      <c r="L376" s="53"/>
      <c r="M376" s="53"/>
    </row>
    <row r="377" spans="12:15">
      <c r="L377" s="53"/>
      <c r="M377" s="53"/>
    </row>
    <row r="378" spans="12:15">
      <c r="L378" s="53" t="str">
        <f>IFERROR(INDEX(EPSIS!$B$2:'EPSIS'!$B$603,MATCH($M378,EPSIS!$F$2:'EPSIS'!$F$603,0)),"")</f>
        <v/>
      </c>
      <c r="M378" s="53" t="str" cm="1">
        <f t="array" ref="M378">IFERROR(INDEX(EPSIS!$F$2:'EPSIS'!$F$603,SMALL(IF(($M$193=EPSIS!$B$2:'EPSIS'!$B$603),MATCH(ROW(EPSIS!$B$2:'EPSIS'!$B$603), ROW(EPSIS!$B$2:'EPSIS'!$B$603)), ""), ROWS($A$1:A77))),"")</f>
        <v/>
      </c>
      <c r="N378" s="70" t="str">
        <f>IFERROR(INDEX(EPSIS!D$2:'EPSIS'!D$603,MATCH($M378,EPSIS!$F$2:'EPSIS'!$F$603,0)),"")</f>
        <v/>
      </c>
      <c r="O378" s="16" t="str">
        <f>IFERROR(INDEX(EPSIS!E$2:'EPSIS'!E$603,MATCH($M378,EPSIS!$F$2:'EPSIS'!$F$603,0)),"")</f>
        <v/>
      </c>
    </row>
    <row r="379" spans="12:15">
      <c r="L379" s="53" t="str">
        <f>IFERROR(INDEX(EPSIS!$B$2:'EPSIS'!$B$603,MATCH($M379,EPSIS!$F$2:'EPSIS'!$F$603,0)),"")</f>
        <v/>
      </c>
      <c r="M379" s="53" t="str" cm="1">
        <f t="array" ref="M379">IFERROR(INDEX(EPSIS!$F$2:'EPSIS'!$F$603,SMALL(IF(($M$193=EPSIS!$B$2:'EPSIS'!$B$603),MATCH(ROW(EPSIS!$B$2:'EPSIS'!$B$603), ROW(EPSIS!$B$2:'EPSIS'!$B$603)), ""), ROWS($A$1:A78))),"")</f>
        <v/>
      </c>
      <c r="N379" s="70" t="str">
        <f>IFERROR(INDEX(EPSIS!D$2:'EPSIS'!D$603,MATCH($M379,EPSIS!$F$2:'EPSIS'!$F$603,0)),"")</f>
        <v/>
      </c>
      <c r="O379" s="16" t="str">
        <f>IFERROR(INDEX(EPSIS!E$2:'EPSIS'!E$603,MATCH($M379,EPSIS!$F$2:'EPSIS'!$F$603,0)),"")</f>
        <v/>
      </c>
    </row>
    <row r="380" spans="12:15">
      <c r="L380" s="53" t="str">
        <f>IFERROR(INDEX(EPSIS!$B$2:'EPSIS'!$B$603,MATCH($M380,EPSIS!$F$2:'EPSIS'!$F$603,0)),"")</f>
        <v/>
      </c>
      <c r="M380" s="53" t="str" cm="1">
        <f t="array" ref="M380">IFERROR(INDEX(EPSIS!$F$2:'EPSIS'!$F$603,SMALL(IF(($M$193=EPSIS!$B$2:'EPSIS'!$B$603),MATCH(ROW(EPSIS!$B$2:'EPSIS'!$B$603), ROW(EPSIS!$B$2:'EPSIS'!$B$603)), ""), ROWS($A$1:A79))),"")</f>
        <v/>
      </c>
      <c r="N380" s="70" t="str">
        <f>IFERROR(INDEX(EPSIS!D$2:'EPSIS'!D$603,MATCH($M380,EPSIS!$F$2:'EPSIS'!$F$603,0)),"")</f>
        <v/>
      </c>
      <c r="O380" s="16" t="str">
        <f>IFERROR(INDEX(EPSIS!E$2:'EPSIS'!E$603,MATCH($M380,EPSIS!$F$2:'EPSIS'!$F$603,0)),"")</f>
        <v/>
      </c>
    </row>
  </sheetData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F798-0006-40FF-9A40-A621A9FF5D2A}">
  <dimension ref="B2:R19"/>
  <sheetViews>
    <sheetView workbookViewId="0">
      <selection activeCell="L50" sqref="L50"/>
    </sheetView>
  </sheetViews>
  <sheetFormatPr defaultRowHeight="14.5"/>
  <cols>
    <col min="2" max="2" width="23.6328125" customWidth="1"/>
  </cols>
  <sheetData>
    <row r="2" spans="2:18">
      <c r="B2" t="s">
        <v>1471</v>
      </c>
    </row>
    <row r="3" spans="2:18">
      <c r="B3" s="29" t="s">
        <v>63</v>
      </c>
      <c r="C3">
        <v>2035</v>
      </c>
      <c r="D3">
        <v>2036</v>
      </c>
      <c r="E3">
        <v>2037</v>
      </c>
      <c r="F3">
        <v>2038</v>
      </c>
      <c r="G3">
        <v>2039</v>
      </c>
      <c r="H3">
        <v>2040</v>
      </c>
      <c r="I3">
        <v>2041</v>
      </c>
      <c r="J3">
        <v>2042</v>
      </c>
      <c r="K3">
        <v>2043</v>
      </c>
      <c r="L3">
        <v>2044</v>
      </c>
      <c r="M3">
        <v>2045</v>
      </c>
      <c r="N3">
        <v>2046</v>
      </c>
      <c r="O3">
        <v>2047</v>
      </c>
      <c r="P3">
        <v>2048</v>
      </c>
      <c r="Q3">
        <v>2049</v>
      </c>
      <c r="R3">
        <v>2050</v>
      </c>
    </row>
    <row r="4" spans="2:18">
      <c r="B4" s="15" t="s">
        <v>14</v>
      </c>
      <c r="C4" s="71">
        <f>SUMIF(EPSIS_Cal!$H$35:$H$118, C$3, EPSIS_Cal!$C$35:$C$118)</f>
        <v>500</v>
      </c>
      <c r="D4" s="71">
        <f>SUMIF(EPSIS_Cal!$H$35:$H$118, D$3, EPSIS_Cal!$C$35:$C$118)</f>
        <v>500</v>
      </c>
      <c r="E4" s="71">
        <f>SUMIF(EPSIS_Cal!$H$35:$H$118, E$3, EPSIS_Cal!$C$35:$C$118)</f>
        <v>2000</v>
      </c>
      <c r="F4" s="71">
        <f>SUMIF(EPSIS_Cal!$H$35:$H$118, F$3, EPSIS_Cal!$C$35:$C$118)</f>
        <v>3294.529</v>
      </c>
      <c r="G4" s="71">
        <f>SUMIF(EPSIS_Cal!$H$35:$H$118, G$3, EPSIS_Cal!$C$35:$C$118)</f>
        <v>649.66999999999996</v>
      </c>
      <c r="H4" s="71">
        <f>SUMIF(EPSIS_Cal!$H$35:$H$118, H$3, EPSIS_Cal!$C$35:$C$118)</f>
        <v>0</v>
      </c>
      <c r="I4" s="71">
        <f>SUMIF(EPSIS_Cal!$H$35:$H$118, I$3, EPSIS_Cal!$C$35:$C$118)</f>
        <v>0</v>
      </c>
      <c r="J4" s="71">
        <f>SUMIF(EPSIS_Cal!$H$35:$H$118, J$3, EPSIS_Cal!$C$35:$C$118)</f>
        <v>9.8000000000000007</v>
      </c>
      <c r="K4" s="71">
        <f>SUMIF(EPSIS_Cal!$H$35:$H$118, K$3, EPSIS_Cal!$C$35:$C$118)</f>
        <v>107.4</v>
      </c>
      <c r="L4" s="71">
        <f>SUMIF(EPSIS_Cal!$H$35:$H$118, L$3, EPSIS_Cal!$C$35:$C$118)</f>
        <v>1740</v>
      </c>
      <c r="M4" s="71">
        <f>SUMIF(EPSIS_Cal!$H$35:$H$118, M$3, EPSIS_Cal!$C$35:$C$118)</f>
        <v>303</v>
      </c>
      <c r="N4" s="71">
        <f>SUMIF(EPSIS_Cal!$H$35:$H$118, N$3, EPSIS_Cal!$C$35:$C$118)</f>
        <v>4846.97</v>
      </c>
      <c r="O4" s="71">
        <f>SUMIF(EPSIS_Cal!$H$35:$H$118, O$3, EPSIS_Cal!$C$35:$C$118)</f>
        <v>5328.558</v>
      </c>
      <c r="P4" s="71">
        <f>SUMIF(EPSIS_Cal!$H$35:$H$118, P$3, EPSIS_Cal!$C$35:$C$118)</f>
        <v>0</v>
      </c>
      <c r="Q4" s="71">
        <f>SUMIF(EPSIS_Cal!$H$35:$H$118, Q$3, EPSIS_Cal!$C$35:$C$118)</f>
        <v>0</v>
      </c>
      <c r="R4" s="71">
        <f>SUMIF(EPSIS_Cal!$H$35:$H$118, R$3, EPSIS_Cal!$C$35:$C$118)</f>
        <v>0</v>
      </c>
    </row>
    <row r="5" spans="2:18">
      <c r="B5" s="15" t="s">
        <v>9</v>
      </c>
      <c r="C5" s="71">
        <f>SUMIF(EPSIS_Cal!$S$5:$S$176, C$3, EPSIS_Cal!$N$5:$N$176)</f>
        <v>701.43900000000008</v>
      </c>
      <c r="D5" s="71">
        <f>SUMIF(EPSIS_Cal!$S$5:$S$176, D$3, EPSIS_Cal!$N$5:$N$176)</f>
        <v>989.19999999999993</v>
      </c>
      <c r="E5" s="71">
        <f>SUMIF(EPSIS_Cal!$S$5:$S$176, E$3, EPSIS_Cal!$N$5:$N$176)</f>
        <v>24</v>
      </c>
      <c r="F5" s="71">
        <f>SUMIF(EPSIS_Cal!$S$5:$S$176, F$3, EPSIS_Cal!$N$5:$N$176)</f>
        <v>533</v>
      </c>
      <c r="G5" s="71">
        <f>SUMIF(EPSIS_Cal!$S$5:$S$176, G$3, EPSIS_Cal!$N$5:$N$176)</f>
        <v>508.90800000000002</v>
      </c>
      <c r="H5" s="71">
        <f>SUMIF(EPSIS_Cal!$S$5:$S$176, H$3, EPSIS_Cal!$N$5:$N$176)</f>
        <v>1868.9460000000004</v>
      </c>
      <c r="I5" s="71">
        <f>SUMIF(EPSIS_Cal!$S$5:$S$176, I$3, EPSIS_Cal!$N$5:$N$176)</f>
        <v>1305.2</v>
      </c>
      <c r="J5" s="71">
        <f>SUMIF(EPSIS_Cal!$S$5:$S$176, J$3, EPSIS_Cal!$N$5:$N$176)</f>
        <v>763.58800000000019</v>
      </c>
      <c r="K5" s="71">
        <f>SUMIF(EPSIS_Cal!$S$5:$S$176, K$3, EPSIS_Cal!$N$5:$N$176)</f>
        <v>3515.0810000000001</v>
      </c>
      <c r="L5" s="71">
        <f>SUMIF(EPSIS_Cal!$S$5:$S$176, L$3, EPSIS_Cal!$N$5:$N$176)</f>
        <v>4571.9000000000005</v>
      </c>
      <c r="M5" s="71">
        <f>SUMIF(EPSIS_Cal!$S$5:$S$176, M$3, EPSIS_Cal!$N$5:$N$176)</f>
        <v>2950.8</v>
      </c>
      <c r="N5" s="71">
        <f>SUMIF(EPSIS_Cal!$S$5:$S$176, N$3, EPSIS_Cal!$N$5:$N$176)</f>
        <v>436.1</v>
      </c>
      <c r="O5" s="71">
        <f>SUMIF(EPSIS_Cal!$S$5:$S$176, O$3, EPSIS_Cal!$N$5:$N$176)</f>
        <v>4660.7960000000003</v>
      </c>
      <c r="P5" s="71">
        <f>SUMIF(EPSIS_Cal!$S$5:$S$176, P$3, EPSIS_Cal!$N$5:$N$176)</f>
        <v>575.41300000000001</v>
      </c>
      <c r="Q5" s="71">
        <f>SUMIF(EPSIS_Cal!$S$5:$S$176, Q$3, EPSIS_Cal!$N$5:$N$176)</f>
        <v>1360.348</v>
      </c>
      <c r="R5" s="71">
        <f>SUMIF(EPSIS_Cal!$S$5:$S$176, R$3, EPSIS_Cal!$N$5:$N$176)</f>
        <v>146.245</v>
      </c>
    </row>
    <row r="6" spans="2:18">
      <c r="B6" s="15" t="s">
        <v>0</v>
      </c>
      <c r="C6" s="71">
        <f>SUMIF(EPSIS_Cal!$H$5:$H$28, C$3, EPSIS_Cal!$C$5:$C$28)</f>
        <v>0</v>
      </c>
      <c r="D6" s="71">
        <f>SUMIF(EPSIS_Cal!$H$5:$H$28, D$3, EPSIS_Cal!$C$5:$C$28)</f>
        <v>0</v>
      </c>
      <c r="E6" s="71">
        <f>SUMIF(EPSIS_Cal!$H$5:$H$28, E$3, EPSIS_Cal!$C$5:$C$28)</f>
        <v>0</v>
      </c>
      <c r="F6" s="71">
        <f>SUMIF(EPSIS_Cal!$H$5:$H$28, F$3, EPSIS_Cal!$C$5:$C$28)</f>
        <v>0</v>
      </c>
      <c r="G6" s="71">
        <f>SUMIF(EPSIS_Cal!$H$5:$H$28, G$3, EPSIS_Cal!$C$5:$C$28)</f>
        <v>0</v>
      </c>
      <c r="H6" s="71">
        <f>SUMIF(EPSIS_Cal!$H$5:$H$28, H$3, EPSIS_Cal!$C$5:$C$28)</f>
        <v>0</v>
      </c>
      <c r="I6" s="71">
        <f>SUMIF(EPSIS_Cal!$H$5:$H$28, I$3, EPSIS_Cal!$C$5:$C$28)</f>
        <v>1000</v>
      </c>
      <c r="J6" s="71">
        <f>SUMIF(EPSIS_Cal!$H$5:$H$28, J$3, EPSIS_Cal!$C$5:$C$28)</f>
        <v>2000</v>
      </c>
      <c r="K6" s="71">
        <f>SUMIF(EPSIS_Cal!$H$5:$H$28, K$3, EPSIS_Cal!$C$5:$C$28)</f>
        <v>0</v>
      </c>
      <c r="L6" s="71">
        <f>SUMIF(EPSIS_Cal!$H$5:$H$28, L$3, EPSIS_Cal!$C$5:$C$28)</f>
        <v>0</v>
      </c>
      <c r="M6" s="71">
        <f>SUMIF(EPSIS_Cal!$H$5:$H$28, M$3, EPSIS_Cal!$C$5:$C$28)</f>
        <v>1000</v>
      </c>
      <c r="N6" s="71">
        <f>SUMIF(EPSIS_Cal!$H$5:$H$28, N$3, EPSIS_Cal!$C$5:$C$28)</f>
        <v>1400</v>
      </c>
      <c r="O6" s="71">
        <f>SUMIF(EPSIS_Cal!$H$5:$H$28, O$3, EPSIS_Cal!$C$5:$C$28)</f>
        <v>0</v>
      </c>
      <c r="P6" s="71">
        <f>SUMIF(EPSIS_Cal!$H$5:$H$28, P$3, EPSIS_Cal!$C$5:$C$28)</f>
        <v>0</v>
      </c>
      <c r="Q6" s="71">
        <f>SUMIF(EPSIS_Cal!$H$5:$H$28, Q$3, EPSIS_Cal!$C$5:$C$28)</f>
        <v>1400</v>
      </c>
      <c r="R6" s="71">
        <f>SUMIF(EPSIS_Cal!$H$5:$H$28, R$3, EPSIS_Cal!$C$5:$C$28)</f>
        <v>0</v>
      </c>
    </row>
    <row r="7" spans="2:18">
      <c r="B7" s="15" t="s">
        <v>1</v>
      </c>
      <c r="C7" s="71">
        <v>0</v>
      </c>
      <c r="D7" s="71">
        <v>0</v>
      </c>
      <c r="E7" s="71">
        <v>0</v>
      </c>
      <c r="F7" s="71">
        <v>0</v>
      </c>
      <c r="G7" s="71">
        <v>0</v>
      </c>
      <c r="H7" s="71">
        <v>0</v>
      </c>
      <c r="I7" s="71">
        <v>0</v>
      </c>
      <c r="J7" s="71">
        <v>0</v>
      </c>
      <c r="K7" s="71">
        <v>0</v>
      </c>
      <c r="L7" s="71">
        <v>0</v>
      </c>
      <c r="M7" s="71">
        <v>0</v>
      </c>
      <c r="N7" s="71">
        <v>0</v>
      </c>
      <c r="O7" s="71">
        <v>0</v>
      </c>
      <c r="P7" s="71">
        <v>0</v>
      </c>
      <c r="Q7" s="71">
        <v>0</v>
      </c>
      <c r="R7" s="71">
        <v>0</v>
      </c>
    </row>
    <row r="8" spans="2:18">
      <c r="B8" s="15" t="s">
        <v>15</v>
      </c>
      <c r="C8" s="71">
        <v>0</v>
      </c>
      <c r="D8" s="71">
        <v>0</v>
      </c>
      <c r="E8" s="71">
        <v>0</v>
      </c>
      <c r="F8" s="71">
        <v>0</v>
      </c>
      <c r="G8" s="71">
        <v>0</v>
      </c>
      <c r="H8" s="71">
        <v>0</v>
      </c>
      <c r="I8" s="71">
        <v>0</v>
      </c>
      <c r="J8" s="71">
        <v>0</v>
      </c>
      <c r="K8" s="71">
        <v>0</v>
      </c>
      <c r="L8" s="71">
        <v>0</v>
      </c>
      <c r="M8" s="71">
        <v>0</v>
      </c>
      <c r="N8" s="71">
        <v>0</v>
      </c>
      <c r="O8" s="71">
        <v>0</v>
      </c>
      <c r="P8" s="71">
        <v>0</v>
      </c>
      <c r="Q8" s="71">
        <v>0</v>
      </c>
      <c r="R8" s="71">
        <v>0</v>
      </c>
    </row>
    <row r="9" spans="2:18">
      <c r="B9" s="15" t="s">
        <v>377</v>
      </c>
      <c r="C9" s="71">
        <v>0</v>
      </c>
      <c r="D9" s="71">
        <v>0</v>
      </c>
      <c r="E9" s="71">
        <v>0</v>
      </c>
      <c r="F9" s="71">
        <v>0</v>
      </c>
      <c r="G9" s="71">
        <v>0</v>
      </c>
      <c r="H9" s="71">
        <v>0</v>
      </c>
      <c r="I9" s="71">
        <v>0</v>
      </c>
      <c r="J9" s="71">
        <v>0</v>
      </c>
      <c r="K9" s="71">
        <v>0</v>
      </c>
      <c r="L9" s="71">
        <v>0</v>
      </c>
      <c r="M9" s="71">
        <v>0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</row>
    <row r="10" spans="2:18">
      <c r="B10" s="15" t="s">
        <v>3</v>
      </c>
      <c r="C10" s="71">
        <v>0</v>
      </c>
      <c r="D10" s="71">
        <v>0</v>
      </c>
      <c r="E10" s="71">
        <v>0</v>
      </c>
      <c r="F10" s="71">
        <v>0</v>
      </c>
      <c r="G10" s="71">
        <v>0</v>
      </c>
      <c r="H10" s="71">
        <v>0</v>
      </c>
      <c r="I10" s="71">
        <v>0</v>
      </c>
      <c r="J10" s="71">
        <v>0</v>
      </c>
      <c r="K10" s="71">
        <v>0</v>
      </c>
      <c r="L10" s="71">
        <v>0</v>
      </c>
      <c r="M10" s="71">
        <v>0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</row>
    <row r="11" spans="2:18">
      <c r="B11" s="15" t="s">
        <v>4</v>
      </c>
      <c r="C11" s="71">
        <f>SUMIF(EPSIS_Cal!$H$126:$H$129, C$3, EPSIS_Cal!$C$126:$C$129)</f>
        <v>0</v>
      </c>
      <c r="D11" s="71">
        <f>SUMIF(EPSIS_Cal!$H$126:$H$129, D$3, EPSIS_Cal!$C$126:$C$129)</f>
        <v>100</v>
      </c>
      <c r="E11" s="71">
        <f>SUMIF(EPSIS_Cal!$H$126:$H$129, E$3, EPSIS_Cal!$C$126:$C$129)</f>
        <v>100</v>
      </c>
      <c r="F11" s="71">
        <f>SUMIF(EPSIS_Cal!$H$126:$H$129, F$3, EPSIS_Cal!$C$126:$C$129)</f>
        <v>0</v>
      </c>
      <c r="G11" s="71">
        <f>SUMIF(EPSIS_Cal!$H$126:$H$129, G$3, EPSIS_Cal!$C$126:$C$129)</f>
        <v>0</v>
      </c>
      <c r="H11" s="71">
        <f>SUMIF(EPSIS_Cal!$H$126:$H$129, H$3, EPSIS_Cal!$C$126:$C$129)</f>
        <v>0</v>
      </c>
      <c r="I11" s="71">
        <f>SUMIF(EPSIS_Cal!$H$126:$H$129, I$3, EPSIS_Cal!$C$126:$C$129)</f>
        <v>0</v>
      </c>
      <c r="J11" s="71">
        <f>SUMIF(EPSIS_Cal!$H$126:$H$129, J$3, EPSIS_Cal!$C$126:$C$129)</f>
        <v>0</v>
      </c>
      <c r="K11" s="71">
        <f>SUMIF(EPSIS_Cal!$H$126:$H$129, K$3, EPSIS_Cal!$C$126:$C$129)</f>
        <v>0</v>
      </c>
      <c r="L11" s="71">
        <f>SUMIF(EPSIS_Cal!$H$126:$H$129, L$3, EPSIS_Cal!$C$126:$C$129)</f>
        <v>0</v>
      </c>
      <c r="M11" s="71">
        <f>SUMIF(EPSIS_Cal!$H$126:$H$129, M$3, EPSIS_Cal!$C$126:$C$129)</f>
        <v>0</v>
      </c>
      <c r="N11" s="71">
        <f>SUMIF(EPSIS_Cal!$H$126:$H$129, N$3, EPSIS_Cal!$C$126:$C$129)</f>
        <v>0</v>
      </c>
      <c r="O11" s="71">
        <f>SUMIF(EPSIS_Cal!$H$126:$H$129, O$3, EPSIS_Cal!$C$126:$C$129)</f>
        <v>0</v>
      </c>
      <c r="P11" s="71">
        <f>SUMIF(EPSIS_Cal!$H$126:$H$129, P$3, EPSIS_Cal!$C$126:$C$129)</f>
        <v>0</v>
      </c>
      <c r="Q11" s="71">
        <f>SUMIF(EPSIS_Cal!$H$126:$H$129, Q$3, EPSIS_Cal!$C$126:$C$129)</f>
        <v>0</v>
      </c>
      <c r="R11" s="71">
        <f>SUMIF(EPSIS_Cal!$H$126:$H$129, R$3, EPSIS_Cal!$C$126:$C$129)</f>
        <v>0</v>
      </c>
    </row>
    <row r="12" spans="2:18">
      <c r="B12" s="15" t="s">
        <v>5</v>
      </c>
      <c r="C12" s="71">
        <v>0</v>
      </c>
      <c r="D12" s="71">
        <v>0</v>
      </c>
      <c r="E12" s="71">
        <v>0</v>
      </c>
      <c r="F12" s="71">
        <v>0</v>
      </c>
      <c r="G12" s="71">
        <v>0</v>
      </c>
      <c r="H12" s="71">
        <v>0</v>
      </c>
      <c r="I12" s="71">
        <v>0</v>
      </c>
      <c r="J12" s="71">
        <v>0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</row>
    <row r="13" spans="2:18">
      <c r="B13" s="15" t="s">
        <v>10</v>
      </c>
      <c r="C13" s="71">
        <f>SUMIF(EPSIS_Cal!$H$137:$H$248, C$3, EPSIS_Cal!$C$137:$C$248)</f>
        <v>5.24</v>
      </c>
      <c r="D13" s="71">
        <f>SUMIF(EPSIS_Cal!$H$137:$H$248, D$3, EPSIS_Cal!$C$137:$C$248)</f>
        <v>2.9800000000000004</v>
      </c>
      <c r="E13" s="71">
        <f>SUMIF(EPSIS_Cal!$H$137:$H$248, E$3, EPSIS_Cal!$C$137:$C$248)</f>
        <v>8.92</v>
      </c>
      <c r="F13" s="71">
        <f>SUMIF(EPSIS_Cal!$H$137:$H$248, F$3, EPSIS_Cal!$C$137:$C$248)</f>
        <v>4.76</v>
      </c>
      <c r="G13" s="71">
        <f>SUMIF(EPSIS_Cal!$H$137:$H$248, G$3, EPSIS_Cal!$C$137:$C$248)</f>
        <v>0.75</v>
      </c>
      <c r="H13" s="71">
        <f>SUMIF(EPSIS_Cal!$H$137:$H$248, H$3, EPSIS_Cal!$C$137:$C$248)</f>
        <v>1.84</v>
      </c>
      <c r="I13" s="71">
        <f>SUMIF(EPSIS_Cal!$H$137:$H$248, I$3, EPSIS_Cal!$C$137:$C$248)</f>
        <v>15.100000000000001</v>
      </c>
      <c r="J13" s="71">
        <f>SUMIF(EPSIS_Cal!$H$137:$H$248, J$3, EPSIS_Cal!$C$137:$C$248)</f>
        <v>2.5</v>
      </c>
      <c r="K13" s="71">
        <f>SUMIF(EPSIS_Cal!$H$137:$H$248, K$3, EPSIS_Cal!$C$137:$C$248)</f>
        <v>6.2</v>
      </c>
      <c r="L13" s="71">
        <f>SUMIF(EPSIS_Cal!$H$137:$H$248, L$3, EPSIS_Cal!$C$137:$C$248)</f>
        <v>0</v>
      </c>
      <c r="M13" s="71">
        <f>SUMIF(EPSIS_Cal!$H$137:$H$248, M$3, EPSIS_Cal!$C$137:$C$248)</f>
        <v>0.46</v>
      </c>
      <c r="N13" s="71">
        <f>SUMIF(EPSIS_Cal!$H$137:$H$248, N$3, EPSIS_Cal!$C$137:$C$248)</f>
        <v>0.8</v>
      </c>
      <c r="O13" s="71">
        <f>SUMIF(EPSIS_Cal!$H$137:$H$248, O$3, EPSIS_Cal!$C$137:$C$248)</f>
        <v>0</v>
      </c>
      <c r="P13" s="71">
        <f>SUMIF(EPSIS_Cal!$H$137:$H$248, P$3, EPSIS_Cal!$C$137:$C$248)</f>
        <v>0</v>
      </c>
      <c r="Q13" s="71">
        <f>SUMIF(EPSIS_Cal!$H$137:$H$248, Q$3, EPSIS_Cal!$C$137:$C$248)</f>
        <v>0</v>
      </c>
      <c r="R13" s="71">
        <f>SUMIF(EPSIS_Cal!$H$137:$H$248, R$3, EPSIS_Cal!$C$137:$C$248)</f>
        <v>0</v>
      </c>
    </row>
    <row r="14" spans="2:18">
      <c r="B14" s="15" t="s">
        <v>11</v>
      </c>
      <c r="C14" s="71">
        <v>0</v>
      </c>
      <c r="D14" s="71">
        <v>0</v>
      </c>
      <c r="E14" s="71">
        <v>0</v>
      </c>
      <c r="F14" s="71">
        <v>0</v>
      </c>
      <c r="G14" s="71">
        <v>0</v>
      </c>
      <c r="H14" s="71">
        <v>0</v>
      </c>
      <c r="I14" s="71">
        <v>0</v>
      </c>
      <c r="J14" s="71">
        <v>0</v>
      </c>
      <c r="K14" s="71">
        <v>0</v>
      </c>
      <c r="L14" s="71">
        <v>0</v>
      </c>
      <c r="M14" s="71">
        <v>0</v>
      </c>
      <c r="N14" s="71">
        <v>0</v>
      </c>
      <c r="O14" s="71">
        <v>0</v>
      </c>
      <c r="P14" s="71">
        <v>0</v>
      </c>
      <c r="Q14" s="71">
        <v>0</v>
      </c>
      <c r="R14" s="71">
        <v>0</v>
      </c>
    </row>
    <row r="15" spans="2:18">
      <c r="B15" s="15" t="s">
        <v>12</v>
      </c>
      <c r="C15" s="71">
        <v>0</v>
      </c>
      <c r="D15" s="71">
        <v>0</v>
      </c>
      <c r="E15" s="71">
        <v>0</v>
      </c>
      <c r="F15" s="71">
        <v>0</v>
      </c>
      <c r="G15" s="71">
        <v>0</v>
      </c>
      <c r="H15" s="71">
        <v>0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</row>
    <row r="16" spans="2:18">
      <c r="B16" s="15" t="s">
        <v>13</v>
      </c>
      <c r="C16" s="71">
        <v>0</v>
      </c>
      <c r="D16" s="71">
        <v>0</v>
      </c>
      <c r="E16" s="71">
        <v>0</v>
      </c>
      <c r="F16" s="71">
        <v>0</v>
      </c>
      <c r="G16" s="71">
        <v>0</v>
      </c>
      <c r="H16" s="71">
        <v>0</v>
      </c>
      <c r="I16" s="71">
        <v>0</v>
      </c>
      <c r="J16" s="71">
        <v>0</v>
      </c>
      <c r="K16" s="71">
        <v>0</v>
      </c>
      <c r="L16" s="71">
        <v>0</v>
      </c>
      <c r="M16" s="71">
        <v>0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</row>
    <row r="17" spans="2:18">
      <c r="B17" s="15" t="s">
        <v>23</v>
      </c>
      <c r="C17" s="71">
        <v>0</v>
      </c>
      <c r="D17" s="71">
        <v>0</v>
      </c>
      <c r="E17" s="71">
        <v>0</v>
      </c>
      <c r="F17" s="71">
        <v>0</v>
      </c>
      <c r="G17" s="71">
        <v>0</v>
      </c>
      <c r="H17" s="71">
        <v>0</v>
      </c>
      <c r="I17" s="71">
        <v>0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</row>
    <row r="18" spans="2:18">
      <c r="B18" s="15" t="s">
        <v>24</v>
      </c>
      <c r="C18" s="71">
        <v>0</v>
      </c>
      <c r="D18" s="71">
        <f>SUMIF(EPSIS_Cal!$S$195:$S$214, D$3, EPSIS_Cal!$N$195:$N$214)</f>
        <v>0</v>
      </c>
      <c r="E18" s="71">
        <f>SUMIF(EPSIS_Cal!$S$195:$S$214, E$3, EPSIS_Cal!$N$195:$N$214)</f>
        <v>0</v>
      </c>
      <c r="F18" s="71">
        <f>SUMIF(EPSIS_Cal!$S$195:$S$214, F$3, EPSIS_Cal!$N$195:$N$214)</f>
        <v>0</v>
      </c>
      <c r="G18" s="71">
        <v>0</v>
      </c>
      <c r="H18" s="71">
        <f>SUMIF(EPSIS_Cal!$S$195:$S$214, H$3, EPSIS_Cal!$N$195:$N$214)</f>
        <v>0</v>
      </c>
      <c r="I18" s="71">
        <f>SUMIF(EPSIS_Cal!$S$195:$S$214, I$3, EPSIS_Cal!$N$195:$N$214)</f>
        <v>0</v>
      </c>
      <c r="J18" s="71">
        <f>SUMIF(EPSIS_Cal!$S$195:$S$214, J$3, EPSIS_Cal!$N$195:$N$214)</f>
        <v>0</v>
      </c>
      <c r="K18" s="71">
        <f>SUMIF(EPSIS_Cal!$S$195:$S$214, K$3, EPSIS_Cal!$N$195:$N$214)</f>
        <v>0</v>
      </c>
      <c r="L18" s="71">
        <f>SUMIF(EPSIS_Cal!$S$195:$S$214, L$3, EPSIS_Cal!$N$195:$N$214)</f>
        <v>0</v>
      </c>
      <c r="M18" s="71">
        <f>SUMIF(EPSIS_Cal!$S$195:$S$214, M$3, EPSIS_Cal!$N$195:$N$214)</f>
        <v>0</v>
      </c>
      <c r="N18" s="71">
        <f>SUMIF(EPSIS_Cal!$S$195:$S$214, N$3, EPSIS_Cal!$N$195:$N$214)</f>
        <v>0</v>
      </c>
      <c r="O18" s="71">
        <f>SUMIF(EPSIS_Cal!$S$195:$S$214, O$3, EPSIS_Cal!$N$195:$N$214)</f>
        <v>0</v>
      </c>
      <c r="P18" s="71">
        <f>SUMIF(EPSIS_Cal!$S$195:$S$214, P$3, EPSIS_Cal!$N$195:$N$214)</f>
        <v>0</v>
      </c>
      <c r="Q18" s="71">
        <f>SUMIF(EPSIS_Cal!$S$195:$S$214, Q$3, EPSIS_Cal!$N$195:$N$214)</f>
        <v>0</v>
      </c>
      <c r="R18" s="71">
        <f>SUMIF(EPSIS_Cal!$S$195:$S$214, R$3, EPSIS_Cal!$N$195:$N$214)</f>
        <v>0</v>
      </c>
    </row>
    <row r="19" spans="2:18">
      <c r="B19" s="15" t="s">
        <v>25</v>
      </c>
      <c r="C19" s="71">
        <v>0</v>
      </c>
      <c r="D19" s="71">
        <v>0</v>
      </c>
      <c r="E19" s="71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6A68D-E843-4DE9-9E0B-42F24B68B1D5}">
  <dimension ref="A1:B19"/>
  <sheetViews>
    <sheetView workbookViewId="0">
      <selection activeCell="B12" sqref="B12:B13"/>
    </sheetView>
  </sheetViews>
  <sheetFormatPr defaultColWidth="9" defaultRowHeight="14.5"/>
  <cols>
    <col min="1" max="1" width="23.08984375" customWidth="1"/>
  </cols>
  <sheetData>
    <row r="1" spans="1:2">
      <c r="B1" t="s">
        <v>376</v>
      </c>
    </row>
    <row r="2" spans="1:2">
      <c r="A2" t="s">
        <v>14</v>
      </c>
      <c r="B2">
        <v>258</v>
      </c>
    </row>
    <row r="3" spans="1:2">
      <c r="A3" t="s">
        <v>9</v>
      </c>
      <c r="B3">
        <v>154</v>
      </c>
    </row>
    <row r="4" spans="1:2">
      <c r="A4" t="s">
        <v>0</v>
      </c>
      <c r="B4">
        <v>500</v>
      </c>
    </row>
    <row r="5" spans="1:2">
      <c r="A5" t="s">
        <v>1</v>
      </c>
      <c r="B5">
        <v>1</v>
      </c>
    </row>
    <row r="6" spans="1:2">
      <c r="A6" t="s">
        <v>15</v>
      </c>
      <c r="B6">
        <v>5</v>
      </c>
    </row>
    <row r="7" spans="1:2">
      <c r="A7" t="s">
        <v>377</v>
      </c>
      <c r="B7">
        <v>2</v>
      </c>
    </row>
    <row r="8" spans="1:2">
      <c r="A8" t="s">
        <v>3</v>
      </c>
      <c r="B8">
        <v>156</v>
      </c>
    </row>
    <row r="9" spans="1:2">
      <c r="A9" t="s">
        <v>4</v>
      </c>
      <c r="B9">
        <v>18</v>
      </c>
    </row>
    <row r="10" spans="1:2">
      <c r="A10" t="s">
        <v>5</v>
      </c>
      <c r="B10">
        <v>10</v>
      </c>
    </row>
    <row r="11" spans="1:2">
      <c r="A11" t="s">
        <v>10</v>
      </c>
      <c r="B11">
        <v>1</v>
      </c>
    </row>
    <row r="12" spans="1:2">
      <c r="A12" t="s">
        <v>11</v>
      </c>
      <c r="B12">
        <v>50</v>
      </c>
    </row>
    <row r="13" spans="1:2">
      <c r="A13" t="s">
        <v>12</v>
      </c>
      <c r="B13">
        <v>258</v>
      </c>
    </row>
    <row r="14" spans="1:2">
      <c r="A14" t="s">
        <v>13</v>
      </c>
      <c r="B14">
        <v>5</v>
      </c>
    </row>
    <row r="15" spans="1:2">
      <c r="A15" t="s">
        <v>23</v>
      </c>
      <c r="B15">
        <v>10</v>
      </c>
    </row>
    <row r="16" spans="1:2">
      <c r="A16" t="s">
        <v>24</v>
      </c>
      <c r="B16">
        <v>10</v>
      </c>
    </row>
    <row r="17" spans="1:2">
      <c r="A17" t="s">
        <v>25</v>
      </c>
      <c r="B17">
        <v>14</v>
      </c>
    </row>
    <row r="19" spans="1:2">
      <c r="B19" t="s">
        <v>1472</v>
      </c>
    </row>
  </sheetData>
  <phoneticPr fontId="1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-0.499984740745262"/>
  </sheetPr>
  <dimension ref="A1:AI80"/>
  <sheetViews>
    <sheetView topLeftCell="X40" zoomScaleNormal="100" workbookViewId="0">
      <selection activeCell="AE58" sqref="AE58"/>
    </sheetView>
  </sheetViews>
  <sheetFormatPr defaultColWidth="9.08984375" defaultRowHeight="14.5"/>
  <cols>
    <col min="1" max="1" width="25.6328125" customWidth="1"/>
    <col min="2" max="2" width="9.6328125" bestFit="1" customWidth="1"/>
    <col min="3" max="22" width="9.26953125" bestFit="1" customWidth="1"/>
  </cols>
  <sheetData>
    <row r="1" spans="1:34" s="2" customFormat="1" ht="29">
      <c r="A1" s="7" t="s">
        <v>26</v>
      </c>
      <c r="B1" s="6">
        <v>2020</v>
      </c>
      <c r="C1" s="6">
        <v>2021</v>
      </c>
      <c r="D1" s="6">
        <v>2022</v>
      </c>
      <c r="E1" s="6">
        <v>2023</v>
      </c>
      <c r="F1" s="6">
        <v>2024</v>
      </c>
      <c r="G1" s="6">
        <v>2025</v>
      </c>
      <c r="H1" s="6">
        <v>2026</v>
      </c>
      <c r="I1" s="6">
        <v>2027</v>
      </c>
      <c r="J1" s="6">
        <v>2028</v>
      </c>
      <c r="K1" s="6">
        <v>2029</v>
      </c>
      <c r="L1" s="6">
        <v>2030</v>
      </c>
      <c r="M1" s="6">
        <v>2031</v>
      </c>
      <c r="N1" s="6">
        <v>2032</v>
      </c>
      <c r="O1" s="6">
        <v>2033</v>
      </c>
      <c r="P1" s="6">
        <v>2034</v>
      </c>
      <c r="Q1" s="6">
        <v>2035</v>
      </c>
      <c r="R1" s="6">
        <v>2036</v>
      </c>
      <c r="S1" s="6">
        <v>2037</v>
      </c>
      <c r="T1" s="6">
        <v>2038</v>
      </c>
      <c r="U1" s="6">
        <v>2039</v>
      </c>
      <c r="V1" s="6">
        <v>2040</v>
      </c>
      <c r="W1" s="6">
        <v>2041</v>
      </c>
      <c r="X1" s="6">
        <v>2042</v>
      </c>
      <c r="Y1" s="6">
        <v>2043</v>
      </c>
      <c r="Z1" s="6">
        <v>2044</v>
      </c>
      <c r="AA1" s="6">
        <v>2045</v>
      </c>
      <c r="AB1" s="6">
        <v>2046</v>
      </c>
      <c r="AC1" s="6">
        <v>2047</v>
      </c>
      <c r="AD1" s="6">
        <v>2048</v>
      </c>
      <c r="AE1" s="6">
        <v>2049</v>
      </c>
      <c r="AF1" s="6">
        <v>2050</v>
      </c>
    </row>
    <row r="2" spans="1:34">
      <c r="A2" s="6" t="s">
        <v>14</v>
      </c>
      <c r="B2" s="13">
        <f>'19-20 Retirements'!W13</f>
        <v>138.40000000000146</v>
      </c>
      <c r="C2" s="1">
        <f>'MOTIE_21-34 Retirements'!D71</f>
        <v>0</v>
      </c>
      <c r="D2" s="1">
        <f>'MOTIE_21-34 Retirements'!E71</f>
        <v>0</v>
      </c>
      <c r="E2" s="1">
        <f>'MOTIE_21-34 Retirements'!F71</f>
        <v>0</v>
      </c>
      <c r="F2" s="1">
        <f>'MOTIE_21-34 Retirements'!G71</f>
        <v>0</v>
      </c>
      <c r="G2" s="1">
        <f>'MOTIE_21-34 Retirements'!H71</f>
        <v>1000</v>
      </c>
      <c r="H2" s="1">
        <f>'MOTIE_21-34 Retirements'!I71</f>
        <v>2600</v>
      </c>
      <c r="I2" s="1">
        <f>'MOTIE_21-34 Retirements'!J71</f>
        <v>1500</v>
      </c>
      <c r="J2" s="1">
        <f>'MOTIE_21-34 Retirements'!K71</f>
        <v>1500</v>
      </c>
      <c r="K2" s="1">
        <f>'MOTIE_21-34 Retirements'!L71</f>
        <v>1899.9999999999964</v>
      </c>
      <c r="L2" s="1">
        <f>'MOTIE_21-34 Retirements'!M71</f>
        <v>1000.0000000000036</v>
      </c>
      <c r="M2" s="1">
        <f>'MOTIE_21-34 Retirements'!N71</f>
        <v>1000</v>
      </c>
      <c r="N2" s="1">
        <f>'MOTIE_21-34 Retirements'!O71</f>
        <v>1000</v>
      </c>
      <c r="O2" s="1">
        <f>'MOTIE_21-34 Retirements'!P71</f>
        <v>0</v>
      </c>
      <c r="P2" s="1">
        <f>'MOTIE_21-34 Retirements'!Q71</f>
        <v>1600</v>
      </c>
      <c r="Q2">
        <f>'35-50 Retirements'!C4</f>
        <v>500</v>
      </c>
      <c r="R2">
        <f>'35-50 Retirements'!D4</f>
        <v>500</v>
      </c>
      <c r="S2">
        <f>'35-50 Retirements'!E4</f>
        <v>2000</v>
      </c>
      <c r="T2">
        <f>'35-50 Retirements'!F4</f>
        <v>3294.529</v>
      </c>
      <c r="U2">
        <f>'35-50 Retirements'!G4</f>
        <v>649.66999999999996</v>
      </c>
      <c r="V2">
        <f>'35-50 Retirements'!H4</f>
        <v>0</v>
      </c>
      <c r="W2">
        <f>'35-50 Retirements'!I4</f>
        <v>0</v>
      </c>
      <c r="X2">
        <f>'35-50 Retirements'!J4</f>
        <v>9.8000000000000007</v>
      </c>
      <c r="Y2">
        <f>'35-50 Retirements'!K4</f>
        <v>107.4</v>
      </c>
      <c r="Z2">
        <f>'35-50 Retirements'!L4</f>
        <v>1740</v>
      </c>
      <c r="AA2">
        <f>'35-50 Retirements'!M4</f>
        <v>303</v>
      </c>
      <c r="AB2">
        <f>'35-50 Retirements'!N4</f>
        <v>4846.97</v>
      </c>
      <c r="AC2">
        <f>'35-50 Retirements'!O4</f>
        <v>5328.558</v>
      </c>
      <c r="AD2">
        <f>'35-50 Retirements'!P4</f>
        <v>0</v>
      </c>
      <c r="AE2">
        <f>'35-50 Retirements'!Q4</f>
        <v>0</v>
      </c>
      <c r="AF2">
        <f>'35-50 Retirements'!R4</f>
        <v>0</v>
      </c>
      <c r="AG2" s="1"/>
      <c r="AH2" s="12">
        <f>SUM(B2:AF2)</f>
        <v>32518.327000000001</v>
      </c>
    </row>
    <row r="3" spans="1:34">
      <c r="A3" s="6" t="s">
        <v>9</v>
      </c>
      <c r="B3" s="13">
        <f>'19-20 Retirements'!W14</f>
        <v>0</v>
      </c>
      <c r="C3" s="1">
        <f>'MOTIE_21-34 Retirements'!D72</f>
        <v>0</v>
      </c>
      <c r="D3" s="1">
        <f>'MOTIE_21-34 Retirements'!E72</f>
        <v>0</v>
      </c>
      <c r="E3" s="1">
        <f>'MOTIE_21-34 Retirements'!F72</f>
        <v>0</v>
      </c>
      <c r="F3" s="1">
        <f>'MOTIE_21-34 Retirements'!G72</f>
        <v>0</v>
      </c>
      <c r="G3" s="1">
        <f>'MOTIE_21-34 Retirements'!H72</f>
        <v>0</v>
      </c>
      <c r="H3" s="1">
        <f>'MOTIE_21-34 Retirements'!I72</f>
        <v>0</v>
      </c>
      <c r="I3" s="1">
        <f>'MOTIE_21-34 Retirements'!J72</f>
        <v>0</v>
      </c>
      <c r="J3" s="1">
        <f>'MOTIE_21-34 Retirements'!K72</f>
        <v>0</v>
      </c>
      <c r="K3" s="1">
        <f>'MOTIE_21-34 Retirements'!L72</f>
        <v>0</v>
      </c>
      <c r="L3" s="1">
        <f>'MOTIE_21-34 Retirements'!M72</f>
        <v>0</v>
      </c>
      <c r="M3" s="1">
        <f>'MOTIE_21-34 Retirements'!N72</f>
        <v>0</v>
      </c>
      <c r="N3" s="1">
        <f>'MOTIE_21-34 Retirements'!O72</f>
        <v>0</v>
      </c>
      <c r="O3" s="1">
        <f>'MOTIE_21-34 Retirements'!P72</f>
        <v>0</v>
      </c>
      <c r="P3" s="1">
        <f>'MOTIE_21-34 Retirements'!Q72</f>
        <v>0</v>
      </c>
      <c r="Q3">
        <f>'35-50 Retirements'!C5</f>
        <v>701.43900000000008</v>
      </c>
      <c r="R3">
        <f>'35-50 Retirements'!D5</f>
        <v>989.19999999999993</v>
      </c>
      <c r="S3">
        <f>'35-50 Retirements'!E5</f>
        <v>24</v>
      </c>
      <c r="T3">
        <f>'35-50 Retirements'!F5</f>
        <v>533</v>
      </c>
      <c r="U3">
        <f>'35-50 Retirements'!G5</f>
        <v>508.90800000000002</v>
      </c>
      <c r="V3">
        <f>'35-50 Retirements'!H5</f>
        <v>1868.9460000000004</v>
      </c>
      <c r="W3">
        <f>'35-50 Retirements'!I5</f>
        <v>1305.2</v>
      </c>
      <c r="X3">
        <f>'35-50 Retirements'!J5</f>
        <v>763.58800000000019</v>
      </c>
      <c r="Y3">
        <f>'35-50 Retirements'!K5</f>
        <v>3515.0810000000001</v>
      </c>
      <c r="Z3">
        <f>'35-50 Retirements'!L5</f>
        <v>4571.9000000000005</v>
      </c>
      <c r="AA3">
        <f>'35-50 Retirements'!M5</f>
        <v>2950.8</v>
      </c>
      <c r="AB3">
        <f>'35-50 Retirements'!N5</f>
        <v>436.1</v>
      </c>
      <c r="AC3">
        <f>'35-50 Retirements'!O5</f>
        <v>4660.7960000000003</v>
      </c>
      <c r="AD3">
        <f>'35-50 Retirements'!P5</f>
        <v>575.41300000000001</v>
      </c>
      <c r="AE3">
        <f>'35-50 Retirements'!Q5</f>
        <v>1360.348</v>
      </c>
      <c r="AF3">
        <f>'35-50 Retirements'!R5</f>
        <v>146.245</v>
      </c>
      <c r="AG3" s="1"/>
      <c r="AH3" s="12">
        <f t="shared" ref="AH3:AH17" si="0">SUM(B3:AF3)</f>
        <v>24910.963999999996</v>
      </c>
    </row>
    <row r="4" spans="1:34">
      <c r="A4" s="6" t="s">
        <v>0</v>
      </c>
      <c r="B4" s="13">
        <f>'19-20 Retirements'!W15</f>
        <v>0</v>
      </c>
      <c r="C4" s="1">
        <f>'MOTIE_21-34 Retirements'!D73</f>
        <v>0</v>
      </c>
      <c r="D4" s="1">
        <f>'MOTIE_21-34 Retirements'!E73</f>
        <v>0</v>
      </c>
      <c r="E4" s="1">
        <f>'MOTIE_21-34 Retirements'!F73</f>
        <v>0</v>
      </c>
      <c r="F4" s="1">
        <f>'MOTIE_21-34 Retirements'!G73</f>
        <v>0</v>
      </c>
      <c r="G4" s="1">
        <f>'MOTIE_21-34 Retirements'!H73</f>
        <v>0</v>
      </c>
      <c r="H4" s="1">
        <f>'MOTIE_21-34 Retirements'!I73</f>
        <v>0</v>
      </c>
      <c r="I4" s="1">
        <f>'MOTIE_21-34 Retirements'!J73</f>
        <v>0</v>
      </c>
      <c r="J4" s="1">
        <f>'MOTIE_21-34 Retirements'!K73</f>
        <v>0</v>
      </c>
      <c r="K4" s="1">
        <f>'MOTIE_21-34 Retirements'!L73</f>
        <v>0</v>
      </c>
      <c r="L4" s="1">
        <f>'MOTIE_21-34 Retirements'!M73</f>
        <v>0</v>
      </c>
      <c r="M4" s="1">
        <f>'MOTIE_21-34 Retirements'!N73</f>
        <v>0</v>
      </c>
      <c r="N4" s="1">
        <f>'MOTIE_21-34 Retirements'!O73</f>
        <v>0</v>
      </c>
      <c r="O4" s="1">
        <f>'MOTIE_21-34 Retirements'!P73</f>
        <v>0</v>
      </c>
      <c r="P4" s="1">
        <f>'MOTIE_21-34 Retirements'!Q73</f>
        <v>0</v>
      </c>
      <c r="Q4">
        <f>'35-50 Retirements'!C6</f>
        <v>0</v>
      </c>
      <c r="R4">
        <f>'35-50 Retirements'!D6</f>
        <v>0</v>
      </c>
      <c r="S4">
        <f>'35-50 Retirements'!E6</f>
        <v>0</v>
      </c>
      <c r="T4">
        <f>'35-50 Retirements'!F6</f>
        <v>0</v>
      </c>
      <c r="U4">
        <f>'35-50 Retirements'!G6</f>
        <v>0</v>
      </c>
      <c r="V4">
        <f>'35-50 Retirements'!H6</f>
        <v>0</v>
      </c>
      <c r="W4">
        <f>'35-50 Retirements'!I6</f>
        <v>1000</v>
      </c>
      <c r="X4">
        <f>'35-50 Retirements'!J6</f>
        <v>2000</v>
      </c>
      <c r="Y4">
        <f>'35-50 Retirements'!K6</f>
        <v>0</v>
      </c>
      <c r="Z4">
        <f>'35-50 Retirements'!L6</f>
        <v>0</v>
      </c>
      <c r="AA4">
        <f>'35-50 Retirements'!M6</f>
        <v>1000</v>
      </c>
      <c r="AB4">
        <f>'35-50 Retirements'!N6</f>
        <v>1400</v>
      </c>
      <c r="AC4">
        <f>'35-50 Retirements'!O6</f>
        <v>0</v>
      </c>
      <c r="AD4">
        <f>'35-50 Retirements'!P6</f>
        <v>0</v>
      </c>
      <c r="AE4">
        <f>'35-50 Retirements'!Q6</f>
        <v>1400</v>
      </c>
      <c r="AF4">
        <f>'35-50 Retirements'!R6</f>
        <v>0</v>
      </c>
      <c r="AG4" s="1"/>
      <c r="AH4" s="12">
        <f t="shared" si="0"/>
        <v>6800</v>
      </c>
    </row>
    <row r="5" spans="1:34">
      <c r="A5" s="6" t="s">
        <v>1</v>
      </c>
      <c r="B5" s="13">
        <f>'19-20 Retirements'!W16</f>
        <v>2.334999999999809</v>
      </c>
      <c r="C5" s="1">
        <f>'MOTIE_21-34 Retirements'!D74</f>
        <v>0</v>
      </c>
      <c r="D5" s="1">
        <f>'MOTIE_21-34 Retirements'!E74</f>
        <v>28.718000000000075</v>
      </c>
      <c r="E5" s="1">
        <f>'MOTIE_21-34 Retirements'!F74</f>
        <v>7.4269999999999072</v>
      </c>
      <c r="F5" s="1">
        <f>'MOTIE_21-34 Retirements'!G74</f>
        <v>2.1400000000001</v>
      </c>
      <c r="G5" s="1">
        <f>'MOTIE_21-34 Retirements'!H74</f>
        <v>0</v>
      </c>
      <c r="H5" s="1">
        <f>'MOTIE_21-34 Retirements'!I74</f>
        <v>0</v>
      </c>
      <c r="I5" s="1">
        <f>'MOTIE_21-34 Retirements'!J74</f>
        <v>0</v>
      </c>
      <c r="J5" s="1">
        <f>'MOTIE_21-34 Retirements'!K74</f>
        <v>0</v>
      </c>
      <c r="K5" s="1">
        <f>'MOTIE_21-34 Retirements'!L74</f>
        <v>0</v>
      </c>
      <c r="L5" s="1">
        <f>'MOTIE_21-34 Retirements'!M74</f>
        <v>0</v>
      </c>
      <c r="M5" s="1">
        <f>'MOTIE_21-34 Retirements'!N74</f>
        <v>0</v>
      </c>
      <c r="N5" s="1">
        <f>'MOTIE_21-34 Retirements'!O74</f>
        <v>0</v>
      </c>
      <c r="O5" s="1">
        <f>'MOTIE_21-34 Retirements'!P74</f>
        <v>0</v>
      </c>
      <c r="P5" s="1">
        <f>'MOTIE_21-34 Retirements'!Q74</f>
        <v>0</v>
      </c>
      <c r="Q5">
        <f>'35-50 Retirements'!C7</f>
        <v>0</v>
      </c>
      <c r="R5">
        <f>'35-50 Retirements'!D7</f>
        <v>0</v>
      </c>
      <c r="S5">
        <f>'35-50 Retirements'!E7</f>
        <v>0</v>
      </c>
      <c r="T5">
        <f>'35-50 Retirements'!F7</f>
        <v>0</v>
      </c>
      <c r="U5">
        <f>'35-50 Retirements'!G7</f>
        <v>0</v>
      </c>
      <c r="V5">
        <f>'35-50 Retirements'!H7</f>
        <v>0</v>
      </c>
      <c r="W5">
        <f>'35-50 Retirements'!I7</f>
        <v>0</v>
      </c>
      <c r="X5">
        <f>'35-50 Retirements'!J7</f>
        <v>0</v>
      </c>
      <c r="Y5">
        <f>'35-50 Retirements'!K7</f>
        <v>0</v>
      </c>
      <c r="Z5">
        <f>'35-50 Retirements'!L7</f>
        <v>0</v>
      </c>
      <c r="AA5">
        <f>'35-50 Retirements'!M7</f>
        <v>0</v>
      </c>
      <c r="AB5">
        <f>'35-50 Retirements'!N7</f>
        <v>0</v>
      </c>
      <c r="AC5">
        <f>'35-50 Retirements'!O7</f>
        <v>0</v>
      </c>
      <c r="AD5">
        <f>'35-50 Retirements'!P7</f>
        <v>0</v>
      </c>
      <c r="AE5">
        <f>'35-50 Retirements'!Q7</f>
        <v>0</v>
      </c>
      <c r="AF5">
        <f>'35-50 Retirements'!R7</f>
        <v>0</v>
      </c>
      <c r="AG5" s="1"/>
      <c r="AH5" s="12">
        <f t="shared" si="0"/>
        <v>40.619999999999891</v>
      </c>
    </row>
    <row r="6" spans="1:34">
      <c r="A6" s="6" t="s">
        <v>15</v>
      </c>
      <c r="B6" s="13">
        <f>'19-20 Retirements'!W17</f>
        <v>0</v>
      </c>
      <c r="C6" s="1">
        <f>'MOTIE_21-34 Retirements'!D75</f>
        <v>0</v>
      </c>
      <c r="D6" s="1">
        <f>'MOTIE_21-34 Retirements'!E75</f>
        <v>0</v>
      </c>
      <c r="E6" s="1">
        <f>'MOTIE_21-34 Retirements'!F75</f>
        <v>0</v>
      </c>
      <c r="F6" s="1">
        <f>'MOTIE_21-34 Retirements'!G75</f>
        <v>0</v>
      </c>
      <c r="G6" s="1">
        <f>'MOTIE_21-34 Retirements'!H75</f>
        <v>0</v>
      </c>
      <c r="H6" s="1">
        <f>'MOTIE_21-34 Retirements'!I75</f>
        <v>0</v>
      </c>
      <c r="I6" s="1">
        <f>'MOTIE_21-34 Retirements'!J75</f>
        <v>0</v>
      </c>
      <c r="J6" s="1">
        <f>'MOTIE_21-34 Retirements'!K75</f>
        <v>0</v>
      </c>
      <c r="K6" s="1">
        <f>'MOTIE_21-34 Retirements'!L75</f>
        <v>0</v>
      </c>
      <c r="L6" s="1">
        <f>'MOTIE_21-34 Retirements'!M75</f>
        <v>0</v>
      </c>
      <c r="M6" s="1">
        <f>'MOTIE_21-34 Retirements'!N75</f>
        <v>0</v>
      </c>
      <c r="N6" s="1">
        <f>'MOTIE_21-34 Retirements'!O75</f>
        <v>0</v>
      </c>
      <c r="O6" s="1">
        <f>'MOTIE_21-34 Retirements'!P75</f>
        <v>0</v>
      </c>
      <c r="P6" s="1">
        <f>'MOTIE_21-34 Retirements'!Q75</f>
        <v>0</v>
      </c>
      <c r="Q6">
        <f>'35-50 Retirements'!C8</f>
        <v>0</v>
      </c>
      <c r="R6">
        <f>'35-50 Retirements'!D8</f>
        <v>0</v>
      </c>
      <c r="S6">
        <f>'35-50 Retirements'!E8</f>
        <v>0</v>
      </c>
      <c r="T6">
        <f>'35-50 Retirements'!F8</f>
        <v>0</v>
      </c>
      <c r="U6">
        <f>'35-50 Retirements'!G8</f>
        <v>0</v>
      </c>
      <c r="V6">
        <f>'35-50 Retirements'!H8</f>
        <v>0</v>
      </c>
      <c r="W6">
        <f>'35-50 Retirements'!I8</f>
        <v>0</v>
      </c>
      <c r="X6">
        <f>'35-50 Retirements'!J8</f>
        <v>0</v>
      </c>
      <c r="Y6">
        <f>'35-50 Retirements'!K8</f>
        <v>0</v>
      </c>
      <c r="Z6">
        <f>'35-50 Retirements'!L8</f>
        <v>0</v>
      </c>
      <c r="AA6">
        <f>'35-50 Retirements'!M8</f>
        <v>0</v>
      </c>
      <c r="AB6">
        <f>'35-50 Retirements'!N8</f>
        <v>0</v>
      </c>
      <c r="AC6">
        <f>'35-50 Retirements'!O8</f>
        <v>0</v>
      </c>
      <c r="AD6">
        <f>'35-50 Retirements'!P8</f>
        <v>0</v>
      </c>
      <c r="AE6">
        <f>'35-50 Retirements'!Q8</f>
        <v>0</v>
      </c>
      <c r="AF6">
        <f>'35-50 Retirements'!R8</f>
        <v>0</v>
      </c>
      <c r="AG6" s="1"/>
      <c r="AH6" s="12">
        <f t="shared" si="0"/>
        <v>0</v>
      </c>
    </row>
    <row r="7" spans="1:34">
      <c r="A7" s="6" t="s">
        <v>2</v>
      </c>
      <c r="B7" s="13">
        <f>'19-20 Retirements'!W18</f>
        <v>0</v>
      </c>
      <c r="C7" s="1">
        <f>'MOTIE_21-34 Retirements'!D76</f>
        <v>0</v>
      </c>
      <c r="D7" s="1">
        <f>'MOTIE_21-34 Retirements'!E76</f>
        <v>0</v>
      </c>
      <c r="E7" s="1">
        <f>'MOTIE_21-34 Retirements'!F76</f>
        <v>0</v>
      </c>
      <c r="F7" s="1">
        <f>'MOTIE_21-34 Retirements'!G76</f>
        <v>0</v>
      </c>
      <c r="G7" s="1">
        <f>'MOTIE_21-34 Retirements'!H76</f>
        <v>0</v>
      </c>
      <c r="H7" s="1">
        <f>'MOTIE_21-34 Retirements'!I76</f>
        <v>0</v>
      </c>
      <c r="I7" s="1">
        <f>'MOTIE_21-34 Retirements'!J76</f>
        <v>0</v>
      </c>
      <c r="J7" s="1">
        <f>'MOTIE_21-34 Retirements'!K76</f>
        <v>0</v>
      </c>
      <c r="K7" s="1">
        <f>'MOTIE_21-34 Retirements'!L76</f>
        <v>0</v>
      </c>
      <c r="L7" s="1">
        <f>'MOTIE_21-34 Retirements'!M76</f>
        <v>0</v>
      </c>
      <c r="M7" s="1">
        <f>'MOTIE_21-34 Retirements'!N76</f>
        <v>0</v>
      </c>
      <c r="N7" s="1">
        <f>'MOTIE_21-34 Retirements'!O76</f>
        <v>0</v>
      </c>
      <c r="O7" s="1">
        <f>'MOTIE_21-34 Retirements'!P76</f>
        <v>0</v>
      </c>
      <c r="P7" s="1">
        <f>'MOTIE_21-34 Retirements'!Q76</f>
        <v>0</v>
      </c>
      <c r="Q7">
        <f>'35-50 Retirements'!C9</f>
        <v>0</v>
      </c>
      <c r="R7">
        <f>'35-50 Retirements'!D9</f>
        <v>0</v>
      </c>
      <c r="S7">
        <f>'35-50 Retirements'!E9</f>
        <v>0</v>
      </c>
      <c r="T7">
        <f>'35-50 Retirements'!F9</f>
        <v>0</v>
      </c>
      <c r="U7">
        <f>'35-50 Retirements'!G9</f>
        <v>0</v>
      </c>
      <c r="V7">
        <f>'35-50 Retirements'!H9</f>
        <v>0</v>
      </c>
      <c r="W7">
        <f>'35-50 Retirements'!I9</f>
        <v>0</v>
      </c>
      <c r="X7">
        <f>'35-50 Retirements'!J9</f>
        <v>0</v>
      </c>
      <c r="Y7">
        <f>'35-50 Retirements'!K9</f>
        <v>0</v>
      </c>
      <c r="Z7">
        <f>'35-50 Retirements'!L9</f>
        <v>0</v>
      </c>
      <c r="AA7">
        <f>'35-50 Retirements'!M9</f>
        <v>0</v>
      </c>
      <c r="AB7">
        <f>'35-50 Retirements'!N9</f>
        <v>0</v>
      </c>
      <c r="AC7">
        <f>'35-50 Retirements'!O9</f>
        <v>0</v>
      </c>
      <c r="AD7">
        <f>'35-50 Retirements'!P9</f>
        <v>0</v>
      </c>
      <c r="AE7">
        <f>'35-50 Retirements'!Q9</f>
        <v>0</v>
      </c>
      <c r="AF7">
        <f>'35-50 Retirements'!R9</f>
        <v>0</v>
      </c>
      <c r="AG7" s="1"/>
      <c r="AH7" s="12">
        <f t="shared" si="0"/>
        <v>0</v>
      </c>
    </row>
    <row r="8" spans="1:34">
      <c r="A8" s="6" t="s">
        <v>3</v>
      </c>
      <c r="B8" s="13">
        <f>'19-20 Retirements'!W19</f>
        <v>0</v>
      </c>
      <c r="C8" s="1">
        <f>'MOTIE_21-34 Retirements'!D77</f>
        <v>0</v>
      </c>
      <c r="D8" s="1">
        <f>'MOTIE_21-34 Retirements'!E77</f>
        <v>0</v>
      </c>
      <c r="E8" s="1">
        <f>'MOTIE_21-34 Retirements'!F77</f>
        <v>0</v>
      </c>
      <c r="F8" s="1">
        <f>'MOTIE_21-34 Retirements'!G77</f>
        <v>0</v>
      </c>
      <c r="G8" s="1">
        <f>'MOTIE_21-34 Retirements'!H77</f>
        <v>0</v>
      </c>
      <c r="H8" s="1">
        <f>'MOTIE_21-34 Retirements'!I77</f>
        <v>0</v>
      </c>
      <c r="I8" s="1">
        <f>'MOTIE_21-34 Retirements'!J77</f>
        <v>0</v>
      </c>
      <c r="J8" s="1">
        <f>'MOTIE_21-34 Retirements'!K77</f>
        <v>0</v>
      </c>
      <c r="K8" s="1">
        <f>'MOTIE_21-34 Retirements'!L77</f>
        <v>0</v>
      </c>
      <c r="L8" s="1">
        <f>'MOTIE_21-34 Retirements'!M77</f>
        <v>0</v>
      </c>
      <c r="M8" s="1">
        <f>'MOTIE_21-34 Retirements'!N77</f>
        <v>0</v>
      </c>
      <c r="N8" s="1">
        <f>'MOTIE_21-34 Retirements'!O77</f>
        <v>0</v>
      </c>
      <c r="O8" s="1">
        <f>'MOTIE_21-34 Retirements'!P77</f>
        <v>0</v>
      </c>
      <c r="P8" s="1">
        <f>'MOTIE_21-34 Retirements'!Q77</f>
        <v>0</v>
      </c>
      <c r="Q8">
        <f>'35-50 Retirements'!C10</f>
        <v>0</v>
      </c>
      <c r="R8">
        <f>'35-50 Retirements'!D10</f>
        <v>0</v>
      </c>
      <c r="S8">
        <f>'35-50 Retirements'!E10</f>
        <v>0</v>
      </c>
      <c r="T8">
        <f>'35-50 Retirements'!F10</f>
        <v>0</v>
      </c>
      <c r="U8">
        <f>'35-50 Retirements'!G10</f>
        <v>0</v>
      </c>
      <c r="V8">
        <f>'35-50 Retirements'!H10</f>
        <v>0</v>
      </c>
      <c r="W8">
        <f>'35-50 Retirements'!I10</f>
        <v>0</v>
      </c>
      <c r="X8">
        <f>'35-50 Retirements'!J10</f>
        <v>0</v>
      </c>
      <c r="Y8">
        <f>'35-50 Retirements'!K10</f>
        <v>0</v>
      </c>
      <c r="Z8">
        <f>'35-50 Retirements'!L10</f>
        <v>0</v>
      </c>
      <c r="AA8">
        <f>'35-50 Retirements'!M10</f>
        <v>0</v>
      </c>
      <c r="AB8">
        <f>'35-50 Retirements'!N10</f>
        <v>0</v>
      </c>
      <c r="AC8">
        <f>'35-50 Retirements'!O10</f>
        <v>0</v>
      </c>
      <c r="AD8">
        <f>'35-50 Retirements'!P10</f>
        <v>0</v>
      </c>
      <c r="AE8">
        <f>'35-50 Retirements'!Q10</f>
        <v>0</v>
      </c>
      <c r="AF8">
        <f>'35-50 Retirements'!R10</f>
        <v>0</v>
      </c>
      <c r="AG8" s="1"/>
      <c r="AH8" s="12">
        <f t="shared" si="0"/>
        <v>0</v>
      </c>
    </row>
    <row r="9" spans="1:34">
      <c r="A9" s="6" t="s">
        <v>4</v>
      </c>
      <c r="B9" s="13">
        <f>'19-20 Retirements'!W20</f>
        <v>0</v>
      </c>
      <c r="C9" s="1">
        <f>'MOTIE_21-34 Retirements'!D78</f>
        <v>0</v>
      </c>
      <c r="D9" s="1">
        <f>'MOTIE_21-34 Retirements'!E78</f>
        <v>0</v>
      </c>
      <c r="E9" s="1">
        <f>'MOTIE_21-34 Retirements'!F78</f>
        <v>0</v>
      </c>
      <c r="F9" s="1">
        <f>'MOTIE_21-34 Retirements'!G78</f>
        <v>0</v>
      </c>
      <c r="G9" s="1">
        <f>'MOTIE_21-34 Retirements'!H78</f>
        <v>0</v>
      </c>
      <c r="H9" s="1">
        <f>'MOTIE_21-34 Retirements'!I78</f>
        <v>0</v>
      </c>
      <c r="I9" s="1">
        <f>'MOTIE_21-34 Retirements'!J78</f>
        <v>0</v>
      </c>
      <c r="J9" s="1">
        <f>'MOTIE_21-34 Retirements'!K78</f>
        <v>0</v>
      </c>
      <c r="K9" s="1">
        <f>'MOTIE_21-34 Retirements'!L78</f>
        <v>0</v>
      </c>
      <c r="L9" s="1">
        <f>'MOTIE_21-34 Retirements'!M78</f>
        <v>0</v>
      </c>
      <c r="M9" s="1">
        <f>'MOTIE_21-34 Retirements'!N78</f>
        <v>0</v>
      </c>
      <c r="N9" s="1">
        <f>'MOTIE_21-34 Retirements'!O78</f>
        <v>0</v>
      </c>
      <c r="O9" s="1">
        <f>'MOTIE_21-34 Retirements'!P78</f>
        <v>0</v>
      </c>
      <c r="P9" s="1">
        <f>'MOTIE_21-34 Retirements'!Q78</f>
        <v>0</v>
      </c>
      <c r="Q9">
        <f>'35-50 Retirements'!C11</f>
        <v>0</v>
      </c>
      <c r="R9">
        <f>'35-50 Retirements'!D11</f>
        <v>100</v>
      </c>
      <c r="S9">
        <f>'35-50 Retirements'!E11</f>
        <v>100</v>
      </c>
      <c r="T9">
        <f>'35-50 Retirements'!F11</f>
        <v>0</v>
      </c>
      <c r="U9">
        <f>'35-50 Retirements'!G11</f>
        <v>0</v>
      </c>
      <c r="V9">
        <f>'35-50 Retirements'!H11</f>
        <v>0</v>
      </c>
      <c r="W9">
        <f>'35-50 Retirements'!I11</f>
        <v>0</v>
      </c>
      <c r="X9">
        <f>'35-50 Retirements'!J11</f>
        <v>0</v>
      </c>
      <c r="Y9">
        <f>'35-50 Retirements'!K11</f>
        <v>0</v>
      </c>
      <c r="Z9">
        <f>'35-50 Retirements'!L11</f>
        <v>0</v>
      </c>
      <c r="AA9">
        <f>'35-50 Retirements'!M11</f>
        <v>0</v>
      </c>
      <c r="AB9">
        <f>'35-50 Retirements'!N11</f>
        <v>0</v>
      </c>
      <c r="AC9">
        <f>'35-50 Retirements'!O11</f>
        <v>0</v>
      </c>
      <c r="AD9">
        <f>'35-50 Retirements'!P11</f>
        <v>0</v>
      </c>
      <c r="AE9">
        <f>'35-50 Retirements'!Q11</f>
        <v>0</v>
      </c>
      <c r="AF9">
        <f>'35-50 Retirements'!R11</f>
        <v>0</v>
      </c>
      <c r="AG9" s="1"/>
      <c r="AH9" s="12">
        <f t="shared" si="0"/>
        <v>200</v>
      </c>
    </row>
    <row r="10" spans="1:34">
      <c r="A10" s="6" t="s">
        <v>5</v>
      </c>
      <c r="B10" s="13">
        <f>'19-20 Retirements'!W21</f>
        <v>0</v>
      </c>
      <c r="C10" s="1">
        <f>'MOTIE_21-34 Retirements'!D79</f>
        <v>0</v>
      </c>
      <c r="D10" s="1">
        <f>'MOTIE_21-34 Retirements'!E79</f>
        <v>0</v>
      </c>
      <c r="E10" s="1">
        <f>'MOTIE_21-34 Retirements'!F79</f>
        <v>0</v>
      </c>
      <c r="F10" s="1">
        <f>'MOTIE_21-34 Retirements'!G79</f>
        <v>0</v>
      </c>
      <c r="G10" s="1">
        <f>'MOTIE_21-34 Retirements'!H79</f>
        <v>0</v>
      </c>
      <c r="H10" s="1">
        <f>'MOTIE_21-34 Retirements'!I79</f>
        <v>0</v>
      </c>
      <c r="I10" s="1">
        <f>'MOTIE_21-34 Retirements'!J79</f>
        <v>0</v>
      </c>
      <c r="J10" s="1">
        <f>'MOTIE_21-34 Retirements'!K79</f>
        <v>0</v>
      </c>
      <c r="K10" s="1">
        <f>'MOTIE_21-34 Retirements'!L79</f>
        <v>0</v>
      </c>
      <c r="L10" s="1">
        <f>'MOTIE_21-34 Retirements'!M79</f>
        <v>0</v>
      </c>
      <c r="M10" s="1">
        <f>'MOTIE_21-34 Retirements'!N79</f>
        <v>0</v>
      </c>
      <c r="N10" s="1">
        <f>'MOTIE_21-34 Retirements'!O79</f>
        <v>0</v>
      </c>
      <c r="O10" s="1">
        <f>'MOTIE_21-34 Retirements'!P79</f>
        <v>0</v>
      </c>
      <c r="P10" s="1">
        <f>'MOTIE_21-34 Retirements'!Q79</f>
        <v>0</v>
      </c>
      <c r="Q10">
        <f>'35-50 Retirements'!C12</f>
        <v>0</v>
      </c>
      <c r="R10">
        <f>'35-50 Retirements'!D12</f>
        <v>0</v>
      </c>
      <c r="S10">
        <f>'35-50 Retirements'!E12</f>
        <v>0</v>
      </c>
      <c r="T10">
        <f>'35-50 Retirements'!F12</f>
        <v>0</v>
      </c>
      <c r="U10">
        <f>'35-50 Retirements'!G12</f>
        <v>0</v>
      </c>
      <c r="V10">
        <f>'35-50 Retirements'!H12</f>
        <v>0</v>
      </c>
      <c r="W10">
        <f>'35-50 Retirements'!I12</f>
        <v>0</v>
      </c>
      <c r="X10">
        <f>'35-50 Retirements'!J12</f>
        <v>0</v>
      </c>
      <c r="Y10">
        <f>'35-50 Retirements'!K12</f>
        <v>0</v>
      </c>
      <c r="Z10">
        <f>'35-50 Retirements'!L12</f>
        <v>0</v>
      </c>
      <c r="AA10">
        <f>'35-50 Retirements'!M12</f>
        <v>0</v>
      </c>
      <c r="AB10">
        <f>'35-50 Retirements'!N12</f>
        <v>0</v>
      </c>
      <c r="AC10">
        <f>'35-50 Retirements'!O12</f>
        <v>0</v>
      </c>
      <c r="AD10">
        <f>'35-50 Retirements'!P12</f>
        <v>0</v>
      </c>
      <c r="AE10">
        <f>'35-50 Retirements'!Q12</f>
        <v>0</v>
      </c>
      <c r="AF10">
        <f>'35-50 Retirements'!R12</f>
        <v>0</v>
      </c>
      <c r="AG10" s="1"/>
      <c r="AH10" s="12">
        <f t="shared" si="0"/>
        <v>0</v>
      </c>
    </row>
    <row r="11" spans="1:34">
      <c r="A11" s="6" t="s">
        <v>10</v>
      </c>
      <c r="B11" s="13">
        <f>'19-20 Retirements'!W22</f>
        <v>112.41499999999996</v>
      </c>
      <c r="C11" s="1">
        <f>'MOTIE_21-34 Retirements'!D80</f>
        <v>0</v>
      </c>
      <c r="D11" s="1">
        <f>'MOTIE_21-34 Retirements'!E80</f>
        <v>0</v>
      </c>
      <c r="E11" s="1">
        <f>'MOTIE_21-34 Retirements'!F80</f>
        <v>0</v>
      </c>
      <c r="F11" s="1">
        <f>'MOTIE_21-34 Retirements'!G80</f>
        <v>0</v>
      </c>
      <c r="G11" s="1">
        <f>'MOTIE_21-34 Retirements'!H80</f>
        <v>0</v>
      </c>
      <c r="H11" s="1">
        <f>'MOTIE_21-34 Retirements'!I80</f>
        <v>0</v>
      </c>
      <c r="I11" s="1">
        <f>'MOTIE_21-34 Retirements'!J80</f>
        <v>0</v>
      </c>
      <c r="J11" s="1">
        <f>'MOTIE_21-34 Retirements'!K80</f>
        <v>0</v>
      </c>
      <c r="K11" s="1">
        <f>'MOTIE_21-34 Retirements'!L80</f>
        <v>0</v>
      </c>
      <c r="L11" s="1">
        <f>'MOTIE_21-34 Retirements'!M80</f>
        <v>0</v>
      </c>
      <c r="M11" s="1">
        <f>'MOTIE_21-34 Retirements'!N80</f>
        <v>0</v>
      </c>
      <c r="N11" s="1">
        <f>'MOTIE_21-34 Retirements'!O80</f>
        <v>0</v>
      </c>
      <c r="O11" s="1">
        <f>'MOTIE_21-34 Retirements'!P80</f>
        <v>0</v>
      </c>
      <c r="P11" s="1">
        <f>'MOTIE_21-34 Retirements'!Q80</f>
        <v>0</v>
      </c>
      <c r="Q11">
        <f>'35-50 Retirements'!C13</f>
        <v>5.24</v>
      </c>
      <c r="R11">
        <f>'35-50 Retirements'!D13</f>
        <v>2.9800000000000004</v>
      </c>
      <c r="S11">
        <f>'35-50 Retirements'!E13</f>
        <v>8.92</v>
      </c>
      <c r="T11">
        <f>'35-50 Retirements'!F13</f>
        <v>4.76</v>
      </c>
      <c r="U11">
        <f>'35-50 Retirements'!G13</f>
        <v>0.75</v>
      </c>
      <c r="V11">
        <f>'35-50 Retirements'!H13</f>
        <v>1.84</v>
      </c>
      <c r="W11">
        <f>'35-50 Retirements'!I13</f>
        <v>15.100000000000001</v>
      </c>
      <c r="X11">
        <f>'35-50 Retirements'!J13</f>
        <v>2.5</v>
      </c>
      <c r="Y11">
        <f>'35-50 Retirements'!K13</f>
        <v>6.2</v>
      </c>
      <c r="Z11">
        <f>'35-50 Retirements'!L13</f>
        <v>0</v>
      </c>
      <c r="AA11">
        <f>'35-50 Retirements'!M13</f>
        <v>0.46</v>
      </c>
      <c r="AB11">
        <f>'35-50 Retirements'!N13</f>
        <v>0.8</v>
      </c>
      <c r="AC11">
        <f>'35-50 Retirements'!O13</f>
        <v>0</v>
      </c>
      <c r="AD11">
        <f>'35-50 Retirements'!P13</f>
        <v>0</v>
      </c>
      <c r="AE11">
        <f>'35-50 Retirements'!Q13</f>
        <v>0</v>
      </c>
      <c r="AF11">
        <f>'35-50 Retirements'!R13</f>
        <v>0</v>
      </c>
      <c r="AG11" s="1"/>
      <c r="AH11" s="12">
        <f t="shared" si="0"/>
        <v>161.96499999999995</v>
      </c>
    </row>
    <row r="12" spans="1:34">
      <c r="A12" s="6" t="s">
        <v>11</v>
      </c>
      <c r="B12" s="13">
        <f>'19-20 Retirements'!W23</f>
        <v>0</v>
      </c>
      <c r="C12" s="1">
        <f>'MOTIE_21-34 Retirements'!D81</f>
        <v>0</v>
      </c>
      <c r="D12" s="1">
        <f>'MOTIE_21-34 Retirements'!E81</f>
        <v>0</v>
      </c>
      <c r="E12" s="1">
        <f>'MOTIE_21-34 Retirements'!F81</f>
        <v>0</v>
      </c>
      <c r="F12" s="1">
        <f>'MOTIE_21-34 Retirements'!G81</f>
        <v>0</v>
      </c>
      <c r="G12" s="1">
        <f>'MOTIE_21-34 Retirements'!H81</f>
        <v>0</v>
      </c>
      <c r="H12" s="1">
        <f>'MOTIE_21-34 Retirements'!I81</f>
        <v>0</v>
      </c>
      <c r="I12" s="1">
        <f>'MOTIE_21-34 Retirements'!J81</f>
        <v>0</v>
      </c>
      <c r="J12" s="1">
        <f>'MOTIE_21-34 Retirements'!K81</f>
        <v>0</v>
      </c>
      <c r="K12" s="1">
        <f>'MOTIE_21-34 Retirements'!L81</f>
        <v>0</v>
      </c>
      <c r="L12" s="1">
        <f>'MOTIE_21-34 Retirements'!M81</f>
        <v>0</v>
      </c>
      <c r="M12" s="1">
        <f>'MOTIE_21-34 Retirements'!N81</f>
        <v>0</v>
      </c>
      <c r="N12" s="1">
        <f>'MOTIE_21-34 Retirements'!O81</f>
        <v>0</v>
      </c>
      <c r="O12" s="1">
        <f>'MOTIE_21-34 Retirements'!P81</f>
        <v>0</v>
      </c>
      <c r="P12" s="1">
        <f>'MOTIE_21-34 Retirements'!Q81</f>
        <v>0</v>
      </c>
      <c r="Q12">
        <f>'35-50 Retirements'!C14</f>
        <v>0</v>
      </c>
      <c r="R12">
        <f>'35-50 Retirements'!D14</f>
        <v>0</v>
      </c>
      <c r="S12">
        <f>'35-50 Retirements'!E14</f>
        <v>0</v>
      </c>
      <c r="T12">
        <f>'35-50 Retirements'!F14</f>
        <v>0</v>
      </c>
      <c r="U12">
        <f>'35-50 Retirements'!G14</f>
        <v>0</v>
      </c>
      <c r="V12">
        <f>'35-50 Retirements'!H14</f>
        <v>0</v>
      </c>
      <c r="W12">
        <f>'35-50 Retirements'!I14</f>
        <v>0</v>
      </c>
      <c r="X12">
        <f>'35-50 Retirements'!J14</f>
        <v>0</v>
      </c>
      <c r="Y12">
        <f>'35-50 Retirements'!K14</f>
        <v>0</v>
      </c>
      <c r="Z12">
        <f>'35-50 Retirements'!L14</f>
        <v>0</v>
      </c>
      <c r="AA12">
        <f>'35-50 Retirements'!M14</f>
        <v>0</v>
      </c>
      <c r="AB12">
        <f>'35-50 Retirements'!N14</f>
        <v>0</v>
      </c>
      <c r="AC12">
        <f>'35-50 Retirements'!O14</f>
        <v>0</v>
      </c>
      <c r="AD12">
        <f>'35-50 Retirements'!P14</f>
        <v>0</v>
      </c>
      <c r="AE12">
        <f>'35-50 Retirements'!Q14</f>
        <v>0</v>
      </c>
      <c r="AF12">
        <f>'35-50 Retirements'!R14</f>
        <v>0</v>
      </c>
      <c r="AG12" s="1"/>
      <c r="AH12" s="12">
        <f t="shared" si="0"/>
        <v>0</v>
      </c>
    </row>
    <row r="13" spans="1:34">
      <c r="A13" s="6" t="s">
        <v>12</v>
      </c>
      <c r="B13" s="13">
        <f>'19-20 Retirements'!W24</f>
        <v>0</v>
      </c>
      <c r="C13" s="1">
        <f>'MOTIE_21-34 Retirements'!D82</f>
        <v>0</v>
      </c>
      <c r="D13" s="1">
        <f>'MOTIE_21-34 Retirements'!E82</f>
        <v>0</v>
      </c>
      <c r="E13" s="1">
        <f>'MOTIE_21-34 Retirements'!F82</f>
        <v>0</v>
      </c>
      <c r="F13" s="1">
        <f>'MOTIE_21-34 Retirements'!G82</f>
        <v>0</v>
      </c>
      <c r="G13" s="1">
        <f>'MOTIE_21-34 Retirements'!H82</f>
        <v>0</v>
      </c>
      <c r="H13" s="1">
        <f>'MOTIE_21-34 Retirements'!I82</f>
        <v>0</v>
      </c>
      <c r="I13" s="1">
        <f>'MOTIE_21-34 Retirements'!J82</f>
        <v>0</v>
      </c>
      <c r="J13" s="1">
        <f>'MOTIE_21-34 Retirements'!K82</f>
        <v>0</v>
      </c>
      <c r="K13" s="1">
        <f>'MOTIE_21-34 Retirements'!L82</f>
        <v>0</v>
      </c>
      <c r="L13" s="1">
        <f>'MOTIE_21-34 Retirements'!M82</f>
        <v>0</v>
      </c>
      <c r="M13" s="1">
        <f>'MOTIE_21-34 Retirements'!N82</f>
        <v>0</v>
      </c>
      <c r="N13" s="1">
        <f>'MOTIE_21-34 Retirements'!O82</f>
        <v>0</v>
      </c>
      <c r="O13" s="1">
        <f>'MOTIE_21-34 Retirements'!P82</f>
        <v>0</v>
      </c>
      <c r="P13" s="1">
        <f>'MOTIE_21-34 Retirements'!Q82</f>
        <v>0</v>
      </c>
      <c r="Q13">
        <f>'35-50 Retirements'!C15</f>
        <v>0</v>
      </c>
      <c r="R13">
        <f>'35-50 Retirements'!D15</f>
        <v>0</v>
      </c>
      <c r="S13">
        <f>'35-50 Retirements'!E15</f>
        <v>0</v>
      </c>
      <c r="T13">
        <f>'35-50 Retirements'!F15</f>
        <v>0</v>
      </c>
      <c r="U13">
        <f>'35-50 Retirements'!G15</f>
        <v>0</v>
      </c>
      <c r="V13">
        <f>'35-50 Retirements'!H15</f>
        <v>0</v>
      </c>
      <c r="W13">
        <f>'35-50 Retirements'!I15</f>
        <v>0</v>
      </c>
      <c r="X13">
        <f>'35-50 Retirements'!J15</f>
        <v>0</v>
      </c>
      <c r="Y13">
        <f>'35-50 Retirements'!K15</f>
        <v>0</v>
      </c>
      <c r="Z13">
        <f>'35-50 Retirements'!L15</f>
        <v>0</v>
      </c>
      <c r="AA13">
        <f>'35-50 Retirements'!M15</f>
        <v>0</v>
      </c>
      <c r="AB13">
        <f>'35-50 Retirements'!N15</f>
        <v>0</v>
      </c>
      <c r="AC13">
        <f>'35-50 Retirements'!O15</f>
        <v>0</v>
      </c>
      <c r="AD13">
        <f>'35-50 Retirements'!P15</f>
        <v>0</v>
      </c>
      <c r="AE13">
        <f>'35-50 Retirements'!Q15</f>
        <v>0</v>
      </c>
      <c r="AF13">
        <f>'35-50 Retirements'!R15</f>
        <v>0</v>
      </c>
      <c r="AG13" s="1"/>
      <c r="AH13" s="12">
        <f t="shared" si="0"/>
        <v>0</v>
      </c>
    </row>
    <row r="14" spans="1:34">
      <c r="A14" s="6" t="s">
        <v>13</v>
      </c>
      <c r="B14" s="13">
        <f>'19-20 Retirements'!W25</f>
        <v>0</v>
      </c>
      <c r="C14" s="1">
        <f>'MOTIE_21-34 Retirements'!D83</f>
        <v>0</v>
      </c>
      <c r="D14" s="1">
        <f>'MOTIE_21-34 Retirements'!E83</f>
        <v>0</v>
      </c>
      <c r="E14" s="1">
        <f>'MOTIE_21-34 Retirements'!F83</f>
        <v>0</v>
      </c>
      <c r="F14" s="1">
        <f>'MOTIE_21-34 Retirements'!G83</f>
        <v>0</v>
      </c>
      <c r="G14" s="1">
        <f>'MOTIE_21-34 Retirements'!H83</f>
        <v>0</v>
      </c>
      <c r="H14" s="1">
        <f>'MOTIE_21-34 Retirements'!I83</f>
        <v>0</v>
      </c>
      <c r="I14" s="1">
        <f>'MOTIE_21-34 Retirements'!J83</f>
        <v>0</v>
      </c>
      <c r="J14" s="1">
        <f>'MOTIE_21-34 Retirements'!K83</f>
        <v>0</v>
      </c>
      <c r="K14" s="1">
        <f>'MOTIE_21-34 Retirements'!L83</f>
        <v>0</v>
      </c>
      <c r="L14" s="1">
        <f>'MOTIE_21-34 Retirements'!M83</f>
        <v>0</v>
      </c>
      <c r="M14" s="1">
        <f>'MOTIE_21-34 Retirements'!N83</f>
        <v>0</v>
      </c>
      <c r="N14" s="1">
        <f>'MOTIE_21-34 Retirements'!O83</f>
        <v>0</v>
      </c>
      <c r="O14" s="1">
        <f>'MOTIE_21-34 Retirements'!P83</f>
        <v>0</v>
      </c>
      <c r="P14" s="1">
        <f>'MOTIE_21-34 Retirements'!Q83</f>
        <v>0</v>
      </c>
      <c r="Q14">
        <f>'35-50 Retirements'!C16</f>
        <v>0</v>
      </c>
      <c r="R14">
        <f>'35-50 Retirements'!D16</f>
        <v>0</v>
      </c>
      <c r="S14">
        <f>'35-50 Retirements'!E16</f>
        <v>0</v>
      </c>
      <c r="T14">
        <f>'35-50 Retirements'!F16</f>
        <v>0</v>
      </c>
      <c r="U14">
        <f>'35-50 Retirements'!G16</f>
        <v>0</v>
      </c>
      <c r="V14">
        <f>'35-50 Retirements'!H16</f>
        <v>0</v>
      </c>
      <c r="W14">
        <f>'35-50 Retirements'!I16</f>
        <v>0</v>
      </c>
      <c r="X14">
        <f>'35-50 Retirements'!J16</f>
        <v>0</v>
      </c>
      <c r="Y14">
        <f>'35-50 Retirements'!K16</f>
        <v>0</v>
      </c>
      <c r="Z14">
        <f>'35-50 Retirements'!L16</f>
        <v>0</v>
      </c>
      <c r="AA14">
        <f>'35-50 Retirements'!M16</f>
        <v>0</v>
      </c>
      <c r="AB14">
        <f>'35-50 Retirements'!N16</f>
        <v>0</v>
      </c>
      <c r="AC14">
        <f>'35-50 Retirements'!O16</f>
        <v>0</v>
      </c>
      <c r="AD14">
        <f>'35-50 Retirements'!P16</f>
        <v>0</v>
      </c>
      <c r="AE14">
        <f>'35-50 Retirements'!Q16</f>
        <v>0</v>
      </c>
      <c r="AF14">
        <f>'35-50 Retirements'!R16</f>
        <v>0</v>
      </c>
      <c r="AG14" s="1"/>
      <c r="AH14" s="12">
        <f t="shared" si="0"/>
        <v>0</v>
      </c>
    </row>
    <row r="15" spans="1:34">
      <c r="A15" s="2" t="s">
        <v>23</v>
      </c>
      <c r="B15" s="13">
        <f>'19-20 Retirements'!W26</f>
        <v>0</v>
      </c>
      <c r="C15" s="1">
        <f>'MOTIE_21-34 Retirements'!D84</f>
        <v>0</v>
      </c>
      <c r="D15" s="1">
        <f>'MOTIE_21-34 Retirements'!E84</f>
        <v>0</v>
      </c>
      <c r="E15" s="1">
        <f>'MOTIE_21-34 Retirements'!F84</f>
        <v>0</v>
      </c>
      <c r="F15" s="1">
        <f>'MOTIE_21-34 Retirements'!G84</f>
        <v>0</v>
      </c>
      <c r="G15" s="1">
        <f>'MOTIE_21-34 Retirements'!H84</f>
        <v>0</v>
      </c>
      <c r="H15" s="1">
        <f>'MOTIE_21-34 Retirements'!I84</f>
        <v>0</v>
      </c>
      <c r="I15" s="1">
        <f>'MOTIE_21-34 Retirements'!J84</f>
        <v>0</v>
      </c>
      <c r="J15" s="1">
        <f>'MOTIE_21-34 Retirements'!K84</f>
        <v>0</v>
      </c>
      <c r="K15" s="1">
        <f>'MOTIE_21-34 Retirements'!L84</f>
        <v>0</v>
      </c>
      <c r="L15" s="1">
        <f>'MOTIE_21-34 Retirements'!M84</f>
        <v>0</v>
      </c>
      <c r="M15" s="1">
        <f>'MOTIE_21-34 Retirements'!N84</f>
        <v>0</v>
      </c>
      <c r="N15" s="1">
        <f>'MOTIE_21-34 Retirements'!O84</f>
        <v>0</v>
      </c>
      <c r="O15" s="1">
        <f>'MOTIE_21-34 Retirements'!P84</f>
        <v>0</v>
      </c>
      <c r="P15" s="1">
        <f>'MOTIE_21-34 Retirements'!Q84</f>
        <v>0</v>
      </c>
      <c r="Q15">
        <f>'35-50 Retirements'!C17</f>
        <v>0</v>
      </c>
      <c r="R15">
        <f>'35-50 Retirements'!D17</f>
        <v>0</v>
      </c>
      <c r="S15">
        <f>'35-50 Retirements'!E17</f>
        <v>0</v>
      </c>
      <c r="T15">
        <f>'35-50 Retirements'!F17</f>
        <v>0</v>
      </c>
      <c r="U15">
        <f>'35-50 Retirements'!G17</f>
        <v>0</v>
      </c>
      <c r="V15">
        <f>'35-50 Retirements'!H17</f>
        <v>0</v>
      </c>
      <c r="W15">
        <f>'35-50 Retirements'!I17</f>
        <v>0</v>
      </c>
      <c r="X15">
        <f>'35-50 Retirements'!J17</f>
        <v>0</v>
      </c>
      <c r="Y15">
        <f>'35-50 Retirements'!K17</f>
        <v>0</v>
      </c>
      <c r="Z15">
        <f>'35-50 Retirements'!L17</f>
        <v>0</v>
      </c>
      <c r="AA15">
        <f>'35-50 Retirements'!M17</f>
        <v>0</v>
      </c>
      <c r="AB15">
        <f>'35-50 Retirements'!N17</f>
        <v>0</v>
      </c>
      <c r="AC15">
        <f>'35-50 Retirements'!O17</f>
        <v>0</v>
      </c>
      <c r="AD15">
        <f>'35-50 Retirements'!P17</f>
        <v>0</v>
      </c>
      <c r="AE15">
        <f>'35-50 Retirements'!Q17</f>
        <v>0</v>
      </c>
      <c r="AF15">
        <f>'35-50 Retirements'!R17</f>
        <v>0</v>
      </c>
      <c r="AG15" s="1"/>
      <c r="AH15" s="12">
        <f t="shared" si="0"/>
        <v>0</v>
      </c>
    </row>
    <row r="16" spans="1:34">
      <c r="A16" s="2" t="s">
        <v>24</v>
      </c>
      <c r="B16" s="13">
        <f>'19-20 Retirements'!W27</f>
        <v>1400</v>
      </c>
      <c r="C16" s="1">
        <f>'MOTIE_21-34 Retirements'!D85</f>
        <v>0</v>
      </c>
      <c r="D16" s="1">
        <f>'MOTIE_21-34 Retirements'!E85</f>
        <v>1200</v>
      </c>
      <c r="E16" s="1">
        <f>'MOTIE_21-34 Retirements'!F85</f>
        <v>0</v>
      </c>
      <c r="F16" s="1">
        <f>'MOTIE_21-34 Retirements'!G85</f>
        <v>0</v>
      </c>
      <c r="G16" s="1">
        <f>'MOTIE_21-34 Retirements'!H85</f>
        <v>0</v>
      </c>
      <c r="H16" s="1">
        <f>'MOTIE_21-34 Retirements'!I85</f>
        <v>0</v>
      </c>
      <c r="I16" s="1">
        <f>'MOTIE_21-34 Retirements'!J85</f>
        <v>0</v>
      </c>
      <c r="J16" s="1">
        <f>'MOTIE_21-34 Retirements'!K85</f>
        <v>0</v>
      </c>
      <c r="K16" s="1">
        <f>'MOTIE_21-34 Retirements'!L85</f>
        <v>0</v>
      </c>
      <c r="L16" s="1">
        <f>'MOTIE_21-34 Retirements'!M85</f>
        <v>0</v>
      </c>
      <c r="M16" s="1">
        <f>'MOTIE_21-34 Retirements'!N85</f>
        <v>0</v>
      </c>
      <c r="N16" s="1">
        <f>'MOTIE_21-34 Retirements'!O85</f>
        <v>0</v>
      </c>
      <c r="O16" s="1">
        <f>'MOTIE_21-34 Retirements'!P85</f>
        <v>0</v>
      </c>
      <c r="P16" s="1">
        <f>'MOTIE_21-34 Retirements'!Q85</f>
        <v>0</v>
      </c>
      <c r="Q16">
        <f>'35-50 Retirements'!C18</f>
        <v>0</v>
      </c>
      <c r="R16">
        <f>'35-50 Retirements'!D18</f>
        <v>0</v>
      </c>
      <c r="S16">
        <f>'35-50 Retirements'!E18</f>
        <v>0</v>
      </c>
      <c r="T16">
        <f>'35-50 Retirements'!F18</f>
        <v>0</v>
      </c>
      <c r="U16">
        <f>'35-50 Retirements'!G18</f>
        <v>0</v>
      </c>
      <c r="V16">
        <f>'35-50 Retirements'!H18</f>
        <v>0</v>
      </c>
      <c r="W16">
        <f>'35-50 Retirements'!I18</f>
        <v>0</v>
      </c>
      <c r="X16">
        <f>'35-50 Retirements'!J18</f>
        <v>0</v>
      </c>
      <c r="Y16">
        <f>'35-50 Retirements'!K18</f>
        <v>0</v>
      </c>
      <c r="Z16">
        <f>'35-50 Retirements'!L18</f>
        <v>0</v>
      </c>
      <c r="AA16">
        <f>'35-50 Retirements'!M18</f>
        <v>0</v>
      </c>
      <c r="AB16">
        <f>'35-50 Retirements'!N18</f>
        <v>0</v>
      </c>
      <c r="AC16">
        <f>'35-50 Retirements'!O18</f>
        <v>0</v>
      </c>
      <c r="AD16">
        <f>'35-50 Retirements'!P18</f>
        <v>0</v>
      </c>
      <c r="AE16">
        <f>'35-50 Retirements'!Q18</f>
        <v>0</v>
      </c>
      <c r="AF16">
        <f>'35-50 Retirements'!R18</f>
        <v>0</v>
      </c>
      <c r="AG16" s="1"/>
      <c r="AH16" s="12">
        <f t="shared" si="0"/>
        <v>2600</v>
      </c>
    </row>
    <row r="17" spans="1:34">
      <c r="A17" s="2" t="s">
        <v>25</v>
      </c>
      <c r="B17" s="13">
        <f>'19-20 Retirements'!W28</f>
        <v>0</v>
      </c>
      <c r="C17" s="1">
        <f>'MOTIE_21-34 Retirements'!D86</f>
        <v>0</v>
      </c>
      <c r="D17" s="1">
        <f>'MOTIE_21-34 Retirements'!E86</f>
        <v>0</v>
      </c>
      <c r="E17" s="1">
        <f>'MOTIE_21-34 Retirements'!F86</f>
        <v>0</v>
      </c>
      <c r="F17" s="1">
        <f>'MOTIE_21-34 Retirements'!G86</f>
        <v>0</v>
      </c>
      <c r="G17" s="1">
        <f>'MOTIE_21-34 Retirements'!H86</f>
        <v>0</v>
      </c>
      <c r="H17" s="1">
        <f>'MOTIE_21-34 Retirements'!I86</f>
        <v>0</v>
      </c>
      <c r="I17" s="1">
        <f>'MOTIE_21-34 Retirements'!J86</f>
        <v>0</v>
      </c>
      <c r="J17" s="1">
        <f>'MOTIE_21-34 Retirements'!K86</f>
        <v>0</v>
      </c>
      <c r="K17" s="1">
        <f>'MOTIE_21-34 Retirements'!L86</f>
        <v>0</v>
      </c>
      <c r="L17" s="1">
        <f>'MOTIE_21-34 Retirements'!M86</f>
        <v>0</v>
      </c>
      <c r="M17" s="1">
        <f>'MOTIE_21-34 Retirements'!N86</f>
        <v>0</v>
      </c>
      <c r="N17" s="1">
        <f>'MOTIE_21-34 Retirements'!O86</f>
        <v>0</v>
      </c>
      <c r="O17" s="1">
        <f>'MOTIE_21-34 Retirements'!P86</f>
        <v>0</v>
      </c>
      <c r="P17" s="1">
        <f>'MOTIE_21-34 Retirements'!Q86</f>
        <v>0</v>
      </c>
      <c r="Q17">
        <f>'35-50 Retirements'!C19</f>
        <v>0</v>
      </c>
      <c r="R17">
        <f>'35-50 Retirements'!D19</f>
        <v>0</v>
      </c>
      <c r="S17">
        <f>'35-50 Retirements'!E19</f>
        <v>0</v>
      </c>
      <c r="T17">
        <f>'35-50 Retirements'!F19</f>
        <v>0</v>
      </c>
      <c r="U17">
        <f>'35-50 Retirements'!G19</f>
        <v>0</v>
      </c>
      <c r="V17">
        <f>'35-50 Retirements'!H19</f>
        <v>0</v>
      </c>
      <c r="W17">
        <f>'35-50 Retirements'!I19</f>
        <v>0</v>
      </c>
      <c r="X17">
        <f>'35-50 Retirements'!J19</f>
        <v>0</v>
      </c>
      <c r="Y17">
        <f>'35-50 Retirements'!K19</f>
        <v>0</v>
      </c>
      <c r="Z17">
        <f>'35-50 Retirements'!L19</f>
        <v>0</v>
      </c>
      <c r="AA17">
        <f>'35-50 Retirements'!M19</f>
        <v>0</v>
      </c>
      <c r="AB17">
        <f>'35-50 Retirements'!N19</f>
        <v>0</v>
      </c>
      <c r="AC17">
        <f>'35-50 Retirements'!O19</f>
        <v>0</v>
      </c>
      <c r="AD17">
        <f>'35-50 Retirements'!P19</f>
        <v>0</v>
      </c>
      <c r="AE17">
        <f>'35-50 Retirements'!Q19</f>
        <v>0</v>
      </c>
      <c r="AF17">
        <f>'35-50 Retirements'!R19</f>
        <v>0</v>
      </c>
      <c r="AG17" s="1"/>
      <c r="AH17" s="12">
        <f t="shared" si="0"/>
        <v>0</v>
      </c>
    </row>
    <row r="19" spans="1:34">
      <c r="B19" s="1"/>
    </row>
    <row r="20" spans="1:34">
      <c r="A20" s="8" t="s">
        <v>29</v>
      </c>
    </row>
    <row r="21" spans="1:34">
      <c r="A21" s="6" t="s">
        <v>14</v>
      </c>
      <c r="B21" s="1">
        <f>SUM($B2:B2)</f>
        <v>138.40000000000146</v>
      </c>
      <c r="C21" s="1">
        <f>SUM($B2:C2)</f>
        <v>138.40000000000146</v>
      </c>
      <c r="D21" s="1">
        <f>SUM($B2:D2)</f>
        <v>138.40000000000146</v>
      </c>
      <c r="E21" s="1">
        <f>SUM($B2:E2)</f>
        <v>138.40000000000146</v>
      </c>
      <c r="F21" s="1">
        <f>SUM($B2:F2)</f>
        <v>138.40000000000146</v>
      </c>
      <c r="G21" s="1">
        <f>SUM($B2:G2)</f>
        <v>1138.4000000000015</v>
      </c>
      <c r="H21" s="1">
        <f>SUM($B2:H2)</f>
        <v>3738.4000000000015</v>
      </c>
      <c r="I21" s="1">
        <f>SUM($B2:I2)</f>
        <v>5238.4000000000015</v>
      </c>
      <c r="J21" s="1">
        <f>SUM($B2:J2)</f>
        <v>6738.4000000000015</v>
      </c>
      <c r="K21" s="1">
        <f>SUM($B2:K2)</f>
        <v>8638.3999999999978</v>
      </c>
      <c r="L21" s="1">
        <f>SUM($B2:L2)</f>
        <v>9638.4000000000015</v>
      </c>
      <c r="M21" s="1">
        <f>SUM($B2:M2)</f>
        <v>10638.400000000001</v>
      </c>
      <c r="N21" s="1">
        <f>SUM($B2:N2)</f>
        <v>11638.400000000001</v>
      </c>
      <c r="O21" s="1">
        <f>SUM($B2:O2)</f>
        <v>11638.400000000001</v>
      </c>
      <c r="P21" s="1">
        <f>SUM($B2:P2)</f>
        <v>13238.400000000001</v>
      </c>
      <c r="Q21" s="1">
        <f>SUM($B2:Q2)</f>
        <v>13738.400000000001</v>
      </c>
      <c r="R21" s="1">
        <f>SUM($B2:R2)</f>
        <v>14238.400000000001</v>
      </c>
      <c r="S21" s="1">
        <f>SUM($B2:S2)</f>
        <v>16238.400000000001</v>
      </c>
      <c r="T21" s="1">
        <f>SUM($B2:T2)</f>
        <v>19532.929</v>
      </c>
      <c r="U21" s="1">
        <f>SUM($B2:U2)</f>
        <v>20182.598999999998</v>
      </c>
      <c r="V21" s="1">
        <f>SUM($B2:V2)</f>
        <v>20182.598999999998</v>
      </c>
      <c r="W21" s="1">
        <f>SUM($B2:W2)</f>
        <v>20182.598999999998</v>
      </c>
      <c r="X21" s="1">
        <f>SUM($B2:X2)</f>
        <v>20192.398999999998</v>
      </c>
      <c r="Y21" s="1">
        <f>SUM($B2:Y2)</f>
        <v>20299.798999999999</v>
      </c>
      <c r="Z21" s="1">
        <f>SUM($B2:Z2)</f>
        <v>22039.798999999999</v>
      </c>
      <c r="AA21" s="1">
        <f>SUM($B2:AA2)</f>
        <v>22342.798999999999</v>
      </c>
      <c r="AB21" s="1">
        <f>SUM($B2:AB2)</f>
        <v>27189.769</v>
      </c>
      <c r="AC21" s="1">
        <f>SUM($B2:AC2)</f>
        <v>32518.327000000001</v>
      </c>
      <c r="AD21" s="1">
        <f>SUM($B2:AD2)</f>
        <v>32518.327000000001</v>
      </c>
      <c r="AE21" s="1">
        <f>SUM($B2:AE2)</f>
        <v>32518.327000000001</v>
      </c>
      <c r="AF21" s="1">
        <f>SUM($B2:AF2)</f>
        <v>32518.327000000001</v>
      </c>
    </row>
    <row r="22" spans="1:34">
      <c r="A22" s="6" t="s">
        <v>9</v>
      </c>
      <c r="B22" s="1">
        <f>SUM($B3:B3)</f>
        <v>0</v>
      </c>
      <c r="C22" s="1">
        <f>SUM($B3:C3)</f>
        <v>0</v>
      </c>
      <c r="D22" s="1">
        <f>SUM($B3:D3)</f>
        <v>0</v>
      </c>
      <c r="E22" s="1">
        <f>SUM($B3:E3)</f>
        <v>0</v>
      </c>
      <c r="F22" s="1">
        <f>SUM($B3:F3)</f>
        <v>0</v>
      </c>
      <c r="G22" s="1">
        <f>SUM($B3:G3)</f>
        <v>0</v>
      </c>
      <c r="H22" s="1">
        <f>SUM($B3:H3)</f>
        <v>0</v>
      </c>
      <c r="I22" s="1">
        <f>SUM($B3:I3)</f>
        <v>0</v>
      </c>
      <c r="J22" s="1">
        <f>SUM($B3:J3)</f>
        <v>0</v>
      </c>
      <c r="K22" s="1">
        <f>SUM($B3:K3)</f>
        <v>0</v>
      </c>
      <c r="L22" s="1">
        <f>SUM($B3:L3)</f>
        <v>0</v>
      </c>
      <c r="M22" s="1">
        <f>SUM($B3:M3)</f>
        <v>0</v>
      </c>
      <c r="N22" s="1">
        <f>SUM($B3:N3)</f>
        <v>0</v>
      </c>
      <c r="O22" s="1">
        <f>SUM($B3:O3)</f>
        <v>0</v>
      </c>
      <c r="P22" s="1">
        <f>SUM($B3:P3)</f>
        <v>0</v>
      </c>
      <c r="Q22" s="1">
        <f>SUM($B3:Q3)</f>
        <v>701.43900000000008</v>
      </c>
      <c r="R22" s="1">
        <f>SUM($B3:R3)</f>
        <v>1690.6390000000001</v>
      </c>
      <c r="S22" s="1">
        <f>SUM($B3:S3)</f>
        <v>1714.6390000000001</v>
      </c>
      <c r="T22" s="1">
        <f>SUM($B3:T3)</f>
        <v>2247.6390000000001</v>
      </c>
      <c r="U22" s="1">
        <f>SUM($B3:U3)</f>
        <v>2756.547</v>
      </c>
      <c r="V22" s="1">
        <f>SUM($B3:V3)</f>
        <v>4625.4930000000004</v>
      </c>
      <c r="W22" s="1">
        <f>SUM($B3:W3)</f>
        <v>5930.6930000000002</v>
      </c>
      <c r="X22" s="1">
        <f>SUM($B3:X3)</f>
        <v>6694.2810000000009</v>
      </c>
      <c r="Y22" s="1">
        <f>SUM($B3:Y3)</f>
        <v>10209.362000000001</v>
      </c>
      <c r="Z22" s="1">
        <f>SUM($B3:Z3)</f>
        <v>14781.262000000002</v>
      </c>
      <c r="AA22" s="1">
        <f>SUM($B3:AA3)</f>
        <v>17732.062000000002</v>
      </c>
      <c r="AB22" s="1">
        <f>SUM($B3:AB3)</f>
        <v>18168.162</v>
      </c>
      <c r="AC22" s="1">
        <f>SUM($B3:AC3)</f>
        <v>22828.957999999999</v>
      </c>
      <c r="AD22" s="1">
        <f>SUM($B3:AD3)</f>
        <v>23404.370999999999</v>
      </c>
      <c r="AE22" s="1">
        <f>SUM($B3:AE3)</f>
        <v>24764.718999999997</v>
      </c>
      <c r="AF22" s="1">
        <f>SUM($B3:AF3)</f>
        <v>24910.963999999996</v>
      </c>
    </row>
    <row r="23" spans="1:34">
      <c r="A23" s="6" t="s">
        <v>0</v>
      </c>
      <c r="B23" s="1">
        <f>SUM($B4:B4)</f>
        <v>0</v>
      </c>
      <c r="C23" s="1">
        <f>SUM($B4:C4)</f>
        <v>0</v>
      </c>
      <c r="D23" s="1">
        <f>SUM($B4:D4)</f>
        <v>0</v>
      </c>
      <c r="E23" s="1">
        <f>SUM($B4:E4)</f>
        <v>0</v>
      </c>
      <c r="F23" s="1">
        <f>SUM($B4:F4)</f>
        <v>0</v>
      </c>
      <c r="G23" s="1">
        <f>SUM($B4:G4)</f>
        <v>0</v>
      </c>
      <c r="H23" s="1">
        <f>SUM($B4:H4)</f>
        <v>0</v>
      </c>
      <c r="I23" s="1">
        <f>SUM($B4:I4)</f>
        <v>0</v>
      </c>
      <c r="J23" s="1">
        <f>SUM($B4:J4)</f>
        <v>0</v>
      </c>
      <c r="K23" s="1">
        <f>SUM($B4:K4)</f>
        <v>0</v>
      </c>
      <c r="L23" s="1">
        <f>SUM($B4:L4)</f>
        <v>0</v>
      </c>
      <c r="M23" s="1">
        <f>SUM($B4:M4)</f>
        <v>0</v>
      </c>
      <c r="N23" s="1">
        <f>SUM($B4:N4)</f>
        <v>0</v>
      </c>
      <c r="O23" s="1">
        <f>SUM($B4:O4)</f>
        <v>0</v>
      </c>
      <c r="P23" s="1">
        <f>SUM($B4:P4)</f>
        <v>0</v>
      </c>
      <c r="Q23" s="1">
        <f>SUM($B4:Q4)</f>
        <v>0</v>
      </c>
      <c r="R23" s="1">
        <f>SUM($B4:R4)</f>
        <v>0</v>
      </c>
      <c r="S23" s="1">
        <f>SUM($B4:S4)</f>
        <v>0</v>
      </c>
      <c r="T23" s="1">
        <f>SUM($B4:T4)</f>
        <v>0</v>
      </c>
      <c r="U23" s="1">
        <f>SUM($B4:U4)</f>
        <v>0</v>
      </c>
      <c r="V23" s="1">
        <f>SUM($B4:V4)</f>
        <v>0</v>
      </c>
      <c r="W23" s="1">
        <f>SUM($B4:W4)</f>
        <v>1000</v>
      </c>
      <c r="X23" s="1">
        <f>SUM($B4:X4)</f>
        <v>3000</v>
      </c>
      <c r="Y23" s="1">
        <f>SUM($B4:Y4)</f>
        <v>3000</v>
      </c>
      <c r="Z23" s="1">
        <f>SUM($B4:Z4)</f>
        <v>3000</v>
      </c>
      <c r="AA23" s="1">
        <f>SUM($B4:AA4)</f>
        <v>4000</v>
      </c>
      <c r="AB23" s="1">
        <f>SUM($B4:AB4)</f>
        <v>5400</v>
      </c>
      <c r="AC23" s="1">
        <f>SUM($B4:AC4)</f>
        <v>5400</v>
      </c>
      <c r="AD23" s="1">
        <f>SUM($B4:AD4)</f>
        <v>5400</v>
      </c>
      <c r="AE23" s="1">
        <f>SUM($B4:AE4)</f>
        <v>6800</v>
      </c>
      <c r="AF23" s="1">
        <f>SUM($B4:AF4)</f>
        <v>6800</v>
      </c>
    </row>
    <row r="24" spans="1:34">
      <c r="A24" s="6" t="s">
        <v>1</v>
      </c>
      <c r="B24" s="1">
        <f>SUM($B5:B5)</f>
        <v>2.334999999999809</v>
      </c>
      <c r="C24" s="1">
        <f>SUM($B5:C5)</f>
        <v>2.334999999999809</v>
      </c>
      <c r="D24" s="1">
        <f>SUM($B5:D5)</f>
        <v>31.052999999999884</v>
      </c>
      <c r="E24" s="1">
        <f>SUM($B5:E5)</f>
        <v>38.479999999999791</v>
      </c>
      <c r="F24" s="1">
        <f>SUM($B5:F5)</f>
        <v>40.619999999999891</v>
      </c>
      <c r="G24" s="1">
        <f>SUM($B5:G5)</f>
        <v>40.619999999999891</v>
      </c>
      <c r="H24" s="1">
        <f>SUM($B5:H5)</f>
        <v>40.619999999999891</v>
      </c>
      <c r="I24" s="1">
        <f>SUM($B5:I5)</f>
        <v>40.619999999999891</v>
      </c>
      <c r="J24" s="1">
        <f>SUM($B5:J5)</f>
        <v>40.619999999999891</v>
      </c>
      <c r="K24" s="1">
        <f>SUM($B5:K5)</f>
        <v>40.619999999999891</v>
      </c>
      <c r="L24" s="1">
        <f>SUM($B5:L5)</f>
        <v>40.619999999999891</v>
      </c>
      <c r="M24" s="1">
        <f>SUM($B5:M5)</f>
        <v>40.619999999999891</v>
      </c>
      <c r="N24" s="1">
        <f>SUM($B5:N5)</f>
        <v>40.619999999999891</v>
      </c>
      <c r="O24" s="1">
        <f>SUM($B5:O5)</f>
        <v>40.619999999999891</v>
      </c>
      <c r="P24" s="1">
        <f>SUM($B5:P5)</f>
        <v>40.619999999999891</v>
      </c>
      <c r="Q24" s="1">
        <f>SUM($B5:Q5)</f>
        <v>40.619999999999891</v>
      </c>
      <c r="R24" s="1">
        <f>SUM($B5:R5)</f>
        <v>40.619999999999891</v>
      </c>
      <c r="S24" s="1">
        <f>SUM($B5:S5)</f>
        <v>40.619999999999891</v>
      </c>
      <c r="T24" s="1">
        <f>SUM($B5:T5)</f>
        <v>40.619999999999891</v>
      </c>
      <c r="U24" s="1">
        <f>SUM($B5:U5)</f>
        <v>40.619999999999891</v>
      </c>
      <c r="V24" s="1">
        <f>SUM($B5:V5)</f>
        <v>40.619999999999891</v>
      </c>
      <c r="W24" s="1">
        <f>SUM($B5:W5)</f>
        <v>40.619999999999891</v>
      </c>
      <c r="X24" s="1">
        <f>SUM($B5:X5)</f>
        <v>40.619999999999891</v>
      </c>
      <c r="Y24" s="1">
        <f>SUM($B5:Y5)</f>
        <v>40.619999999999891</v>
      </c>
      <c r="Z24" s="1">
        <f>SUM($B5:Z5)</f>
        <v>40.619999999999891</v>
      </c>
      <c r="AA24" s="1">
        <f>SUM($B5:AA5)</f>
        <v>40.619999999999891</v>
      </c>
      <c r="AB24" s="1">
        <f>SUM($B5:AB5)</f>
        <v>40.619999999999891</v>
      </c>
      <c r="AC24" s="1">
        <f>SUM($B5:AC5)</f>
        <v>40.619999999999891</v>
      </c>
      <c r="AD24" s="1">
        <f>SUM($B5:AD5)</f>
        <v>40.619999999999891</v>
      </c>
      <c r="AE24" s="1">
        <f>SUM($B5:AE5)</f>
        <v>40.619999999999891</v>
      </c>
      <c r="AF24" s="1">
        <f>SUM($B5:AF5)</f>
        <v>40.619999999999891</v>
      </c>
    </row>
    <row r="25" spans="1:34">
      <c r="A25" s="6" t="s">
        <v>15</v>
      </c>
      <c r="B25" s="1">
        <f>SUM($B6:B6)</f>
        <v>0</v>
      </c>
      <c r="C25" s="1">
        <f>SUM($B6:C6)</f>
        <v>0</v>
      </c>
      <c r="D25" s="1">
        <f>SUM($B6:D6)</f>
        <v>0</v>
      </c>
      <c r="E25" s="1">
        <f>SUM($B6:E6)</f>
        <v>0</v>
      </c>
      <c r="F25" s="1">
        <f>SUM($B6:F6)</f>
        <v>0</v>
      </c>
      <c r="G25" s="1">
        <f>SUM($B6:G6)</f>
        <v>0</v>
      </c>
      <c r="H25" s="1">
        <f>SUM($B6:H6)</f>
        <v>0</v>
      </c>
      <c r="I25" s="1">
        <f>SUM($B6:I6)</f>
        <v>0</v>
      </c>
      <c r="J25" s="1">
        <f>SUM($B6:J6)</f>
        <v>0</v>
      </c>
      <c r="K25" s="1">
        <f>SUM($B6:K6)</f>
        <v>0</v>
      </c>
      <c r="L25" s="1">
        <f>SUM($B6:L6)</f>
        <v>0</v>
      </c>
      <c r="M25" s="1">
        <f>SUM($B6:M6)</f>
        <v>0</v>
      </c>
      <c r="N25" s="1">
        <f>SUM($B6:N6)</f>
        <v>0</v>
      </c>
      <c r="O25" s="1">
        <f>SUM($B6:O6)</f>
        <v>0</v>
      </c>
      <c r="P25" s="1">
        <f>SUM($B6:P6)</f>
        <v>0</v>
      </c>
      <c r="Q25" s="1">
        <f>SUM($B6:Q6)</f>
        <v>0</v>
      </c>
      <c r="R25" s="1">
        <f>SUM($B6:R6)</f>
        <v>0</v>
      </c>
      <c r="S25" s="1">
        <f>SUM($B6:S6)</f>
        <v>0</v>
      </c>
      <c r="T25" s="1">
        <f>SUM($B6:T6)</f>
        <v>0</v>
      </c>
      <c r="U25" s="1">
        <f>SUM($B6:U6)</f>
        <v>0</v>
      </c>
      <c r="V25" s="1">
        <f>SUM($B6:V6)</f>
        <v>0</v>
      </c>
      <c r="W25" s="1">
        <f>SUM($B6:W6)</f>
        <v>0</v>
      </c>
      <c r="X25" s="1">
        <f>SUM($B6:X6)</f>
        <v>0</v>
      </c>
      <c r="Y25" s="1">
        <f>SUM($B6:Y6)</f>
        <v>0</v>
      </c>
      <c r="Z25" s="1">
        <f>SUM($B6:Z6)</f>
        <v>0</v>
      </c>
      <c r="AA25" s="1">
        <f>SUM($B6:AA6)</f>
        <v>0</v>
      </c>
      <c r="AB25" s="1">
        <f>SUM($B6:AB6)</f>
        <v>0</v>
      </c>
      <c r="AC25" s="1">
        <f>SUM($B6:AC6)</f>
        <v>0</v>
      </c>
      <c r="AD25" s="1">
        <f>SUM($B6:AD6)</f>
        <v>0</v>
      </c>
      <c r="AE25" s="1">
        <f>SUM($B6:AE6)</f>
        <v>0</v>
      </c>
      <c r="AF25" s="1">
        <f>SUM($B6:AF6)</f>
        <v>0</v>
      </c>
    </row>
    <row r="26" spans="1:34">
      <c r="A26" s="6" t="s">
        <v>2</v>
      </c>
      <c r="B26" s="1">
        <f>SUM($B7:B7)</f>
        <v>0</v>
      </c>
      <c r="C26" s="1">
        <f>SUM($B7:C7)</f>
        <v>0</v>
      </c>
      <c r="D26" s="1">
        <f>SUM($B7:D7)</f>
        <v>0</v>
      </c>
      <c r="E26" s="1">
        <f>SUM($B7:E7)</f>
        <v>0</v>
      </c>
      <c r="F26" s="1">
        <f>SUM($B7:F7)</f>
        <v>0</v>
      </c>
      <c r="G26" s="1">
        <f>SUM($B7:G7)</f>
        <v>0</v>
      </c>
      <c r="H26" s="1">
        <f>SUM($B7:H7)</f>
        <v>0</v>
      </c>
      <c r="I26" s="1">
        <f>SUM($B7:I7)</f>
        <v>0</v>
      </c>
      <c r="J26" s="1">
        <f>SUM($B7:J7)</f>
        <v>0</v>
      </c>
      <c r="K26" s="1">
        <f>SUM($B7:K7)</f>
        <v>0</v>
      </c>
      <c r="L26" s="1">
        <f>SUM($B7:L7)</f>
        <v>0</v>
      </c>
      <c r="M26" s="1">
        <f>SUM($B7:M7)</f>
        <v>0</v>
      </c>
      <c r="N26" s="1">
        <f>SUM($B7:N7)</f>
        <v>0</v>
      </c>
      <c r="O26" s="1">
        <f>SUM($B7:O7)</f>
        <v>0</v>
      </c>
      <c r="P26" s="1">
        <f>SUM($B7:P7)</f>
        <v>0</v>
      </c>
      <c r="Q26" s="1">
        <f>SUM($B7:Q7)</f>
        <v>0</v>
      </c>
      <c r="R26" s="1">
        <f>SUM($B7:R7)</f>
        <v>0</v>
      </c>
      <c r="S26" s="1">
        <f>SUM($B7:S7)</f>
        <v>0</v>
      </c>
      <c r="T26" s="1">
        <f>SUM($B7:T7)</f>
        <v>0</v>
      </c>
      <c r="U26" s="1">
        <f>SUM($B7:U7)</f>
        <v>0</v>
      </c>
      <c r="V26" s="1">
        <f>SUM($B7:V7)</f>
        <v>0</v>
      </c>
      <c r="W26" s="1">
        <f>SUM($B7:W7)</f>
        <v>0</v>
      </c>
      <c r="X26" s="1">
        <f>SUM($B7:X7)</f>
        <v>0</v>
      </c>
      <c r="Y26" s="1">
        <f>SUM($B7:Y7)</f>
        <v>0</v>
      </c>
      <c r="Z26" s="1">
        <f>SUM($B7:Z7)</f>
        <v>0</v>
      </c>
      <c r="AA26" s="1">
        <f>SUM($B7:AA7)</f>
        <v>0</v>
      </c>
      <c r="AB26" s="1">
        <f>SUM($B7:AB7)</f>
        <v>0</v>
      </c>
      <c r="AC26" s="1">
        <f>SUM($B7:AC7)</f>
        <v>0</v>
      </c>
      <c r="AD26" s="1">
        <f>SUM($B7:AD7)</f>
        <v>0</v>
      </c>
      <c r="AE26" s="1">
        <f>SUM($B7:AE7)</f>
        <v>0</v>
      </c>
      <c r="AF26" s="1">
        <f>SUM($B7:AF7)</f>
        <v>0</v>
      </c>
    </row>
    <row r="27" spans="1:34">
      <c r="A27" s="6" t="s">
        <v>3</v>
      </c>
      <c r="B27" s="1">
        <f>SUM($B8:B8)</f>
        <v>0</v>
      </c>
      <c r="C27" s="1">
        <f>SUM($B8:C8)</f>
        <v>0</v>
      </c>
      <c r="D27" s="1">
        <f>SUM($B8:D8)</f>
        <v>0</v>
      </c>
      <c r="E27" s="1">
        <f>SUM($B8:E8)</f>
        <v>0</v>
      </c>
      <c r="F27" s="1">
        <f>SUM($B8:F8)</f>
        <v>0</v>
      </c>
      <c r="G27" s="1">
        <f>SUM($B8:G8)</f>
        <v>0</v>
      </c>
      <c r="H27" s="1">
        <f>SUM($B8:H8)</f>
        <v>0</v>
      </c>
      <c r="I27" s="1">
        <f>SUM($B8:I8)</f>
        <v>0</v>
      </c>
      <c r="J27" s="1">
        <f>SUM($B8:J8)</f>
        <v>0</v>
      </c>
      <c r="K27" s="1">
        <f>SUM($B8:K8)</f>
        <v>0</v>
      </c>
      <c r="L27" s="1">
        <f>SUM($B8:L8)</f>
        <v>0</v>
      </c>
      <c r="M27" s="1">
        <f>SUM($B8:M8)</f>
        <v>0</v>
      </c>
      <c r="N27" s="1">
        <f>SUM($B8:N8)</f>
        <v>0</v>
      </c>
      <c r="O27" s="1">
        <f>SUM($B8:O8)</f>
        <v>0</v>
      </c>
      <c r="P27" s="1">
        <f>SUM($B8:P8)</f>
        <v>0</v>
      </c>
      <c r="Q27" s="1">
        <f>SUM($B8:Q8)</f>
        <v>0</v>
      </c>
      <c r="R27" s="1">
        <f>SUM($B8:R8)</f>
        <v>0</v>
      </c>
      <c r="S27" s="1">
        <f>SUM($B8:S8)</f>
        <v>0</v>
      </c>
      <c r="T27" s="1">
        <f>SUM($B8:T8)</f>
        <v>0</v>
      </c>
      <c r="U27" s="1">
        <f>SUM($B8:U8)</f>
        <v>0</v>
      </c>
      <c r="V27" s="1">
        <f>SUM($B8:V8)</f>
        <v>0</v>
      </c>
      <c r="W27" s="1">
        <f>SUM($B8:W8)</f>
        <v>0</v>
      </c>
      <c r="X27" s="1">
        <f>SUM($B8:X8)</f>
        <v>0</v>
      </c>
      <c r="Y27" s="1">
        <f>SUM($B8:Y8)</f>
        <v>0</v>
      </c>
      <c r="Z27" s="1">
        <f>SUM($B8:Z8)</f>
        <v>0</v>
      </c>
      <c r="AA27" s="1">
        <f>SUM($B8:AA8)</f>
        <v>0</v>
      </c>
      <c r="AB27" s="1">
        <f>SUM($B8:AB8)</f>
        <v>0</v>
      </c>
      <c r="AC27" s="1">
        <f>SUM($B8:AC8)</f>
        <v>0</v>
      </c>
      <c r="AD27" s="1">
        <f>SUM($B8:AD8)</f>
        <v>0</v>
      </c>
      <c r="AE27" s="1">
        <f>SUM($B8:AE8)</f>
        <v>0</v>
      </c>
      <c r="AF27" s="1">
        <f>SUM($B8:AF8)</f>
        <v>0</v>
      </c>
    </row>
    <row r="28" spans="1:34">
      <c r="A28" s="6" t="s">
        <v>4</v>
      </c>
      <c r="B28" s="1">
        <f>SUM($B9:B9)</f>
        <v>0</v>
      </c>
      <c r="C28" s="1">
        <f>SUM($B9:C9)</f>
        <v>0</v>
      </c>
      <c r="D28" s="1">
        <f>SUM($B9:D9)</f>
        <v>0</v>
      </c>
      <c r="E28" s="1">
        <f>SUM($B9:E9)</f>
        <v>0</v>
      </c>
      <c r="F28" s="1">
        <f>SUM($B9:F9)</f>
        <v>0</v>
      </c>
      <c r="G28" s="1">
        <f>SUM($B9:G9)</f>
        <v>0</v>
      </c>
      <c r="H28" s="1">
        <f>SUM($B9:H9)</f>
        <v>0</v>
      </c>
      <c r="I28" s="1">
        <f>SUM($B9:I9)</f>
        <v>0</v>
      </c>
      <c r="J28" s="1">
        <f>SUM($B9:J9)</f>
        <v>0</v>
      </c>
      <c r="K28" s="1">
        <f>SUM($B9:K9)</f>
        <v>0</v>
      </c>
      <c r="L28" s="1">
        <f>SUM($B9:L9)</f>
        <v>0</v>
      </c>
      <c r="M28" s="1">
        <f>SUM($B9:M9)</f>
        <v>0</v>
      </c>
      <c r="N28" s="1">
        <f>SUM($B9:N9)</f>
        <v>0</v>
      </c>
      <c r="O28" s="1">
        <f>SUM($B9:O9)</f>
        <v>0</v>
      </c>
      <c r="P28" s="1">
        <f>SUM($B9:P9)</f>
        <v>0</v>
      </c>
      <c r="Q28" s="1">
        <f>SUM($B9:Q9)</f>
        <v>0</v>
      </c>
      <c r="R28" s="1">
        <f>SUM($B9:R9)</f>
        <v>100</v>
      </c>
      <c r="S28" s="1">
        <f>SUM($B9:S9)</f>
        <v>200</v>
      </c>
      <c r="T28" s="1">
        <f>SUM($B9:T9)</f>
        <v>200</v>
      </c>
      <c r="U28" s="1">
        <f>SUM($B9:U9)</f>
        <v>200</v>
      </c>
      <c r="V28" s="1">
        <f>SUM($B9:V9)</f>
        <v>200</v>
      </c>
      <c r="W28" s="1">
        <f>SUM($B9:W9)</f>
        <v>200</v>
      </c>
      <c r="X28" s="1">
        <f>SUM($B9:X9)</f>
        <v>200</v>
      </c>
      <c r="Y28" s="1">
        <f>SUM($B9:Y9)</f>
        <v>200</v>
      </c>
      <c r="Z28" s="1">
        <f>SUM($B9:Z9)</f>
        <v>200</v>
      </c>
      <c r="AA28" s="1">
        <f>SUM($B9:AA9)</f>
        <v>200</v>
      </c>
      <c r="AB28" s="1">
        <f>SUM($B9:AB9)</f>
        <v>200</v>
      </c>
      <c r="AC28" s="1">
        <f>SUM($B9:AC9)</f>
        <v>200</v>
      </c>
      <c r="AD28" s="1">
        <f>SUM($B9:AD9)</f>
        <v>200</v>
      </c>
      <c r="AE28" s="1">
        <f>SUM($B9:AE9)</f>
        <v>200</v>
      </c>
      <c r="AF28" s="1">
        <f>SUM($B9:AF9)</f>
        <v>200</v>
      </c>
    </row>
    <row r="29" spans="1:34">
      <c r="A29" s="6" t="s">
        <v>5</v>
      </c>
      <c r="B29" s="1">
        <f>SUM($B10:B10)</f>
        <v>0</v>
      </c>
      <c r="C29" s="1">
        <f>SUM($B10:C10)</f>
        <v>0</v>
      </c>
      <c r="D29" s="1">
        <f>SUM($B10:D10)</f>
        <v>0</v>
      </c>
      <c r="E29" s="1">
        <f>SUM($B10:E10)</f>
        <v>0</v>
      </c>
      <c r="F29" s="1">
        <f>SUM($B10:F10)</f>
        <v>0</v>
      </c>
      <c r="G29" s="1">
        <f>SUM($B10:G10)</f>
        <v>0</v>
      </c>
      <c r="H29" s="1">
        <f>SUM($B10:H10)</f>
        <v>0</v>
      </c>
      <c r="I29" s="1">
        <f>SUM($B10:I10)</f>
        <v>0</v>
      </c>
      <c r="J29" s="1">
        <f>SUM($B10:J10)</f>
        <v>0</v>
      </c>
      <c r="K29" s="1">
        <f>SUM($B10:K10)</f>
        <v>0</v>
      </c>
      <c r="L29" s="1">
        <f>SUM($B10:L10)</f>
        <v>0</v>
      </c>
      <c r="M29" s="1">
        <f>SUM($B10:M10)</f>
        <v>0</v>
      </c>
      <c r="N29" s="1">
        <f>SUM($B10:N10)</f>
        <v>0</v>
      </c>
      <c r="O29" s="1">
        <f>SUM($B10:O10)</f>
        <v>0</v>
      </c>
      <c r="P29" s="1">
        <f>SUM($B10:P10)</f>
        <v>0</v>
      </c>
      <c r="Q29" s="1">
        <f>SUM($B10:Q10)</f>
        <v>0</v>
      </c>
      <c r="R29" s="1">
        <f>SUM($B10:R10)</f>
        <v>0</v>
      </c>
      <c r="S29" s="1">
        <f>SUM($B10:S10)</f>
        <v>0</v>
      </c>
      <c r="T29" s="1">
        <f>SUM($B10:T10)</f>
        <v>0</v>
      </c>
      <c r="U29" s="1">
        <f>SUM($B10:U10)</f>
        <v>0</v>
      </c>
      <c r="V29" s="1">
        <f>SUM($B10:V10)</f>
        <v>0</v>
      </c>
      <c r="W29" s="1">
        <f>SUM($B10:W10)</f>
        <v>0</v>
      </c>
      <c r="X29" s="1">
        <f>SUM($B10:X10)</f>
        <v>0</v>
      </c>
      <c r="Y29" s="1">
        <f>SUM($B10:Y10)</f>
        <v>0</v>
      </c>
      <c r="Z29" s="1">
        <f>SUM($B10:Z10)</f>
        <v>0</v>
      </c>
      <c r="AA29" s="1">
        <f>SUM($B10:AA10)</f>
        <v>0</v>
      </c>
      <c r="AB29" s="1">
        <f>SUM($B10:AB10)</f>
        <v>0</v>
      </c>
      <c r="AC29" s="1">
        <f>SUM($B10:AC10)</f>
        <v>0</v>
      </c>
      <c r="AD29" s="1">
        <f>SUM($B10:AD10)</f>
        <v>0</v>
      </c>
      <c r="AE29" s="1">
        <f>SUM($B10:AE10)</f>
        <v>0</v>
      </c>
      <c r="AF29" s="1">
        <f>SUM($B10:AF10)</f>
        <v>0</v>
      </c>
    </row>
    <row r="30" spans="1:34">
      <c r="A30" s="6" t="s">
        <v>10</v>
      </c>
      <c r="B30" s="1">
        <f>SUM($B11:B11)</f>
        <v>112.41499999999996</v>
      </c>
      <c r="C30" s="1">
        <f>SUM($B11:C11)</f>
        <v>112.41499999999996</v>
      </c>
      <c r="D30" s="1">
        <f>SUM($B11:D11)</f>
        <v>112.41499999999996</v>
      </c>
      <c r="E30" s="1">
        <f>SUM($B11:E11)</f>
        <v>112.41499999999996</v>
      </c>
      <c r="F30" s="1">
        <f>SUM($B11:F11)</f>
        <v>112.41499999999996</v>
      </c>
      <c r="G30" s="1">
        <f>SUM($B11:G11)</f>
        <v>112.41499999999996</v>
      </c>
      <c r="H30" s="1">
        <f>SUM($B11:H11)</f>
        <v>112.41499999999996</v>
      </c>
      <c r="I30" s="1">
        <f>SUM($B11:I11)</f>
        <v>112.41499999999996</v>
      </c>
      <c r="J30" s="1">
        <f>SUM($B11:J11)</f>
        <v>112.41499999999996</v>
      </c>
      <c r="K30" s="1">
        <f>SUM($B11:K11)</f>
        <v>112.41499999999996</v>
      </c>
      <c r="L30" s="1">
        <f>SUM($B11:L11)</f>
        <v>112.41499999999996</v>
      </c>
      <c r="M30" s="1">
        <f>SUM($B11:M11)</f>
        <v>112.41499999999996</v>
      </c>
      <c r="N30" s="1">
        <f>SUM($B11:N11)</f>
        <v>112.41499999999996</v>
      </c>
      <c r="O30" s="1">
        <f>SUM($B11:O11)</f>
        <v>112.41499999999996</v>
      </c>
      <c r="P30" s="1">
        <f>SUM($B11:P11)</f>
        <v>112.41499999999996</v>
      </c>
      <c r="Q30" s="1">
        <f>SUM($B11:Q11)</f>
        <v>117.65499999999996</v>
      </c>
      <c r="R30" s="1">
        <f>SUM($B11:R11)</f>
        <v>120.63499999999996</v>
      </c>
      <c r="S30" s="1">
        <f>SUM($B11:S11)</f>
        <v>129.55499999999995</v>
      </c>
      <c r="T30" s="1">
        <f>SUM($B11:T11)</f>
        <v>134.31499999999994</v>
      </c>
      <c r="U30" s="1">
        <f>SUM($B11:U11)</f>
        <v>135.06499999999994</v>
      </c>
      <c r="V30" s="1">
        <f>SUM($B11:V11)</f>
        <v>136.90499999999994</v>
      </c>
      <c r="W30" s="1">
        <f>SUM($B11:W11)</f>
        <v>152.00499999999994</v>
      </c>
      <c r="X30" s="1">
        <f>SUM($B11:X11)</f>
        <v>154.50499999999994</v>
      </c>
      <c r="Y30" s="1">
        <f>SUM($B11:Y11)</f>
        <v>160.70499999999993</v>
      </c>
      <c r="Z30" s="1">
        <f>SUM($B11:Z11)</f>
        <v>160.70499999999993</v>
      </c>
      <c r="AA30" s="1">
        <f>SUM($B11:AA11)</f>
        <v>161.16499999999994</v>
      </c>
      <c r="AB30" s="1">
        <f>SUM($B11:AB11)</f>
        <v>161.96499999999995</v>
      </c>
      <c r="AC30" s="1">
        <f>SUM($B11:AC11)</f>
        <v>161.96499999999995</v>
      </c>
      <c r="AD30" s="1">
        <f>SUM($B11:AD11)</f>
        <v>161.96499999999995</v>
      </c>
      <c r="AE30" s="1">
        <f>SUM($B11:AE11)</f>
        <v>161.96499999999995</v>
      </c>
      <c r="AF30" s="1">
        <f>SUM($B11:AF11)</f>
        <v>161.96499999999995</v>
      </c>
    </row>
    <row r="31" spans="1:34">
      <c r="A31" s="6" t="s">
        <v>11</v>
      </c>
      <c r="B31" s="1">
        <f>SUM($B12:B12)</f>
        <v>0</v>
      </c>
      <c r="C31" s="1">
        <f>SUM($B12:C12)</f>
        <v>0</v>
      </c>
      <c r="D31" s="1">
        <f>SUM($B12:D12)</f>
        <v>0</v>
      </c>
      <c r="E31" s="1">
        <f>SUM($B12:E12)</f>
        <v>0</v>
      </c>
      <c r="F31" s="1">
        <f>SUM($B12:F12)</f>
        <v>0</v>
      </c>
      <c r="G31" s="1">
        <f>SUM($B12:G12)</f>
        <v>0</v>
      </c>
      <c r="H31" s="1">
        <f>SUM($B12:H12)</f>
        <v>0</v>
      </c>
      <c r="I31" s="1">
        <f>SUM($B12:I12)</f>
        <v>0</v>
      </c>
      <c r="J31" s="1">
        <f>SUM($B12:J12)</f>
        <v>0</v>
      </c>
      <c r="K31" s="1">
        <f>SUM($B12:K12)</f>
        <v>0</v>
      </c>
      <c r="L31" s="1">
        <f>SUM($B12:L12)</f>
        <v>0</v>
      </c>
      <c r="M31" s="1">
        <f>SUM($B12:M12)</f>
        <v>0</v>
      </c>
      <c r="N31" s="1">
        <f>SUM($B12:N12)</f>
        <v>0</v>
      </c>
      <c r="O31" s="1">
        <f>SUM($B12:O12)</f>
        <v>0</v>
      </c>
      <c r="P31" s="1">
        <f>SUM($B12:P12)</f>
        <v>0</v>
      </c>
      <c r="Q31" s="1">
        <f>SUM($B12:Q12)</f>
        <v>0</v>
      </c>
      <c r="R31" s="1">
        <f>SUM($B12:R12)</f>
        <v>0</v>
      </c>
      <c r="S31" s="1">
        <f>SUM($B12:S12)</f>
        <v>0</v>
      </c>
      <c r="T31" s="1">
        <f>SUM($B12:T12)</f>
        <v>0</v>
      </c>
      <c r="U31" s="1">
        <f>SUM($B12:U12)</f>
        <v>0</v>
      </c>
      <c r="V31" s="1">
        <f>SUM($B12:V12)</f>
        <v>0</v>
      </c>
      <c r="W31" s="1">
        <f>SUM($B12:W12)</f>
        <v>0</v>
      </c>
      <c r="X31" s="1">
        <f>SUM($B12:X12)</f>
        <v>0</v>
      </c>
      <c r="Y31" s="1">
        <f>SUM($B12:Y12)</f>
        <v>0</v>
      </c>
      <c r="Z31" s="1">
        <f>SUM($B12:Z12)</f>
        <v>0</v>
      </c>
      <c r="AA31" s="1">
        <f>SUM($B12:AA12)</f>
        <v>0</v>
      </c>
      <c r="AB31" s="1">
        <f>SUM($B12:AB12)</f>
        <v>0</v>
      </c>
      <c r="AC31" s="1">
        <f>SUM($B12:AC12)</f>
        <v>0</v>
      </c>
      <c r="AD31" s="1">
        <f>SUM($B12:AD12)</f>
        <v>0</v>
      </c>
      <c r="AE31" s="1">
        <f>SUM($B12:AE12)</f>
        <v>0</v>
      </c>
      <c r="AF31" s="1">
        <f>SUM($B12:AF12)</f>
        <v>0</v>
      </c>
    </row>
    <row r="32" spans="1:34">
      <c r="A32" s="6" t="s">
        <v>12</v>
      </c>
      <c r="B32" s="1">
        <f>SUM($B13:B13)</f>
        <v>0</v>
      </c>
      <c r="C32" s="1">
        <f>SUM($B13:C13)</f>
        <v>0</v>
      </c>
      <c r="D32" s="1">
        <f>SUM($B13:D13)</f>
        <v>0</v>
      </c>
      <c r="E32" s="1">
        <f>SUM($B13:E13)</f>
        <v>0</v>
      </c>
      <c r="F32" s="1">
        <f>SUM($B13:F13)</f>
        <v>0</v>
      </c>
      <c r="G32" s="1">
        <f>SUM($B13:G13)</f>
        <v>0</v>
      </c>
      <c r="H32" s="1">
        <f>SUM($B13:H13)</f>
        <v>0</v>
      </c>
      <c r="I32" s="1">
        <f>SUM($B13:I13)</f>
        <v>0</v>
      </c>
      <c r="J32" s="1">
        <f>SUM($B13:J13)</f>
        <v>0</v>
      </c>
      <c r="K32" s="1">
        <f>SUM($B13:K13)</f>
        <v>0</v>
      </c>
      <c r="L32" s="1">
        <f>SUM($B13:L13)</f>
        <v>0</v>
      </c>
      <c r="M32" s="1">
        <f>SUM($B13:M13)</f>
        <v>0</v>
      </c>
      <c r="N32" s="1">
        <f>SUM($B13:N13)</f>
        <v>0</v>
      </c>
      <c r="O32" s="1">
        <f>SUM($B13:O13)</f>
        <v>0</v>
      </c>
      <c r="P32" s="1">
        <f>SUM($B13:P13)</f>
        <v>0</v>
      </c>
      <c r="Q32" s="1">
        <f>SUM($B13:Q13)</f>
        <v>0</v>
      </c>
      <c r="R32" s="1">
        <f>SUM($B13:R13)</f>
        <v>0</v>
      </c>
      <c r="S32" s="1">
        <f>SUM($B13:S13)</f>
        <v>0</v>
      </c>
      <c r="T32" s="1">
        <f>SUM($B13:T13)</f>
        <v>0</v>
      </c>
      <c r="U32" s="1">
        <f>SUM($B13:U13)</f>
        <v>0</v>
      </c>
      <c r="V32" s="1">
        <f>SUM($B13:V13)</f>
        <v>0</v>
      </c>
      <c r="W32" s="1">
        <f>SUM($B13:W13)</f>
        <v>0</v>
      </c>
      <c r="X32" s="1">
        <f>SUM($B13:X13)</f>
        <v>0</v>
      </c>
      <c r="Y32" s="1">
        <f>SUM($B13:Y13)</f>
        <v>0</v>
      </c>
      <c r="Z32" s="1">
        <f>SUM($B13:Z13)</f>
        <v>0</v>
      </c>
      <c r="AA32" s="1">
        <f>SUM($B13:AA13)</f>
        <v>0</v>
      </c>
      <c r="AB32" s="1">
        <f>SUM($B13:AB13)</f>
        <v>0</v>
      </c>
      <c r="AC32" s="1">
        <f>SUM($B13:AC13)</f>
        <v>0</v>
      </c>
      <c r="AD32" s="1">
        <f>SUM($B13:AD13)</f>
        <v>0</v>
      </c>
      <c r="AE32" s="1">
        <f>SUM($B13:AE13)</f>
        <v>0</v>
      </c>
      <c r="AF32" s="1">
        <f>SUM($B13:AF13)</f>
        <v>0</v>
      </c>
    </row>
    <row r="33" spans="1:32">
      <c r="A33" s="6" t="s">
        <v>13</v>
      </c>
      <c r="B33" s="1">
        <f>SUM($B14:B14)</f>
        <v>0</v>
      </c>
      <c r="C33" s="1">
        <f>SUM($B14:C14)</f>
        <v>0</v>
      </c>
      <c r="D33" s="1">
        <f>SUM($B14:D14)</f>
        <v>0</v>
      </c>
      <c r="E33" s="1">
        <f>SUM($B14:E14)</f>
        <v>0</v>
      </c>
      <c r="F33" s="1">
        <f>SUM($B14:F14)</f>
        <v>0</v>
      </c>
      <c r="G33" s="1">
        <f>SUM($B14:G14)</f>
        <v>0</v>
      </c>
      <c r="H33" s="1">
        <f>SUM($B14:H14)</f>
        <v>0</v>
      </c>
      <c r="I33" s="1">
        <f>SUM($B14:I14)</f>
        <v>0</v>
      </c>
      <c r="J33" s="1">
        <f>SUM($B14:J14)</f>
        <v>0</v>
      </c>
      <c r="K33" s="1">
        <f>SUM($B14:K14)</f>
        <v>0</v>
      </c>
      <c r="L33" s="1">
        <f>SUM($B14:L14)</f>
        <v>0</v>
      </c>
      <c r="M33" s="1">
        <f>SUM($B14:M14)</f>
        <v>0</v>
      </c>
      <c r="N33" s="1">
        <f>SUM($B14:N14)</f>
        <v>0</v>
      </c>
      <c r="O33" s="1">
        <f>SUM($B14:O14)</f>
        <v>0</v>
      </c>
      <c r="P33" s="1">
        <f>SUM($B14:P14)</f>
        <v>0</v>
      </c>
      <c r="Q33" s="1">
        <f>SUM($B14:Q14)</f>
        <v>0</v>
      </c>
      <c r="R33" s="1">
        <f>SUM($B14:R14)</f>
        <v>0</v>
      </c>
      <c r="S33" s="1">
        <f>SUM($B14:S14)</f>
        <v>0</v>
      </c>
      <c r="T33" s="1">
        <f>SUM($B14:T14)</f>
        <v>0</v>
      </c>
      <c r="U33" s="1">
        <f>SUM($B14:U14)</f>
        <v>0</v>
      </c>
      <c r="V33" s="1">
        <f>SUM($B14:V14)</f>
        <v>0</v>
      </c>
      <c r="W33" s="1">
        <f>SUM($B14:W14)</f>
        <v>0</v>
      </c>
      <c r="X33" s="1">
        <f>SUM($B14:X14)</f>
        <v>0</v>
      </c>
      <c r="Y33" s="1">
        <f>SUM($B14:Y14)</f>
        <v>0</v>
      </c>
      <c r="Z33" s="1">
        <f>SUM($B14:Z14)</f>
        <v>0</v>
      </c>
      <c r="AA33" s="1">
        <f>SUM($B14:AA14)</f>
        <v>0</v>
      </c>
      <c r="AB33" s="1">
        <f>SUM($B14:AB14)</f>
        <v>0</v>
      </c>
      <c r="AC33" s="1">
        <f>SUM($B14:AC14)</f>
        <v>0</v>
      </c>
      <c r="AD33" s="1">
        <f>SUM($B14:AD14)</f>
        <v>0</v>
      </c>
      <c r="AE33" s="1">
        <f>SUM($B14:AE14)</f>
        <v>0</v>
      </c>
      <c r="AF33" s="1">
        <f>SUM($B14:AF14)</f>
        <v>0</v>
      </c>
    </row>
    <row r="34" spans="1:32">
      <c r="A34" s="2" t="s">
        <v>23</v>
      </c>
      <c r="B34" s="1">
        <f>SUM($B15:B15)</f>
        <v>0</v>
      </c>
      <c r="C34" s="1">
        <f>SUM($B15:C15)</f>
        <v>0</v>
      </c>
      <c r="D34" s="1">
        <f>SUM($B15:D15)</f>
        <v>0</v>
      </c>
      <c r="E34" s="1">
        <f>SUM($B15:E15)</f>
        <v>0</v>
      </c>
      <c r="F34" s="1">
        <f>SUM($B15:F15)</f>
        <v>0</v>
      </c>
      <c r="G34" s="1">
        <f>SUM($B15:G15)</f>
        <v>0</v>
      </c>
      <c r="H34" s="1">
        <f>SUM($B15:H15)</f>
        <v>0</v>
      </c>
      <c r="I34" s="1">
        <f>SUM($B15:I15)</f>
        <v>0</v>
      </c>
      <c r="J34" s="1">
        <f>SUM($B15:J15)</f>
        <v>0</v>
      </c>
      <c r="K34" s="1">
        <f>SUM($B15:K15)</f>
        <v>0</v>
      </c>
      <c r="L34" s="1">
        <f>SUM($B15:L15)</f>
        <v>0</v>
      </c>
      <c r="M34" s="1">
        <f>SUM($B15:M15)</f>
        <v>0</v>
      </c>
      <c r="N34" s="1">
        <f>SUM($B15:N15)</f>
        <v>0</v>
      </c>
      <c r="O34" s="1">
        <f>SUM($B15:O15)</f>
        <v>0</v>
      </c>
      <c r="P34" s="1">
        <f>SUM($B15:P15)</f>
        <v>0</v>
      </c>
      <c r="Q34" s="1">
        <f>SUM($B15:Q15)</f>
        <v>0</v>
      </c>
      <c r="R34" s="1">
        <f>SUM($B15:R15)</f>
        <v>0</v>
      </c>
      <c r="S34" s="1">
        <f>SUM($B15:S15)</f>
        <v>0</v>
      </c>
      <c r="T34" s="1">
        <f>SUM($B15:T15)</f>
        <v>0</v>
      </c>
      <c r="U34" s="1">
        <f>SUM($B15:U15)</f>
        <v>0</v>
      </c>
      <c r="V34" s="1">
        <f>SUM($B15:V15)</f>
        <v>0</v>
      </c>
      <c r="W34" s="1">
        <f>SUM($B15:W15)</f>
        <v>0</v>
      </c>
      <c r="X34" s="1">
        <f>SUM($B15:X15)</f>
        <v>0</v>
      </c>
      <c r="Y34" s="1">
        <f>SUM($B15:Y15)</f>
        <v>0</v>
      </c>
      <c r="Z34" s="1">
        <f>SUM($B15:Z15)</f>
        <v>0</v>
      </c>
      <c r="AA34" s="1">
        <f>SUM($B15:AA15)</f>
        <v>0</v>
      </c>
      <c r="AB34" s="1">
        <f>SUM($B15:AB15)</f>
        <v>0</v>
      </c>
      <c r="AC34" s="1">
        <f>SUM($B15:AC15)</f>
        <v>0</v>
      </c>
      <c r="AD34" s="1">
        <f>SUM($B15:AD15)</f>
        <v>0</v>
      </c>
      <c r="AE34" s="1">
        <f>SUM($B15:AE15)</f>
        <v>0</v>
      </c>
      <c r="AF34" s="1">
        <f>SUM($B15:AF15)</f>
        <v>0</v>
      </c>
    </row>
    <row r="35" spans="1:32">
      <c r="A35" s="2" t="s">
        <v>24</v>
      </c>
      <c r="B35" s="1">
        <f>SUM($B16:B16)</f>
        <v>1400</v>
      </c>
      <c r="C35" s="1">
        <f>SUM($B16:C16)</f>
        <v>1400</v>
      </c>
      <c r="D35" s="1">
        <f>SUM($B16:D16)</f>
        <v>2600</v>
      </c>
      <c r="E35" s="1">
        <f>SUM($B16:E16)</f>
        <v>2600</v>
      </c>
      <c r="F35" s="1">
        <f>SUM($B16:F16)</f>
        <v>2600</v>
      </c>
      <c r="G35" s="1">
        <f>SUM($B16:G16)</f>
        <v>2600</v>
      </c>
      <c r="H35" s="1">
        <f>SUM($B16:H16)</f>
        <v>2600</v>
      </c>
      <c r="I35" s="1">
        <f>SUM($B16:I16)</f>
        <v>2600</v>
      </c>
      <c r="J35" s="1">
        <f>SUM($B16:J16)</f>
        <v>2600</v>
      </c>
      <c r="K35" s="1">
        <f>SUM($B16:K16)</f>
        <v>2600</v>
      </c>
      <c r="L35" s="1">
        <f>SUM($B16:L16)</f>
        <v>2600</v>
      </c>
      <c r="M35" s="1">
        <f>SUM($B16:M16)</f>
        <v>2600</v>
      </c>
      <c r="N35" s="1">
        <f>SUM($B16:N16)</f>
        <v>2600</v>
      </c>
      <c r="O35" s="1">
        <f>SUM($B16:O16)</f>
        <v>2600</v>
      </c>
      <c r="P35" s="1">
        <f>SUM($B16:P16)</f>
        <v>2600</v>
      </c>
      <c r="Q35" s="1">
        <f>SUM($B16:Q16)</f>
        <v>2600</v>
      </c>
      <c r="R35" s="1">
        <f>SUM($B16:R16)</f>
        <v>2600</v>
      </c>
      <c r="S35" s="1">
        <f>SUM($B16:S16)</f>
        <v>2600</v>
      </c>
      <c r="T35" s="1">
        <f>SUM($B16:T16)</f>
        <v>2600</v>
      </c>
      <c r="U35" s="1">
        <f>SUM($B16:U16)</f>
        <v>2600</v>
      </c>
      <c r="V35" s="1">
        <f>SUM($B16:V16)</f>
        <v>2600</v>
      </c>
      <c r="W35" s="1">
        <f>SUM($B16:W16)</f>
        <v>2600</v>
      </c>
      <c r="X35" s="1">
        <f>SUM($B16:X16)</f>
        <v>2600</v>
      </c>
      <c r="Y35" s="1">
        <f>SUM($B16:Y16)</f>
        <v>2600</v>
      </c>
      <c r="Z35" s="1">
        <f>SUM($B16:Z16)</f>
        <v>2600</v>
      </c>
      <c r="AA35" s="1">
        <f>SUM($B16:AA16)</f>
        <v>2600</v>
      </c>
      <c r="AB35" s="1">
        <f>SUM($B16:AB16)</f>
        <v>2600</v>
      </c>
      <c r="AC35" s="1">
        <f>SUM($B16:AC16)</f>
        <v>2600</v>
      </c>
      <c r="AD35" s="1">
        <f>SUM($B16:AD16)</f>
        <v>2600</v>
      </c>
      <c r="AE35" s="1">
        <f>SUM($B16:AE16)</f>
        <v>2600</v>
      </c>
      <c r="AF35" s="1">
        <f>SUM($B16:AF16)</f>
        <v>2600</v>
      </c>
    </row>
    <row r="36" spans="1:32">
      <c r="A36" s="2" t="s">
        <v>25</v>
      </c>
      <c r="B36" s="1">
        <f>SUM($B17:B17)</f>
        <v>0</v>
      </c>
      <c r="C36" s="1">
        <f>SUM($B17:C17)</f>
        <v>0</v>
      </c>
      <c r="D36" s="1">
        <f>SUM($B17:D17)</f>
        <v>0</v>
      </c>
      <c r="E36" s="1">
        <f>SUM($B17:E17)</f>
        <v>0</v>
      </c>
      <c r="F36" s="1">
        <f>SUM($B17:F17)</f>
        <v>0</v>
      </c>
      <c r="G36" s="1">
        <f>SUM($B17:G17)</f>
        <v>0</v>
      </c>
      <c r="H36" s="1">
        <f>SUM($B17:H17)</f>
        <v>0</v>
      </c>
      <c r="I36" s="1">
        <f>SUM($B17:I17)</f>
        <v>0</v>
      </c>
      <c r="J36" s="1">
        <f>SUM($B17:J17)</f>
        <v>0</v>
      </c>
      <c r="K36" s="1">
        <f>SUM($B17:K17)</f>
        <v>0</v>
      </c>
      <c r="L36" s="1">
        <f>SUM($B17:L17)</f>
        <v>0</v>
      </c>
      <c r="M36" s="1">
        <f>SUM($B17:M17)</f>
        <v>0</v>
      </c>
      <c r="N36" s="1">
        <f>SUM($B17:N17)</f>
        <v>0</v>
      </c>
      <c r="O36" s="1">
        <f>SUM($B17:O17)</f>
        <v>0</v>
      </c>
      <c r="P36" s="1">
        <f>SUM($B17:P17)</f>
        <v>0</v>
      </c>
      <c r="Q36" s="1">
        <f>SUM($B17:Q17)</f>
        <v>0</v>
      </c>
      <c r="R36" s="1">
        <f>SUM($B17:R17)</f>
        <v>0</v>
      </c>
      <c r="S36" s="1">
        <f>SUM($B17:S17)</f>
        <v>0</v>
      </c>
      <c r="T36" s="1">
        <f>SUM($B17:T17)</f>
        <v>0</v>
      </c>
      <c r="U36" s="1">
        <f>SUM($B17:U17)</f>
        <v>0</v>
      </c>
      <c r="V36" s="1">
        <f>SUM($B17:V17)</f>
        <v>0</v>
      </c>
      <c r="W36" s="1">
        <f>SUM($B17:W17)</f>
        <v>0</v>
      </c>
      <c r="X36" s="1">
        <f>SUM($B17:X17)</f>
        <v>0</v>
      </c>
      <c r="Y36" s="1">
        <f>SUM($B17:Y17)</f>
        <v>0</v>
      </c>
      <c r="Z36" s="1">
        <f>SUM($B17:Z17)</f>
        <v>0</v>
      </c>
      <c r="AA36" s="1">
        <f>SUM($B17:AA17)</f>
        <v>0</v>
      </c>
      <c r="AB36" s="1">
        <f>SUM($B17:AB17)</f>
        <v>0</v>
      </c>
      <c r="AC36" s="1">
        <f>SUM($B17:AC17)</f>
        <v>0</v>
      </c>
      <c r="AD36" s="1">
        <f>SUM($B17:AD17)</f>
        <v>0</v>
      </c>
      <c r="AE36" s="1">
        <f>SUM($B17:AE17)</f>
        <v>0</v>
      </c>
      <c r="AF36" s="1">
        <f>SUM($B17:AF17)</f>
        <v>0</v>
      </c>
    </row>
    <row r="38" spans="1:32">
      <c r="A38" s="8" t="s">
        <v>30</v>
      </c>
    </row>
    <row r="39" spans="1:32">
      <c r="A39" s="6" t="s">
        <v>14</v>
      </c>
      <c r="B39" s="9">
        <f>ROUNDDOWN(B21/MPPC!$B2,0)</f>
        <v>0</v>
      </c>
      <c r="C39" s="9">
        <f>ROUNDDOWN(C21/MPPC!$B2,0)</f>
        <v>0</v>
      </c>
      <c r="D39" s="9">
        <f>ROUNDDOWN(D21/MPPC!$B2,0)</f>
        <v>0</v>
      </c>
      <c r="E39" s="9">
        <f>ROUNDDOWN(E21/MPPC!$B2,0)</f>
        <v>0</v>
      </c>
      <c r="F39" s="9">
        <f>ROUNDDOWN(F21/MPPC!$B2,0)</f>
        <v>0</v>
      </c>
      <c r="G39" s="9">
        <f>ROUNDDOWN(G21/MPPC!$B2,0)</f>
        <v>4</v>
      </c>
      <c r="H39" s="9">
        <f>ROUNDDOWN(H21/MPPC!$B2,0)</f>
        <v>14</v>
      </c>
      <c r="I39" s="9">
        <f>ROUNDDOWN(I21/MPPC!$B2,0)</f>
        <v>20</v>
      </c>
      <c r="J39" s="9">
        <f>ROUNDDOWN(J21/MPPC!$B2,0)</f>
        <v>26</v>
      </c>
      <c r="K39" s="9">
        <f>ROUNDDOWN(K21/MPPC!$B2,0)</f>
        <v>33</v>
      </c>
      <c r="L39" s="9">
        <f>ROUNDDOWN(L21/MPPC!$B2,0)</f>
        <v>37</v>
      </c>
      <c r="M39" s="9">
        <f>ROUNDDOWN(M21/MPPC!$B2,0)</f>
        <v>41</v>
      </c>
      <c r="N39" s="9">
        <f>ROUNDDOWN(N21/MPPC!$B2,0)</f>
        <v>45</v>
      </c>
      <c r="O39" s="9">
        <f>ROUNDDOWN(O21/MPPC!$B2,0)</f>
        <v>45</v>
      </c>
      <c r="P39" s="9">
        <f>ROUNDDOWN(P21/MPPC!$B2,0)</f>
        <v>51</v>
      </c>
      <c r="Q39" s="9">
        <f>ROUNDDOWN(Q21/MPPC!$B2,0)</f>
        <v>53</v>
      </c>
      <c r="R39" s="9">
        <f>ROUNDDOWN(R21/MPPC!$B2,0)</f>
        <v>55</v>
      </c>
      <c r="S39" s="9">
        <f>ROUNDDOWN(S21/MPPC!$B2,0)</f>
        <v>62</v>
      </c>
      <c r="T39" s="9">
        <f>ROUNDDOWN(T21/MPPC!$B2,0)</f>
        <v>75</v>
      </c>
      <c r="U39" s="9">
        <f>ROUNDDOWN(U21/MPPC!$B2,0)</f>
        <v>78</v>
      </c>
      <c r="V39" s="9">
        <f>ROUNDDOWN(V21/MPPC!$B2,0)</f>
        <v>78</v>
      </c>
      <c r="W39" s="9">
        <f>ROUNDDOWN(W21/MPPC!$B2,0)</f>
        <v>78</v>
      </c>
      <c r="X39" s="9">
        <f>ROUNDDOWN(X21/MPPC!$B2,0)</f>
        <v>78</v>
      </c>
      <c r="Y39" s="9">
        <f>ROUNDDOWN(Y21/MPPC!$B2,0)</f>
        <v>78</v>
      </c>
      <c r="Z39" s="9">
        <f>ROUNDDOWN(Z21/MPPC!$B2,0)</f>
        <v>85</v>
      </c>
      <c r="AA39" s="9">
        <f>ROUNDDOWN(AA21/MPPC!$B2,0)</f>
        <v>86</v>
      </c>
      <c r="AB39" s="9">
        <f>ROUNDDOWN(AB21/MPPC!$B2,0)</f>
        <v>105</v>
      </c>
      <c r="AC39" s="9">
        <f>ROUNDDOWN(AC21/MPPC!$B2,0)</f>
        <v>126</v>
      </c>
      <c r="AD39" s="9">
        <f>ROUNDDOWN(AD21/MPPC!$B2,0)</f>
        <v>126</v>
      </c>
      <c r="AE39" s="9">
        <f>ROUNDDOWN(AE21/MPPC!$B2,0)</f>
        <v>126</v>
      </c>
      <c r="AF39" s="9">
        <f>ROUNDDOWN(AF21/MPPC!$B2,0)</f>
        <v>126</v>
      </c>
    </row>
    <row r="40" spans="1:32">
      <c r="A40" s="6" t="s">
        <v>9</v>
      </c>
      <c r="B40" s="9">
        <f>ROUNDDOWN(B22/MPPC!$B3,0)</f>
        <v>0</v>
      </c>
      <c r="C40" s="9">
        <f>ROUNDDOWN(C22/MPPC!$B3,0)</f>
        <v>0</v>
      </c>
      <c r="D40" s="9">
        <f>ROUNDDOWN(D22/MPPC!$B3,0)</f>
        <v>0</v>
      </c>
      <c r="E40" s="9">
        <f>ROUNDDOWN(E22/MPPC!$B3,0)</f>
        <v>0</v>
      </c>
      <c r="F40" s="9">
        <f>ROUNDDOWN(F22/MPPC!$B3,0)</f>
        <v>0</v>
      </c>
      <c r="G40" s="9">
        <f>ROUNDDOWN(G22/MPPC!$B3,0)</f>
        <v>0</v>
      </c>
      <c r="H40" s="9">
        <f>ROUNDDOWN(H22/MPPC!$B3,0)</f>
        <v>0</v>
      </c>
      <c r="I40" s="9">
        <f>ROUNDDOWN(I22/MPPC!$B3,0)</f>
        <v>0</v>
      </c>
      <c r="J40" s="9">
        <f>ROUNDDOWN(J22/MPPC!$B3,0)</f>
        <v>0</v>
      </c>
      <c r="K40" s="9">
        <f>ROUNDDOWN(K22/MPPC!$B3,0)</f>
        <v>0</v>
      </c>
      <c r="L40" s="9">
        <f>ROUNDDOWN(L22/MPPC!$B3,0)</f>
        <v>0</v>
      </c>
      <c r="M40" s="9">
        <f>ROUNDDOWN(M22/MPPC!$B3,0)</f>
        <v>0</v>
      </c>
      <c r="N40" s="9">
        <f>ROUNDDOWN(N22/MPPC!$B3,0)</f>
        <v>0</v>
      </c>
      <c r="O40" s="9">
        <f>ROUNDDOWN(O22/MPPC!$B3,0)</f>
        <v>0</v>
      </c>
      <c r="P40" s="9">
        <f>ROUNDDOWN(P22/MPPC!$B3,0)</f>
        <v>0</v>
      </c>
      <c r="Q40" s="9">
        <f>ROUNDDOWN(Q22/MPPC!$B3,0)</f>
        <v>4</v>
      </c>
      <c r="R40" s="9">
        <f>ROUNDDOWN(R22/MPPC!$B3,0)</f>
        <v>10</v>
      </c>
      <c r="S40" s="9">
        <f>ROUNDDOWN(S22/MPPC!$B3,0)</f>
        <v>11</v>
      </c>
      <c r="T40" s="9">
        <f>ROUNDDOWN(T22/MPPC!$B3,0)</f>
        <v>14</v>
      </c>
      <c r="U40" s="9">
        <f>ROUNDDOWN(U22/MPPC!$B3,0)</f>
        <v>17</v>
      </c>
      <c r="V40" s="9">
        <f>ROUNDDOWN(V22/MPPC!$B3,0)</f>
        <v>30</v>
      </c>
      <c r="W40" s="9">
        <f>ROUNDDOWN(W22/MPPC!$B3,0)</f>
        <v>38</v>
      </c>
      <c r="X40" s="9">
        <f>ROUNDDOWN(X22/MPPC!$B3,0)</f>
        <v>43</v>
      </c>
      <c r="Y40" s="9">
        <f>ROUNDDOWN(Y22/MPPC!$B3,0)</f>
        <v>66</v>
      </c>
      <c r="Z40" s="9">
        <f>ROUNDDOWN(Z22/MPPC!$B3,0)</f>
        <v>95</v>
      </c>
      <c r="AA40" s="9">
        <f>ROUNDDOWN(AA22/MPPC!$B3,0)</f>
        <v>115</v>
      </c>
      <c r="AB40" s="9">
        <f>ROUNDDOWN(AB22/MPPC!$B3,0)</f>
        <v>117</v>
      </c>
      <c r="AC40" s="9">
        <f>ROUNDDOWN(AC22/MPPC!$B3,0)</f>
        <v>148</v>
      </c>
      <c r="AD40" s="9">
        <f>ROUNDDOWN(AD22/MPPC!$B3,0)</f>
        <v>151</v>
      </c>
      <c r="AE40" s="9">
        <f>ROUNDDOWN(AE22/MPPC!$B3,0)</f>
        <v>160</v>
      </c>
      <c r="AF40" s="9">
        <f>ROUNDDOWN(AF22/MPPC!$B3,0)</f>
        <v>161</v>
      </c>
    </row>
    <row r="41" spans="1:32">
      <c r="A41" s="6" t="s">
        <v>0</v>
      </c>
      <c r="B41" s="9">
        <f>ROUNDDOWN(B23/MPPC!$B4,0)</f>
        <v>0</v>
      </c>
      <c r="C41" s="9">
        <f>ROUNDDOWN(C23/MPPC!$B4,0)</f>
        <v>0</v>
      </c>
      <c r="D41" s="9">
        <f>ROUNDDOWN(D23/MPPC!$B4,0)</f>
        <v>0</v>
      </c>
      <c r="E41" s="9">
        <f>ROUNDDOWN(E23/MPPC!$B4,0)</f>
        <v>0</v>
      </c>
      <c r="F41" s="9">
        <f>ROUNDDOWN(F23/MPPC!$B4,0)</f>
        <v>0</v>
      </c>
      <c r="G41" s="9">
        <f>ROUNDDOWN(G23/MPPC!$B4,0)</f>
        <v>0</v>
      </c>
      <c r="H41" s="9">
        <f>ROUNDDOWN(H23/MPPC!$B4,0)</f>
        <v>0</v>
      </c>
      <c r="I41" s="9">
        <f>ROUNDDOWN(I23/MPPC!$B4,0)</f>
        <v>0</v>
      </c>
      <c r="J41" s="9">
        <f>ROUNDDOWN(J23/MPPC!$B4,0)</f>
        <v>0</v>
      </c>
      <c r="K41" s="9">
        <f>ROUNDDOWN(K23/MPPC!$B4,0)</f>
        <v>0</v>
      </c>
      <c r="L41" s="9">
        <f>ROUNDDOWN(L23/MPPC!$B4,0)</f>
        <v>0</v>
      </c>
      <c r="M41" s="9">
        <f>ROUNDDOWN(M23/MPPC!$B4,0)</f>
        <v>0</v>
      </c>
      <c r="N41" s="9">
        <f>ROUNDDOWN(N23/MPPC!$B4,0)</f>
        <v>0</v>
      </c>
      <c r="O41" s="9">
        <f>ROUNDDOWN(O23/MPPC!$B4,0)</f>
        <v>0</v>
      </c>
      <c r="P41" s="9">
        <f>ROUNDDOWN(P23/MPPC!$B4,0)</f>
        <v>0</v>
      </c>
      <c r="Q41" s="9">
        <f>ROUNDDOWN(Q23/MPPC!$B4,0)</f>
        <v>0</v>
      </c>
      <c r="R41" s="9">
        <f>ROUNDDOWN(R23/MPPC!$B4,0)</f>
        <v>0</v>
      </c>
      <c r="S41" s="9">
        <f>ROUNDDOWN(S23/MPPC!$B4,0)</f>
        <v>0</v>
      </c>
      <c r="T41" s="9">
        <f>ROUNDDOWN(T23/MPPC!$B4,0)</f>
        <v>0</v>
      </c>
      <c r="U41" s="9">
        <f>ROUNDDOWN(U23/MPPC!$B4,0)</f>
        <v>0</v>
      </c>
      <c r="V41" s="9">
        <f>ROUNDDOWN(V23/MPPC!$B4,0)</f>
        <v>0</v>
      </c>
      <c r="W41" s="9">
        <f>ROUNDDOWN(W23/MPPC!$B4,0)</f>
        <v>2</v>
      </c>
      <c r="X41" s="9">
        <f>ROUNDDOWN(X23/MPPC!$B4,0)</f>
        <v>6</v>
      </c>
      <c r="Y41" s="9">
        <f>ROUNDDOWN(Y23/MPPC!$B4,0)</f>
        <v>6</v>
      </c>
      <c r="Z41" s="9">
        <f>ROUNDDOWN(Z23/MPPC!$B4,0)</f>
        <v>6</v>
      </c>
      <c r="AA41" s="9">
        <f>ROUNDDOWN(AA23/MPPC!$B4,0)</f>
        <v>8</v>
      </c>
      <c r="AB41" s="9">
        <f>ROUNDDOWN(AB23/MPPC!$B4,0)</f>
        <v>10</v>
      </c>
      <c r="AC41" s="9">
        <f>ROUNDDOWN(AC23/MPPC!$B4,0)</f>
        <v>10</v>
      </c>
      <c r="AD41" s="9">
        <f>ROUNDDOWN(AD23/MPPC!$B4,0)</f>
        <v>10</v>
      </c>
      <c r="AE41" s="9">
        <f>ROUNDDOWN(AE23/MPPC!$B4,0)</f>
        <v>13</v>
      </c>
      <c r="AF41" s="9">
        <f>ROUNDDOWN(AF23/MPPC!$B4,0)</f>
        <v>13</v>
      </c>
    </row>
    <row r="42" spans="1:32">
      <c r="A42" s="6" t="s">
        <v>1</v>
      </c>
      <c r="B42" s="9">
        <f>ROUNDDOWN(B24/MPPC!$B5,0)</f>
        <v>2</v>
      </c>
      <c r="C42" s="9">
        <f>ROUNDDOWN(C24/MPPC!$B5,0)</f>
        <v>2</v>
      </c>
      <c r="D42" s="9">
        <f>ROUNDDOWN(D24/MPPC!$B5,0)</f>
        <v>31</v>
      </c>
      <c r="E42" s="9">
        <f>ROUNDDOWN(E24/MPPC!$B5,0)</f>
        <v>38</v>
      </c>
      <c r="F42" s="9">
        <f>ROUNDDOWN(F24/MPPC!$B5,0)</f>
        <v>40</v>
      </c>
      <c r="G42" s="9">
        <f>ROUNDDOWN(G24/MPPC!$B5,0)</f>
        <v>40</v>
      </c>
      <c r="H42" s="9">
        <f>ROUNDDOWN(H24/MPPC!$B5,0)</f>
        <v>40</v>
      </c>
      <c r="I42" s="9">
        <f>ROUNDDOWN(I24/MPPC!$B5,0)</f>
        <v>40</v>
      </c>
      <c r="J42" s="9">
        <f>ROUNDDOWN(J24/MPPC!$B5,0)</f>
        <v>40</v>
      </c>
      <c r="K42" s="9">
        <f>ROUNDDOWN(K24/MPPC!$B5,0)</f>
        <v>40</v>
      </c>
      <c r="L42" s="9">
        <f>ROUNDDOWN(L24/MPPC!$B5,0)</f>
        <v>40</v>
      </c>
      <c r="M42" s="9">
        <f>ROUNDDOWN(M24/MPPC!$B5,0)</f>
        <v>40</v>
      </c>
      <c r="N42" s="9">
        <f>ROUNDDOWN(N24/MPPC!$B5,0)</f>
        <v>40</v>
      </c>
      <c r="O42" s="9">
        <f>ROUNDDOWN(O24/MPPC!$B5,0)</f>
        <v>40</v>
      </c>
      <c r="P42" s="9">
        <f>ROUNDDOWN(P24/MPPC!$B5,0)</f>
        <v>40</v>
      </c>
      <c r="Q42" s="9">
        <f>ROUNDDOWN(Q24/MPPC!$B5,0)</f>
        <v>40</v>
      </c>
      <c r="R42" s="9">
        <f>ROUNDDOWN(R24/MPPC!$B5,0)</f>
        <v>40</v>
      </c>
      <c r="S42" s="9">
        <f>ROUNDDOWN(S24/MPPC!$B5,0)</f>
        <v>40</v>
      </c>
      <c r="T42" s="9">
        <f>ROUNDDOWN(T24/MPPC!$B5,0)</f>
        <v>40</v>
      </c>
      <c r="U42" s="9">
        <f>ROUNDDOWN(U24/MPPC!$B5,0)</f>
        <v>40</v>
      </c>
      <c r="V42" s="9">
        <f>ROUNDDOWN(V24/MPPC!$B5,0)</f>
        <v>40</v>
      </c>
      <c r="W42" s="9">
        <f>ROUNDDOWN(W24/MPPC!$B5,0)</f>
        <v>40</v>
      </c>
      <c r="X42" s="9">
        <f>ROUNDDOWN(X24/MPPC!$B5,0)</f>
        <v>40</v>
      </c>
      <c r="Y42" s="9">
        <f>ROUNDDOWN(Y24/MPPC!$B5,0)</f>
        <v>40</v>
      </c>
      <c r="Z42" s="9">
        <f>ROUNDDOWN(Z24/MPPC!$B5,0)</f>
        <v>40</v>
      </c>
      <c r="AA42" s="9">
        <f>ROUNDDOWN(AA24/MPPC!$B5,0)</f>
        <v>40</v>
      </c>
      <c r="AB42" s="9">
        <f>ROUNDDOWN(AB24/MPPC!$B5,0)</f>
        <v>40</v>
      </c>
      <c r="AC42" s="9">
        <f>ROUNDDOWN(AC24/MPPC!$B5,0)</f>
        <v>40</v>
      </c>
      <c r="AD42" s="9">
        <f>ROUNDDOWN(AD24/MPPC!$B5,0)</f>
        <v>40</v>
      </c>
      <c r="AE42" s="9">
        <f>ROUNDDOWN(AE24/MPPC!$B5,0)</f>
        <v>40</v>
      </c>
      <c r="AF42" s="9">
        <f>ROUNDDOWN(AF24/MPPC!$B5,0)</f>
        <v>40</v>
      </c>
    </row>
    <row r="43" spans="1:32">
      <c r="A43" s="6" t="s">
        <v>15</v>
      </c>
      <c r="B43" s="9">
        <f>ROUNDDOWN(B25/MPPC!$B6,0)</f>
        <v>0</v>
      </c>
      <c r="C43" s="9">
        <f>ROUNDDOWN(C25/MPPC!$B6,0)</f>
        <v>0</v>
      </c>
      <c r="D43" s="9">
        <f>ROUNDDOWN(D25/MPPC!$B6,0)</f>
        <v>0</v>
      </c>
      <c r="E43" s="9">
        <f>ROUNDDOWN(E25/MPPC!$B6,0)</f>
        <v>0</v>
      </c>
      <c r="F43" s="9">
        <f>ROUNDDOWN(F25/MPPC!$B6,0)</f>
        <v>0</v>
      </c>
      <c r="G43" s="9">
        <f>ROUNDDOWN(G25/MPPC!$B6,0)</f>
        <v>0</v>
      </c>
      <c r="H43" s="9">
        <f>ROUNDDOWN(H25/MPPC!$B6,0)</f>
        <v>0</v>
      </c>
      <c r="I43" s="9">
        <f>ROUNDDOWN(I25/MPPC!$B6,0)</f>
        <v>0</v>
      </c>
      <c r="J43" s="9">
        <f>ROUNDDOWN(J25/MPPC!$B6,0)</f>
        <v>0</v>
      </c>
      <c r="K43" s="9">
        <f>ROUNDDOWN(K25/MPPC!$B6,0)</f>
        <v>0</v>
      </c>
      <c r="L43" s="9">
        <f>ROUNDDOWN(L25/MPPC!$B6,0)</f>
        <v>0</v>
      </c>
      <c r="M43" s="9">
        <f>ROUNDDOWN(M25/MPPC!$B6,0)</f>
        <v>0</v>
      </c>
      <c r="N43" s="9">
        <f>ROUNDDOWN(N25/MPPC!$B6,0)</f>
        <v>0</v>
      </c>
      <c r="O43" s="9">
        <f>ROUNDDOWN(O25/MPPC!$B6,0)</f>
        <v>0</v>
      </c>
      <c r="P43" s="9">
        <f>ROUNDDOWN(P25/MPPC!$B6,0)</f>
        <v>0</v>
      </c>
      <c r="Q43" s="9">
        <f>ROUNDDOWN(Q25/MPPC!$B6,0)</f>
        <v>0</v>
      </c>
      <c r="R43" s="9">
        <f>ROUNDDOWN(R25/MPPC!$B6,0)</f>
        <v>0</v>
      </c>
      <c r="S43" s="9">
        <f>ROUNDDOWN(S25/MPPC!$B6,0)</f>
        <v>0</v>
      </c>
      <c r="T43" s="9">
        <f>ROUNDDOWN(T25/MPPC!$B6,0)</f>
        <v>0</v>
      </c>
      <c r="U43" s="9">
        <f>ROUNDDOWN(U25/MPPC!$B6,0)</f>
        <v>0</v>
      </c>
      <c r="V43" s="9">
        <f>ROUNDDOWN(V25/MPPC!$B6,0)</f>
        <v>0</v>
      </c>
      <c r="W43" s="9">
        <f>ROUNDDOWN(W25/MPPC!$B6,0)</f>
        <v>0</v>
      </c>
      <c r="X43" s="9">
        <f>ROUNDDOWN(X25/MPPC!$B6,0)</f>
        <v>0</v>
      </c>
      <c r="Y43" s="9">
        <f>ROUNDDOWN(Y25/MPPC!$B6,0)</f>
        <v>0</v>
      </c>
      <c r="Z43" s="9">
        <f>ROUNDDOWN(Z25/MPPC!$B6,0)</f>
        <v>0</v>
      </c>
      <c r="AA43" s="9">
        <f>ROUNDDOWN(AA25/MPPC!$B6,0)</f>
        <v>0</v>
      </c>
      <c r="AB43" s="9">
        <f>ROUNDDOWN(AB25/MPPC!$B6,0)</f>
        <v>0</v>
      </c>
      <c r="AC43" s="9">
        <f>ROUNDDOWN(AC25/MPPC!$B6,0)</f>
        <v>0</v>
      </c>
      <c r="AD43" s="9">
        <f>ROUNDDOWN(AD25/MPPC!$B6,0)</f>
        <v>0</v>
      </c>
      <c r="AE43" s="9">
        <f>ROUNDDOWN(AE25/MPPC!$B6,0)</f>
        <v>0</v>
      </c>
      <c r="AF43" s="9">
        <f>ROUNDDOWN(AF25/MPPC!$B6,0)</f>
        <v>0</v>
      </c>
    </row>
    <row r="44" spans="1:32">
      <c r="A44" s="6" t="s">
        <v>2</v>
      </c>
      <c r="B44" s="9">
        <f>ROUNDDOWN(B26/MPPC!$B7,0)</f>
        <v>0</v>
      </c>
      <c r="C44" s="9">
        <f>ROUNDDOWN(C26/MPPC!$B7,0)</f>
        <v>0</v>
      </c>
      <c r="D44" s="9">
        <f>ROUNDDOWN(D26/MPPC!$B7,0)</f>
        <v>0</v>
      </c>
      <c r="E44" s="9">
        <f>ROUNDDOWN(E26/MPPC!$B7,0)</f>
        <v>0</v>
      </c>
      <c r="F44" s="9">
        <f>ROUNDDOWN(F26/MPPC!$B7,0)</f>
        <v>0</v>
      </c>
      <c r="G44" s="9">
        <f>ROUNDDOWN(G26/MPPC!$B7,0)</f>
        <v>0</v>
      </c>
      <c r="H44" s="9">
        <f>ROUNDDOWN(H26/MPPC!$B7,0)</f>
        <v>0</v>
      </c>
      <c r="I44" s="9">
        <f>ROUNDDOWN(I26/MPPC!$B7,0)</f>
        <v>0</v>
      </c>
      <c r="J44" s="9">
        <f>ROUNDDOWN(J26/MPPC!$B7,0)</f>
        <v>0</v>
      </c>
      <c r="K44" s="9">
        <f>ROUNDDOWN(K26/MPPC!$B7,0)</f>
        <v>0</v>
      </c>
      <c r="L44" s="9">
        <f>ROUNDDOWN(L26/MPPC!$B7,0)</f>
        <v>0</v>
      </c>
      <c r="M44" s="9">
        <f>ROUNDDOWN(M26/MPPC!$B7,0)</f>
        <v>0</v>
      </c>
      <c r="N44" s="9">
        <f>ROUNDDOWN(N26/MPPC!$B7,0)</f>
        <v>0</v>
      </c>
      <c r="O44" s="9">
        <f>ROUNDDOWN(O26/MPPC!$B7,0)</f>
        <v>0</v>
      </c>
      <c r="P44" s="9">
        <f>ROUNDDOWN(P26/MPPC!$B7,0)</f>
        <v>0</v>
      </c>
      <c r="Q44" s="9">
        <f>ROUNDDOWN(Q26/MPPC!$B7,0)</f>
        <v>0</v>
      </c>
      <c r="R44" s="9">
        <f>ROUNDDOWN(R26/MPPC!$B7,0)</f>
        <v>0</v>
      </c>
      <c r="S44" s="9">
        <f>ROUNDDOWN(S26/MPPC!$B7,0)</f>
        <v>0</v>
      </c>
      <c r="T44" s="9">
        <f>ROUNDDOWN(T26/MPPC!$B7,0)</f>
        <v>0</v>
      </c>
      <c r="U44" s="9">
        <f>ROUNDDOWN(U26/MPPC!$B7,0)</f>
        <v>0</v>
      </c>
      <c r="V44" s="9">
        <f>ROUNDDOWN(V26/MPPC!$B7,0)</f>
        <v>0</v>
      </c>
      <c r="W44" s="9">
        <f>ROUNDDOWN(W26/MPPC!$B7,0)</f>
        <v>0</v>
      </c>
      <c r="X44" s="9">
        <f>ROUNDDOWN(X26/MPPC!$B7,0)</f>
        <v>0</v>
      </c>
      <c r="Y44" s="9">
        <f>ROUNDDOWN(Y26/MPPC!$B7,0)</f>
        <v>0</v>
      </c>
      <c r="Z44" s="9">
        <f>ROUNDDOWN(Z26/MPPC!$B7,0)</f>
        <v>0</v>
      </c>
      <c r="AA44" s="9">
        <f>ROUNDDOWN(AA26/MPPC!$B7,0)</f>
        <v>0</v>
      </c>
      <c r="AB44" s="9">
        <f>ROUNDDOWN(AB26/MPPC!$B7,0)</f>
        <v>0</v>
      </c>
      <c r="AC44" s="9">
        <f>ROUNDDOWN(AC26/MPPC!$B7,0)</f>
        <v>0</v>
      </c>
      <c r="AD44" s="9">
        <f>ROUNDDOWN(AD26/MPPC!$B7,0)</f>
        <v>0</v>
      </c>
      <c r="AE44" s="9">
        <f>ROUNDDOWN(AE26/MPPC!$B7,0)</f>
        <v>0</v>
      </c>
      <c r="AF44" s="9">
        <f>ROUNDDOWN(AF26/MPPC!$B7,0)</f>
        <v>0</v>
      </c>
    </row>
    <row r="45" spans="1:32">
      <c r="A45" s="6" t="s">
        <v>3</v>
      </c>
      <c r="B45" s="9">
        <f>ROUNDDOWN(B27/MPPC!$B8,0)</f>
        <v>0</v>
      </c>
      <c r="C45" s="9">
        <f>ROUNDDOWN(C27/MPPC!$B8,0)</f>
        <v>0</v>
      </c>
      <c r="D45" s="9">
        <f>ROUNDDOWN(D27/MPPC!$B8,0)</f>
        <v>0</v>
      </c>
      <c r="E45" s="9">
        <f>ROUNDDOWN(E27/MPPC!$B8,0)</f>
        <v>0</v>
      </c>
      <c r="F45" s="9">
        <f>ROUNDDOWN(F27/MPPC!$B8,0)</f>
        <v>0</v>
      </c>
      <c r="G45" s="9">
        <f>ROUNDDOWN(G27/MPPC!$B8,0)</f>
        <v>0</v>
      </c>
      <c r="H45" s="9">
        <f>ROUNDDOWN(H27/MPPC!$B8,0)</f>
        <v>0</v>
      </c>
      <c r="I45" s="9">
        <f>ROUNDDOWN(I27/MPPC!$B8,0)</f>
        <v>0</v>
      </c>
      <c r="J45" s="9">
        <f>ROUNDDOWN(J27/MPPC!$B8,0)</f>
        <v>0</v>
      </c>
      <c r="K45" s="9">
        <f>ROUNDDOWN(K27/MPPC!$B8,0)</f>
        <v>0</v>
      </c>
      <c r="L45" s="9">
        <f>ROUNDDOWN(L27/MPPC!$B8,0)</f>
        <v>0</v>
      </c>
      <c r="M45" s="9">
        <f>ROUNDDOWN(M27/MPPC!$B8,0)</f>
        <v>0</v>
      </c>
      <c r="N45" s="9">
        <f>ROUNDDOWN(N27/MPPC!$B8,0)</f>
        <v>0</v>
      </c>
      <c r="O45" s="9">
        <f>ROUNDDOWN(O27/MPPC!$B8,0)</f>
        <v>0</v>
      </c>
      <c r="P45" s="9">
        <f>ROUNDDOWN(P27/MPPC!$B8,0)</f>
        <v>0</v>
      </c>
      <c r="Q45" s="9">
        <f>ROUNDDOWN(Q27/MPPC!$B8,0)</f>
        <v>0</v>
      </c>
      <c r="R45" s="9">
        <f>ROUNDDOWN(R27/MPPC!$B8,0)</f>
        <v>0</v>
      </c>
      <c r="S45" s="9">
        <f>ROUNDDOWN(S27/MPPC!$B8,0)</f>
        <v>0</v>
      </c>
      <c r="T45" s="9">
        <f>ROUNDDOWN(T27/MPPC!$B8,0)</f>
        <v>0</v>
      </c>
      <c r="U45" s="9">
        <f>ROUNDDOWN(U27/MPPC!$B8,0)</f>
        <v>0</v>
      </c>
      <c r="V45" s="9">
        <f>ROUNDDOWN(V27/MPPC!$B8,0)</f>
        <v>0</v>
      </c>
      <c r="W45" s="9">
        <f>ROUNDDOWN(W27/MPPC!$B8,0)</f>
        <v>0</v>
      </c>
      <c r="X45" s="9">
        <f>ROUNDDOWN(X27/MPPC!$B8,0)</f>
        <v>0</v>
      </c>
      <c r="Y45" s="9">
        <f>ROUNDDOWN(Y27/MPPC!$B8,0)</f>
        <v>0</v>
      </c>
      <c r="Z45" s="9">
        <f>ROUNDDOWN(Z27/MPPC!$B8,0)</f>
        <v>0</v>
      </c>
      <c r="AA45" s="9">
        <f>ROUNDDOWN(AA27/MPPC!$B8,0)</f>
        <v>0</v>
      </c>
      <c r="AB45" s="9">
        <f>ROUNDDOWN(AB27/MPPC!$B8,0)</f>
        <v>0</v>
      </c>
      <c r="AC45" s="9">
        <f>ROUNDDOWN(AC27/MPPC!$B8,0)</f>
        <v>0</v>
      </c>
      <c r="AD45" s="9">
        <f>ROUNDDOWN(AD27/MPPC!$B8,0)</f>
        <v>0</v>
      </c>
      <c r="AE45" s="9">
        <f>ROUNDDOWN(AE27/MPPC!$B8,0)</f>
        <v>0</v>
      </c>
      <c r="AF45" s="9">
        <f>ROUNDDOWN(AF27/MPPC!$B8,0)</f>
        <v>0</v>
      </c>
    </row>
    <row r="46" spans="1:32">
      <c r="A46" s="6" t="s">
        <v>4</v>
      </c>
      <c r="B46" s="9">
        <f>ROUNDDOWN(B28/MPPC!$B9,0)</f>
        <v>0</v>
      </c>
      <c r="C46" s="9">
        <f>ROUNDDOWN(C28/MPPC!$B9,0)</f>
        <v>0</v>
      </c>
      <c r="D46" s="9">
        <f>ROUNDDOWN(D28/MPPC!$B9,0)</f>
        <v>0</v>
      </c>
      <c r="E46" s="9">
        <f>ROUNDDOWN(E28/MPPC!$B9,0)</f>
        <v>0</v>
      </c>
      <c r="F46" s="9">
        <f>ROUNDDOWN(F28/MPPC!$B9,0)</f>
        <v>0</v>
      </c>
      <c r="G46" s="9">
        <f>ROUNDDOWN(G28/MPPC!$B9,0)</f>
        <v>0</v>
      </c>
      <c r="H46" s="9">
        <f>ROUNDDOWN(H28/MPPC!$B9,0)</f>
        <v>0</v>
      </c>
      <c r="I46" s="9">
        <f>ROUNDDOWN(I28/MPPC!$B9,0)</f>
        <v>0</v>
      </c>
      <c r="J46" s="9">
        <f>ROUNDDOWN(J28/MPPC!$B9,0)</f>
        <v>0</v>
      </c>
      <c r="K46" s="9">
        <f>ROUNDDOWN(K28/MPPC!$B9,0)</f>
        <v>0</v>
      </c>
      <c r="L46" s="9">
        <f>ROUNDDOWN(L28/MPPC!$B9,0)</f>
        <v>0</v>
      </c>
      <c r="M46" s="9">
        <f>ROUNDDOWN(M28/MPPC!$B9,0)</f>
        <v>0</v>
      </c>
      <c r="N46" s="9">
        <f>ROUNDDOWN(N28/MPPC!$B9,0)</f>
        <v>0</v>
      </c>
      <c r="O46" s="9">
        <f>ROUNDDOWN(O28/MPPC!$B9,0)</f>
        <v>0</v>
      </c>
      <c r="P46" s="9">
        <f>ROUNDDOWN(P28/MPPC!$B9,0)</f>
        <v>0</v>
      </c>
      <c r="Q46" s="9">
        <f>ROUNDDOWN(Q28/MPPC!$B9,0)</f>
        <v>0</v>
      </c>
      <c r="R46" s="9">
        <f>ROUNDDOWN(R28/MPPC!$B9,0)</f>
        <v>5</v>
      </c>
      <c r="S46" s="9">
        <f>ROUNDDOWN(S28/MPPC!$B9,0)</f>
        <v>11</v>
      </c>
      <c r="T46" s="9">
        <f>ROUNDDOWN(T28/MPPC!$B9,0)</f>
        <v>11</v>
      </c>
      <c r="U46" s="9">
        <f>ROUNDDOWN(U28/MPPC!$B9,0)</f>
        <v>11</v>
      </c>
      <c r="V46" s="9">
        <f>ROUNDDOWN(V28/MPPC!$B9,0)</f>
        <v>11</v>
      </c>
      <c r="W46" s="9">
        <f>ROUNDDOWN(W28/MPPC!$B9,0)</f>
        <v>11</v>
      </c>
      <c r="X46" s="9">
        <f>ROUNDDOWN(X28/MPPC!$B9,0)</f>
        <v>11</v>
      </c>
      <c r="Y46" s="9">
        <f>ROUNDDOWN(Y28/MPPC!$B9,0)</f>
        <v>11</v>
      </c>
      <c r="Z46" s="9">
        <f>ROUNDDOWN(Z28/MPPC!$B9,0)</f>
        <v>11</v>
      </c>
      <c r="AA46" s="9">
        <f>ROUNDDOWN(AA28/MPPC!$B9,0)</f>
        <v>11</v>
      </c>
      <c r="AB46" s="9">
        <f>ROUNDDOWN(AB28/MPPC!$B9,0)</f>
        <v>11</v>
      </c>
      <c r="AC46" s="9">
        <f>ROUNDDOWN(AC28/MPPC!$B9,0)</f>
        <v>11</v>
      </c>
      <c r="AD46" s="9">
        <f>ROUNDDOWN(AD28/MPPC!$B9,0)</f>
        <v>11</v>
      </c>
      <c r="AE46" s="9">
        <f>ROUNDDOWN(AE28/MPPC!$B9,0)</f>
        <v>11</v>
      </c>
      <c r="AF46" s="9">
        <f>ROUNDDOWN(AF28/MPPC!$B9,0)</f>
        <v>11</v>
      </c>
    </row>
    <row r="47" spans="1:32">
      <c r="A47" s="6" t="s">
        <v>5</v>
      </c>
      <c r="B47" s="9">
        <f>ROUNDDOWN(B29/MPPC!$B10,0)</f>
        <v>0</v>
      </c>
      <c r="C47" s="9">
        <f>ROUNDDOWN(C29/MPPC!$B10,0)</f>
        <v>0</v>
      </c>
      <c r="D47" s="9">
        <f>ROUNDDOWN(D29/MPPC!$B10,0)</f>
        <v>0</v>
      </c>
      <c r="E47" s="9">
        <f>ROUNDDOWN(E29/MPPC!$B10,0)</f>
        <v>0</v>
      </c>
      <c r="F47" s="9">
        <f>ROUNDDOWN(F29/MPPC!$B10,0)</f>
        <v>0</v>
      </c>
      <c r="G47" s="9">
        <f>ROUNDDOWN(G29/MPPC!$B10,0)</f>
        <v>0</v>
      </c>
      <c r="H47" s="9">
        <f>ROUNDDOWN(H29/MPPC!$B10,0)</f>
        <v>0</v>
      </c>
      <c r="I47" s="9">
        <f>ROUNDDOWN(I29/MPPC!$B10,0)</f>
        <v>0</v>
      </c>
      <c r="J47" s="9">
        <f>ROUNDDOWN(J29/MPPC!$B10,0)</f>
        <v>0</v>
      </c>
      <c r="K47" s="9">
        <f>ROUNDDOWN(K29/MPPC!$B10,0)</f>
        <v>0</v>
      </c>
      <c r="L47" s="9">
        <f>ROUNDDOWN(L29/MPPC!$B10,0)</f>
        <v>0</v>
      </c>
      <c r="M47" s="9">
        <f>ROUNDDOWN(M29/MPPC!$B10,0)</f>
        <v>0</v>
      </c>
      <c r="N47" s="9">
        <f>ROUNDDOWN(N29/MPPC!$B10,0)</f>
        <v>0</v>
      </c>
      <c r="O47" s="9">
        <f>ROUNDDOWN(O29/MPPC!$B10,0)</f>
        <v>0</v>
      </c>
      <c r="P47" s="9">
        <f>ROUNDDOWN(P29/MPPC!$B10,0)</f>
        <v>0</v>
      </c>
      <c r="Q47" s="9">
        <f>ROUNDDOWN(Q29/MPPC!$B10,0)</f>
        <v>0</v>
      </c>
      <c r="R47" s="9">
        <f>ROUNDDOWN(R29/MPPC!$B10,0)</f>
        <v>0</v>
      </c>
      <c r="S47" s="9">
        <f>ROUNDDOWN(S29/MPPC!$B10,0)</f>
        <v>0</v>
      </c>
      <c r="T47" s="9">
        <f>ROUNDDOWN(T29/MPPC!$B10,0)</f>
        <v>0</v>
      </c>
      <c r="U47" s="9">
        <f>ROUNDDOWN(U29/MPPC!$B10,0)</f>
        <v>0</v>
      </c>
      <c r="V47" s="9">
        <f>ROUNDDOWN(V29/MPPC!$B10,0)</f>
        <v>0</v>
      </c>
      <c r="W47" s="9">
        <f>ROUNDDOWN(W29/MPPC!$B10,0)</f>
        <v>0</v>
      </c>
      <c r="X47" s="9">
        <f>ROUNDDOWN(X29/MPPC!$B10,0)</f>
        <v>0</v>
      </c>
      <c r="Y47" s="9">
        <f>ROUNDDOWN(Y29/MPPC!$B10,0)</f>
        <v>0</v>
      </c>
      <c r="Z47" s="9">
        <f>ROUNDDOWN(Z29/MPPC!$B10,0)</f>
        <v>0</v>
      </c>
      <c r="AA47" s="9">
        <f>ROUNDDOWN(AA29/MPPC!$B10,0)</f>
        <v>0</v>
      </c>
      <c r="AB47" s="9">
        <f>ROUNDDOWN(AB29/MPPC!$B10,0)</f>
        <v>0</v>
      </c>
      <c r="AC47" s="9">
        <f>ROUNDDOWN(AC29/MPPC!$B10,0)</f>
        <v>0</v>
      </c>
      <c r="AD47" s="9">
        <f>ROUNDDOWN(AD29/MPPC!$B10,0)</f>
        <v>0</v>
      </c>
      <c r="AE47" s="9">
        <f>ROUNDDOWN(AE29/MPPC!$B10,0)</f>
        <v>0</v>
      </c>
      <c r="AF47" s="9">
        <f>ROUNDDOWN(AF29/MPPC!$B10,0)</f>
        <v>0</v>
      </c>
    </row>
    <row r="48" spans="1:32">
      <c r="A48" s="6" t="s">
        <v>10</v>
      </c>
      <c r="B48" s="9">
        <f>ROUNDDOWN(B30/MPPC!$B11,0)</f>
        <v>112</v>
      </c>
      <c r="C48" s="9">
        <f>ROUNDDOWN(C30/MPPC!$B11,0)</f>
        <v>112</v>
      </c>
      <c r="D48" s="9">
        <f>ROUNDDOWN(D30/MPPC!$B11,0)</f>
        <v>112</v>
      </c>
      <c r="E48" s="9">
        <f>ROUNDDOWN(E30/MPPC!$B11,0)</f>
        <v>112</v>
      </c>
      <c r="F48" s="9">
        <f>ROUNDDOWN(F30/MPPC!$B11,0)</f>
        <v>112</v>
      </c>
      <c r="G48" s="9">
        <f>ROUNDDOWN(G30/MPPC!$B11,0)</f>
        <v>112</v>
      </c>
      <c r="H48" s="9">
        <f>ROUNDDOWN(H30/MPPC!$B11,0)</f>
        <v>112</v>
      </c>
      <c r="I48" s="9">
        <f>ROUNDDOWN(I30/MPPC!$B11,0)</f>
        <v>112</v>
      </c>
      <c r="J48" s="9">
        <f>ROUNDDOWN(J30/MPPC!$B11,0)</f>
        <v>112</v>
      </c>
      <c r="K48" s="9">
        <f>ROUNDDOWN(K30/MPPC!$B11,0)</f>
        <v>112</v>
      </c>
      <c r="L48" s="9">
        <f>ROUNDDOWN(L30/MPPC!$B11,0)</f>
        <v>112</v>
      </c>
      <c r="M48" s="9">
        <f>ROUNDDOWN(M30/MPPC!$B11,0)</f>
        <v>112</v>
      </c>
      <c r="N48" s="9">
        <f>ROUNDDOWN(N30/MPPC!$B11,0)</f>
        <v>112</v>
      </c>
      <c r="O48" s="9">
        <f>ROUNDDOWN(O30/MPPC!$B11,0)</f>
        <v>112</v>
      </c>
      <c r="P48" s="9">
        <f>ROUNDDOWN(P30/MPPC!$B11,0)</f>
        <v>112</v>
      </c>
      <c r="Q48" s="9">
        <f>ROUNDDOWN(Q30/MPPC!$B11,0)</f>
        <v>117</v>
      </c>
      <c r="R48" s="9">
        <f>ROUNDDOWN(R30/MPPC!$B11,0)</f>
        <v>120</v>
      </c>
      <c r="S48" s="9">
        <f>ROUNDDOWN(S30/MPPC!$B11,0)</f>
        <v>129</v>
      </c>
      <c r="T48" s="9">
        <f>ROUNDDOWN(T30/MPPC!$B11,0)</f>
        <v>134</v>
      </c>
      <c r="U48" s="9">
        <f>ROUNDDOWN(U30/MPPC!$B11,0)</f>
        <v>135</v>
      </c>
      <c r="V48" s="9">
        <f>ROUNDDOWN(V30/MPPC!$B11,0)</f>
        <v>136</v>
      </c>
      <c r="W48" s="9">
        <f>ROUNDDOWN(W30/MPPC!$B11,0)</f>
        <v>152</v>
      </c>
      <c r="X48" s="9">
        <f>ROUNDDOWN(X30/MPPC!$B11,0)</f>
        <v>154</v>
      </c>
      <c r="Y48" s="9">
        <f>ROUNDDOWN(Y30/MPPC!$B11,0)</f>
        <v>160</v>
      </c>
      <c r="Z48" s="9">
        <f>ROUNDDOWN(Z30/MPPC!$B11,0)</f>
        <v>160</v>
      </c>
      <c r="AA48" s="9">
        <f>ROUNDDOWN(AA30/MPPC!$B11,0)</f>
        <v>161</v>
      </c>
      <c r="AB48" s="9">
        <f>ROUNDDOWN(AB30/MPPC!$B11,0)</f>
        <v>161</v>
      </c>
      <c r="AC48" s="9">
        <f>ROUNDDOWN(AC30/MPPC!$B11,0)</f>
        <v>161</v>
      </c>
      <c r="AD48" s="9">
        <f>ROUNDDOWN(AD30/MPPC!$B11,0)</f>
        <v>161</v>
      </c>
      <c r="AE48" s="9">
        <f>ROUNDDOWN(AE30/MPPC!$B11,0)</f>
        <v>161</v>
      </c>
      <c r="AF48" s="9">
        <f>ROUNDDOWN(AF30/MPPC!$B11,0)</f>
        <v>161</v>
      </c>
    </row>
    <row r="49" spans="1:35">
      <c r="A49" s="6" t="s">
        <v>11</v>
      </c>
      <c r="B49" s="9">
        <f>ROUNDDOWN(B31/MPPC!$B12,0)</f>
        <v>0</v>
      </c>
      <c r="C49" s="9">
        <f>ROUNDDOWN(C31/MPPC!$B12,0)</f>
        <v>0</v>
      </c>
      <c r="D49" s="9">
        <f>ROUNDDOWN(D31/MPPC!$B12,0)</f>
        <v>0</v>
      </c>
      <c r="E49" s="9">
        <f>ROUNDDOWN(E31/MPPC!$B12,0)</f>
        <v>0</v>
      </c>
      <c r="F49" s="9">
        <f>ROUNDDOWN(F31/MPPC!$B12,0)</f>
        <v>0</v>
      </c>
      <c r="G49" s="9">
        <f>ROUNDDOWN(G31/MPPC!$B12,0)</f>
        <v>0</v>
      </c>
      <c r="H49" s="9">
        <f>ROUNDDOWN(H31/MPPC!$B12,0)</f>
        <v>0</v>
      </c>
      <c r="I49" s="9">
        <f>ROUNDDOWN(I31/MPPC!$B12,0)</f>
        <v>0</v>
      </c>
      <c r="J49" s="9">
        <f>ROUNDDOWN(J31/MPPC!$B12,0)</f>
        <v>0</v>
      </c>
      <c r="K49" s="9">
        <f>ROUNDDOWN(K31/MPPC!$B12,0)</f>
        <v>0</v>
      </c>
      <c r="L49" s="9">
        <f>ROUNDDOWN(L31/MPPC!$B12,0)</f>
        <v>0</v>
      </c>
      <c r="M49" s="9">
        <f>ROUNDDOWN(M31/MPPC!$B12,0)</f>
        <v>0</v>
      </c>
      <c r="N49" s="9">
        <f>ROUNDDOWN(N31/MPPC!$B12,0)</f>
        <v>0</v>
      </c>
      <c r="O49" s="9">
        <f>ROUNDDOWN(O31/MPPC!$B12,0)</f>
        <v>0</v>
      </c>
      <c r="P49" s="9">
        <f>ROUNDDOWN(P31/MPPC!$B12,0)</f>
        <v>0</v>
      </c>
      <c r="Q49" s="9">
        <f>ROUNDDOWN(Q31/MPPC!$B12,0)</f>
        <v>0</v>
      </c>
      <c r="R49" s="9">
        <f>ROUNDDOWN(R31/MPPC!$B12,0)</f>
        <v>0</v>
      </c>
      <c r="S49" s="9">
        <f>ROUNDDOWN(S31/MPPC!$B12,0)</f>
        <v>0</v>
      </c>
      <c r="T49" s="9">
        <f>ROUNDDOWN(T31/MPPC!$B12,0)</f>
        <v>0</v>
      </c>
      <c r="U49" s="9">
        <f>ROUNDDOWN(U31/MPPC!$B12,0)</f>
        <v>0</v>
      </c>
      <c r="V49" s="9">
        <f>ROUNDDOWN(V31/MPPC!$B12,0)</f>
        <v>0</v>
      </c>
      <c r="W49" s="9">
        <f>ROUNDDOWN(W31/MPPC!$B12,0)</f>
        <v>0</v>
      </c>
      <c r="X49" s="9">
        <f>ROUNDDOWN(X31/MPPC!$B12,0)</f>
        <v>0</v>
      </c>
      <c r="Y49" s="9">
        <f>ROUNDDOWN(Y31/MPPC!$B12,0)</f>
        <v>0</v>
      </c>
      <c r="Z49" s="9">
        <f>ROUNDDOWN(Z31/MPPC!$B12,0)</f>
        <v>0</v>
      </c>
      <c r="AA49" s="9">
        <f>ROUNDDOWN(AA31/MPPC!$B12,0)</f>
        <v>0</v>
      </c>
      <c r="AB49" s="9">
        <f>ROUNDDOWN(AB31/MPPC!$B12,0)</f>
        <v>0</v>
      </c>
      <c r="AC49" s="9">
        <f>ROUNDDOWN(AC31/MPPC!$B12,0)</f>
        <v>0</v>
      </c>
      <c r="AD49" s="9">
        <f>ROUNDDOWN(AD31/MPPC!$B12,0)</f>
        <v>0</v>
      </c>
      <c r="AE49" s="9">
        <f>ROUNDDOWN(AE31/MPPC!$B12,0)</f>
        <v>0</v>
      </c>
      <c r="AF49" s="9">
        <f>ROUNDDOWN(AF31/MPPC!$B12,0)</f>
        <v>0</v>
      </c>
    </row>
    <row r="50" spans="1:35">
      <c r="A50" s="6" t="s">
        <v>12</v>
      </c>
      <c r="B50" s="9">
        <f>ROUNDDOWN(B32/MPPC!$B13,0)</f>
        <v>0</v>
      </c>
      <c r="C50" s="9">
        <f>ROUNDDOWN(C32/MPPC!$B13,0)</f>
        <v>0</v>
      </c>
      <c r="D50" s="9">
        <f>ROUNDDOWN(D32/MPPC!$B13,0)</f>
        <v>0</v>
      </c>
      <c r="E50" s="9">
        <f>ROUNDDOWN(E32/MPPC!$B13,0)</f>
        <v>0</v>
      </c>
      <c r="F50" s="9">
        <f>ROUNDDOWN(F32/MPPC!$B13,0)</f>
        <v>0</v>
      </c>
      <c r="G50" s="9">
        <f>ROUNDDOWN(G32/MPPC!$B13,0)</f>
        <v>0</v>
      </c>
      <c r="H50" s="9">
        <f>ROUNDDOWN(H32/MPPC!$B13,0)</f>
        <v>0</v>
      </c>
      <c r="I50" s="9">
        <f>ROUNDDOWN(I32/MPPC!$B13,0)</f>
        <v>0</v>
      </c>
      <c r="J50" s="9">
        <f>ROUNDDOWN(J32/MPPC!$B13,0)</f>
        <v>0</v>
      </c>
      <c r="K50" s="9">
        <f>ROUNDDOWN(K32/MPPC!$B13,0)</f>
        <v>0</v>
      </c>
      <c r="L50" s="9">
        <f>ROUNDDOWN(L32/MPPC!$B13,0)</f>
        <v>0</v>
      </c>
      <c r="M50" s="9">
        <f>ROUNDDOWN(M32/MPPC!$B13,0)</f>
        <v>0</v>
      </c>
      <c r="N50" s="9">
        <f>ROUNDDOWN(N32/MPPC!$B13,0)</f>
        <v>0</v>
      </c>
      <c r="O50" s="9">
        <f>ROUNDDOWN(O32/MPPC!$B13,0)</f>
        <v>0</v>
      </c>
      <c r="P50" s="9">
        <f>ROUNDDOWN(P32/MPPC!$B13,0)</f>
        <v>0</v>
      </c>
      <c r="Q50" s="9">
        <f>ROUNDDOWN(Q32/MPPC!$B13,0)</f>
        <v>0</v>
      </c>
      <c r="R50" s="9">
        <f>ROUNDDOWN(R32/MPPC!$B13,0)</f>
        <v>0</v>
      </c>
      <c r="S50" s="9">
        <f>ROUNDDOWN(S32/MPPC!$B13,0)</f>
        <v>0</v>
      </c>
      <c r="T50" s="9">
        <f>ROUNDDOWN(T32/MPPC!$B13,0)</f>
        <v>0</v>
      </c>
      <c r="U50" s="9">
        <f>ROUNDDOWN(U32/MPPC!$B13,0)</f>
        <v>0</v>
      </c>
      <c r="V50" s="9">
        <f>ROUNDDOWN(V32/MPPC!$B13,0)</f>
        <v>0</v>
      </c>
      <c r="W50" s="9">
        <f>ROUNDDOWN(W32/MPPC!$B13,0)</f>
        <v>0</v>
      </c>
      <c r="X50" s="9">
        <f>ROUNDDOWN(X32/MPPC!$B13,0)</f>
        <v>0</v>
      </c>
      <c r="Y50" s="9">
        <f>ROUNDDOWN(Y32/MPPC!$B13,0)</f>
        <v>0</v>
      </c>
      <c r="Z50" s="9">
        <f>ROUNDDOWN(Z32/MPPC!$B13,0)</f>
        <v>0</v>
      </c>
      <c r="AA50" s="9">
        <f>ROUNDDOWN(AA32/MPPC!$B13,0)</f>
        <v>0</v>
      </c>
      <c r="AB50" s="9">
        <f>ROUNDDOWN(AB32/MPPC!$B13,0)</f>
        <v>0</v>
      </c>
      <c r="AC50" s="9">
        <f>ROUNDDOWN(AC32/MPPC!$B13,0)</f>
        <v>0</v>
      </c>
      <c r="AD50" s="9">
        <f>ROUNDDOWN(AD32/MPPC!$B13,0)</f>
        <v>0</v>
      </c>
      <c r="AE50" s="9">
        <f>ROUNDDOWN(AE32/MPPC!$B13,0)</f>
        <v>0</v>
      </c>
      <c r="AF50" s="9">
        <f>ROUNDDOWN(AF32/MPPC!$B13,0)</f>
        <v>0</v>
      </c>
    </row>
    <row r="51" spans="1:35">
      <c r="A51" s="6" t="s">
        <v>13</v>
      </c>
      <c r="B51" s="9">
        <f>ROUNDDOWN(B33/MPPC!$B14,0)</f>
        <v>0</v>
      </c>
      <c r="C51" s="9">
        <f>ROUNDDOWN(C33/MPPC!$B14,0)</f>
        <v>0</v>
      </c>
      <c r="D51" s="9">
        <f>ROUNDDOWN(D33/MPPC!$B14,0)</f>
        <v>0</v>
      </c>
      <c r="E51" s="9">
        <f>ROUNDDOWN(E33/MPPC!$B14,0)</f>
        <v>0</v>
      </c>
      <c r="F51" s="9">
        <f>ROUNDDOWN(F33/MPPC!$B14,0)</f>
        <v>0</v>
      </c>
      <c r="G51" s="9">
        <f>ROUNDDOWN(G33/MPPC!$B14,0)</f>
        <v>0</v>
      </c>
      <c r="H51" s="9">
        <f>ROUNDDOWN(H33/MPPC!$B14,0)</f>
        <v>0</v>
      </c>
      <c r="I51" s="9">
        <f>ROUNDDOWN(I33/MPPC!$B14,0)</f>
        <v>0</v>
      </c>
      <c r="J51" s="9">
        <f>ROUNDDOWN(J33/MPPC!$B14,0)</f>
        <v>0</v>
      </c>
      <c r="K51" s="9">
        <f>ROUNDDOWN(K33/MPPC!$B14,0)</f>
        <v>0</v>
      </c>
      <c r="L51" s="9">
        <f>ROUNDDOWN(L33/MPPC!$B14,0)</f>
        <v>0</v>
      </c>
      <c r="M51" s="9">
        <f>ROUNDDOWN(M33/MPPC!$B14,0)</f>
        <v>0</v>
      </c>
      <c r="N51" s="9">
        <f>ROUNDDOWN(N33/MPPC!$B14,0)</f>
        <v>0</v>
      </c>
      <c r="O51" s="9">
        <f>ROUNDDOWN(O33/MPPC!$B14,0)</f>
        <v>0</v>
      </c>
      <c r="P51" s="9">
        <f>ROUNDDOWN(P33/MPPC!$B14,0)</f>
        <v>0</v>
      </c>
      <c r="Q51" s="9">
        <f>ROUNDDOWN(Q33/MPPC!$B14,0)</f>
        <v>0</v>
      </c>
      <c r="R51" s="9">
        <f>ROUNDDOWN(R33/MPPC!$B14,0)</f>
        <v>0</v>
      </c>
      <c r="S51" s="9">
        <f>ROUNDDOWN(S33/MPPC!$B14,0)</f>
        <v>0</v>
      </c>
      <c r="T51" s="9">
        <f>ROUNDDOWN(T33/MPPC!$B14,0)</f>
        <v>0</v>
      </c>
      <c r="U51" s="9">
        <f>ROUNDDOWN(U33/MPPC!$B14,0)</f>
        <v>0</v>
      </c>
      <c r="V51" s="9">
        <f>ROUNDDOWN(V33/MPPC!$B14,0)</f>
        <v>0</v>
      </c>
      <c r="W51" s="9">
        <f>ROUNDDOWN(W33/MPPC!$B14,0)</f>
        <v>0</v>
      </c>
      <c r="X51" s="9">
        <f>ROUNDDOWN(X33/MPPC!$B14,0)</f>
        <v>0</v>
      </c>
      <c r="Y51" s="9">
        <f>ROUNDDOWN(Y33/MPPC!$B14,0)</f>
        <v>0</v>
      </c>
      <c r="Z51" s="9">
        <f>ROUNDDOWN(Z33/MPPC!$B14,0)</f>
        <v>0</v>
      </c>
      <c r="AA51" s="9">
        <f>ROUNDDOWN(AA33/MPPC!$B14,0)</f>
        <v>0</v>
      </c>
      <c r="AB51" s="9">
        <f>ROUNDDOWN(AB33/MPPC!$B14,0)</f>
        <v>0</v>
      </c>
      <c r="AC51" s="9">
        <f>ROUNDDOWN(AC33/MPPC!$B14,0)</f>
        <v>0</v>
      </c>
      <c r="AD51" s="9">
        <f>ROUNDDOWN(AD33/MPPC!$B14,0)</f>
        <v>0</v>
      </c>
      <c r="AE51" s="9">
        <f>ROUNDDOWN(AE33/MPPC!$B14,0)</f>
        <v>0</v>
      </c>
      <c r="AF51" s="9">
        <f>ROUNDDOWN(AF33/MPPC!$B14,0)</f>
        <v>0</v>
      </c>
    </row>
    <row r="52" spans="1:35">
      <c r="A52" s="2" t="s">
        <v>23</v>
      </c>
      <c r="B52" s="9">
        <f>ROUNDDOWN(B34/MPPC!$B15,0)</f>
        <v>0</v>
      </c>
      <c r="C52" s="9">
        <f>ROUNDDOWN(C34/MPPC!$B15,0)</f>
        <v>0</v>
      </c>
      <c r="D52" s="9">
        <f>ROUNDDOWN(D34/MPPC!$B15,0)</f>
        <v>0</v>
      </c>
      <c r="E52" s="9">
        <f>ROUNDDOWN(E34/MPPC!$B15,0)</f>
        <v>0</v>
      </c>
      <c r="F52" s="9">
        <f>ROUNDDOWN(F34/MPPC!$B15,0)</f>
        <v>0</v>
      </c>
      <c r="G52" s="9">
        <f>ROUNDDOWN(G34/MPPC!$B15,0)</f>
        <v>0</v>
      </c>
      <c r="H52" s="9">
        <f>ROUNDDOWN(H34/MPPC!$B15,0)</f>
        <v>0</v>
      </c>
      <c r="I52" s="9">
        <f>ROUNDDOWN(I34/MPPC!$B15,0)</f>
        <v>0</v>
      </c>
      <c r="J52" s="9">
        <f>ROUNDDOWN(J34/MPPC!$B15,0)</f>
        <v>0</v>
      </c>
      <c r="K52" s="9">
        <f>ROUNDDOWN(K34/MPPC!$B15,0)</f>
        <v>0</v>
      </c>
      <c r="L52" s="9">
        <f>ROUNDDOWN(L34/MPPC!$B15,0)</f>
        <v>0</v>
      </c>
      <c r="M52" s="9">
        <f>ROUNDDOWN(M34/MPPC!$B15,0)</f>
        <v>0</v>
      </c>
      <c r="N52" s="9">
        <f>ROUNDDOWN(N34/MPPC!$B15,0)</f>
        <v>0</v>
      </c>
      <c r="O52" s="9">
        <f>ROUNDDOWN(O34/MPPC!$B15,0)</f>
        <v>0</v>
      </c>
      <c r="P52" s="9">
        <f>ROUNDDOWN(P34/MPPC!$B15,0)</f>
        <v>0</v>
      </c>
      <c r="Q52" s="9">
        <f>ROUNDDOWN(Q34/MPPC!$B15,0)</f>
        <v>0</v>
      </c>
      <c r="R52" s="9">
        <f>ROUNDDOWN(R34/MPPC!$B15,0)</f>
        <v>0</v>
      </c>
      <c r="S52" s="9">
        <f>ROUNDDOWN(S34/MPPC!$B15,0)</f>
        <v>0</v>
      </c>
      <c r="T52" s="9">
        <f>ROUNDDOWN(T34/MPPC!$B15,0)</f>
        <v>0</v>
      </c>
      <c r="U52" s="9">
        <f>ROUNDDOWN(U34/MPPC!$B15,0)</f>
        <v>0</v>
      </c>
      <c r="V52" s="9">
        <f>ROUNDDOWN(V34/MPPC!$B15,0)</f>
        <v>0</v>
      </c>
      <c r="W52" s="9">
        <f>ROUNDDOWN(W34/MPPC!$B15,0)</f>
        <v>0</v>
      </c>
      <c r="X52" s="9">
        <f>ROUNDDOWN(X34/MPPC!$B15,0)</f>
        <v>0</v>
      </c>
      <c r="Y52" s="9">
        <f>ROUNDDOWN(Y34/MPPC!$B15,0)</f>
        <v>0</v>
      </c>
      <c r="Z52" s="9">
        <f>ROUNDDOWN(Z34/MPPC!$B15,0)</f>
        <v>0</v>
      </c>
      <c r="AA52" s="9">
        <f>ROUNDDOWN(AA34/MPPC!$B15,0)</f>
        <v>0</v>
      </c>
      <c r="AB52" s="9">
        <f>ROUNDDOWN(AB34/MPPC!$B15,0)</f>
        <v>0</v>
      </c>
      <c r="AC52" s="9">
        <f>ROUNDDOWN(AC34/MPPC!$B15,0)</f>
        <v>0</v>
      </c>
      <c r="AD52" s="9">
        <f>ROUNDDOWN(AD34/MPPC!$B15,0)</f>
        <v>0</v>
      </c>
      <c r="AE52" s="9">
        <f>ROUNDDOWN(AE34/MPPC!$B15,0)</f>
        <v>0</v>
      </c>
      <c r="AF52" s="9">
        <f>ROUNDDOWN(AF34/MPPC!$B15,0)</f>
        <v>0</v>
      </c>
    </row>
    <row r="53" spans="1:35">
      <c r="A53" s="2" t="s">
        <v>24</v>
      </c>
      <c r="B53" s="9">
        <f>ROUNDDOWN(B35/MPPC!$B16,0)</f>
        <v>140</v>
      </c>
      <c r="C53" s="9">
        <f>ROUNDDOWN(C35/MPPC!$B16,0)</f>
        <v>140</v>
      </c>
      <c r="D53" s="9">
        <f>ROUNDDOWN(D35/MPPC!$B16,0)</f>
        <v>260</v>
      </c>
      <c r="E53" s="9">
        <f>ROUNDDOWN(E35/MPPC!$B16,0)</f>
        <v>260</v>
      </c>
      <c r="F53" s="9">
        <f>ROUNDDOWN(F35/MPPC!$B16,0)</f>
        <v>260</v>
      </c>
      <c r="G53" s="9">
        <f>ROUNDDOWN(G35/MPPC!$B16,0)</f>
        <v>260</v>
      </c>
      <c r="H53" s="9">
        <f>ROUNDDOWN(H35/MPPC!$B16,0)</f>
        <v>260</v>
      </c>
      <c r="I53" s="9">
        <f>ROUNDDOWN(I35/MPPC!$B16,0)</f>
        <v>260</v>
      </c>
      <c r="J53" s="9">
        <f>ROUNDDOWN(J35/MPPC!$B16,0)</f>
        <v>260</v>
      </c>
      <c r="K53" s="9">
        <f>ROUNDDOWN(K35/MPPC!$B16,0)</f>
        <v>260</v>
      </c>
      <c r="L53" s="9">
        <f>ROUNDDOWN(L35/MPPC!$B16,0)</f>
        <v>260</v>
      </c>
      <c r="M53" s="9">
        <f>ROUNDDOWN(M35/MPPC!$B16,0)</f>
        <v>260</v>
      </c>
      <c r="N53" s="9">
        <f>ROUNDDOWN(N35/MPPC!$B16,0)</f>
        <v>260</v>
      </c>
      <c r="O53" s="9">
        <f>ROUNDDOWN(O35/MPPC!$B16,0)</f>
        <v>260</v>
      </c>
      <c r="P53" s="9">
        <f>ROUNDDOWN(P35/MPPC!$B16,0)</f>
        <v>260</v>
      </c>
      <c r="Q53" s="9">
        <f>ROUNDDOWN(Q35/MPPC!$B16,0)</f>
        <v>260</v>
      </c>
      <c r="R53" s="9">
        <f>ROUNDDOWN(R35/MPPC!$B16,0)</f>
        <v>260</v>
      </c>
      <c r="S53" s="9">
        <f>ROUNDDOWN(S35/MPPC!$B16,0)</f>
        <v>260</v>
      </c>
      <c r="T53" s="9">
        <f>ROUNDDOWN(T35/MPPC!$B16,0)</f>
        <v>260</v>
      </c>
      <c r="U53" s="9">
        <f>ROUNDDOWN(U35/MPPC!$B16,0)</f>
        <v>260</v>
      </c>
      <c r="V53" s="9">
        <f>ROUNDDOWN(V35/MPPC!$B16,0)</f>
        <v>260</v>
      </c>
      <c r="W53" s="9">
        <f>ROUNDDOWN(W35/MPPC!$B16,0)</f>
        <v>260</v>
      </c>
      <c r="X53" s="9">
        <f>ROUNDDOWN(X35/MPPC!$B16,0)</f>
        <v>260</v>
      </c>
      <c r="Y53" s="9">
        <f>ROUNDDOWN(Y35/MPPC!$B16,0)</f>
        <v>260</v>
      </c>
      <c r="Z53" s="9">
        <f>ROUNDDOWN(Z35/MPPC!$B16,0)</f>
        <v>260</v>
      </c>
      <c r="AA53" s="9">
        <f>ROUNDDOWN(AA35/MPPC!$B16,0)</f>
        <v>260</v>
      </c>
      <c r="AB53" s="9">
        <f>ROUNDDOWN(AB35/MPPC!$B16,0)</f>
        <v>260</v>
      </c>
      <c r="AC53" s="9">
        <f>ROUNDDOWN(AC35/MPPC!$B16,0)</f>
        <v>260</v>
      </c>
      <c r="AD53" s="9">
        <f>ROUNDDOWN(AD35/MPPC!$B16,0)</f>
        <v>260</v>
      </c>
      <c r="AE53" s="9">
        <f>ROUNDDOWN(AE35/MPPC!$B16,0)</f>
        <v>260</v>
      </c>
      <c r="AF53" s="9">
        <f>ROUNDDOWN(AF35/MPPC!$B16,0)</f>
        <v>260</v>
      </c>
    </row>
    <row r="54" spans="1:35">
      <c r="A54" s="2" t="s">
        <v>25</v>
      </c>
      <c r="B54" s="9">
        <f>ROUNDDOWN(B36/MPPC!$B17,0)</f>
        <v>0</v>
      </c>
      <c r="C54" s="9">
        <f>ROUNDDOWN(C36/MPPC!$B17,0)</f>
        <v>0</v>
      </c>
      <c r="D54" s="9">
        <f>ROUNDDOWN(D36/MPPC!$B17,0)</f>
        <v>0</v>
      </c>
      <c r="E54" s="9">
        <f>ROUNDDOWN(E36/MPPC!$B17,0)</f>
        <v>0</v>
      </c>
      <c r="F54" s="9">
        <f>ROUNDDOWN(F36/MPPC!$B17,0)</f>
        <v>0</v>
      </c>
      <c r="G54" s="9">
        <f>ROUNDDOWN(G36/MPPC!$B17,0)</f>
        <v>0</v>
      </c>
      <c r="H54" s="9">
        <f>ROUNDDOWN(H36/MPPC!$B17,0)</f>
        <v>0</v>
      </c>
      <c r="I54" s="9">
        <f>ROUNDDOWN(I36/MPPC!$B17,0)</f>
        <v>0</v>
      </c>
      <c r="J54" s="9">
        <f>ROUNDDOWN(J36/MPPC!$B17,0)</f>
        <v>0</v>
      </c>
      <c r="K54" s="9">
        <f>ROUNDDOWN(K36/MPPC!$B17,0)</f>
        <v>0</v>
      </c>
      <c r="L54" s="9">
        <f>ROUNDDOWN(L36/MPPC!$B17,0)</f>
        <v>0</v>
      </c>
      <c r="M54" s="9">
        <f>ROUNDDOWN(M36/MPPC!$B17,0)</f>
        <v>0</v>
      </c>
      <c r="N54" s="9">
        <f>ROUNDDOWN(N36/MPPC!$B17,0)</f>
        <v>0</v>
      </c>
      <c r="O54" s="9">
        <f>ROUNDDOWN(O36/MPPC!$B17,0)</f>
        <v>0</v>
      </c>
      <c r="P54" s="9">
        <f>ROUNDDOWN(P36/MPPC!$B17,0)</f>
        <v>0</v>
      </c>
      <c r="Q54" s="9">
        <f>ROUNDDOWN(Q36/MPPC!$B17,0)</f>
        <v>0</v>
      </c>
      <c r="R54" s="9">
        <f>ROUNDDOWN(R36/MPPC!$B17,0)</f>
        <v>0</v>
      </c>
      <c r="S54" s="9">
        <f>ROUNDDOWN(S36/MPPC!$B17,0)</f>
        <v>0</v>
      </c>
      <c r="T54" s="9">
        <f>ROUNDDOWN(T36/MPPC!$B17,0)</f>
        <v>0</v>
      </c>
      <c r="U54" s="9">
        <f>ROUNDDOWN(U36/MPPC!$B17,0)</f>
        <v>0</v>
      </c>
      <c r="V54" s="9">
        <f>ROUNDDOWN(V36/MPPC!$B17,0)</f>
        <v>0</v>
      </c>
      <c r="W54" s="9">
        <f>ROUNDDOWN(W36/MPPC!$B17,0)</f>
        <v>0</v>
      </c>
      <c r="X54" s="9">
        <f>ROUNDDOWN(X36/MPPC!$B17,0)</f>
        <v>0</v>
      </c>
      <c r="Y54" s="9">
        <f>ROUNDDOWN(Y36/MPPC!$B17,0)</f>
        <v>0</v>
      </c>
      <c r="Z54" s="9">
        <f>ROUNDDOWN(Z36/MPPC!$B17,0)</f>
        <v>0</v>
      </c>
      <c r="AA54" s="9">
        <f>ROUNDDOWN(AA36/MPPC!$B17,0)</f>
        <v>0</v>
      </c>
      <c r="AB54" s="9">
        <f>ROUNDDOWN(AB36/MPPC!$B17,0)</f>
        <v>0</v>
      </c>
      <c r="AC54" s="9">
        <f>ROUNDDOWN(AC36/MPPC!$B17,0)</f>
        <v>0</v>
      </c>
      <c r="AD54" s="9">
        <f>ROUNDDOWN(AD36/MPPC!$B17,0)</f>
        <v>0</v>
      </c>
      <c r="AE54" s="9">
        <f>ROUNDDOWN(AE36/MPPC!$B17,0)</f>
        <v>0</v>
      </c>
      <c r="AF54" s="9">
        <f>ROUNDDOWN(AF36/MPPC!$B17,0)</f>
        <v>0</v>
      </c>
    </row>
    <row r="56" spans="1:35">
      <c r="A56" s="8" t="s">
        <v>31</v>
      </c>
      <c r="AH56" s="11" t="s">
        <v>29</v>
      </c>
      <c r="AI56" s="11" t="s">
        <v>6</v>
      </c>
    </row>
    <row r="57" spans="1:35">
      <c r="A57" s="6" t="s">
        <v>14</v>
      </c>
      <c r="B57" s="10">
        <f>B39*MPPC!B2</f>
        <v>0</v>
      </c>
      <c r="C57" s="10">
        <f>IF(C2&gt;0,(C39-B39)*MPPC!$B2,0)</f>
        <v>0</v>
      </c>
      <c r="D57" s="10">
        <f>IF(D2&gt;0,(D39-C39)*MPPC!$B2,0)</f>
        <v>0</v>
      </c>
      <c r="E57" s="10">
        <f>IF(E2&gt;0,(E39-D39)*MPPC!$B2,0)</f>
        <v>0</v>
      </c>
      <c r="F57" s="10">
        <f>IF(F2&gt;0,(F39-E39)*MPPC!$B2,0)</f>
        <v>0</v>
      </c>
      <c r="G57" s="10">
        <f>IF(G2&gt;0,(G39-F39)*MPPC!$B2,0)</f>
        <v>1032</v>
      </c>
      <c r="H57" s="10">
        <f>IF(H2&gt;0,(H39-G39)*MPPC!$B2,0)</f>
        <v>2580</v>
      </c>
      <c r="I57" s="10">
        <f>IF(I2&gt;0,(I39-H39)*MPPC!$B2,0)</f>
        <v>1548</v>
      </c>
      <c r="J57" s="10">
        <f>IF(J2&gt;0,(J39-I39)*MPPC!$B2,0)</f>
        <v>1548</v>
      </c>
      <c r="K57" s="10">
        <f>IF(K2&gt;0,(K39-J39)*MPPC!$B2,0)</f>
        <v>1806</v>
      </c>
      <c r="L57" s="10">
        <f>IF(L2&gt;0,(L39-K39)*MPPC!$B2,0)</f>
        <v>1032</v>
      </c>
      <c r="M57" s="10">
        <f>IF(M2&gt;0,(M39-L39)*MPPC!$B2,0)</f>
        <v>1032</v>
      </c>
      <c r="N57" s="10">
        <f>IF(N2&gt;0,(N39-M39)*MPPC!$B2,0)</f>
        <v>1032</v>
      </c>
      <c r="O57" s="10">
        <f>IF(O2&gt;0,(O39-N39)*MPPC!$B2,0)</f>
        <v>0</v>
      </c>
      <c r="P57" s="10">
        <f>IF(P2&gt;0,(P39-O39)*MPPC!$B2,0)</f>
        <v>1548</v>
      </c>
      <c r="Q57" s="10">
        <f>IF(Q2&gt;0,(Q39-P39)*MPPC!$B2,0)</f>
        <v>516</v>
      </c>
      <c r="R57" s="10">
        <f>IF(R2&gt;0,(R39-Q39)*MPPC!$B2,0)</f>
        <v>516</v>
      </c>
      <c r="S57" s="10">
        <f>IF(S2&gt;0,(S39-R39)*MPPC!$B2,0)</f>
        <v>1806</v>
      </c>
      <c r="T57" s="10">
        <f>IF(T2&gt;0,(T39-S39)*MPPC!$B2,0)</f>
        <v>3354</v>
      </c>
      <c r="U57" s="10">
        <f>IF(U2&gt;0,(U39-T39)*MPPC!$B2,0)</f>
        <v>774</v>
      </c>
      <c r="V57" s="10">
        <f>IF(V2&gt;0,(V39-U39)*MPPC!$B2,0)</f>
        <v>0</v>
      </c>
      <c r="W57" s="10">
        <f>IF(W2&gt;0,(W39-V39)*MPPC!$B2,0)</f>
        <v>0</v>
      </c>
      <c r="X57" s="10">
        <f>IF(X2&gt;0,(X39-W39)*MPPC!$B2,0)</f>
        <v>0</v>
      </c>
      <c r="Y57" s="10">
        <f>IF(Y2&gt;0,(Y39-X39)*MPPC!$B2,0)</f>
        <v>0</v>
      </c>
      <c r="Z57" s="10">
        <f>IF(Z2&gt;0,(Z39-Y39)*MPPC!$B2,0)</f>
        <v>1806</v>
      </c>
      <c r="AA57" s="10">
        <f>IF(AA2&gt;0,(AA39-Z39)*MPPC!$B2,0)</f>
        <v>258</v>
      </c>
      <c r="AB57" s="10">
        <f>IF(AB2&gt;0,(AB39-AA39)*MPPC!$B2,0)</f>
        <v>4902</v>
      </c>
      <c r="AC57" s="10">
        <f>IF(AC2&gt;0,(AC39-AB39)*MPPC!$B2,0)</f>
        <v>5418</v>
      </c>
      <c r="AD57" s="10">
        <f>IF(AD2&gt;0,(AD39-AC39)*MPPC!$B2,0)</f>
        <v>0</v>
      </c>
      <c r="AE57" s="10">
        <f>IF(AE2&gt;0,(AE39-AD39)*MPPC!$B2,0)</f>
        <v>0</v>
      </c>
      <c r="AF57" s="10">
        <f>IF(AF2&gt;0,(AF39-AE39)*MPPC!$B2,0)</f>
        <v>0</v>
      </c>
      <c r="AH57" s="12">
        <f>SUM(B57:AF57)</f>
        <v>32508</v>
      </c>
      <c r="AI57" s="12">
        <f>(AH57-AH2)</f>
        <v>-10.327000000001135</v>
      </c>
    </row>
    <row r="58" spans="1:35">
      <c r="A58" s="6" t="s">
        <v>9</v>
      </c>
      <c r="B58" s="10">
        <f>B40*MPPC!B3</f>
        <v>0</v>
      </c>
      <c r="C58" s="10">
        <f>IF(C3&gt;0,(C40-B40)*MPPC!$B3,0)</f>
        <v>0</v>
      </c>
      <c r="D58" s="10">
        <f>IF(D3&gt;0,(D40-C40)*MPPC!$B3,0)</f>
        <v>0</v>
      </c>
      <c r="E58" s="10">
        <f>IF(E3&gt;0,(E40-D40)*MPPC!$B3,0)</f>
        <v>0</v>
      </c>
      <c r="F58" s="10">
        <f>IF(F3&gt;0,(F40-E40)*MPPC!$B3,0)</f>
        <v>0</v>
      </c>
      <c r="G58" s="10">
        <f>IF(G3&gt;0,(G40-F40)*MPPC!$B3,0)</f>
        <v>0</v>
      </c>
      <c r="H58" s="10">
        <f>IF(H3&gt;0,(H40-G40)*MPPC!$B3,0)</f>
        <v>0</v>
      </c>
      <c r="I58" s="10">
        <f>IF(I3&gt;0,(I40-H40)*MPPC!$B3,0)</f>
        <v>0</v>
      </c>
      <c r="J58" s="10">
        <f>IF(J3&gt;0,(J40-I40)*MPPC!$B3,0)</f>
        <v>0</v>
      </c>
      <c r="K58" s="10">
        <f>IF(K3&gt;0,(K40-J40)*MPPC!$B3,0)</f>
        <v>0</v>
      </c>
      <c r="L58" s="10">
        <f>IF(L3&gt;0,(L40-K40)*MPPC!$B3,0)</f>
        <v>0</v>
      </c>
      <c r="M58" s="10">
        <f>IF(M3&gt;0,(M40-L40)*MPPC!$B3,0)</f>
        <v>0</v>
      </c>
      <c r="N58" s="10">
        <f>IF(N3&gt;0,(N40-M40)*MPPC!$B3,0)</f>
        <v>0</v>
      </c>
      <c r="O58" s="10">
        <f>IF(O3&gt;0,(O40-N40)*MPPC!$B3,0)</f>
        <v>0</v>
      </c>
      <c r="P58" s="10">
        <f>IF(P3&gt;0,(P40-O40)*MPPC!$B3,0)</f>
        <v>0</v>
      </c>
      <c r="Q58" s="10">
        <f>IF(Q3&gt;0,(Q40-P40)*MPPC!$B3,0)</f>
        <v>616</v>
      </c>
      <c r="R58" s="10">
        <f>IF(R3&gt;0,(R40-Q40)*MPPC!$B3,0)</f>
        <v>924</v>
      </c>
      <c r="S58" s="10">
        <f>IF(S3&gt;0,(S40-R40)*MPPC!$B3,0)</f>
        <v>154</v>
      </c>
      <c r="T58" s="10">
        <f>IF(T3&gt;0,(T40-S40)*MPPC!$B3,0)</f>
        <v>462</v>
      </c>
      <c r="U58" s="10">
        <f>IF(U3&gt;0,(U40-T40)*MPPC!$B3,0)</f>
        <v>462</v>
      </c>
      <c r="V58" s="10">
        <f>IF(V3&gt;0,(V40-U40)*MPPC!$B3,0)</f>
        <v>2002</v>
      </c>
      <c r="W58" s="10">
        <f>IF(W3&gt;0,(W40-V40)*MPPC!$B3,0)</f>
        <v>1232</v>
      </c>
      <c r="X58" s="10">
        <f>IF(X3&gt;0,(X40-W40)*MPPC!$B3,0)</f>
        <v>770</v>
      </c>
      <c r="Y58" s="10">
        <f>IF(Y3&gt;0,(Y40-X40)*MPPC!$B3,0)</f>
        <v>3542</v>
      </c>
      <c r="Z58" s="10">
        <f>IF(Z3&gt;0,(Z40-Y40)*MPPC!$B3,0)</f>
        <v>4466</v>
      </c>
      <c r="AA58" s="10">
        <f>IF(AA3&gt;0,(AA40-Z40)*MPPC!$B3,0)</f>
        <v>3080</v>
      </c>
      <c r="AB58" s="10">
        <f>IF(AB3&gt;0,(AB40-AA40)*MPPC!$B3,0)</f>
        <v>308</v>
      </c>
      <c r="AC58" s="10">
        <f>IF(AC3&gt;0,(AC40-AB40)*MPPC!$B3,0)</f>
        <v>4774</v>
      </c>
      <c r="AD58" s="10">
        <f>IF(AD3&gt;0,(AD40-AC40)*MPPC!$B3,0)</f>
        <v>462</v>
      </c>
      <c r="AE58" s="10">
        <f>IF(AE3&gt;0,(AE40-AD40)*MPPC!$B3,0)</f>
        <v>1386</v>
      </c>
      <c r="AF58" s="10">
        <f>IF(AF3&gt;0,(AF40-AE40)*MPPC!$B3,0)</f>
        <v>154</v>
      </c>
      <c r="AH58" s="12">
        <f t="shared" ref="AH58:AH72" si="1">SUM(B58:AF58)</f>
        <v>24794</v>
      </c>
      <c r="AI58" s="12">
        <f t="shared" ref="AI58:AI72" si="2">(AH58-AH3)</f>
        <v>-116.9639999999963</v>
      </c>
    </row>
    <row r="59" spans="1:35">
      <c r="A59" s="6" t="s">
        <v>0</v>
      </c>
      <c r="B59" s="10">
        <f>B41*MPPC!B4</f>
        <v>0</v>
      </c>
      <c r="C59" s="10">
        <f>IF(C4&gt;0,(C41-B41)*MPPC!$B4,0)</f>
        <v>0</v>
      </c>
      <c r="D59" s="10">
        <f>IF(D4&gt;0,(D41-C41)*MPPC!$B4,0)</f>
        <v>0</v>
      </c>
      <c r="E59" s="10">
        <f>IF(E4&gt;0,(E41-D41)*MPPC!$B4,0)</f>
        <v>0</v>
      </c>
      <c r="F59" s="10">
        <f>IF(F4&gt;0,(F41-E41)*MPPC!$B4,0)</f>
        <v>0</v>
      </c>
      <c r="G59" s="10">
        <f>IF(G4&gt;0,(G41-F41)*MPPC!$B4,0)</f>
        <v>0</v>
      </c>
      <c r="H59" s="10">
        <f>IF(H4&gt;0,(H41-G41)*MPPC!$B4,0)</f>
        <v>0</v>
      </c>
      <c r="I59" s="10">
        <f>IF(I4&gt;0,(I41-H41)*MPPC!$B4,0)</f>
        <v>0</v>
      </c>
      <c r="J59" s="10">
        <f>IF(J4&gt;0,(J41-I41)*MPPC!$B4,0)</f>
        <v>0</v>
      </c>
      <c r="K59" s="10">
        <f>IF(K4&gt;0,(K41-J41)*MPPC!$B4,0)</f>
        <v>0</v>
      </c>
      <c r="L59" s="10">
        <f>IF(L4&gt;0,(L41-K41)*MPPC!$B4,0)</f>
        <v>0</v>
      </c>
      <c r="M59" s="10">
        <f>IF(M4&gt;0,(M41-L41)*MPPC!$B4,0)</f>
        <v>0</v>
      </c>
      <c r="N59" s="10">
        <f>IF(N4&gt;0,(N41-M41)*MPPC!$B4,0)</f>
        <v>0</v>
      </c>
      <c r="O59" s="10">
        <f>IF(O4&gt;0,(O41-N41)*MPPC!$B4,0)</f>
        <v>0</v>
      </c>
      <c r="P59" s="10">
        <f>IF(P4&gt;0,(P41-O41)*MPPC!$B4,0)</f>
        <v>0</v>
      </c>
      <c r="Q59" s="10">
        <f>IF(Q4&gt;0,(Q41-P41)*MPPC!$B4,0)</f>
        <v>0</v>
      </c>
      <c r="R59" s="10">
        <f>IF(R4&gt;0,(R41-Q41)*MPPC!$B4,0)</f>
        <v>0</v>
      </c>
      <c r="S59" s="10">
        <f>IF(S4&gt;0,(S41-R41)*MPPC!$B4,0)</f>
        <v>0</v>
      </c>
      <c r="T59" s="10">
        <f>IF(T4&gt;0,(T41-S41)*MPPC!$B4,0)</f>
        <v>0</v>
      </c>
      <c r="U59" s="10">
        <f>IF(U4&gt;0,(U41-T41)*MPPC!$B4,0)</f>
        <v>0</v>
      </c>
      <c r="V59" s="10">
        <f>IF(V4&gt;0,(V41-U41)*MPPC!$B4,0)</f>
        <v>0</v>
      </c>
      <c r="W59" s="10">
        <f>IF(W4&gt;0,(W41-V41)*MPPC!$B4,0)</f>
        <v>1000</v>
      </c>
      <c r="X59" s="10">
        <f>IF(X4&gt;0,(X41-W41)*MPPC!$B4,0)</f>
        <v>2000</v>
      </c>
      <c r="Y59" s="10">
        <f>IF(Y4&gt;0,(Y41-X41)*MPPC!$B4,0)</f>
        <v>0</v>
      </c>
      <c r="Z59" s="10">
        <f>IF(Z4&gt;0,(Z41-Y41)*MPPC!$B4,0)</f>
        <v>0</v>
      </c>
      <c r="AA59" s="10">
        <f>IF(AA4&gt;0,(AA41-Z41)*MPPC!$B4,0)</f>
        <v>1000</v>
      </c>
      <c r="AB59" s="10">
        <f>IF(AB4&gt;0,(AB41-AA41)*MPPC!$B4,0)</f>
        <v>1000</v>
      </c>
      <c r="AC59" s="10">
        <f>IF(AC4&gt;0,(AC41-AB41)*MPPC!$B4,0)</f>
        <v>0</v>
      </c>
      <c r="AD59" s="10">
        <f>IF(AD4&gt;0,(AD41-AC41)*MPPC!$B4,0)</f>
        <v>0</v>
      </c>
      <c r="AE59" s="10">
        <f>IF(AE4&gt;0,(AE41-AD41)*MPPC!$B4,0)</f>
        <v>1500</v>
      </c>
      <c r="AF59" s="10">
        <f>IF(AF4&gt;0,(AF41-AE41)*MPPC!$B4,0)</f>
        <v>0</v>
      </c>
      <c r="AH59" s="12">
        <f t="shared" si="1"/>
        <v>6500</v>
      </c>
      <c r="AI59" s="12">
        <f t="shared" si="2"/>
        <v>-300</v>
      </c>
    </row>
    <row r="60" spans="1:35">
      <c r="A60" s="6" t="s">
        <v>1</v>
      </c>
      <c r="B60" s="10">
        <f>B42*MPPC!B5</f>
        <v>2</v>
      </c>
      <c r="C60" s="10">
        <f>IF(C5&gt;0,(C42-B42)*MPPC!$B5,0)</f>
        <v>0</v>
      </c>
      <c r="D60" s="10">
        <f>IF(D5&gt;0,(D42-C42)*MPPC!$B5,0)</f>
        <v>29</v>
      </c>
      <c r="E60" s="10">
        <f>IF(E5&gt;0,(E42-D42)*MPPC!$B5,0)</f>
        <v>7</v>
      </c>
      <c r="F60" s="10">
        <f>IF(F5&gt;0,(F42-E42)*MPPC!$B5,0)</f>
        <v>2</v>
      </c>
      <c r="G60" s="10">
        <f>IF(G5&gt;0,(G42-F42)*MPPC!$B5,0)</f>
        <v>0</v>
      </c>
      <c r="H60" s="10">
        <f>IF(H5&gt;0,(H42-G42)*MPPC!$B5,0)</f>
        <v>0</v>
      </c>
      <c r="I60" s="10">
        <f>IF(I5&gt;0,(I42-H42)*MPPC!$B5,0)</f>
        <v>0</v>
      </c>
      <c r="J60" s="10">
        <f>IF(J5&gt;0,(J42-I42)*MPPC!$B5,0)</f>
        <v>0</v>
      </c>
      <c r="K60" s="10">
        <f>IF(K5&gt;0,(K42-J42)*MPPC!$B5,0)</f>
        <v>0</v>
      </c>
      <c r="L60" s="10">
        <f>IF(L5&gt;0,(L42-K42)*MPPC!$B5,0)</f>
        <v>0</v>
      </c>
      <c r="M60" s="10">
        <f>IF(M5&gt;0,(M42-L42)*MPPC!$B5,0)</f>
        <v>0</v>
      </c>
      <c r="N60" s="10">
        <f>IF(N5&gt;0,(N42-M42)*MPPC!$B5,0)</f>
        <v>0</v>
      </c>
      <c r="O60" s="10">
        <f>IF(O5&gt;0,(O42-N42)*MPPC!$B5,0)</f>
        <v>0</v>
      </c>
      <c r="P60" s="10">
        <f>IF(P5&gt;0,(P42-O42)*MPPC!$B5,0)</f>
        <v>0</v>
      </c>
      <c r="Q60" s="10">
        <f>IF(Q5&gt;0,(Q42-P42)*MPPC!$B5,0)</f>
        <v>0</v>
      </c>
      <c r="R60" s="10">
        <f>IF(R5&gt;0,(R42-Q42)*MPPC!$B5,0)</f>
        <v>0</v>
      </c>
      <c r="S60" s="10">
        <f>IF(S5&gt;0,(S42-R42)*MPPC!$B5,0)</f>
        <v>0</v>
      </c>
      <c r="T60" s="10">
        <f>IF(T5&gt;0,(T42-S42)*MPPC!$B5,0)</f>
        <v>0</v>
      </c>
      <c r="U60" s="10">
        <f>IF(U5&gt;0,(U42-T42)*MPPC!$B5,0)</f>
        <v>0</v>
      </c>
      <c r="V60" s="10">
        <f>IF(V5&gt;0,(V42-U42)*MPPC!$B5,0)</f>
        <v>0</v>
      </c>
      <c r="W60" s="10">
        <f>IF(W5&gt;0,(W42-V42)*MPPC!$B5,0)</f>
        <v>0</v>
      </c>
      <c r="X60" s="10">
        <f>IF(X5&gt;0,(X42-W42)*MPPC!$B5,0)</f>
        <v>0</v>
      </c>
      <c r="Y60" s="10">
        <f>IF(Y5&gt;0,(Y42-X42)*MPPC!$B5,0)</f>
        <v>0</v>
      </c>
      <c r="Z60" s="10">
        <f>IF(Z5&gt;0,(Z42-Y42)*MPPC!$B5,0)</f>
        <v>0</v>
      </c>
      <c r="AA60" s="10">
        <f>IF(AA5&gt;0,(AA42-Z42)*MPPC!$B5,0)</f>
        <v>0</v>
      </c>
      <c r="AB60" s="10">
        <f>IF(AB5&gt;0,(AB42-AA42)*MPPC!$B5,0)</f>
        <v>0</v>
      </c>
      <c r="AC60" s="10">
        <f>IF(AC5&gt;0,(AC42-AB42)*MPPC!$B5,0)</f>
        <v>0</v>
      </c>
      <c r="AD60" s="10">
        <f>IF(AD5&gt;0,(AD42-AC42)*MPPC!$B5,0)</f>
        <v>0</v>
      </c>
      <c r="AE60" s="10">
        <f>IF(AE5&gt;0,(AE42-AD42)*MPPC!$B5,0)</f>
        <v>0</v>
      </c>
      <c r="AF60" s="10">
        <f>IF(AF5&gt;0,(AF42-AE42)*MPPC!$B5,0)</f>
        <v>0</v>
      </c>
      <c r="AH60" s="12">
        <f t="shared" si="1"/>
        <v>40</v>
      </c>
      <c r="AI60" s="12">
        <f t="shared" si="2"/>
        <v>-0.61999999999989086</v>
      </c>
    </row>
    <row r="61" spans="1:35">
      <c r="A61" s="6" t="s">
        <v>15</v>
      </c>
      <c r="B61" s="10">
        <f>B43*MPPC!B6</f>
        <v>0</v>
      </c>
      <c r="C61" s="10">
        <f>IF(C6&gt;0,(C43-B43)*MPPC!$B6,0)</f>
        <v>0</v>
      </c>
      <c r="D61" s="10">
        <f>IF(D6&gt;0,(D43-C43)*MPPC!$B6,0)</f>
        <v>0</v>
      </c>
      <c r="E61" s="10">
        <f>IF(E6&gt;0,(E43-D43)*MPPC!$B6,0)</f>
        <v>0</v>
      </c>
      <c r="F61" s="10">
        <f>IF(F6&gt;0,(F43-E43)*MPPC!$B6,0)</f>
        <v>0</v>
      </c>
      <c r="G61" s="10">
        <f>IF(G6&gt;0,(G43-F43)*MPPC!$B6,0)</f>
        <v>0</v>
      </c>
      <c r="H61" s="10">
        <f>IF(H6&gt;0,(H43-G43)*MPPC!$B6,0)</f>
        <v>0</v>
      </c>
      <c r="I61" s="10">
        <f>IF(I6&gt;0,(I43-H43)*MPPC!$B6,0)</f>
        <v>0</v>
      </c>
      <c r="J61" s="10">
        <f>IF(J6&gt;0,(J43-I43)*MPPC!$B6,0)</f>
        <v>0</v>
      </c>
      <c r="K61" s="10">
        <f>IF(K6&gt;0,(K43-J43)*MPPC!$B6,0)</f>
        <v>0</v>
      </c>
      <c r="L61" s="10">
        <f>IF(L6&gt;0,(L43-K43)*MPPC!$B6,0)</f>
        <v>0</v>
      </c>
      <c r="M61" s="10">
        <f>IF(M6&gt;0,(M43-L43)*MPPC!$B6,0)</f>
        <v>0</v>
      </c>
      <c r="N61" s="10">
        <f>IF(N6&gt;0,(N43-M43)*MPPC!$B6,0)</f>
        <v>0</v>
      </c>
      <c r="O61" s="10">
        <f>IF(O6&gt;0,(O43-N43)*MPPC!$B6,0)</f>
        <v>0</v>
      </c>
      <c r="P61" s="10">
        <f>IF(P6&gt;0,(P43-O43)*MPPC!$B6,0)</f>
        <v>0</v>
      </c>
      <c r="Q61" s="10">
        <f>IF(Q6&gt;0,(Q43-P43)*MPPC!$B6,0)</f>
        <v>0</v>
      </c>
      <c r="R61" s="10">
        <f>IF(R6&gt;0,(R43-Q43)*MPPC!$B6,0)</f>
        <v>0</v>
      </c>
      <c r="S61" s="10">
        <f>IF(S6&gt;0,(S43-R43)*MPPC!$B6,0)</f>
        <v>0</v>
      </c>
      <c r="T61" s="10">
        <f>IF(T6&gt;0,(T43-S43)*MPPC!$B6,0)</f>
        <v>0</v>
      </c>
      <c r="U61" s="10">
        <f>IF(U6&gt;0,(U43-T43)*MPPC!$B6,0)</f>
        <v>0</v>
      </c>
      <c r="V61" s="10">
        <f>IF(V6&gt;0,(V43-U43)*MPPC!$B6,0)</f>
        <v>0</v>
      </c>
      <c r="W61" s="10">
        <f>IF(W6&gt;0,(W43-V43)*MPPC!$B6,0)</f>
        <v>0</v>
      </c>
      <c r="X61" s="10">
        <f>IF(X6&gt;0,(X43-W43)*MPPC!$B6,0)</f>
        <v>0</v>
      </c>
      <c r="Y61" s="10">
        <f>IF(Y6&gt;0,(Y43-X43)*MPPC!$B6,0)</f>
        <v>0</v>
      </c>
      <c r="Z61" s="10">
        <f>IF(Z6&gt;0,(Z43-Y43)*MPPC!$B6,0)</f>
        <v>0</v>
      </c>
      <c r="AA61" s="10">
        <f>IF(AA6&gt;0,(AA43-Z43)*MPPC!$B6,0)</f>
        <v>0</v>
      </c>
      <c r="AB61" s="10">
        <f>IF(AB6&gt;0,(AB43-AA43)*MPPC!$B6,0)</f>
        <v>0</v>
      </c>
      <c r="AC61" s="10">
        <f>IF(AC6&gt;0,(AC43-AB43)*MPPC!$B6,0)</f>
        <v>0</v>
      </c>
      <c r="AD61" s="10">
        <f>IF(AD6&gt;0,(AD43-AC43)*MPPC!$B6,0)</f>
        <v>0</v>
      </c>
      <c r="AE61" s="10">
        <f>IF(AE6&gt;0,(AE43-AD43)*MPPC!$B6,0)</f>
        <v>0</v>
      </c>
      <c r="AF61" s="10">
        <f>IF(AF6&gt;0,(AF43-AE43)*MPPC!$B6,0)</f>
        <v>0</v>
      </c>
      <c r="AH61" s="12">
        <f t="shared" si="1"/>
        <v>0</v>
      </c>
      <c r="AI61" s="12">
        <f t="shared" si="2"/>
        <v>0</v>
      </c>
    </row>
    <row r="62" spans="1:35">
      <c r="A62" s="6" t="s">
        <v>2</v>
      </c>
      <c r="B62" s="10">
        <f>B44*MPPC!B7</f>
        <v>0</v>
      </c>
      <c r="C62" s="10">
        <f>IF(C7&gt;0,(C44-B44)*MPPC!$B7,0)</f>
        <v>0</v>
      </c>
      <c r="D62" s="10">
        <f>IF(D7&gt;0,(D44-C44)*MPPC!$B7,0)</f>
        <v>0</v>
      </c>
      <c r="E62" s="10">
        <f>IF(E7&gt;0,(E44-D44)*MPPC!$B7,0)</f>
        <v>0</v>
      </c>
      <c r="F62" s="10">
        <f>IF(F7&gt;0,(F44-E44)*MPPC!$B7,0)</f>
        <v>0</v>
      </c>
      <c r="G62" s="10">
        <f>IF(G7&gt;0,(G44-F44)*MPPC!$B7,0)</f>
        <v>0</v>
      </c>
      <c r="H62" s="10">
        <f>IF(H7&gt;0,(H44-G44)*MPPC!$B7,0)</f>
        <v>0</v>
      </c>
      <c r="I62" s="10">
        <f>IF(I7&gt;0,(I44-H44)*MPPC!$B7,0)</f>
        <v>0</v>
      </c>
      <c r="J62" s="10">
        <f>IF(J7&gt;0,(J44-I44)*MPPC!$B7,0)</f>
        <v>0</v>
      </c>
      <c r="K62" s="10">
        <f>IF(K7&gt;0,(K44-J44)*MPPC!$B7,0)</f>
        <v>0</v>
      </c>
      <c r="L62" s="10">
        <f>IF(L7&gt;0,(L44-K44)*MPPC!$B7,0)</f>
        <v>0</v>
      </c>
      <c r="M62" s="10">
        <f>IF(M7&gt;0,(M44-L44)*MPPC!$B7,0)</f>
        <v>0</v>
      </c>
      <c r="N62" s="10">
        <f>IF(N7&gt;0,(N44-M44)*MPPC!$B7,0)</f>
        <v>0</v>
      </c>
      <c r="O62" s="10">
        <f>IF(O7&gt;0,(O44-N44)*MPPC!$B7,0)</f>
        <v>0</v>
      </c>
      <c r="P62" s="10">
        <f>IF(P7&gt;0,(P44-O44)*MPPC!$B7,0)</f>
        <v>0</v>
      </c>
      <c r="Q62" s="10">
        <f>IF(Q7&gt;0,(Q44-P44)*MPPC!$B7,0)</f>
        <v>0</v>
      </c>
      <c r="R62" s="10">
        <f>IF(R7&gt;0,(R44-Q44)*MPPC!$B7,0)</f>
        <v>0</v>
      </c>
      <c r="S62" s="10">
        <f>IF(S7&gt;0,(S44-R44)*MPPC!$B7,0)</f>
        <v>0</v>
      </c>
      <c r="T62" s="10">
        <f>IF(T7&gt;0,(T44-S44)*MPPC!$B7,0)</f>
        <v>0</v>
      </c>
      <c r="U62" s="10">
        <f>IF(U7&gt;0,(U44-T44)*MPPC!$B7,0)</f>
        <v>0</v>
      </c>
      <c r="V62" s="10">
        <f>IF(V7&gt;0,(V44-U44)*MPPC!$B7,0)</f>
        <v>0</v>
      </c>
      <c r="W62" s="10">
        <f>IF(W7&gt;0,(W44-V44)*MPPC!$B7,0)</f>
        <v>0</v>
      </c>
      <c r="X62" s="10">
        <f>IF(X7&gt;0,(X44-W44)*MPPC!$B7,0)</f>
        <v>0</v>
      </c>
      <c r="Y62" s="10">
        <f>IF(Y7&gt;0,(Y44-X44)*MPPC!$B7,0)</f>
        <v>0</v>
      </c>
      <c r="Z62" s="10">
        <f>IF(Z7&gt;0,(Z44-Y44)*MPPC!$B7,0)</f>
        <v>0</v>
      </c>
      <c r="AA62" s="10">
        <f>IF(AA7&gt;0,(AA44-Z44)*MPPC!$B7,0)</f>
        <v>0</v>
      </c>
      <c r="AB62" s="10">
        <f>IF(AB7&gt;0,(AB44-AA44)*MPPC!$B7,0)</f>
        <v>0</v>
      </c>
      <c r="AC62" s="10">
        <f>IF(AC7&gt;0,(AC44-AB44)*MPPC!$B7,0)</f>
        <v>0</v>
      </c>
      <c r="AD62" s="10">
        <f>IF(AD7&gt;0,(AD44-AC44)*MPPC!$B7,0)</f>
        <v>0</v>
      </c>
      <c r="AE62" s="10">
        <f>IF(AE7&gt;0,(AE44-AD44)*MPPC!$B7,0)</f>
        <v>0</v>
      </c>
      <c r="AF62" s="10">
        <f>IF(AF7&gt;0,(AF44-AE44)*MPPC!$B7,0)</f>
        <v>0</v>
      </c>
      <c r="AH62" s="12">
        <f t="shared" si="1"/>
        <v>0</v>
      </c>
      <c r="AI62" s="12">
        <f t="shared" si="2"/>
        <v>0</v>
      </c>
    </row>
    <row r="63" spans="1:35">
      <c r="A63" s="6" t="s">
        <v>3</v>
      </c>
      <c r="B63" s="10">
        <f>B45*MPPC!B8</f>
        <v>0</v>
      </c>
      <c r="C63" s="10">
        <f>IF(C8&gt;0,(C45-B45)*MPPC!$B8,0)</f>
        <v>0</v>
      </c>
      <c r="D63" s="10">
        <f>IF(D8&gt;0,(D45-C45)*MPPC!$B8,0)</f>
        <v>0</v>
      </c>
      <c r="E63" s="10">
        <f>IF(E8&gt;0,(E45-D45)*MPPC!$B8,0)</f>
        <v>0</v>
      </c>
      <c r="F63" s="10">
        <f>IF(F8&gt;0,(F45-E45)*MPPC!$B8,0)</f>
        <v>0</v>
      </c>
      <c r="G63" s="10">
        <f>IF(G8&gt;0,(G45-F45)*MPPC!$B8,0)</f>
        <v>0</v>
      </c>
      <c r="H63" s="10">
        <f>IF(H8&gt;0,(H45-G45)*MPPC!$B8,0)</f>
        <v>0</v>
      </c>
      <c r="I63" s="10">
        <f>IF(I8&gt;0,(I45-H45)*MPPC!$B8,0)</f>
        <v>0</v>
      </c>
      <c r="J63" s="10">
        <f>IF(J8&gt;0,(J45-I45)*MPPC!$B8,0)</f>
        <v>0</v>
      </c>
      <c r="K63" s="10">
        <f>IF(K8&gt;0,(K45-J45)*MPPC!$B8,0)</f>
        <v>0</v>
      </c>
      <c r="L63" s="10">
        <f>IF(L8&gt;0,(L45-K45)*MPPC!$B8,0)</f>
        <v>0</v>
      </c>
      <c r="M63" s="10">
        <f>IF(M8&gt;0,(M45-L45)*MPPC!$B8,0)</f>
        <v>0</v>
      </c>
      <c r="N63" s="10">
        <f>IF(N8&gt;0,(N45-M45)*MPPC!$B8,0)</f>
        <v>0</v>
      </c>
      <c r="O63" s="10">
        <f>IF(O8&gt;0,(O45-N45)*MPPC!$B8,0)</f>
        <v>0</v>
      </c>
      <c r="P63" s="10">
        <f>IF(P8&gt;0,(P45-O45)*MPPC!$B8,0)</f>
        <v>0</v>
      </c>
      <c r="Q63" s="10">
        <f>IF(Q8&gt;0,(Q45-P45)*MPPC!$B8,0)</f>
        <v>0</v>
      </c>
      <c r="R63" s="10">
        <f>IF(R8&gt;0,(R45-Q45)*MPPC!$B8,0)</f>
        <v>0</v>
      </c>
      <c r="S63" s="10">
        <f>IF(S8&gt;0,(S45-R45)*MPPC!$B8,0)</f>
        <v>0</v>
      </c>
      <c r="T63" s="10">
        <f>IF(T8&gt;0,(T45-S45)*MPPC!$B8,0)</f>
        <v>0</v>
      </c>
      <c r="U63" s="10">
        <f>IF(U8&gt;0,(U45-T45)*MPPC!$B8,0)</f>
        <v>0</v>
      </c>
      <c r="V63" s="10">
        <f>IF(V8&gt;0,(V45-U45)*MPPC!$B8,0)</f>
        <v>0</v>
      </c>
      <c r="W63" s="10">
        <f>IF(W8&gt;0,(W45-V45)*MPPC!$B8,0)</f>
        <v>0</v>
      </c>
      <c r="X63" s="10">
        <f>IF(X8&gt;0,(X45-W45)*MPPC!$B8,0)</f>
        <v>0</v>
      </c>
      <c r="Y63" s="10">
        <f>IF(Y8&gt;0,(Y45-X45)*MPPC!$B8,0)</f>
        <v>0</v>
      </c>
      <c r="Z63" s="10">
        <f>IF(Z8&gt;0,(Z45-Y45)*MPPC!$B8,0)</f>
        <v>0</v>
      </c>
      <c r="AA63" s="10">
        <f>IF(AA8&gt;0,(AA45-Z45)*MPPC!$B8,0)</f>
        <v>0</v>
      </c>
      <c r="AB63" s="10">
        <f>IF(AB8&gt;0,(AB45-AA45)*MPPC!$B8,0)</f>
        <v>0</v>
      </c>
      <c r="AC63" s="10">
        <f>IF(AC8&gt;0,(AC45-AB45)*MPPC!$B8,0)</f>
        <v>0</v>
      </c>
      <c r="AD63" s="10">
        <f>IF(AD8&gt;0,(AD45-AC45)*MPPC!$B8,0)</f>
        <v>0</v>
      </c>
      <c r="AE63" s="10">
        <f>IF(AE8&gt;0,(AE45-AD45)*MPPC!$B8,0)</f>
        <v>0</v>
      </c>
      <c r="AF63" s="10">
        <f>IF(AF8&gt;0,(AF45-AE45)*MPPC!$B8,0)</f>
        <v>0</v>
      </c>
      <c r="AH63" s="12">
        <f t="shared" si="1"/>
        <v>0</v>
      </c>
      <c r="AI63" s="12">
        <f t="shared" si="2"/>
        <v>0</v>
      </c>
    </row>
    <row r="64" spans="1:35">
      <c r="A64" s="6" t="s">
        <v>4</v>
      </c>
      <c r="B64" s="10">
        <f>B46*MPPC!B9</f>
        <v>0</v>
      </c>
      <c r="C64" s="10">
        <f>IF(C9&gt;0,(C46-B46)*MPPC!$B9,0)</f>
        <v>0</v>
      </c>
      <c r="D64" s="10">
        <f>IF(D9&gt;0,(D46-C46)*MPPC!$B9,0)</f>
        <v>0</v>
      </c>
      <c r="E64" s="10">
        <f>IF(E9&gt;0,(E46-D46)*MPPC!$B9,0)</f>
        <v>0</v>
      </c>
      <c r="F64" s="10">
        <f>IF(F9&gt;0,(F46-E46)*MPPC!$B9,0)</f>
        <v>0</v>
      </c>
      <c r="G64" s="10">
        <f>IF(G9&gt;0,(G46-F46)*MPPC!$B9,0)</f>
        <v>0</v>
      </c>
      <c r="H64" s="10">
        <f>IF(H9&gt;0,(H46-G46)*MPPC!$B9,0)</f>
        <v>0</v>
      </c>
      <c r="I64" s="10">
        <f>IF(I9&gt;0,(I46-H46)*MPPC!$B9,0)</f>
        <v>0</v>
      </c>
      <c r="J64" s="10">
        <f>IF(J9&gt;0,(J46-I46)*MPPC!$B9,0)</f>
        <v>0</v>
      </c>
      <c r="K64" s="10">
        <f>IF(K9&gt;0,(K46-J46)*MPPC!$B9,0)</f>
        <v>0</v>
      </c>
      <c r="L64" s="10">
        <f>IF(L9&gt;0,(L46-K46)*MPPC!$B9,0)</f>
        <v>0</v>
      </c>
      <c r="M64" s="10">
        <f>IF(M9&gt;0,(M46-L46)*MPPC!$B9,0)</f>
        <v>0</v>
      </c>
      <c r="N64" s="10">
        <f>IF(N9&gt;0,(N46-M46)*MPPC!$B9,0)</f>
        <v>0</v>
      </c>
      <c r="O64" s="10">
        <f>IF(O9&gt;0,(O46-N46)*MPPC!$B9,0)</f>
        <v>0</v>
      </c>
      <c r="P64" s="10">
        <f>IF(P9&gt;0,(P46-O46)*MPPC!$B9,0)</f>
        <v>0</v>
      </c>
      <c r="Q64" s="10">
        <f>IF(Q9&gt;0,(Q46-P46)*MPPC!$B9,0)</f>
        <v>0</v>
      </c>
      <c r="R64" s="10">
        <f>IF(R9&gt;0,(R46-Q46)*MPPC!$B9,0)</f>
        <v>90</v>
      </c>
      <c r="S64" s="10">
        <f>IF(S9&gt;0,(S46-R46)*MPPC!$B9,0)</f>
        <v>108</v>
      </c>
      <c r="T64" s="10">
        <f>IF(T9&gt;0,(T46-S46)*MPPC!$B9,0)</f>
        <v>0</v>
      </c>
      <c r="U64" s="10">
        <f>IF(U9&gt;0,(U46-T46)*MPPC!$B9,0)</f>
        <v>0</v>
      </c>
      <c r="V64" s="10">
        <f>IF(V9&gt;0,(V46-U46)*MPPC!$B9,0)</f>
        <v>0</v>
      </c>
      <c r="W64" s="10">
        <f>IF(W9&gt;0,(W46-V46)*MPPC!$B9,0)</f>
        <v>0</v>
      </c>
      <c r="X64" s="10">
        <f>IF(X9&gt;0,(X46-W46)*MPPC!$B9,0)</f>
        <v>0</v>
      </c>
      <c r="Y64" s="10">
        <f>IF(Y9&gt;0,(Y46-X46)*MPPC!$B9,0)</f>
        <v>0</v>
      </c>
      <c r="Z64" s="10">
        <f>IF(Z9&gt;0,(Z46-Y46)*MPPC!$B9,0)</f>
        <v>0</v>
      </c>
      <c r="AA64" s="10">
        <f>IF(AA9&gt;0,(AA46-Z46)*MPPC!$B9,0)</f>
        <v>0</v>
      </c>
      <c r="AB64" s="10">
        <f>IF(AB9&gt;0,(AB46-AA46)*MPPC!$B9,0)</f>
        <v>0</v>
      </c>
      <c r="AC64" s="10">
        <f>IF(AC9&gt;0,(AC46-AB46)*MPPC!$B9,0)</f>
        <v>0</v>
      </c>
      <c r="AD64" s="10">
        <f>IF(AD9&gt;0,(AD46-AC46)*MPPC!$B9,0)</f>
        <v>0</v>
      </c>
      <c r="AE64" s="10">
        <f>IF(AE9&gt;0,(AE46-AD46)*MPPC!$B9,0)</f>
        <v>0</v>
      </c>
      <c r="AF64" s="10">
        <f>IF(AF9&gt;0,(AF46-AE46)*MPPC!$B9,0)</f>
        <v>0</v>
      </c>
      <c r="AH64" s="12">
        <f t="shared" si="1"/>
        <v>198</v>
      </c>
      <c r="AI64" s="12">
        <f t="shared" si="2"/>
        <v>-2</v>
      </c>
    </row>
    <row r="65" spans="1:35">
      <c r="A65" s="6" t="s">
        <v>5</v>
      </c>
      <c r="B65" s="10">
        <f>B47*MPPC!B10</f>
        <v>0</v>
      </c>
      <c r="C65" s="10">
        <f>IF(C10&gt;0,(C47-B47)*MPPC!$B10,0)</f>
        <v>0</v>
      </c>
      <c r="D65" s="10">
        <f>IF(D10&gt;0,(D47-C47)*MPPC!$B10,0)</f>
        <v>0</v>
      </c>
      <c r="E65" s="10">
        <f>IF(E10&gt;0,(E47-D47)*MPPC!$B10,0)</f>
        <v>0</v>
      </c>
      <c r="F65" s="10">
        <f>IF(F10&gt;0,(F47-E47)*MPPC!$B10,0)</f>
        <v>0</v>
      </c>
      <c r="G65" s="10">
        <f>IF(G10&gt;0,(G47-F47)*MPPC!$B10,0)</f>
        <v>0</v>
      </c>
      <c r="H65" s="10">
        <f>IF(H10&gt;0,(H47-G47)*MPPC!$B10,0)</f>
        <v>0</v>
      </c>
      <c r="I65" s="10">
        <f>IF(I10&gt;0,(I47-H47)*MPPC!$B10,0)</f>
        <v>0</v>
      </c>
      <c r="J65" s="10">
        <f>IF(J10&gt;0,(J47-I47)*MPPC!$B10,0)</f>
        <v>0</v>
      </c>
      <c r="K65" s="10">
        <f>IF(K10&gt;0,(K47-J47)*MPPC!$B10,0)</f>
        <v>0</v>
      </c>
      <c r="L65" s="10">
        <f>IF(L10&gt;0,(L47-K47)*MPPC!$B10,0)</f>
        <v>0</v>
      </c>
      <c r="M65" s="10">
        <f>IF(M10&gt;0,(M47-L47)*MPPC!$B10,0)</f>
        <v>0</v>
      </c>
      <c r="N65" s="10">
        <f>IF(N10&gt;0,(N47-M47)*MPPC!$B10,0)</f>
        <v>0</v>
      </c>
      <c r="O65" s="10">
        <f>IF(O10&gt;0,(O47-N47)*MPPC!$B10,0)</f>
        <v>0</v>
      </c>
      <c r="P65" s="10">
        <f>IF(P10&gt;0,(P47-O47)*MPPC!$B10,0)</f>
        <v>0</v>
      </c>
      <c r="Q65" s="10">
        <f>IF(Q10&gt;0,(Q47-P47)*MPPC!$B10,0)</f>
        <v>0</v>
      </c>
      <c r="R65" s="10">
        <f>IF(R10&gt;0,(R47-Q47)*MPPC!$B10,0)</f>
        <v>0</v>
      </c>
      <c r="S65" s="10">
        <f>IF(S10&gt;0,(S47-R47)*MPPC!$B10,0)</f>
        <v>0</v>
      </c>
      <c r="T65" s="10">
        <f>IF(T10&gt;0,(T47-S47)*MPPC!$B10,0)</f>
        <v>0</v>
      </c>
      <c r="U65" s="10">
        <f>IF(U10&gt;0,(U47-T47)*MPPC!$B10,0)</f>
        <v>0</v>
      </c>
      <c r="V65" s="10">
        <f>IF(V10&gt;0,(V47-U47)*MPPC!$B10,0)</f>
        <v>0</v>
      </c>
      <c r="W65" s="10">
        <f>IF(W10&gt;0,(W47-V47)*MPPC!$B10,0)</f>
        <v>0</v>
      </c>
      <c r="X65" s="10">
        <f>IF(X10&gt;0,(X47-W47)*MPPC!$B10,0)</f>
        <v>0</v>
      </c>
      <c r="Y65" s="10">
        <f>IF(Y10&gt;0,(Y47-X47)*MPPC!$B10,0)</f>
        <v>0</v>
      </c>
      <c r="Z65" s="10">
        <f>IF(Z10&gt;0,(Z47-Y47)*MPPC!$B10,0)</f>
        <v>0</v>
      </c>
      <c r="AA65" s="10">
        <f>IF(AA10&gt;0,(AA47-Z47)*MPPC!$B10,0)</f>
        <v>0</v>
      </c>
      <c r="AB65" s="10">
        <f>IF(AB10&gt;0,(AB47-AA47)*MPPC!$B10,0)</f>
        <v>0</v>
      </c>
      <c r="AC65" s="10">
        <f>IF(AC10&gt;0,(AC47-AB47)*MPPC!$B10,0)</f>
        <v>0</v>
      </c>
      <c r="AD65" s="10">
        <f>IF(AD10&gt;0,(AD47-AC47)*MPPC!$B10,0)</f>
        <v>0</v>
      </c>
      <c r="AE65" s="10">
        <f>IF(AE10&gt;0,(AE47-AD47)*MPPC!$B10,0)</f>
        <v>0</v>
      </c>
      <c r="AF65" s="10">
        <f>IF(AF10&gt;0,(AF47-AE47)*MPPC!$B10,0)</f>
        <v>0</v>
      </c>
      <c r="AH65" s="12">
        <f t="shared" si="1"/>
        <v>0</v>
      </c>
      <c r="AI65" s="12">
        <f t="shared" si="2"/>
        <v>0</v>
      </c>
    </row>
    <row r="66" spans="1:35">
      <c r="A66" s="6" t="s">
        <v>10</v>
      </c>
      <c r="B66" s="10">
        <f>B48*MPPC!B11</f>
        <v>112</v>
      </c>
      <c r="C66" s="10">
        <f>IF(C11&gt;0,(C48-B48)*MPPC!$B11,0)</f>
        <v>0</v>
      </c>
      <c r="D66" s="10">
        <f>IF(D11&gt;0,(D48-C48)*MPPC!$B11,0)</f>
        <v>0</v>
      </c>
      <c r="E66" s="10">
        <f>IF(E11&gt;0,(E48-D48)*MPPC!$B11,0)</f>
        <v>0</v>
      </c>
      <c r="F66" s="10">
        <f>IF(F11&gt;0,(F48-E48)*MPPC!$B11,0)</f>
        <v>0</v>
      </c>
      <c r="G66" s="10">
        <f>IF(G11&gt;0,(G48-F48)*MPPC!$B11,0)</f>
        <v>0</v>
      </c>
      <c r="H66" s="10">
        <f>IF(H11&gt;0,(H48-G48)*MPPC!$B11,0)</f>
        <v>0</v>
      </c>
      <c r="I66" s="10">
        <f>IF(I11&gt;0,(I48-H48)*MPPC!$B11,0)</f>
        <v>0</v>
      </c>
      <c r="J66" s="10">
        <f>IF(J11&gt;0,(J48-I48)*MPPC!$B11,0)</f>
        <v>0</v>
      </c>
      <c r="K66" s="10">
        <f>IF(K11&gt;0,(K48-J48)*MPPC!$B11,0)</f>
        <v>0</v>
      </c>
      <c r="L66" s="10">
        <f>IF(L11&gt;0,(L48-K48)*MPPC!$B11,0)</f>
        <v>0</v>
      </c>
      <c r="M66" s="10">
        <f>IF(M11&gt;0,(M48-L48)*MPPC!$B11,0)</f>
        <v>0</v>
      </c>
      <c r="N66" s="10">
        <f>IF(N11&gt;0,(N48-M48)*MPPC!$B11,0)</f>
        <v>0</v>
      </c>
      <c r="O66" s="10">
        <f>IF(O11&gt;0,(O48-N48)*MPPC!$B11,0)</f>
        <v>0</v>
      </c>
      <c r="P66" s="10">
        <f>IF(P11&gt;0,(P48-O48)*MPPC!$B11,0)</f>
        <v>0</v>
      </c>
      <c r="Q66" s="10">
        <f>IF(Q11&gt;0,(Q48-P48)*MPPC!$B11,0)</f>
        <v>5</v>
      </c>
      <c r="R66" s="10">
        <f>IF(R11&gt;0,(R48-Q48)*MPPC!$B11,0)</f>
        <v>3</v>
      </c>
      <c r="S66" s="10">
        <f>IF(S11&gt;0,(S48-R48)*MPPC!$B11,0)</f>
        <v>9</v>
      </c>
      <c r="T66" s="10">
        <f>IF(T11&gt;0,(T48-S48)*MPPC!$B11,0)</f>
        <v>5</v>
      </c>
      <c r="U66" s="10">
        <f>IF(U11&gt;0,(U48-T48)*MPPC!$B11,0)</f>
        <v>1</v>
      </c>
      <c r="V66" s="10">
        <f>IF(V11&gt;0,(V48-U48)*MPPC!$B11,0)</f>
        <v>1</v>
      </c>
      <c r="W66" s="10">
        <f>IF(W11&gt;0,(W48-V48)*MPPC!$B11,0)</f>
        <v>16</v>
      </c>
      <c r="X66" s="10">
        <f>IF(X11&gt;0,(X48-W48)*MPPC!$B11,0)</f>
        <v>2</v>
      </c>
      <c r="Y66" s="10">
        <f>IF(Y11&gt;0,(Y48-X48)*MPPC!$B11,0)</f>
        <v>6</v>
      </c>
      <c r="Z66" s="10">
        <f>IF(Z11&gt;0,(Z48-Y48)*MPPC!$B11,0)</f>
        <v>0</v>
      </c>
      <c r="AA66" s="10">
        <f>IF(AA11&gt;0,(AA48-Z48)*MPPC!$B11,0)</f>
        <v>1</v>
      </c>
      <c r="AB66" s="10">
        <f>IF(AB11&gt;0,(AB48-AA48)*MPPC!$B11,0)</f>
        <v>0</v>
      </c>
      <c r="AC66" s="10">
        <f>IF(AC11&gt;0,(AC48-AB48)*MPPC!$B11,0)</f>
        <v>0</v>
      </c>
      <c r="AD66" s="10">
        <f>IF(AD11&gt;0,(AD48-AC48)*MPPC!$B11,0)</f>
        <v>0</v>
      </c>
      <c r="AE66" s="10">
        <f>IF(AE11&gt;0,(AE48-AD48)*MPPC!$B11,0)</f>
        <v>0</v>
      </c>
      <c r="AF66" s="10">
        <f>IF(AF11&gt;0,(AF48-AE48)*MPPC!$B11,0)</f>
        <v>0</v>
      </c>
      <c r="AH66" s="12">
        <f t="shared" si="1"/>
        <v>161</v>
      </c>
      <c r="AI66" s="12">
        <f t="shared" si="2"/>
        <v>-0.96499999999994657</v>
      </c>
    </row>
    <row r="67" spans="1:35">
      <c r="A67" s="6" t="s">
        <v>11</v>
      </c>
      <c r="B67" s="10">
        <f>B49*MPPC!B12</f>
        <v>0</v>
      </c>
      <c r="C67" s="10">
        <f>IF(C12&gt;0,(C49-B49)*MPPC!$B12,0)</f>
        <v>0</v>
      </c>
      <c r="D67" s="10">
        <f>IF(D12&gt;0,(D49-C49)*MPPC!$B12,0)</f>
        <v>0</v>
      </c>
      <c r="E67" s="10">
        <f>IF(E12&gt;0,(E49-D49)*MPPC!$B12,0)</f>
        <v>0</v>
      </c>
      <c r="F67" s="10">
        <f>IF(F12&gt;0,(F49-E49)*MPPC!$B12,0)</f>
        <v>0</v>
      </c>
      <c r="G67" s="10">
        <f>IF(G12&gt;0,(G49-F49)*MPPC!$B12,0)</f>
        <v>0</v>
      </c>
      <c r="H67" s="10">
        <f>IF(H12&gt;0,(H49-G49)*MPPC!$B12,0)</f>
        <v>0</v>
      </c>
      <c r="I67" s="10">
        <f>IF(I12&gt;0,(I49-H49)*MPPC!$B12,0)</f>
        <v>0</v>
      </c>
      <c r="J67" s="10">
        <f>IF(J12&gt;0,(J49-I49)*MPPC!$B12,0)</f>
        <v>0</v>
      </c>
      <c r="K67" s="10">
        <f>IF(K12&gt;0,(K49-J49)*MPPC!$B12,0)</f>
        <v>0</v>
      </c>
      <c r="L67" s="10">
        <f>IF(L12&gt;0,(L49-K49)*MPPC!$B12,0)</f>
        <v>0</v>
      </c>
      <c r="M67" s="10">
        <f>IF(M12&gt;0,(M49-L49)*MPPC!$B12,0)</f>
        <v>0</v>
      </c>
      <c r="N67" s="10">
        <f>IF(N12&gt;0,(N49-M49)*MPPC!$B12,0)</f>
        <v>0</v>
      </c>
      <c r="O67" s="10">
        <f>IF(O12&gt;0,(O49-N49)*MPPC!$B12,0)</f>
        <v>0</v>
      </c>
      <c r="P67" s="10">
        <f>IF(P12&gt;0,(P49-O49)*MPPC!$B12,0)</f>
        <v>0</v>
      </c>
      <c r="Q67" s="10">
        <f>IF(Q12&gt;0,(Q49-P49)*MPPC!$B12,0)</f>
        <v>0</v>
      </c>
      <c r="R67" s="10">
        <f>IF(R12&gt;0,(R49-Q49)*MPPC!$B12,0)</f>
        <v>0</v>
      </c>
      <c r="S67" s="10">
        <f>IF(S12&gt;0,(S49-R49)*MPPC!$B12,0)</f>
        <v>0</v>
      </c>
      <c r="T67" s="10">
        <f>IF(T12&gt;0,(T49-S49)*MPPC!$B12,0)</f>
        <v>0</v>
      </c>
      <c r="U67" s="10">
        <f>IF(U12&gt;0,(U49-T49)*MPPC!$B12,0)</f>
        <v>0</v>
      </c>
      <c r="V67" s="10">
        <f>IF(V12&gt;0,(V49-U49)*MPPC!$B12,0)</f>
        <v>0</v>
      </c>
      <c r="W67" s="10">
        <f>IF(W12&gt;0,(W49-V49)*MPPC!$B12,0)</f>
        <v>0</v>
      </c>
      <c r="X67" s="10">
        <f>IF(X12&gt;0,(X49-W49)*MPPC!$B12,0)</f>
        <v>0</v>
      </c>
      <c r="Y67" s="10">
        <f>IF(Y12&gt;0,(Y49-X49)*MPPC!$B12,0)</f>
        <v>0</v>
      </c>
      <c r="Z67" s="10">
        <f>IF(Z12&gt;0,(Z49-Y49)*MPPC!$B12,0)</f>
        <v>0</v>
      </c>
      <c r="AA67" s="10">
        <f>IF(AA12&gt;0,(AA49-Z49)*MPPC!$B12,0)</f>
        <v>0</v>
      </c>
      <c r="AB67" s="10">
        <f>IF(AB12&gt;0,(AB49-AA49)*MPPC!$B12,0)</f>
        <v>0</v>
      </c>
      <c r="AC67" s="10">
        <f>IF(AC12&gt;0,(AC49-AB49)*MPPC!$B12,0)</f>
        <v>0</v>
      </c>
      <c r="AD67" s="10">
        <f>IF(AD12&gt;0,(AD49-AC49)*MPPC!$B12,0)</f>
        <v>0</v>
      </c>
      <c r="AE67" s="10">
        <f>IF(AE12&gt;0,(AE49-AD49)*MPPC!$B12,0)</f>
        <v>0</v>
      </c>
      <c r="AF67" s="10">
        <f>IF(AF12&gt;0,(AF49-AE49)*MPPC!$B12,0)</f>
        <v>0</v>
      </c>
      <c r="AH67" s="12">
        <f t="shared" si="1"/>
        <v>0</v>
      </c>
      <c r="AI67" s="12">
        <f t="shared" si="2"/>
        <v>0</v>
      </c>
    </row>
    <row r="68" spans="1:35">
      <c r="A68" s="6" t="s">
        <v>12</v>
      </c>
      <c r="B68" s="10">
        <f>B50*MPPC!B13</f>
        <v>0</v>
      </c>
      <c r="C68" s="10">
        <f>IF(C13&gt;0,(C50-B50)*MPPC!$B13,0)</f>
        <v>0</v>
      </c>
      <c r="D68" s="10">
        <f>IF(D13&gt;0,(D50-C50)*MPPC!$B13,0)</f>
        <v>0</v>
      </c>
      <c r="E68" s="10">
        <f>IF(E13&gt;0,(E50-D50)*MPPC!$B13,0)</f>
        <v>0</v>
      </c>
      <c r="F68" s="10">
        <f>IF(F13&gt;0,(F50-E50)*MPPC!$B13,0)</f>
        <v>0</v>
      </c>
      <c r="G68" s="10">
        <f>IF(G13&gt;0,(G50-F50)*MPPC!$B13,0)</f>
        <v>0</v>
      </c>
      <c r="H68" s="10">
        <f>IF(H13&gt;0,(H50-G50)*MPPC!$B13,0)</f>
        <v>0</v>
      </c>
      <c r="I68" s="10">
        <f>IF(I13&gt;0,(I50-H50)*MPPC!$B13,0)</f>
        <v>0</v>
      </c>
      <c r="J68" s="10">
        <f>IF(J13&gt;0,(J50-I50)*MPPC!$B13,0)</f>
        <v>0</v>
      </c>
      <c r="K68" s="10">
        <f>IF(K13&gt;0,(K50-J50)*MPPC!$B13,0)</f>
        <v>0</v>
      </c>
      <c r="L68" s="10">
        <f>IF(L13&gt;0,(L50-K50)*MPPC!$B13,0)</f>
        <v>0</v>
      </c>
      <c r="M68" s="10">
        <f>IF(M13&gt;0,(M50-L50)*MPPC!$B13,0)</f>
        <v>0</v>
      </c>
      <c r="N68" s="10">
        <f>IF(N13&gt;0,(N50-M50)*MPPC!$B13,0)</f>
        <v>0</v>
      </c>
      <c r="O68" s="10">
        <f>IF(O13&gt;0,(O50-N50)*MPPC!$B13,0)</f>
        <v>0</v>
      </c>
      <c r="P68" s="10">
        <f>IF(P13&gt;0,(P50-O50)*MPPC!$B13,0)</f>
        <v>0</v>
      </c>
      <c r="Q68" s="10">
        <f>IF(Q13&gt;0,(Q50-P50)*MPPC!$B13,0)</f>
        <v>0</v>
      </c>
      <c r="R68" s="10">
        <f>IF(R13&gt;0,(R50-Q50)*MPPC!$B13,0)</f>
        <v>0</v>
      </c>
      <c r="S68" s="10">
        <f>IF(S13&gt;0,(S50-R50)*MPPC!$B13,0)</f>
        <v>0</v>
      </c>
      <c r="T68" s="10">
        <f>IF(T13&gt;0,(T50-S50)*MPPC!$B13,0)</f>
        <v>0</v>
      </c>
      <c r="U68" s="10">
        <f>IF(U13&gt;0,(U50-T50)*MPPC!$B13,0)</f>
        <v>0</v>
      </c>
      <c r="V68" s="10">
        <f>IF(V13&gt;0,(V50-U50)*MPPC!$B13,0)</f>
        <v>0</v>
      </c>
      <c r="W68" s="10">
        <f>IF(W13&gt;0,(W50-V50)*MPPC!$B13,0)</f>
        <v>0</v>
      </c>
      <c r="X68" s="10">
        <f>IF(X13&gt;0,(X50-W50)*MPPC!$B13,0)</f>
        <v>0</v>
      </c>
      <c r="Y68" s="10">
        <f>IF(Y13&gt;0,(Y50-X50)*MPPC!$B13,0)</f>
        <v>0</v>
      </c>
      <c r="Z68" s="10">
        <f>IF(Z13&gt;0,(Z50-Y50)*MPPC!$B13,0)</f>
        <v>0</v>
      </c>
      <c r="AA68" s="10">
        <f>IF(AA13&gt;0,(AA50-Z50)*MPPC!$B13,0)</f>
        <v>0</v>
      </c>
      <c r="AB68" s="10">
        <f>IF(AB13&gt;0,(AB50-AA50)*MPPC!$B13,0)</f>
        <v>0</v>
      </c>
      <c r="AC68" s="10">
        <f>IF(AC13&gt;0,(AC50-AB50)*MPPC!$B13,0)</f>
        <v>0</v>
      </c>
      <c r="AD68" s="10">
        <f>IF(AD13&gt;0,(AD50-AC50)*MPPC!$B13,0)</f>
        <v>0</v>
      </c>
      <c r="AE68" s="10">
        <f>IF(AE13&gt;0,(AE50-AD50)*MPPC!$B13,0)</f>
        <v>0</v>
      </c>
      <c r="AF68" s="10">
        <f>IF(AF13&gt;0,(AF50-AE50)*MPPC!$B13,0)</f>
        <v>0</v>
      </c>
      <c r="AH68" s="12">
        <f t="shared" si="1"/>
        <v>0</v>
      </c>
      <c r="AI68" s="12">
        <f t="shared" si="2"/>
        <v>0</v>
      </c>
    </row>
    <row r="69" spans="1:35">
      <c r="A69" s="6" t="s">
        <v>13</v>
      </c>
      <c r="B69" s="10">
        <f>B51*MPPC!B14</f>
        <v>0</v>
      </c>
      <c r="C69" s="10">
        <f>IF(C14&gt;0,(C51-B51)*MPPC!$B14,0)</f>
        <v>0</v>
      </c>
      <c r="D69" s="10">
        <f>IF(D14&gt;0,(D51-C51)*MPPC!$B14,0)</f>
        <v>0</v>
      </c>
      <c r="E69" s="10">
        <f>IF(E14&gt;0,(E51-D51)*MPPC!$B14,0)</f>
        <v>0</v>
      </c>
      <c r="F69" s="10">
        <f>IF(F14&gt;0,(F51-E51)*MPPC!$B14,0)</f>
        <v>0</v>
      </c>
      <c r="G69" s="10">
        <f>IF(G14&gt;0,(G51-F51)*MPPC!$B14,0)</f>
        <v>0</v>
      </c>
      <c r="H69" s="10">
        <f>IF(H14&gt;0,(H51-G51)*MPPC!$B14,0)</f>
        <v>0</v>
      </c>
      <c r="I69" s="10">
        <f>IF(I14&gt;0,(I51-H51)*MPPC!$B14,0)</f>
        <v>0</v>
      </c>
      <c r="J69" s="10">
        <f>IF(J14&gt;0,(J51-I51)*MPPC!$B14,0)</f>
        <v>0</v>
      </c>
      <c r="K69" s="10">
        <f>IF(K14&gt;0,(K51-J51)*MPPC!$B14,0)</f>
        <v>0</v>
      </c>
      <c r="L69" s="10">
        <f>IF(L14&gt;0,(L51-K51)*MPPC!$B14,0)</f>
        <v>0</v>
      </c>
      <c r="M69" s="10">
        <f>IF(M14&gt;0,(M51-L51)*MPPC!$B14,0)</f>
        <v>0</v>
      </c>
      <c r="N69" s="10">
        <f>IF(N14&gt;0,(N51-M51)*MPPC!$B14,0)</f>
        <v>0</v>
      </c>
      <c r="O69" s="10">
        <f>IF(O14&gt;0,(O51-N51)*MPPC!$B14,0)</f>
        <v>0</v>
      </c>
      <c r="P69" s="10">
        <f>IF(P14&gt;0,(P51-O51)*MPPC!$B14,0)</f>
        <v>0</v>
      </c>
      <c r="Q69" s="10">
        <f>IF(Q14&gt;0,(Q51-P51)*MPPC!$B14,0)</f>
        <v>0</v>
      </c>
      <c r="R69" s="10">
        <f>IF(R14&gt;0,(R51-Q51)*MPPC!$B14,0)</f>
        <v>0</v>
      </c>
      <c r="S69" s="10">
        <f>IF(S14&gt;0,(S51-R51)*MPPC!$B14,0)</f>
        <v>0</v>
      </c>
      <c r="T69" s="10">
        <f>IF(T14&gt;0,(T51-S51)*MPPC!$B14,0)</f>
        <v>0</v>
      </c>
      <c r="U69" s="10">
        <f>IF(U14&gt;0,(U51-T51)*MPPC!$B14,0)</f>
        <v>0</v>
      </c>
      <c r="V69" s="10">
        <f>IF(V14&gt;0,(V51-U51)*MPPC!$B14,0)</f>
        <v>0</v>
      </c>
      <c r="W69" s="10">
        <f>IF(W14&gt;0,(W51-V51)*MPPC!$B14,0)</f>
        <v>0</v>
      </c>
      <c r="X69" s="10">
        <f>IF(X14&gt;0,(X51-W51)*MPPC!$B14,0)</f>
        <v>0</v>
      </c>
      <c r="Y69" s="10">
        <f>IF(Y14&gt;0,(Y51-X51)*MPPC!$B14,0)</f>
        <v>0</v>
      </c>
      <c r="Z69" s="10">
        <f>IF(Z14&gt;0,(Z51-Y51)*MPPC!$B14,0)</f>
        <v>0</v>
      </c>
      <c r="AA69" s="10">
        <f>IF(AA14&gt;0,(AA51-Z51)*MPPC!$B14,0)</f>
        <v>0</v>
      </c>
      <c r="AB69" s="10">
        <f>IF(AB14&gt;0,(AB51-AA51)*MPPC!$B14,0)</f>
        <v>0</v>
      </c>
      <c r="AC69" s="10">
        <f>IF(AC14&gt;0,(AC51-AB51)*MPPC!$B14,0)</f>
        <v>0</v>
      </c>
      <c r="AD69" s="10">
        <f>IF(AD14&gt;0,(AD51-AC51)*MPPC!$B14,0)</f>
        <v>0</v>
      </c>
      <c r="AE69" s="10">
        <f>IF(AE14&gt;0,(AE51-AD51)*MPPC!$B14,0)</f>
        <v>0</v>
      </c>
      <c r="AF69" s="10">
        <f>IF(AF14&gt;0,(AF51-AE51)*MPPC!$B14,0)</f>
        <v>0</v>
      </c>
      <c r="AH69" s="12">
        <f t="shared" si="1"/>
        <v>0</v>
      </c>
      <c r="AI69" s="12">
        <f t="shared" si="2"/>
        <v>0</v>
      </c>
    </row>
    <row r="70" spans="1:35">
      <c r="A70" s="2" t="s">
        <v>23</v>
      </c>
      <c r="B70" s="10">
        <f>B52*MPPC!B15</f>
        <v>0</v>
      </c>
      <c r="C70" s="10">
        <f>IF(C15&gt;0,(C52-B52)*MPPC!$B15,0)</f>
        <v>0</v>
      </c>
      <c r="D70" s="10">
        <f>IF(D15&gt;0,(D52-C52)*MPPC!$B15,0)</f>
        <v>0</v>
      </c>
      <c r="E70" s="10">
        <f>IF(E15&gt;0,(E52-D52)*MPPC!$B15,0)</f>
        <v>0</v>
      </c>
      <c r="F70" s="10">
        <f>IF(F15&gt;0,(F52-E52)*MPPC!$B15,0)</f>
        <v>0</v>
      </c>
      <c r="G70" s="10">
        <f>IF(G15&gt;0,(G52-F52)*MPPC!$B15,0)</f>
        <v>0</v>
      </c>
      <c r="H70" s="10">
        <f>IF(H15&gt;0,(H52-G52)*MPPC!$B15,0)</f>
        <v>0</v>
      </c>
      <c r="I70" s="10">
        <f>IF(I15&gt;0,(I52-H52)*MPPC!$B15,0)</f>
        <v>0</v>
      </c>
      <c r="J70" s="10">
        <f>IF(J15&gt;0,(J52-I52)*MPPC!$B15,0)</f>
        <v>0</v>
      </c>
      <c r="K70" s="10">
        <f>IF(K15&gt;0,(K52-J52)*MPPC!$B15,0)</f>
        <v>0</v>
      </c>
      <c r="L70" s="10">
        <f>IF(L15&gt;0,(L52-K52)*MPPC!$B15,0)</f>
        <v>0</v>
      </c>
      <c r="M70" s="10">
        <f>IF(M15&gt;0,(M52-L52)*MPPC!$B15,0)</f>
        <v>0</v>
      </c>
      <c r="N70" s="10">
        <f>IF(N15&gt;0,(N52-M52)*MPPC!$B15,0)</f>
        <v>0</v>
      </c>
      <c r="O70" s="10">
        <f>IF(O15&gt;0,(O52-N52)*MPPC!$B15,0)</f>
        <v>0</v>
      </c>
      <c r="P70" s="10">
        <f>IF(P15&gt;0,(P52-O52)*MPPC!$B15,0)</f>
        <v>0</v>
      </c>
      <c r="Q70" s="10">
        <f>IF(Q15&gt;0,(Q52-P52)*MPPC!$B15,0)</f>
        <v>0</v>
      </c>
      <c r="R70" s="10">
        <f>IF(R15&gt;0,(R52-Q52)*MPPC!$B15,0)</f>
        <v>0</v>
      </c>
      <c r="S70" s="10">
        <f>IF(S15&gt;0,(S52-R52)*MPPC!$B15,0)</f>
        <v>0</v>
      </c>
      <c r="T70" s="10">
        <f>IF(T15&gt;0,(T52-S52)*MPPC!$B15,0)</f>
        <v>0</v>
      </c>
      <c r="U70" s="10">
        <f>IF(U15&gt;0,(U52-T52)*MPPC!$B15,0)</f>
        <v>0</v>
      </c>
      <c r="V70" s="10">
        <f>IF(V15&gt;0,(V52-U52)*MPPC!$B15,0)</f>
        <v>0</v>
      </c>
      <c r="W70" s="10">
        <f>IF(W15&gt;0,(W52-V52)*MPPC!$B15,0)</f>
        <v>0</v>
      </c>
      <c r="X70" s="10">
        <f>IF(X15&gt;0,(X52-W52)*MPPC!$B15,0)</f>
        <v>0</v>
      </c>
      <c r="Y70" s="10">
        <f>IF(Y15&gt;0,(Y52-X52)*MPPC!$B15,0)</f>
        <v>0</v>
      </c>
      <c r="Z70" s="10">
        <f>IF(Z15&gt;0,(Z52-Y52)*MPPC!$B15,0)</f>
        <v>0</v>
      </c>
      <c r="AA70" s="10">
        <f>IF(AA15&gt;0,(AA52-Z52)*MPPC!$B15,0)</f>
        <v>0</v>
      </c>
      <c r="AB70" s="10">
        <f>IF(AB15&gt;0,(AB52-AA52)*MPPC!$B15,0)</f>
        <v>0</v>
      </c>
      <c r="AC70" s="10">
        <f>IF(AC15&gt;0,(AC52-AB52)*MPPC!$B15,0)</f>
        <v>0</v>
      </c>
      <c r="AD70" s="10">
        <f>IF(AD15&gt;0,(AD52-AC52)*MPPC!$B15,0)</f>
        <v>0</v>
      </c>
      <c r="AE70" s="10">
        <f>IF(AE15&gt;0,(AE52-AD52)*MPPC!$B15,0)</f>
        <v>0</v>
      </c>
      <c r="AF70" s="10">
        <f>IF(AF15&gt;0,(AF52-AE52)*MPPC!$B15,0)</f>
        <v>0</v>
      </c>
      <c r="AH70" s="12">
        <f t="shared" si="1"/>
        <v>0</v>
      </c>
      <c r="AI70" s="12">
        <f t="shared" si="2"/>
        <v>0</v>
      </c>
    </row>
    <row r="71" spans="1:35">
      <c r="A71" s="2" t="s">
        <v>24</v>
      </c>
      <c r="B71" s="10">
        <f>B53*MPPC!B16</f>
        <v>1400</v>
      </c>
      <c r="C71" s="10">
        <f>IF(C16&gt;0,(C53-B53)*MPPC!$B16,0)</f>
        <v>0</v>
      </c>
      <c r="D71" s="10">
        <f>IF(D16&gt;0,(D53-C53)*MPPC!$B16,0)</f>
        <v>1200</v>
      </c>
      <c r="E71" s="10">
        <f>IF(E16&gt;0,(E53-D53)*MPPC!$B16,0)</f>
        <v>0</v>
      </c>
      <c r="F71" s="10">
        <f>IF(F16&gt;0,(F53-E53)*MPPC!$B16,0)</f>
        <v>0</v>
      </c>
      <c r="G71" s="10">
        <f>IF(G16&gt;0,(G53-F53)*MPPC!$B16,0)</f>
        <v>0</v>
      </c>
      <c r="H71" s="10">
        <f>IF(H16&gt;0,(H53-G53)*MPPC!$B16,0)</f>
        <v>0</v>
      </c>
      <c r="I71" s="10">
        <f>IF(I16&gt;0,(I53-H53)*MPPC!$B16,0)</f>
        <v>0</v>
      </c>
      <c r="J71" s="10">
        <f>IF(J16&gt;0,(J53-I53)*MPPC!$B16,0)</f>
        <v>0</v>
      </c>
      <c r="K71" s="10">
        <f>IF(K16&gt;0,(K53-J53)*MPPC!$B16,0)</f>
        <v>0</v>
      </c>
      <c r="L71" s="10">
        <f>IF(L16&gt;0,(L53-K53)*MPPC!$B16,0)</f>
        <v>0</v>
      </c>
      <c r="M71" s="10">
        <f>IF(M16&gt;0,(M53-L53)*MPPC!$B16,0)</f>
        <v>0</v>
      </c>
      <c r="N71" s="10">
        <f>IF(N16&gt;0,(N53-M53)*MPPC!$B16,0)</f>
        <v>0</v>
      </c>
      <c r="O71" s="10">
        <f>IF(O16&gt;0,(O53-N53)*MPPC!$B16,0)</f>
        <v>0</v>
      </c>
      <c r="P71" s="10">
        <f>IF(P16&gt;0,(P53-O53)*MPPC!$B16,0)</f>
        <v>0</v>
      </c>
      <c r="Q71" s="10">
        <f>IF(Q16&gt;0,(Q53-P53)*MPPC!$B16,0)</f>
        <v>0</v>
      </c>
      <c r="R71" s="10">
        <f>IF(R16&gt;0,(R53-Q53)*MPPC!$B16,0)</f>
        <v>0</v>
      </c>
      <c r="S71" s="10">
        <f>IF(S16&gt;0,(S53-R53)*MPPC!$B16,0)</f>
        <v>0</v>
      </c>
      <c r="T71" s="10">
        <f>IF(T16&gt;0,(T53-S53)*MPPC!$B16,0)</f>
        <v>0</v>
      </c>
      <c r="U71" s="10">
        <f>IF(U16&gt;0,(U53-T53)*MPPC!$B16,0)</f>
        <v>0</v>
      </c>
      <c r="V71" s="10">
        <f>IF(V16&gt;0,(V53-U53)*MPPC!$B16,0)</f>
        <v>0</v>
      </c>
      <c r="W71" s="10">
        <f>IF(W16&gt;0,(W53-V53)*MPPC!$B16,0)</f>
        <v>0</v>
      </c>
      <c r="X71" s="10">
        <f>IF(X16&gt;0,(X53-W53)*MPPC!$B16,0)</f>
        <v>0</v>
      </c>
      <c r="Y71" s="10">
        <f>IF(Y16&gt;0,(Y53-X53)*MPPC!$B16,0)</f>
        <v>0</v>
      </c>
      <c r="Z71" s="10">
        <f>IF(Z16&gt;0,(Z53-Y53)*MPPC!$B16,0)</f>
        <v>0</v>
      </c>
      <c r="AA71" s="10">
        <f>IF(AA16&gt;0,(AA53-Z53)*MPPC!$B16,0)</f>
        <v>0</v>
      </c>
      <c r="AB71" s="10">
        <f>IF(AB16&gt;0,(AB53-AA53)*MPPC!$B16,0)</f>
        <v>0</v>
      </c>
      <c r="AC71" s="10">
        <f>IF(AC16&gt;0,(AC53-AB53)*MPPC!$B16,0)</f>
        <v>0</v>
      </c>
      <c r="AD71" s="10">
        <f>IF(AD16&gt;0,(AD53-AC53)*MPPC!$B16,0)</f>
        <v>0</v>
      </c>
      <c r="AE71" s="10">
        <f>IF(AE16&gt;0,(AE53-AD53)*MPPC!$B16,0)</f>
        <v>0</v>
      </c>
      <c r="AF71" s="10">
        <f>IF(AF16&gt;0,(AF53-AE53)*MPPC!$B16,0)</f>
        <v>0</v>
      </c>
      <c r="AH71" s="12">
        <f t="shared" si="1"/>
        <v>2600</v>
      </c>
      <c r="AI71" s="12">
        <f t="shared" si="2"/>
        <v>0</v>
      </c>
    </row>
    <row r="72" spans="1:35">
      <c r="A72" s="2" t="s">
        <v>25</v>
      </c>
      <c r="B72" s="10">
        <f>B54*MPPC!B17</f>
        <v>0</v>
      </c>
      <c r="C72" s="10">
        <f>IF(C17&gt;0,(C54-B54)*MPPC!$B17,0)</f>
        <v>0</v>
      </c>
      <c r="D72" s="10">
        <f>IF(D17&gt;0,(D54-C54)*MPPC!$B17,0)</f>
        <v>0</v>
      </c>
      <c r="E72" s="10">
        <f>IF(E17&gt;0,(E54-D54)*MPPC!$B17,0)</f>
        <v>0</v>
      </c>
      <c r="F72" s="10">
        <f>IF(F17&gt;0,(F54-E54)*MPPC!$B17,0)</f>
        <v>0</v>
      </c>
      <c r="G72" s="10">
        <f>IF(G17&gt;0,(G54-F54)*MPPC!$B17,0)</f>
        <v>0</v>
      </c>
      <c r="H72" s="10">
        <f>IF(H17&gt;0,(H54-G54)*MPPC!$B17,0)</f>
        <v>0</v>
      </c>
      <c r="I72" s="10">
        <f>IF(I17&gt;0,(I54-H54)*MPPC!$B17,0)</f>
        <v>0</v>
      </c>
      <c r="J72" s="10">
        <f>IF(J17&gt;0,(J54-I54)*MPPC!$B17,0)</f>
        <v>0</v>
      </c>
      <c r="K72" s="10">
        <f>IF(K17&gt;0,(K54-J54)*MPPC!$B17,0)</f>
        <v>0</v>
      </c>
      <c r="L72" s="10">
        <f>IF(L17&gt;0,(L54-K54)*MPPC!$B17,0)</f>
        <v>0</v>
      </c>
      <c r="M72" s="10">
        <f>IF(M17&gt;0,(M54-L54)*MPPC!$B17,0)</f>
        <v>0</v>
      </c>
      <c r="N72" s="10">
        <f>IF(N17&gt;0,(N54-M54)*MPPC!$B17,0)</f>
        <v>0</v>
      </c>
      <c r="O72" s="10">
        <f>IF(O17&gt;0,(O54-N54)*MPPC!$B17,0)</f>
        <v>0</v>
      </c>
      <c r="P72" s="10">
        <f>IF(P17&gt;0,(P54-O54)*MPPC!$B17,0)</f>
        <v>0</v>
      </c>
      <c r="Q72" s="10">
        <f>IF(Q17&gt;0,(Q54-P54)*MPPC!$B17,0)</f>
        <v>0</v>
      </c>
      <c r="R72" s="10">
        <f>IF(R17&gt;0,(R54-Q54)*MPPC!$B17,0)</f>
        <v>0</v>
      </c>
      <c r="S72" s="10">
        <f>IF(S17&gt;0,(S54-R54)*MPPC!$B17,0)</f>
        <v>0</v>
      </c>
      <c r="T72" s="10">
        <f>IF(T17&gt;0,(T54-S54)*MPPC!$B17,0)</f>
        <v>0</v>
      </c>
      <c r="U72" s="10">
        <f>IF(U17&gt;0,(U54-T54)*MPPC!$B17,0)</f>
        <v>0</v>
      </c>
      <c r="V72" s="10">
        <f>IF(V17&gt;0,(V54-U54)*MPPC!$B17,0)</f>
        <v>0</v>
      </c>
      <c r="W72" s="10">
        <f>IF(W17&gt;0,(W54-V54)*MPPC!$B17,0)</f>
        <v>0</v>
      </c>
      <c r="X72" s="10">
        <f>IF(X17&gt;0,(X54-W54)*MPPC!$B17,0)</f>
        <v>0</v>
      </c>
      <c r="Y72" s="10">
        <f>IF(Y17&gt;0,(Y54-X54)*MPPC!$B17,0)</f>
        <v>0</v>
      </c>
      <c r="Z72" s="10">
        <f>IF(Z17&gt;0,(Z54-Y54)*MPPC!$B17,0)</f>
        <v>0</v>
      </c>
      <c r="AA72" s="10">
        <f>IF(AA17&gt;0,(AA54-Z54)*MPPC!$B17,0)</f>
        <v>0</v>
      </c>
      <c r="AB72" s="10">
        <f>IF(AB17&gt;0,(AB54-AA54)*MPPC!$B17,0)</f>
        <v>0</v>
      </c>
      <c r="AC72" s="10">
        <f>IF(AC17&gt;0,(AC54-AB54)*MPPC!$B17,0)</f>
        <v>0</v>
      </c>
      <c r="AD72" s="10">
        <f>IF(AD17&gt;0,(AD54-AC54)*MPPC!$B17,0)</f>
        <v>0</v>
      </c>
      <c r="AE72" s="10">
        <f>IF(AE17&gt;0,(AE54-AD54)*MPPC!$B17,0)</f>
        <v>0</v>
      </c>
      <c r="AF72" s="10">
        <f>IF(AF17&gt;0,(AF54-AE54)*MPPC!$B17,0)</f>
        <v>0</v>
      </c>
      <c r="AH72" s="12">
        <f t="shared" si="1"/>
        <v>0</v>
      </c>
      <c r="AI72" s="12">
        <f t="shared" si="2"/>
        <v>0</v>
      </c>
    </row>
    <row r="73" spans="1:35">
      <c r="A73" s="6" t="s">
        <v>1548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5">
      <c r="A74" s="2" t="s">
        <v>1550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5">
      <c r="A75" s="2" t="s">
        <v>1551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5">
      <c r="A76" s="2" t="s">
        <v>1552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5">
      <c r="A77" s="2" t="s">
        <v>1553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5">
      <c r="A78" s="2" t="s">
        <v>1554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5">
      <c r="A79" s="91" t="s">
        <v>1555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5">
      <c r="A80" s="91" t="s">
        <v>1556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</sheetData>
  <phoneticPr fontId="14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-0.499984740745262"/>
  </sheetPr>
  <dimension ref="A1:AG25"/>
  <sheetViews>
    <sheetView tabSelected="1" topLeftCell="X1" zoomScaleNormal="100" workbookViewId="0">
      <selection activeCell="AD3" sqref="AD3"/>
    </sheetView>
  </sheetViews>
  <sheetFormatPr defaultRowHeight="14.5"/>
  <cols>
    <col min="1" max="1" width="32.6328125" bestFit="1" customWidth="1"/>
    <col min="2" max="21" width="9.26953125" bestFit="1" customWidth="1"/>
  </cols>
  <sheetData>
    <row r="1" spans="1:33" s="2" customFormat="1">
      <c r="A1" s="7" t="s">
        <v>26</v>
      </c>
      <c r="B1" s="6">
        <v>2021</v>
      </c>
      <c r="C1" s="6">
        <v>2022</v>
      </c>
      <c r="D1" s="6">
        <v>2023</v>
      </c>
      <c r="E1" s="6">
        <v>2024</v>
      </c>
      <c r="F1" s="6">
        <v>2025</v>
      </c>
      <c r="G1" s="6">
        <v>2026</v>
      </c>
      <c r="H1" s="6">
        <v>2027</v>
      </c>
      <c r="I1" s="6">
        <v>2028</v>
      </c>
      <c r="J1" s="6">
        <v>2029</v>
      </c>
      <c r="K1" s="6">
        <v>2030</v>
      </c>
      <c r="L1" s="6">
        <v>2031</v>
      </c>
      <c r="M1" s="6">
        <v>2032</v>
      </c>
      <c r="N1" s="6">
        <v>2033</v>
      </c>
      <c r="O1" s="6">
        <v>2034</v>
      </c>
      <c r="P1" s="6">
        <v>2035</v>
      </c>
      <c r="Q1" s="6">
        <v>2036</v>
      </c>
      <c r="R1" s="6">
        <v>2037</v>
      </c>
      <c r="S1" s="6">
        <v>2038</v>
      </c>
      <c r="T1" s="6">
        <v>2039</v>
      </c>
      <c r="U1" s="6">
        <v>2040</v>
      </c>
      <c r="V1" s="6">
        <v>2041</v>
      </c>
      <c r="W1" s="6">
        <v>2042</v>
      </c>
      <c r="X1" s="6">
        <v>2043</v>
      </c>
      <c r="Y1" s="6">
        <v>2044</v>
      </c>
      <c r="Z1" s="6">
        <v>2045</v>
      </c>
      <c r="AA1" s="6">
        <v>2046</v>
      </c>
      <c r="AB1" s="6">
        <v>2047</v>
      </c>
      <c r="AC1" s="6">
        <v>2048</v>
      </c>
      <c r="AD1" s="6">
        <v>2049</v>
      </c>
      <c r="AE1" s="6">
        <v>2050</v>
      </c>
    </row>
    <row r="2" spans="1:33">
      <c r="A2" s="6" t="s">
        <v>14</v>
      </c>
      <c r="B2" s="1">
        <f>Calcs!C57</f>
        <v>0</v>
      </c>
      <c r="C2" s="1">
        <f>Calcs!D57</f>
        <v>0</v>
      </c>
      <c r="D2" s="1">
        <f>Calcs!E57</f>
        <v>0</v>
      </c>
      <c r="E2" s="1">
        <f>Calcs!F57</f>
        <v>0</v>
      </c>
      <c r="F2" s="1">
        <f>Calcs!G57</f>
        <v>1032</v>
      </c>
      <c r="G2" s="1">
        <f>Calcs!H57</f>
        <v>2580</v>
      </c>
      <c r="H2" s="1">
        <f>Calcs!I57</f>
        <v>1548</v>
      </c>
      <c r="I2" s="1">
        <f>Calcs!J57</f>
        <v>1548</v>
      </c>
      <c r="J2" s="1">
        <f>Calcs!K57</f>
        <v>1806</v>
      </c>
      <c r="K2" s="1">
        <f>Calcs!L57</f>
        <v>1032</v>
      </c>
      <c r="L2" s="1">
        <f>Calcs!M57</f>
        <v>1032</v>
      </c>
      <c r="M2" s="1">
        <f>Calcs!N57</f>
        <v>1032</v>
      </c>
      <c r="N2" s="1">
        <f>Calcs!O57</f>
        <v>0</v>
      </c>
      <c r="O2" s="1">
        <f>Calcs!P57</f>
        <v>1548</v>
      </c>
      <c r="P2" s="1">
        <f>Calcs!Q57</f>
        <v>516</v>
      </c>
      <c r="Q2" s="1">
        <f>Calcs!R57</f>
        <v>516</v>
      </c>
      <c r="R2" s="1">
        <f>Calcs!S57</f>
        <v>1806</v>
      </c>
      <c r="S2" s="1">
        <f>Calcs!T57</f>
        <v>3354</v>
      </c>
      <c r="T2" s="1">
        <f>Calcs!U57</f>
        <v>774</v>
      </c>
      <c r="U2" s="1">
        <f>Calcs!V57</f>
        <v>0</v>
      </c>
      <c r="V2" s="1">
        <f>Calcs!W57</f>
        <v>0</v>
      </c>
      <c r="W2" s="1">
        <f>Calcs!X57</f>
        <v>0</v>
      </c>
      <c r="X2" s="1">
        <f>Calcs!Y57</f>
        <v>0</v>
      </c>
      <c r="Y2" s="1">
        <f>Calcs!Z57</f>
        <v>1806</v>
      </c>
      <c r="Z2" s="1">
        <f>Calcs!AA57</f>
        <v>258</v>
      </c>
      <c r="AA2" s="1">
        <f>Calcs!AB57</f>
        <v>4902</v>
      </c>
      <c r="AB2" s="1">
        <f>Calcs!AC57</f>
        <v>5418</v>
      </c>
      <c r="AC2" s="1">
        <f>Calcs!AD57</f>
        <v>0</v>
      </c>
      <c r="AD2" s="1">
        <f>Calcs!AE57</f>
        <v>0</v>
      </c>
      <c r="AE2" s="1">
        <f>Calcs!AF57</f>
        <v>0</v>
      </c>
      <c r="AG2" s="1"/>
    </row>
    <row r="3" spans="1:33">
      <c r="A3" s="6" t="s">
        <v>1548</v>
      </c>
      <c r="B3" s="17">
        <f>Calcs!C73</f>
        <v>0</v>
      </c>
      <c r="C3" s="17">
        <f>Calcs!D73</f>
        <v>0</v>
      </c>
      <c r="D3" s="17">
        <f>Calcs!E73</f>
        <v>0</v>
      </c>
      <c r="E3" s="17">
        <f>Calcs!F73</f>
        <v>0</v>
      </c>
      <c r="F3" s="17">
        <f>Calcs!G73</f>
        <v>0</v>
      </c>
      <c r="G3" s="17">
        <f>Calcs!H73</f>
        <v>0</v>
      </c>
      <c r="H3" s="17">
        <f>Calcs!I73</f>
        <v>0</v>
      </c>
      <c r="I3" s="17">
        <f>Calcs!J73</f>
        <v>0</v>
      </c>
      <c r="J3" s="17">
        <f>Calcs!K73</f>
        <v>0</v>
      </c>
      <c r="K3" s="17">
        <f>Calcs!L73</f>
        <v>0</v>
      </c>
      <c r="L3" s="17">
        <f>Calcs!M73</f>
        <v>0</v>
      </c>
      <c r="M3" s="17">
        <f>Calcs!N73</f>
        <v>0</v>
      </c>
      <c r="N3" s="17">
        <f>Calcs!O73</f>
        <v>0</v>
      </c>
      <c r="O3" s="17">
        <f>Calcs!P73</f>
        <v>0</v>
      </c>
      <c r="P3" s="17">
        <f>Calcs!Q73</f>
        <v>0</v>
      </c>
      <c r="Q3" s="17">
        <f>Calcs!R73</f>
        <v>0</v>
      </c>
      <c r="R3" s="17">
        <f>Calcs!S73</f>
        <v>0</v>
      </c>
      <c r="S3" s="17">
        <f>Calcs!T73</f>
        <v>0</v>
      </c>
      <c r="T3" s="17">
        <f>Calcs!U73</f>
        <v>0</v>
      </c>
      <c r="U3" s="17">
        <f>Calcs!V73</f>
        <v>0</v>
      </c>
      <c r="V3" s="17">
        <f>Calcs!W73</f>
        <v>0</v>
      </c>
      <c r="W3" s="17">
        <f>Calcs!X73</f>
        <v>0</v>
      </c>
      <c r="X3" s="17">
        <f>Calcs!Y73</f>
        <v>0</v>
      </c>
      <c r="Y3" s="17">
        <f>Calcs!Z73</f>
        <v>0</v>
      </c>
      <c r="Z3" s="17">
        <f>Calcs!AA73</f>
        <v>0</v>
      </c>
      <c r="AA3" s="17">
        <f>Calcs!AB73</f>
        <v>0</v>
      </c>
      <c r="AB3" s="17">
        <f>Calcs!AC73</f>
        <v>0</v>
      </c>
      <c r="AC3" s="17">
        <f>Calcs!AD73</f>
        <v>0</v>
      </c>
      <c r="AD3" s="1">
        <f>Calcs!AE58</f>
        <v>1386</v>
      </c>
      <c r="AE3" s="1">
        <f>Calcs!AF58</f>
        <v>154</v>
      </c>
      <c r="AG3" s="1"/>
    </row>
    <row r="4" spans="1:33">
      <c r="A4" s="2" t="s">
        <v>1549</v>
      </c>
      <c r="B4" s="1">
        <f>Calcs!C58</f>
        <v>0</v>
      </c>
      <c r="C4" s="1">
        <f>Calcs!D58</f>
        <v>0</v>
      </c>
      <c r="D4" s="1">
        <f>Calcs!E58</f>
        <v>0</v>
      </c>
      <c r="E4" s="1">
        <f>Calcs!F58</f>
        <v>0</v>
      </c>
      <c r="F4" s="1">
        <f>Calcs!G58</f>
        <v>0</v>
      </c>
      <c r="G4" s="1">
        <f>Calcs!H58</f>
        <v>0</v>
      </c>
      <c r="H4" s="1">
        <f>Calcs!I58</f>
        <v>0</v>
      </c>
      <c r="I4" s="1">
        <f>Calcs!J58</f>
        <v>0</v>
      </c>
      <c r="J4" s="1">
        <f>Calcs!K58</f>
        <v>0</v>
      </c>
      <c r="K4" s="1">
        <f>Calcs!L58</f>
        <v>0</v>
      </c>
      <c r="L4" s="1">
        <f>Calcs!M58</f>
        <v>0</v>
      </c>
      <c r="M4" s="1">
        <f>Calcs!N58</f>
        <v>0</v>
      </c>
      <c r="N4" s="1">
        <f>Calcs!O58</f>
        <v>0</v>
      </c>
      <c r="O4" s="1">
        <f>Calcs!P58</f>
        <v>0</v>
      </c>
      <c r="P4" s="1">
        <f>Calcs!Q58</f>
        <v>616</v>
      </c>
      <c r="Q4" s="1">
        <f>Calcs!R58</f>
        <v>924</v>
      </c>
      <c r="R4" s="1">
        <f>Calcs!S58</f>
        <v>154</v>
      </c>
      <c r="S4" s="1">
        <f>Calcs!T58</f>
        <v>462</v>
      </c>
      <c r="T4" s="1">
        <f>Calcs!U58</f>
        <v>462</v>
      </c>
      <c r="U4" s="1">
        <f>Calcs!V58</f>
        <v>2002</v>
      </c>
      <c r="V4" s="1">
        <f>Calcs!W58</f>
        <v>1232</v>
      </c>
      <c r="W4" s="1">
        <f>Calcs!X58</f>
        <v>770</v>
      </c>
      <c r="X4" s="1">
        <f>Calcs!Y58</f>
        <v>3542</v>
      </c>
      <c r="Y4" s="1">
        <f>Calcs!Z58</f>
        <v>4466</v>
      </c>
      <c r="Z4" s="1">
        <f>Calcs!AA58</f>
        <v>3080</v>
      </c>
      <c r="AA4" s="1">
        <f>Calcs!AB58</f>
        <v>308</v>
      </c>
      <c r="AB4" s="1">
        <f>Calcs!AC58</f>
        <v>4774</v>
      </c>
      <c r="AC4" s="1">
        <f>Calcs!AD58</f>
        <v>462</v>
      </c>
      <c r="AD4" s="1">
        <f>Calcs!AE59</f>
        <v>1500</v>
      </c>
      <c r="AE4" s="1">
        <f>Calcs!AF59</f>
        <v>0</v>
      </c>
      <c r="AG4" s="1"/>
    </row>
    <row r="5" spans="1:33">
      <c r="A5" s="6" t="s">
        <v>0</v>
      </c>
      <c r="B5" s="1">
        <f>Calcs!C59</f>
        <v>0</v>
      </c>
      <c r="C5" s="1">
        <f>Calcs!D59</f>
        <v>0</v>
      </c>
      <c r="D5" s="1">
        <f>Calcs!E59</f>
        <v>0</v>
      </c>
      <c r="E5" s="1">
        <f>Calcs!F59</f>
        <v>0</v>
      </c>
      <c r="F5" s="1">
        <f>Calcs!G59</f>
        <v>0</v>
      </c>
      <c r="G5" s="1">
        <f>Calcs!H59</f>
        <v>0</v>
      </c>
      <c r="H5" s="1">
        <f>Calcs!I59</f>
        <v>0</v>
      </c>
      <c r="I5" s="1">
        <f>Calcs!J59</f>
        <v>0</v>
      </c>
      <c r="J5" s="1">
        <f>Calcs!K59</f>
        <v>0</v>
      </c>
      <c r="K5" s="1">
        <f>Calcs!L59</f>
        <v>0</v>
      </c>
      <c r="L5" s="1">
        <f>Calcs!M59</f>
        <v>0</v>
      </c>
      <c r="M5" s="1">
        <f>Calcs!N59</f>
        <v>0</v>
      </c>
      <c r="N5" s="1">
        <f>Calcs!O59</f>
        <v>0</v>
      </c>
      <c r="O5" s="1">
        <f>Calcs!P59</f>
        <v>0</v>
      </c>
      <c r="P5" s="1">
        <f>Calcs!Q59</f>
        <v>0</v>
      </c>
      <c r="Q5" s="1">
        <f>Calcs!R59</f>
        <v>0</v>
      </c>
      <c r="R5" s="1">
        <f>Calcs!S59</f>
        <v>0</v>
      </c>
      <c r="S5" s="1">
        <f>Calcs!T59</f>
        <v>0</v>
      </c>
      <c r="T5" s="1">
        <f>Calcs!U59</f>
        <v>0</v>
      </c>
      <c r="U5" s="1">
        <f>Calcs!V59</f>
        <v>0</v>
      </c>
      <c r="V5" s="1">
        <f>Calcs!W59</f>
        <v>1000</v>
      </c>
      <c r="W5" s="1">
        <f>Calcs!X59</f>
        <v>2000</v>
      </c>
      <c r="X5" s="1">
        <f>Calcs!Y59</f>
        <v>0</v>
      </c>
      <c r="Y5" s="1">
        <f>Calcs!Z59</f>
        <v>0</v>
      </c>
      <c r="Z5" s="1">
        <f>Calcs!AA59</f>
        <v>1000</v>
      </c>
      <c r="AA5" s="1">
        <f>Calcs!AB59</f>
        <v>1000</v>
      </c>
      <c r="AB5" s="1">
        <f>Calcs!AC59</f>
        <v>0</v>
      </c>
      <c r="AC5" s="1">
        <f>Calcs!AD59</f>
        <v>0</v>
      </c>
      <c r="AD5" s="1">
        <f>Calcs!AE60</f>
        <v>0</v>
      </c>
      <c r="AE5" s="1">
        <f>Calcs!AF60</f>
        <v>0</v>
      </c>
      <c r="AG5" s="1"/>
    </row>
    <row r="6" spans="1:33">
      <c r="A6" s="6" t="s">
        <v>1</v>
      </c>
      <c r="B6" s="1">
        <f>Calcs!C60</f>
        <v>0</v>
      </c>
      <c r="C6" s="1">
        <f>Calcs!D60</f>
        <v>29</v>
      </c>
      <c r="D6" s="1">
        <f>Calcs!E60</f>
        <v>7</v>
      </c>
      <c r="E6" s="1">
        <f>Calcs!F60</f>
        <v>2</v>
      </c>
      <c r="F6" s="1">
        <f>Calcs!G60</f>
        <v>0</v>
      </c>
      <c r="G6" s="1">
        <f>Calcs!H60</f>
        <v>0</v>
      </c>
      <c r="H6" s="1">
        <f>Calcs!I60</f>
        <v>0</v>
      </c>
      <c r="I6" s="1">
        <f>Calcs!J60</f>
        <v>0</v>
      </c>
      <c r="J6" s="1">
        <f>Calcs!K60</f>
        <v>0</v>
      </c>
      <c r="K6" s="1">
        <f>Calcs!L60</f>
        <v>0</v>
      </c>
      <c r="L6" s="1">
        <f>Calcs!M60</f>
        <v>0</v>
      </c>
      <c r="M6" s="1">
        <f>Calcs!N60</f>
        <v>0</v>
      </c>
      <c r="N6" s="1">
        <f>Calcs!O60</f>
        <v>0</v>
      </c>
      <c r="O6" s="1">
        <f>Calcs!P60</f>
        <v>0</v>
      </c>
      <c r="P6" s="1">
        <f>Calcs!Q60</f>
        <v>0</v>
      </c>
      <c r="Q6" s="1">
        <f>Calcs!R60</f>
        <v>0</v>
      </c>
      <c r="R6" s="1">
        <f>Calcs!S60</f>
        <v>0</v>
      </c>
      <c r="S6" s="1">
        <f>Calcs!T60</f>
        <v>0</v>
      </c>
      <c r="T6" s="1">
        <f>Calcs!U60</f>
        <v>0</v>
      </c>
      <c r="U6" s="1">
        <f>Calcs!V60</f>
        <v>0</v>
      </c>
      <c r="V6" s="1">
        <f>Calcs!W60</f>
        <v>0</v>
      </c>
      <c r="W6" s="1">
        <f>Calcs!X60</f>
        <v>0</v>
      </c>
      <c r="X6" s="1">
        <f>Calcs!Y60</f>
        <v>0</v>
      </c>
      <c r="Y6" s="1">
        <f>Calcs!Z60</f>
        <v>0</v>
      </c>
      <c r="Z6" s="1">
        <f>Calcs!AA60</f>
        <v>0</v>
      </c>
      <c r="AA6" s="1">
        <f>Calcs!AB60</f>
        <v>0</v>
      </c>
      <c r="AB6" s="1">
        <f>Calcs!AC60</f>
        <v>0</v>
      </c>
      <c r="AC6" s="1">
        <f>Calcs!AD60</f>
        <v>0</v>
      </c>
      <c r="AD6" s="1">
        <f>Calcs!AE61</f>
        <v>0</v>
      </c>
      <c r="AE6" s="1">
        <f>Calcs!AF61</f>
        <v>0</v>
      </c>
      <c r="AG6" s="1"/>
    </row>
    <row r="7" spans="1:33">
      <c r="A7" s="6" t="s">
        <v>15</v>
      </c>
      <c r="B7" s="1">
        <f>Calcs!C61</f>
        <v>0</v>
      </c>
      <c r="C7" s="1">
        <f>Calcs!D61</f>
        <v>0</v>
      </c>
      <c r="D7" s="1">
        <f>Calcs!E61</f>
        <v>0</v>
      </c>
      <c r="E7" s="1">
        <f>Calcs!F61</f>
        <v>0</v>
      </c>
      <c r="F7" s="1">
        <f>Calcs!G61</f>
        <v>0</v>
      </c>
      <c r="G7" s="1">
        <f>Calcs!H61</f>
        <v>0</v>
      </c>
      <c r="H7" s="1">
        <f>Calcs!I61</f>
        <v>0</v>
      </c>
      <c r="I7" s="1">
        <f>Calcs!J61</f>
        <v>0</v>
      </c>
      <c r="J7" s="1">
        <f>Calcs!K61</f>
        <v>0</v>
      </c>
      <c r="K7" s="1">
        <f>Calcs!L61</f>
        <v>0</v>
      </c>
      <c r="L7" s="1">
        <f>Calcs!M61</f>
        <v>0</v>
      </c>
      <c r="M7" s="1">
        <f>Calcs!N61</f>
        <v>0</v>
      </c>
      <c r="N7" s="1">
        <f>Calcs!O61</f>
        <v>0</v>
      </c>
      <c r="O7" s="1">
        <f>Calcs!P61</f>
        <v>0</v>
      </c>
      <c r="P7" s="1">
        <f>Calcs!Q61</f>
        <v>0</v>
      </c>
      <c r="Q7" s="1">
        <f>Calcs!R61</f>
        <v>0</v>
      </c>
      <c r="R7" s="1">
        <f>Calcs!S61</f>
        <v>0</v>
      </c>
      <c r="S7" s="1">
        <f>Calcs!T61</f>
        <v>0</v>
      </c>
      <c r="T7" s="1">
        <f>Calcs!U61</f>
        <v>0</v>
      </c>
      <c r="U7" s="1">
        <f>Calcs!V61</f>
        <v>0</v>
      </c>
      <c r="V7" s="1">
        <f>Calcs!W61</f>
        <v>0</v>
      </c>
      <c r="W7" s="1">
        <f>Calcs!X61</f>
        <v>0</v>
      </c>
      <c r="X7" s="1">
        <f>Calcs!Y61</f>
        <v>0</v>
      </c>
      <c r="Y7" s="1">
        <f>Calcs!Z61</f>
        <v>0</v>
      </c>
      <c r="Z7" s="1">
        <f>Calcs!AA61</f>
        <v>0</v>
      </c>
      <c r="AA7" s="1">
        <f>Calcs!AB61</f>
        <v>0</v>
      </c>
      <c r="AB7" s="1">
        <f>Calcs!AC61</f>
        <v>0</v>
      </c>
      <c r="AC7" s="1">
        <f>Calcs!AD61</f>
        <v>0</v>
      </c>
      <c r="AD7" s="1">
        <f>Calcs!AE62</f>
        <v>0</v>
      </c>
      <c r="AE7" s="1">
        <f>Calcs!AF62</f>
        <v>0</v>
      </c>
      <c r="AG7" s="1"/>
    </row>
    <row r="8" spans="1:33">
      <c r="A8" s="6" t="s">
        <v>2</v>
      </c>
      <c r="B8" s="1">
        <f>Calcs!C62</f>
        <v>0</v>
      </c>
      <c r="C8" s="1">
        <f>Calcs!D62</f>
        <v>0</v>
      </c>
      <c r="D8" s="1">
        <f>Calcs!E62</f>
        <v>0</v>
      </c>
      <c r="E8" s="1">
        <f>Calcs!F62</f>
        <v>0</v>
      </c>
      <c r="F8" s="1">
        <f>Calcs!G62</f>
        <v>0</v>
      </c>
      <c r="G8" s="1">
        <f>Calcs!H62</f>
        <v>0</v>
      </c>
      <c r="H8" s="1">
        <f>Calcs!I62</f>
        <v>0</v>
      </c>
      <c r="I8" s="1">
        <f>Calcs!J62</f>
        <v>0</v>
      </c>
      <c r="J8" s="1">
        <f>Calcs!K62</f>
        <v>0</v>
      </c>
      <c r="K8" s="1">
        <f>Calcs!L62</f>
        <v>0</v>
      </c>
      <c r="L8" s="1">
        <f>Calcs!M62</f>
        <v>0</v>
      </c>
      <c r="M8" s="1">
        <f>Calcs!N62</f>
        <v>0</v>
      </c>
      <c r="N8" s="1">
        <f>Calcs!O62</f>
        <v>0</v>
      </c>
      <c r="O8" s="1">
        <f>Calcs!P62</f>
        <v>0</v>
      </c>
      <c r="P8" s="1">
        <f>Calcs!Q62</f>
        <v>0</v>
      </c>
      <c r="Q8" s="1">
        <f>Calcs!R62</f>
        <v>0</v>
      </c>
      <c r="R8" s="1">
        <f>Calcs!S62</f>
        <v>0</v>
      </c>
      <c r="S8" s="1">
        <f>Calcs!T62</f>
        <v>0</v>
      </c>
      <c r="T8" s="1">
        <f>Calcs!U62</f>
        <v>0</v>
      </c>
      <c r="U8" s="1">
        <f>Calcs!V62</f>
        <v>0</v>
      </c>
      <c r="V8" s="1">
        <f>Calcs!W62</f>
        <v>0</v>
      </c>
      <c r="W8" s="1">
        <f>Calcs!X62</f>
        <v>0</v>
      </c>
      <c r="X8" s="1">
        <f>Calcs!Y62</f>
        <v>0</v>
      </c>
      <c r="Y8" s="1">
        <f>Calcs!Z62</f>
        <v>0</v>
      </c>
      <c r="Z8" s="1">
        <f>Calcs!AA62</f>
        <v>0</v>
      </c>
      <c r="AA8" s="1">
        <f>Calcs!AB62</f>
        <v>0</v>
      </c>
      <c r="AB8" s="1">
        <f>Calcs!AC62</f>
        <v>0</v>
      </c>
      <c r="AC8" s="1">
        <f>Calcs!AD62</f>
        <v>0</v>
      </c>
      <c r="AD8" s="1">
        <f>Calcs!AE63</f>
        <v>0</v>
      </c>
      <c r="AE8" s="1">
        <f>Calcs!AF63</f>
        <v>0</v>
      </c>
      <c r="AG8" s="1"/>
    </row>
    <row r="9" spans="1:33">
      <c r="A9" s="6" t="s">
        <v>3</v>
      </c>
      <c r="B9" s="1">
        <f>Calcs!C63</f>
        <v>0</v>
      </c>
      <c r="C9" s="1">
        <f>Calcs!D63</f>
        <v>0</v>
      </c>
      <c r="D9" s="1">
        <f>Calcs!E63</f>
        <v>0</v>
      </c>
      <c r="E9" s="1">
        <f>Calcs!F63</f>
        <v>0</v>
      </c>
      <c r="F9" s="1">
        <f>Calcs!G63</f>
        <v>0</v>
      </c>
      <c r="G9" s="1">
        <f>Calcs!H63</f>
        <v>0</v>
      </c>
      <c r="H9" s="1">
        <f>Calcs!I63</f>
        <v>0</v>
      </c>
      <c r="I9" s="1">
        <f>Calcs!J63</f>
        <v>0</v>
      </c>
      <c r="J9" s="1">
        <f>Calcs!K63</f>
        <v>0</v>
      </c>
      <c r="K9" s="1">
        <f>Calcs!L63</f>
        <v>0</v>
      </c>
      <c r="L9" s="1">
        <f>Calcs!M63</f>
        <v>0</v>
      </c>
      <c r="M9" s="1">
        <f>Calcs!N63</f>
        <v>0</v>
      </c>
      <c r="N9" s="1">
        <f>Calcs!O63</f>
        <v>0</v>
      </c>
      <c r="O9" s="1">
        <f>Calcs!P63</f>
        <v>0</v>
      </c>
      <c r="P9" s="1">
        <f>Calcs!Q63</f>
        <v>0</v>
      </c>
      <c r="Q9" s="1">
        <f>Calcs!R63</f>
        <v>0</v>
      </c>
      <c r="R9" s="1">
        <f>Calcs!S63</f>
        <v>0</v>
      </c>
      <c r="S9" s="1">
        <f>Calcs!T63</f>
        <v>0</v>
      </c>
      <c r="T9" s="1">
        <f>Calcs!U63</f>
        <v>0</v>
      </c>
      <c r="U9" s="1">
        <f>Calcs!V63</f>
        <v>0</v>
      </c>
      <c r="V9" s="1">
        <f>Calcs!W63</f>
        <v>0</v>
      </c>
      <c r="W9" s="1">
        <f>Calcs!X63</f>
        <v>0</v>
      </c>
      <c r="X9" s="1">
        <f>Calcs!Y63</f>
        <v>0</v>
      </c>
      <c r="Y9" s="1">
        <f>Calcs!Z63</f>
        <v>0</v>
      </c>
      <c r="Z9" s="1">
        <f>Calcs!AA63</f>
        <v>0</v>
      </c>
      <c r="AA9" s="1">
        <f>Calcs!AB63</f>
        <v>0</v>
      </c>
      <c r="AB9" s="1">
        <f>Calcs!AC63</f>
        <v>0</v>
      </c>
      <c r="AC9" s="1">
        <f>Calcs!AD63</f>
        <v>0</v>
      </c>
      <c r="AD9" s="1">
        <f>Calcs!AE64</f>
        <v>0</v>
      </c>
      <c r="AE9" s="1">
        <f>Calcs!AF64</f>
        <v>0</v>
      </c>
      <c r="AG9" s="1"/>
    </row>
    <row r="10" spans="1:33">
      <c r="A10" s="6" t="s">
        <v>4</v>
      </c>
      <c r="B10" s="1">
        <f>Calcs!C64</f>
        <v>0</v>
      </c>
      <c r="C10" s="1">
        <f>Calcs!D64</f>
        <v>0</v>
      </c>
      <c r="D10" s="1">
        <f>Calcs!E64</f>
        <v>0</v>
      </c>
      <c r="E10" s="1">
        <f>Calcs!F64</f>
        <v>0</v>
      </c>
      <c r="F10" s="1">
        <f>Calcs!G64</f>
        <v>0</v>
      </c>
      <c r="G10" s="1">
        <f>Calcs!H64</f>
        <v>0</v>
      </c>
      <c r="H10" s="1">
        <f>Calcs!I64</f>
        <v>0</v>
      </c>
      <c r="I10" s="1">
        <f>Calcs!J64</f>
        <v>0</v>
      </c>
      <c r="J10" s="1">
        <f>Calcs!K64</f>
        <v>0</v>
      </c>
      <c r="K10" s="1">
        <f>Calcs!L64</f>
        <v>0</v>
      </c>
      <c r="L10" s="1">
        <f>Calcs!M64</f>
        <v>0</v>
      </c>
      <c r="M10" s="1">
        <f>Calcs!N64</f>
        <v>0</v>
      </c>
      <c r="N10" s="1">
        <f>Calcs!O64</f>
        <v>0</v>
      </c>
      <c r="O10" s="1">
        <f>Calcs!P64</f>
        <v>0</v>
      </c>
      <c r="P10" s="1">
        <f>Calcs!Q64</f>
        <v>0</v>
      </c>
      <c r="Q10" s="1">
        <f>Calcs!R64</f>
        <v>90</v>
      </c>
      <c r="R10" s="1">
        <f>Calcs!S64</f>
        <v>108</v>
      </c>
      <c r="S10" s="1">
        <f>Calcs!T64</f>
        <v>0</v>
      </c>
      <c r="T10" s="1">
        <f>Calcs!U64</f>
        <v>0</v>
      </c>
      <c r="U10" s="1">
        <f>Calcs!V64</f>
        <v>0</v>
      </c>
      <c r="V10" s="1">
        <f>Calcs!W64</f>
        <v>0</v>
      </c>
      <c r="W10" s="1">
        <f>Calcs!X64</f>
        <v>0</v>
      </c>
      <c r="X10" s="1">
        <f>Calcs!Y64</f>
        <v>0</v>
      </c>
      <c r="Y10" s="1">
        <f>Calcs!Z64</f>
        <v>0</v>
      </c>
      <c r="Z10" s="1">
        <f>Calcs!AA64</f>
        <v>0</v>
      </c>
      <c r="AA10" s="1">
        <f>Calcs!AB64</f>
        <v>0</v>
      </c>
      <c r="AB10" s="1">
        <f>Calcs!AC64</f>
        <v>0</v>
      </c>
      <c r="AC10" s="1">
        <f>Calcs!AD64</f>
        <v>0</v>
      </c>
      <c r="AD10" s="1">
        <f>Calcs!AE65</f>
        <v>0</v>
      </c>
      <c r="AE10" s="1">
        <f>Calcs!AF65</f>
        <v>0</v>
      </c>
      <c r="AG10" s="1"/>
    </row>
    <row r="11" spans="1:33">
      <c r="A11" s="6" t="s">
        <v>5</v>
      </c>
      <c r="B11" s="1">
        <f>Calcs!C65</f>
        <v>0</v>
      </c>
      <c r="C11" s="1">
        <f>Calcs!D65</f>
        <v>0</v>
      </c>
      <c r="D11" s="1">
        <f>Calcs!E65</f>
        <v>0</v>
      </c>
      <c r="E11" s="1">
        <f>Calcs!F65</f>
        <v>0</v>
      </c>
      <c r="F11" s="1">
        <f>Calcs!G65</f>
        <v>0</v>
      </c>
      <c r="G11" s="1">
        <f>Calcs!H65</f>
        <v>0</v>
      </c>
      <c r="H11" s="1">
        <f>Calcs!I65</f>
        <v>0</v>
      </c>
      <c r="I11" s="1">
        <f>Calcs!J65</f>
        <v>0</v>
      </c>
      <c r="J11" s="1">
        <f>Calcs!K65</f>
        <v>0</v>
      </c>
      <c r="K11" s="1">
        <f>Calcs!L65</f>
        <v>0</v>
      </c>
      <c r="L11" s="1">
        <f>Calcs!M65</f>
        <v>0</v>
      </c>
      <c r="M11" s="1">
        <f>Calcs!N65</f>
        <v>0</v>
      </c>
      <c r="N11" s="1">
        <f>Calcs!O65</f>
        <v>0</v>
      </c>
      <c r="O11" s="1">
        <f>Calcs!P65</f>
        <v>0</v>
      </c>
      <c r="P11" s="1">
        <f>Calcs!Q65</f>
        <v>0</v>
      </c>
      <c r="Q11" s="1">
        <f>Calcs!R65</f>
        <v>0</v>
      </c>
      <c r="R11" s="1">
        <f>Calcs!S65</f>
        <v>0</v>
      </c>
      <c r="S11" s="1">
        <f>Calcs!T65</f>
        <v>0</v>
      </c>
      <c r="T11" s="1">
        <f>Calcs!U65</f>
        <v>0</v>
      </c>
      <c r="U11" s="1">
        <f>Calcs!V65</f>
        <v>0</v>
      </c>
      <c r="V11" s="1">
        <f>Calcs!W65</f>
        <v>0</v>
      </c>
      <c r="W11" s="1">
        <f>Calcs!X65</f>
        <v>0</v>
      </c>
      <c r="X11" s="1">
        <f>Calcs!Y65</f>
        <v>0</v>
      </c>
      <c r="Y11" s="1">
        <f>Calcs!Z65</f>
        <v>0</v>
      </c>
      <c r="Z11" s="1">
        <f>Calcs!AA65</f>
        <v>0</v>
      </c>
      <c r="AA11" s="1">
        <f>Calcs!AB65</f>
        <v>0</v>
      </c>
      <c r="AB11" s="1">
        <f>Calcs!AC65</f>
        <v>0</v>
      </c>
      <c r="AC11" s="1">
        <f>Calcs!AD65</f>
        <v>0</v>
      </c>
      <c r="AD11" s="1">
        <f>Calcs!AE66</f>
        <v>0</v>
      </c>
      <c r="AE11" s="1">
        <f>Calcs!AF66</f>
        <v>0</v>
      </c>
      <c r="AG11" s="1"/>
    </row>
    <row r="12" spans="1:33">
      <c r="A12" s="6" t="s">
        <v>10</v>
      </c>
      <c r="B12" s="1">
        <f>Calcs!C66</f>
        <v>0</v>
      </c>
      <c r="C12" s="1">
        <f>Calcs!D66</f>
        <v>0</v>
      </c>
      <c r="D12" s="1">
        <f>Calcs!E66</f>
        <v>0</v>
      </c>
      <c r="E12" s="1">
        <f>Calcs!F66</f>
        <v>0</v>
      </c>
      <c r="F12" s="1">
        <f>Calcs!G66</f>
        <v>0</v>
      </c>
      <c r="G12" s="1">
        <f>Calcs!H66</f>
        <v>0</v>
      </c>
      <c r="H12" s="1">
        <f>Calcs!I66</f>
        <v>0</v>
      </c>
      <c r="I12" s="1">
        <f>Calcs!J66</f>
        <v>0</v>
      </c>
      <c r="J12" s="1">
        <f>Calcs!K66</f>
        <v>0</v>
      </c>
      <c r="K12" s="1">
        <f>Calcs!L66</f>
        <v>0</v>
      </c>
      <c r="L12" s="1">
        <f>Calcs!M66</f>
        <v>0</v>
      </c>
      <c r="M12" s="1">
        <f>Calcs!N66</f>
        <v>0</v>
      </c>
      <c r="N12" s="1">
        <f>Calcs!O66</f>
        <v>0</v>
      </c>
      <c r="O12" s="1">
        <f>Calcs!P66</f>
        <v>0</v>
      </c>
      <c r="P12" s="1">
        <f>Calcs!Q66</f>
        <v>5</v>
      </c>
      <c r="Q12" s="1">
        <f>Calcs!R66</f>
        <v>3</v>
      </c>
      <c r="R12" s="1">
        <f>Calcs!S66</f>
        <v>9</v>
      </c>
      <c r="S12" s="1">
        <f>Calcs!T66</f>
        <v>5</v>
      </c>
      <c r="T12" s="1">
        <f>Calcs!U66</f>
        <v>1</v>
      </c>
      <c r="U12" s="1">
        <f>Calcs!V66</f>
        <v>1</v>
      </c>
      <c r="V12" s="1">
        <f>Calcs!W66</f>
        <v>16</v>
      </c>
      <c r="W12" s="1">
        <f>Calcs!X66</f>
        <v>2</v>
      </c>
      <c r="X12" s="1">
        <f>Calcs!Y66</f>
        <v>6</v>
      </c>
      <c r="Y12" s="1">
        <f>Calcs!Z66</f>
        <v>0</v>
      </c>
      <c r="Z12" s="1">
        <f>Calcs!AA66</f>
        <v>1</v>
      </c>
      <c r="AA12" s="1">
        <f>Calcs!AB66</f>
        <v>0</v>
      </c>
      <c r="AB12" s="1">
        <f>Calcs!AC66</f>
        <v>0</v>
      </c>
      <c r="AC12" s="1">
        <f>Calcs!AD66</f>
        <v>0</v>
      </c>
      <c r="AD12" s="1">
        <f>Calcs!AE67</f>
        <v>0</v>
      </c>
      <c r="AE12" s="1">
        <f>Calcs!AF67</f>
        <v>0</v>
      </c>
      <c r="AG12" s="1"/>
    </row>
    <row r="13" spans="1:33">
      <c r="A13" s="6" t="s">
        <v>11</v>
      </c>
      <c r="B13" s="1">
        <f>Calcs!C67</f>
        <v>0</v>
      </c>
      <c r="C13" s="1">
        <f>Calcs!D67</f>
        <v>0</v>
      </c>
      <c r="D13" s="1">
        <f>Calcs!E67</f>
        <v>0</v>
      </c>
      <c r="E13" s="1">
        <f>Calcs!F67</f>
        <v>0</v>
      </c>
      <c r="F13" s="1">
        <f>Calcs!G67</f>
        <v>0</v>
      </c>
      <c r="G13" s="1">
        <f>Calcs!H67</f>
        <v>0</v>
      </c>
      <c r="H13" s="1">
        <f>Calcs!I67</f>
        <v>0</v>
      </c>
      <c r="I13" s="1">
        <f>Calcs!J67</f>
        <v>0</v>
      </c>
      <c r="J13" s="1">
        <f>Calcs!K67</f>
        <v>0</v>
      </c>
      <c r="K13" s="1">
        <f>Calcs!L67</f>
        <v>0</v>
      </c>
      <c r="L13" s="1">
        <f>Calcs!M67</f>
        <v>0</v>
      </c>
      <c r="M13" s="1">
        <f>Calcs!N67</f>
        <v>0</v>
      </c>
      <c r="N13" s="1">
        <f>Calcs!O67</f>
        <v>0</v>
      </c>
      <c r="O13" s="1">
        <f>Calcs!P67</f>
        <v>0</v>
      </c>
      <c r="P13" s="1">
        <f>Calcs!Q67</f>
        <v>0</v>
      </c>
      <c r="Q13" s="1">
        <f>Calcs!R67</f>
        <v>0</v>
      </c>
      <c r="R13" s="1">
        <f>Calcs!S67</f>
        <v>0</v>
      </c>
      <c r="S13" s="1">
        <f>Calcs!T67</f>
        <v>0</v>
      </c>
      <c r="T13" s="1">
        <f>Calcs!U67</f>
        <v>0</v>
      </c>
      <c r="U13" s="1">
        <f>Calcs!V67</f>
        <v>0</v>
      </c>
      <c r="V13" s="1">
        <f>Calcs!W67</f>
        <v>0</v>
      </c>
      <c r="W13" s="1">
        <f>Calcs!X67</f>
        <v>0</v>
      </c>
      <c r="X13" s="1">
        <f>Calcs!Y67</f>
        <v>0</v>
      </c>
      <c r="Y13" s="1">
        <f>Calcs!Z67</f>
        <v>0</v>
      </c>
      <c r="Z13" s="1">
        <f>Calcs!AA67</f>
        <v>0</v>
      </c>
      <c r="AA13" s="1">
        <f>Calcs!AB67</f>
        <v>0</v>
      </c>
      <c r="AB13" s="1">
        <f>Calcs!AC67</f>
        <v>0</v>
      </c>
      <c r="AC13" s="1">
        <f>Calcs!AD67</f>
        <v>0</v>
      </c>
      <c r="AD13" s="1">
        <f>Calcs!AE68</f>
        <v>0</v>
      </c>
      <c r="AE13" s="1">
        <f>Calcs!AF68</f>
        <v>0</v>
      </c>
      <c r="AG13" s="1"/>
    </row>
    <row r="14" spans="1:33">
      <c r="A14" s="6" t="s">
        <v>12</v>
      </c>
      <c r="B14" s="1">
        <f>Calcs!C68</f>
        <v>0</v>
      </c>
      <c r="C14" s="1">
        <f>Calcs!D68</f>
        <v>0</v>
      </c>
      <c r="D14" s="1">
        <f>Calcs!E68</f>
        <v>0</v>
      </c>
      <c r="E14" s="1">
        <f>Calcs!F68</f>
        <v>0</v>
      </c>
      <c r="F14" s="1">
        <f>Calcs!G68</f>
        <v>0</v>
      </c>
      <c r="G14" s="1">
        <f>Calcs!H68</f>
        <v>0</v>
      </c>
      <c r="H14" s="1">
        <f>Calcs!I68</f>
        <v>0</v>
      </c>
      <c r="I14" s="1">
        <f>Calcs!J68</f>
        <v>0</v>
      </c>
      <c r="J14" s="1">
        <f>Calcs!K68</f>
        <v>0</v>
      </c>
      <c r="K14" s="1">
        <f>Calcs!L68</f>
        <v>0</v>
      </c>
      <c r="L14" s="1">
        <f>Calcs!M68</f>
        <v>0</v>
      </c>
      <c r="M14" s="1">
        <f>Calcs!N68</f>
        <v>0</v>
      </c>
      <c r="N14" s="1">
        <f>Calcs!O68</f>
        <v>0</v>
      </c>
      <c r="O14" s="1">
        <f>Calcs!P68</f>
        <v>0</v>
      </c>
      <c r="P14" s="1">
        <f>Calcs!Q68</f>
        <v>0</v>
      </c>
      <c r="Q14" s="1">
        <f>Calcs!R68</f>
        <v>0</v>
      </c>
      <c r="R14" s="1">
        <f>Calcs!S68</f>
        <v>0</v>
      </c>
      <c r="S14" s="1">
        <f>Calcs!T68</f>
        <v>0</v>
      </c>
      <c r="T14" s="1">
        <f>Calcs!U68</f>
        <v>0</v>
      </c>
      <c r="U14" s="1">
        <f>Calcs!V68</f>
        <v>0</v>
      </c>
      <c r="V14" s="1">
        <f>Calcs!W68</f>
        <v>0</v>
      </c>
      <c r="W14" s="1">
        <f>Calcs!X68</f>
        <v>0</v>
      </c>
      <c r="X14" s="1">
        <f>Calcs!Y68</f>
        <v>0</v>
      </c>
      <c r="Y14" s="1">
        <f>Calcs!Z68</f>
        <v>0</v>
      </c>
      <c r="Z14" s="1">
        <f>Calcs!AA68</f>
        <v>0</v>
      </c>
      <c r="AA14" s="1">
        <f>Calcs!AB68</f>
        <v>0</v>
      </c>
      <c r="AB14" s="1">
        <f>Calcs!AC68</f>
        <v>0</v>
      </c>
      <c r="AC14" s="1">
        <f>Calcs!AD68</f>
        <v>0</v>
      </c>
      <c r="AD14" s="1">
        <f>Calcs!AE69</f>
        <v>0</v>
      </c>
      <c r="AE14" s="1">
        <f>Calcs!AF69</f>
        <v>0</v>
      </c>
      <c r="AG14" s="1"/>
    </row>
    <row r="15" spans="1:33">
      <c r="A15" s="6" t="s">
        <v>13</v>
      </c>
      <c r="B15" s="1">
        <f>Calcs!C69</f>
        <v>0</v>
      </c>
      <c r="C15" s="1">
        <f>Calcs!D69</f>
        <v>0</v>
      </c>
      <c r="D15" s="1">
        <f>Calcs!E69</f>
        <v>0</v>
      </c>
      <c r="E15" s="1">
        <f>Calcs!F69</f>
        <v>0</v>
      </c>
      <c r="F15" s="1">
        <f>Calcs!G69</f>
        <v>0</v>
      </c>
      <c r="G15" s="1">
        <f>Calcs!H69</f>
        <v>0</v>
      </c>
      <c r="H15" s="1">
        <f>Calcs!I69</f>
        <v>0</v>
      </c>
      <c r="I15" s="1">
        <f>Calcs!J69</f>
        <v>0</v>
      </c>
      <c r="J15" s="1">
        <f>Calcs!K69</f>
        <v>0</v>
      </c>
      <c r="K15" s="1">
        <f>Calcs!L69</f>
        <v>0</v>
      </c>
      <c r="L15" s="1">
        <f>Calcs!M69</f>
        <v>0</v>
      </c>
      <c r="M15" s="1">
        <f>Calcs!N69</f>
        <v>0</v>
      </c>
      <c r="N15" s="1">
        <f>Calcs!O69</f>
        <v>0</v>
      </c>
      <c r="O15" s="1">
        <f>Calcs!P69</f>
        <v>0</v>
      </c>
      <c r="P15" s="1">
        <f>Calcs!Q69</f>
        <v>0</v>
      </c>
      <c r="Q15" s="1">
        <f>Calcs!R69</f>
        <v>0</v>
      </c>
      <c r="R15" s="1">
        <f>Calcs!S69</f>
        <v>0</v>
      </c>
      <c r="S15" s="1">
        <f>Calcs!T69</f>
        <v>0</v>
      </c>
      <c r="T15" s="1">
        <f>Calcs!U69</f>
        <v>0</v>
      </c>
      <c r="U15" s="1">
        <f>Calcs!V69</f>
        <v>0</v>
      </c>
      <c r="V15" s="1">
        <f>Calcs!W69</f>
        <v>0</v>
      </c>
      <c r="W15" s="1">
        <f>Calcs!X69</f>
        <v>0</v>
      </c>
      <c r="X15" s="1">
        <f>Calcs!Y69</f>
        <v>0</v>
      </c>
      <c r="Y15" s="1">
        <f>Calcs!Z69</f>
        <v>0</v>
      </c>
      <c r="Z15" s="1">
        <f>Calcs!AA69</f>
        <v>0</v>
      </c>
      <c r="AA15" s="1">
        <f>Calcs!AB69</f>
        <v>0</v>
      </c>
      <c r="AB15" s="1">
        <f>Calcs!AC69</f>
        <v>0</v>
      </c>
      <c r="AC15" s="1">
        <f>Calcs!AD69</f>
        <v>0</v>
      </c>
      <c r="AD15" s="1">
        <f>Calcs!AE70</f>
        <v>0</v>
      </c>
      <c r="AE15" s="1">
        <f>Calcs!AF70</f>
        <v>0</v>
      </c>
    </row>
    <row r="16" spans="1:33">
      <c r="A16" s="2" t="s">
        <v>23</v>
      </c>
      <c r="B16" s="1">
        <f>Calcs!C70</f>
        <v>0</v>
      </c>
      <c r="C16" s="1">
        <f>Calcs!D70</f>
        <v>0</v>
      </c>
      <c r="D16" s="1">
        <f>Calcs!E70</f>
        <v>0</v>
      </c>
      <c r="E16" s="1">
        <f>Calcs!F70</f>
        <v>0</v>
      </c>
      <c r="F16" s="1">
        <f>Calcs!G70</f>
        <v>0</v>
      </c>
      <c r="G16" s="1">
        <f>Calcs!H70</f>
        <v>0</v>
      </c>
      <c r="H16" s="1">
        <f>Calcs!I70</f>
        <v>0</v>
      </c>
      <c r="I16" s="1">
        <f>Calcs!J70</f>
        <v>0</v>
      </c>
      <c r="J16" s="1">
        <f>Calcs!K70</f>
        <v>0</v>
      </c>
      <c r="K16" s="1">
        <f>Calcs!L70</f>
        <v>0</v>
      </c>
      <c r="L16" s="1">
        <f>Calcs!M70</f>
        <v>0</v>
      </c>
      <c r="M16" s="1">
        <f>Calcs!N70</f>
        <v>0</v>
      </c>
      <c r="N16" s="1">
        <f>Calcs!O70</f>
        <v>0</v>
      </c>
      <c r="O16" s="1">
        <f>Calcs!P70</f>
        <v>0</v>
      </c>
      <c r="P16" s="1">
        <f>Calcs!Q70</f>
        <v>0</v>
      </c>
      <c r="Q16" s="1">
        <f>Calcs!R70</f>
        <v>0</v>
      </c>
      <c r="R16" s="1">
        <f>Calcs!S70</f>
        <v>0</v>
      </c>
      <c r="S16" s="1">
        <f>Calcs!T70</f>
        <v>0</v>
      </c>
      <c r="T16" s="1">
        <f>Calcs!U70</f>
        <v>0</v>
      </c>
      <c r="U16" s="1">
        <f>Calcs!V70</f>
        <v>0</v>
      </c>
      <c r="V16" s="1">
        <f>Calcs!W70</f>
        <v>0</v>
      </c>
      <c r="W16" s="1">
        <f>Calcs!X70</f>
        <v>0</v>
      </c>
      <c r="X16" s="1">
        <f>Calcs!Y70</f>
        <v>0</v>
      </c>
      <c r="Y16" s="1">
        <f>Calcs!Z70</f>
        <v>0</v>
      </c>
      <c r="Z16" s="1">
        <f>Calcs!AA70</f>
        <v>0</v>
      </c>
      <c r="AA16" s="1">
        <f>Calcs!AB70</f>
        <v>0</v>
      </c>
      <c r="AB16" s="1">
        <f>Calcs!AC70</f>
        <v>0</v>
      </c>
      <c r="AC16" s="1">
        <f>Calcs!AD70</f>
        <v>0</v>
      </c>
      <c r="AD16" s="1">
        <f>Calcs!AE71</f>
        <v>0</v>
      </c>
      <c r="AE16" s="1">
        <f>Calcs!AF71</f>
        <v>0</v>
      </c>
    </row>
    <row r="17" spans="1:31">
      <c r="A17" s="2" t="s">
        <v>24</v>
      </c>
      <c r="B17" s="1">
        <f>Calcs!C71</f>
        <v>0</v>
      </c>
      <c r="C17" s="1">
        <f>Calcs!D71</f>
        <v>1200</v>
      </c>
      <c r="D17" s="1">
        <f>Calcs!E71</f>
        <v>0</v>
      </c>
      <c r="E17" s="1">
        <f>Calcs!F71</f>
        <v>0</v>
      </c>
      <c r="F17" s="1">
        <f>Calcs!G71</f>
        <v>0</v>
      </c>
      <c r="G17" s="1">
        <f>Calcs!H71</f>
        <v>0</v>
      </c>
      <c r="H17" s="1">
        <f>Calcs!I71</f>
        <v>0</v>
      </c>
      <c r="I17" s="1">
        <f>Calcs!J71</f>
        <v>0</v>
      </c>
      <c r="J17" s="1">
        <f>Calcs!K71</f>
        <v>0</v>
      </c>
      <c r="K17" s="1">
        <f>Calcs!L71</f>
        <v>0</v>
      </c>
      <c r="L17" s="1">
        <f>Calcs!M71</f>
        <v>0</v>
      </c>
      <c r="M17" s="1">
        <f>Calcs!N71</f>
        <v>0</v>
      </c>
      <c r="N17" s="1">
        <f>Calcs!O71</f>
        <v>0</v>
      </c>
      <c r="O17" s="1">
        <f>Calcs!P71</f>
        <v>0</v>
      </c>
      <c r="P17" s="1">
        <f>Calcs!Q71</f>
        <v>0</v>
      </c>
      <c r="Q17" s="1">
        <f>Calcs!R71</f>
        <v>0</v>
      </c>
      <c r="R17" s="1">
        <f>Calcs!S71</f>
        <v>0</v>
      </c>
      <c r="S17" s="1">
        <f>Calcs!T71</f>
        <v>0</v>
      </c>
      <c r="T17" s="1">
        <f>Calcs!U71</f>
        <v>0</v>
      </c>
      <c r="U17" s="1">
        <f>Calcs!V71</f>
        <v>0</v>
      </c>
      <c r="V17" s="1">
        <f>Calcs!W71</f>
        <v>0</v>
      </c>
      <c r="W17" s="1">
        <f>Calcs!X71</f>
        <v>0</v>
      </c>
      <c r="X17" s="1">
        <f>Calcs!Y71</f>
        <v>0</v>
      </c>
      <c r="Y17" s="1">
        <f>Calcs!Z71</f>
        <v>0</v>
      </c>
      <c r="Z17" s="1">
        <f>Calcs!AA71</f>
        <v>0</v>
      </c>
      <c r="AA17" s="1">
        <f>Calcs!AB71</f>
        <v>0</v>
      </c>
      <c r="AB17" s="1">
        <f>Calcs!AC71</f>
        <v>0</v>
      </c>
      <c r="AC17" s="1">
        <f>Calcs!AD71</f>
        <v>0</v>
      </c>
      <c r="AD17" s="1">
        <f>Calcs!AE72</f>
        <v>0</v>
      </c>
      <c r="AE17" s="1">
        <f>Calcs!AF72</f>
        <v>0</v>
      </c>
    </row>
    <row r="18" spans="1:31">
      <c r="A18" s="2" t="s">
        <v>25</v>
      </c>
      <c r="B18" s="1">
        <f>Calcs!C72</f>
        <v>0</v>
      </c>
      <c r="C18" s="1">
        <f>Calcs!D72</f>
        <v>0</v>
      </c>
      <c r="D18" s="1">
        <f>Calcs!E72</f>
        <v>0</v>
      </c>
      <c r="E18" s="1">
        <f>Calcs!F72</f>
        <v>0</v>
      </c>
      <c r="F18" s="1">
        <f>Calcs!G72</f>
        <v>0</v>
      </c>
      <c r="G18" s="1">
        <f>Calcs!H72</f>
        <v>0</v>
      </c>
      <c r="H18" s="1">
        <f>Calcs!I72</f>
        <v>0</v>
      </c>
      <c r="I18" s="1">
        <f>Calcs!J72</f>
        <v>0</v>
      </c>
      <c r="J18" s="1">
        <f>Calcs!K72</f>
        <v>0</v>
      </c>
      <c r="K18" s="1">
        <f>Calcs!L72</f>
        <v>0</v>
      </c>
      <c r="L18" s="1">
        <f>Calcs!M72</f>
        <v>0</v>
      </c>
      <c r="M18" s="1">
        <f>Calcs!N72</f>
        <v>0</v>
      </c>
      <c r="N18" s="1">
        <f>Calcs!O72</f>
        <v>0</v>
      </c>
      <c r="O18" s="1">
        <f>Calcs!P72</f>
        <v>0</v>
      </c>
      <c r="P18" s="1">
        <f>Calcs!Q72</f>
        <v>0</v>
      </c>
      <c r="Q18" s="1">
        <f>Calcs!R72</f>
        <v>0</v>
      </c>
      <c r="R18" s="1">
        <f>Calcs!S72</f>
        <v>0</v>
      </c>
      <c r="S18" s="1">
        <f>Calcs!T72</f>
        <v>0</v>
      </c>
      <c r="T18" s="1">
        <f>Calcs!U72</f>
        <v>0</v>
      </c>
      <c r="U18" s="1">
        <f>Calcs!V72</f>
        <v>0</v>
      </c>
      <c r="V18" s="1">
        <f>Calcs!W72</f>
        <v>0</v>
      </c>
      <c r="W18" s="1">
        <f>Calcs!X72</f>
        <v>0</v>
      </c>
      <c r="X18" s="1">
        <f>Calcs!Y72</f>
        <v>0</v>
      </c>
      <c r="Y18" s="1">
        <f>Calcs!Z72</f>
        <v>0</v>
      </c>
      <c r="Z18" s="1">
        <f>Calcs!AA72</f>
        <v>0</v>
      </c>
      <c r="AA18" s="1">
        <f>Calcs!AB72</f>
        <v>0</v>
      </c>
      <c r="AB18" s="1">
        <f>Calcs!AC72</f>
        <v>0</v>
      </c>
      <c r="AC18" s="1">
        <f>Calcs!AD72</f>
        <v>0</v>
      </c>
      <c r="AD18" s="1">
        <f>Calcs!AE73</f>
        <v>0</v>
      </c>
      <c r="AE18" s="1">
        <f>Calcs!AF73</f>
        <v>0</v>
      </c>
    </row>
    <row r="19" spans="1:31">
      <c r="A19" s="2" t="s">
        <v>1550</v>
      </c>
      <c r="B19" s="15">
        <f>Calcs!C74</f>
        <v>0</v>
      </c>
      <c r="C19" s="15">
        <f>Calcs!D74</f>
        <v>0</v>
      </c>
      <c r="D19" s="15">
        <f>Calcs!E74</f>
        <v>0</v>
      </c>
      <c r="E19" s="15">
        <f>Calcs!F74</f>
        <v>0</v>
      </c>
      <c r="F19" s="15">
        <f>Calcs!G74</f>
        <v>0</v>
      </c>
      <c r="G19" s="15">
        <f>Calcs!H74</f>
        <v>0</v>
      </c>
      <c r="H19" s="15">
        <f>Calcs!I74</f>
        <v>0</v>
      </c>
      <c r="I19" s="15">
        <f>Calcs!J74</f>
        <v>0</v>
      </c>
      <c r="J19" s="15">
        <f>Calcs!K74</f>
        <v>0</v>
      </c>
      <c r="K19" s="15">
        <f>Calcs!L74</f>
        <v>0</v>
      </c>
      <c r="L19" s="15">
        <f>Calcs!M74</f>
        <v>0</v>
      </c>
      <c r="M19" s="15">
        <f>Calcs!N74</f>
        <v>0</v>
      </c>
      <c r="N19" s="15">
        <f>Calcs!O74</f>
        <v>0</v>
      </c>
      <c r="O19" s="15">
        <f>Calcs!P74</f>
        <v>0</v>
      </c>
      <c r="P19" s="15">
        <f>Calcs!Q74</f>
        <v>0</v>
      </c>
      <c r="Q19" s="15">
        <f>Calcs!R74</f>
        <v>0</v>
      </c>
      <c r="R19" s="15">
        <f>Calcs!S74</f>
        <v>0</v>
      </c>
      <c r="S19" s="15">
        <f>Calcs!T74</f>
        <v>0</v>
      </c>
      <c r="T19" s="15">
        <f>Calcs!U74</f>
        <v>0</v>
      </c>
      <c r="U19" s="15">
        <f>Calcs!V74</f>
        <v>0</v>
      </c>
      <c r="V19" s="15">
        <f>Calcs!W74</f>
        <v>0</v>
      </c>
      <c r="W19" s="15">
        <f>Calcs!X74</f>
        <v>0</v>
      </c>
      <c r="X19" s="15">
        <f>Calcs!Y74</f>
        <v>0</v>
      </c>
      <c r="Y19" s="15">
        <f>Calcs!Z74</f>
        <v>0</v>
      </c>
      <c r="Z19" s="15">
        <f>Calcs!AA74</f>
        <v>0</v>
      </c>
      <c r="AA19" s="15">
        <f>Calcs!AB74</f>
        <v>0</v>
      </c>
      <c r="AB19" s="15">
        <f>Calcs!AC74</f>
        <v>0</v>
      </c>
      <c r="AC19" s="15">
        <f>Calcs!AD74</f>
        <v>0</v>
      </c>
      <c r="AD19" s="1">
        <f>Calcs!AE74</f>
        <v>0</v>
      </c>
      <c r="AE19" s="1">
        <f>Calcs!AF74</f>
        <v>0</v>
      </c>
    </row>
    <row r="20" spans="1:31">
      <c r="A20" s="2" t="s">
        <v>1551</v>
      </c>
      <c r="B20" s="15">
        <f>Calcs!C75</f>
        <v>0</v>
      </c>
      <c r="C20" s="15">
        <f>Calcs!D75</f>
        <v>0</v>
      </c>
      <c r="D20" s="15">
        <f>Calcs!E75</f>
        <v>0</v>
      </c>
      <c r="E20" s="15">
        <f>Calcs!F75</f>
        <v>0</v>
      </c>
      <c r="F20" s="15">
        <f>Calcs!G75</f>
        <v>0</v>
      </c>
      <c r="G20" s="15">
        <f>Calcs!H75</f>
        <v>0</v>
      </c>
      <c r="H20" s="15">
        <f>Calcs!I75</f>
        <v>0</v>
      </c>
      <c r="I20" s="15">
        <f>Calcs!J75</f>
        <v>0</v>
      </c>
      <c r="J20" s="15">
        <f>Calcs!K75</f>
        <v>0</v>
      </c>
      <c r="K20" s="15">
        <f>Calcs!L75</f>
        <v>0</v>
      </c>
      <c r="L20" s="15">
        <f>Calcs!M75</f>
        <v>0</v>
      </c>
      <c r="M20" s="15">
        <f>Calcs!N75</f>
        <v>0</v>
      </c>
      <c r="N20" s="15">
        <f>Calcs!O75</f>
        <v>0</v>
      </c>
      <c r="O20" s="15">
        <f>Calcs!P75</f>
        <v>0</v>
      </c>
      <c r="P20" s="15">
        <f>Calcs!Q75</f>
        <v>0</v>
      </c>
      <c r="Q20" s="15">
        <f>Calcs!R75</f>
        <v>0</v>
      </c>
      <c r="R20" s="15">
        <f>Calcs!S75</f>
        <v>0</v>
      </c>
      <c r="S20" s="15">
        <f>Calcs!T75</f>
        <v>0</v>
      </c>
      <c r="T20" s="15">
        <f>Calcs!U75</f>
        <v>0</v>
      </c>
      <c r="U20" s="15">
        <f>Calcs!V75</f>
        <v>0</v>
      </c>
      <c r="V20" s="15">
        <f>Calcs!W75</f>
        <v>0</v>
      </c>
      <c r="W20" s="15">
        <f>Calcs!X75</f>
        <v>0</v>
      </c>
      <c r="X20" s="15">
        <f>Calcs!Y75</f>
        <v>0</v>
      </c>
      <c r="Y20" s="15">
        <f>Calcs!Z75</f>
        <v>0</v>
      </c>
      <c r="Z20" s="15">
        <f>Calcs!AA75</f>
        <v>0</v>
      </c>
      <c r="AA20" s="15">
        <f>Calcs!AB75</f>
        <v>0</v>
      </c>
      <c r="AB20" s="15">
        <f>Calcs!AC75</f>
        <v>0</v>
      </c>
      <c r="AC20" s="15">
        <f>Calcs!AD75</f>
        <v>0</v>
      </c>
      <c r="AD20" s="1">
        <f>Calcs!AE75</f>
        <v>0</v>
      </c>
      <c r="AE20" s="1">
        <f>Calcs!AF75</f>
        <v>0</v>
      </c>
    </row>
    <row r="21" spans="1:31">
      <c r="A21" s="2" t="s">
        <v>1552</v>
      </c>
      <c r="B21" s="15">
        <f>Calcs!C76</f>
        <v>0</v>
      </c>
      <c r="C21" s="15">
        <f>Calcs!D76</f>
        <v>0</v>
      </c>
      <c r="D21" s="15">
        <f>Calcs!E76</f>
        <v>0</v>
      </c>
      <c r="E21" s="15">
        <f>Calcs!F76</f>
        <v>0</v>
      </c>
      <c r="F21" s="15">
        <f>Calcs!G76</f>
        <v>0</v>
      </c>
      <c r="G21" s="15">
        <f>Calcs!H76</f>
        <v>0</v>
      </c>
      <c r="H21" s="15">
        <f>Calcs!I76</f>
        <v>0</v>
      </c>
      <c r="I21" s="15">
        <f>Calcs!J76</f>
        <v>0</v>
      </c>
      <c r="J21" s="15">
        <f>Calcs!K76</f>
        <v>0</v>
      </c>
      <c r="K21" s="15">
        <f>Calcs!L76</f>
        <v>0</v>
      </c>
      <c r="L21" s="15">
        <f>Calcs!M76</f>
        <v>0</v>
      </c>
      <c r="M21" s="15">
        <f>Calcs!N76</f>
        <v>0</v>
      </c>
      <c r="N21" s="15">
        <f>Calcs!O76</f>
        <v>0</v>
      </c>
      <c r="O21" s="15">
        <f>Calcs!P76</f>
        <v>0</v>
      </c>
      <c r="P21" s="15">
        <f>Calcs!Q76</f>
        <v>0</v>
      </c>
      <c r="Q21" s="15">
        <f>Calcs!R76</f>
        <v>0</v>
      </c>
      <c r="R21" s="15">
        <f>Calcs!S76</f>
        <v>0</v>
      </c>
      <c r="S21" s="15">
        <f>Calcs!T76</f>
        <v>0</v>
      </c>
      <c r="T21" s="15">
        <f>Calcs!U76</f>
        <v>0</v>
      </c>
      <c r="U21" s="15">
        <f>Calcs!V76</f>
        <v>0</v>
      </c>
      <c r="V21" s="15">
        <f>Calcs!W76</f>
        <v>0</v>
      </c>
      <c r="W21" s="15">
        <f>Calcs!X76</f>
        <v>0</v>
      </c>
      <c r="X21" s="15">
        <f>Calcs!Y76</f>
        <v>0</v>
      </c>
      <c r="Y21" s="15">
        <f>Calcs!Z76</f>
        <v>0</v>
      </c>
      <c r="Z21" s="15">
        <f>Calcs!AA76</f>
        <v>0</v>
      </c>
      <c r="AA21" s="15">
        <f>Calcs!AB76</f>
        <v>0</v>
      </c>
      <c r="AB21" s="15">
        <f>Calcs!AC76</f>
        <v>0</v>
      </c>
      <c r="AC21" s="15">
        <f>Calcs!AD76</f>
        <v>0</v>
      </c>
      <c r="AD21" s="1">
        <f>Calcs!AE76</f>
        <v>0</v>
      </c>
      <c r="AE21" s="1">
        <f>Calcs!AF76</f>
        <v>0</v>
      </c>
    </row>
    <row r="22" spans="1:31">
      <c r="A22" s="2" t="s">
        <v>1553</v>
      </c>
      <c r="B22" s="15">
        <f>Calcs!C77</f>
        <v>0</v>
      </c>
      <c r="C22" s="15">
        <f>Calcs!D77</f>
        <v>0</v>
      </c>
      <c r="D22" s="15">
        <f>Calcs!E77</f>
        <v>0</v>
      </c>
      <c r="E22" s="15">
        <f>Calcs!F77</f>
        <v>0</v>
      </c>
      <c r="F22" s="15">
        <f>Calcs!G77</f>
        <v>0</v>
      </c>
      <c r="G22" s="15">
        <f>Calcs!H77</f>
        <v>0</v>
      </c>
      <c r="H22" s="15">
        <f>Calcs!I77</f>
        <v>0</v>
      </c>
      <c r="I22" s="15">
        <f>Calcs!J77</f>
        <v>0</v>
      </c>
      <c r="J22" s="15">
        <f>Calcs!K77</f>
        <v>0</v>
      </c>
      <c r="K22" s="15">
        <f>Calcs!L77</f>
        <v>0</v>
      </c>
      <c r="L22" s="15">
        <f>Calcs!M77</f>
        <v>0</v>
      </c>
      <c r="M22" s="15">
        <f>Calcs!N77</f>
        <v>0</v>
      </c>
      <c r="N22" s="15">
        <f>Calcs!O77</f>
        <v>0</v>
      </c>
      <c r="O22" s="15">
        <f>Calcs!P77</f>
        <v>0</v>
      </c>
      <c r="P22" s="15">
        <f>Calcs!Q77</f>
        <v>0</v>
      </c>
      <c r="Q22" s="15">
        <f>Calcs!R77</f>
        <v>0</v>
      </c>
      <c r="R22" s="15">
        <f>Calcs!S77</f>
        <v>0</v>
      </c>
      <c r="S22" s="15">
        <f>Calcs!T77</f>
        <v>0</v>
      </c>
      <c r="T22" s="15">
        <f>Calcs!U77</f>
        <v>0</v>
      </c>
      <c r="U22" s="15">
        <f>Calcs!V77</f>
        <v>0</v>
      </c>
      <c r="V22" s="15">
        <f>Calcs!W77</f>
        <v>0</v>
      </c>
      <c r="W22" s="15">
        <f>Calcs!X77</f>
        <v>0</v>
      </c>
      <c r="X22" s="15">
        <f>Calcs!Y77</f>
        <v>0</v>
      </c>
      <c r="Y22" s="15">
        <f>Calcs!Z77</f>
        <v>0</v>
      </c>
      <c r="Z22" s="15">
        <f>Calcs!AA77</f>
        <v>0</v>
      </c>
      <c r="AA22" s="15">
        <f>Calcs!AB77</f>
        <v>0</v>
      </c>
      <c r="AB22" s="15">
        <f>Calcs!AC77</f>
        <v>0</v>
      </c>
      <c r="AC22" s="15">
        <f>Calcs!AD77</f>
        <v>0</v>
      </c>
      <c r="AD22" s="1">
        <f>Calcs!AE77</f>
        <v>0</v>
      </c>
      <c r="AE22" s="1">
        <f>Calcs!AF77</f>
        <v>0</v>
      </c>
    </row>
    <row r="23" spans="1:31">
      <c r="A23" s="2" t="s">
        <v>1554</v>
      </c>
      <c r="B23" s="15">
        <f>Calcs!C78</f>
        <v>0</v>
      </c>
      <c r="C23" s="15">
        <f>Calcs!D78</f>
        <v>0</v>
      </c>
      <c r="D23" s="15">
        <f>Calcs!E78</f>
        <v>0</v>
      </c>
      <c r="E23" s="15">
        <f>Calcs!F78</f>
        <v>0</v>
      </c>
      <c r="F23" s="15">
        <f>Calcs!G78</f>
        <v>0</v>
      </c>
      <c r="G23" s="15">
        <f>Calcs!H78</f>
        <v>0</v>
      </c>
      <c r="H23" s="15">
        <f>Calcs!I78</f>
        <v>0</v>
      </c>
      <c r="I23" s="15">
        <f>Calcs!J78</f>
        <v>0</v>
      </c>
      <c r="J23" s="15">
        <f>Calcs!K78</f>
        <v>0</v>
      </c>
      <c r="K23" s="15">
        <f>Calcs!L78</f>
        <v>0</v>
      </c>
      <c r="L23" s="15">
        <f>Calcs!M78</f>
        <v>0</v>
      </c>
      <c r="M23" s="15">
        <f>Calcs!N78</f>
        <v>0</v>
      </c>
      <c r="N23" s="15">
        <f>Calcs!O78</f>
        <v>0</v>
      </c>
      <c r="O23" s="15">
        <f>Calcs!P78</f>
        <v>0</v>
      </c>
      <c r="P23" s="15">
        <f>Calcs!Q78</f>
        <v>0</v>
      </c>
      <c r="Q23" s="15">
        <f>Calcs!R78</f>
        <v>0</v>
      </c>
      <c r="R23" s="15">
        <f>Calcs!S78</f>
        <v>0</v>
      </c>
      <c r="S23" s="15">
        <f>Calcs!T78</f>
        <v>0</v>
      </c>
      <c r="T23" s="15">
        <f>Calcs!U78</f>
        <v>0</v>
      </c>
      <c r="U23" s="15">
        <f>Calcs!V78</f>
        <v>0</v>
      </c>
      <c r="V23" s="15">
        <f>Calcs!W78</f>
        <v>0</v>
      </c>
      <c r="W23" s="15">
        <f>Calcs!X78</f>
        <v>0</v>
      </c>
      <c r="X23" s="15">
        <f>Calcs!Y78</f>
        <v>0</v>
      </c>
      <c r="Y23" s="15">
        <f>Calcs!Z78</f>
        <v>0</v>
      </c>
      <c r="Z23" s="15">
        <f>Calcs!AA78</f>
        <v>0</v>
      </c>
      <c r="AA23" s="15">
        <f>Calcs!AB78</f>
        <v>0</v>
      </c>
      <c r="AB23" s="15">
        <f>Calcs!AC78</f>
        <v>0</v>
      </c>
      <c r="AC23" s="15">
        <f>Calcs!AD78</f>
        <v>0</v>
      </c>
      <c r="AD23" s="1">
        <f>Calcs!AE78</f>
        <v>0</v>
      </c>
      <c r="AE23" s="1">
        <f>Calcs!AF78</f>
        <v>0</v>
      </c>
    </row>
    <row r="24" spans="1:31">
      <c r="A24" s="91" t="s">
        <v>1555</v>
      </c>
      <c r="B24" s="15">
        <f>Calcs!C79</f>
        <v>0</v>
      </c>
      <c r="C24" s="15">
        <f>Calcs!D79</f>
        <v>0</v>
      </c>
      <c r="D24" s="15">
        <f>Calcs!E79</f>
        <v>0</v>
      </c>
      <c r="E24" s="15">
        <f>Calcs!F79</f>
        <v>0</v>
      </c>
      <c r="F24" s="15">
        <f>Calcs!G79</f>
        <v>0</v>
      </c>
      <c r="G24" s="15">
        <f>Calcs!H79</f>
        <v>0</v>
      </c>
      <c r="H24" s="15">
        <f>Calcs!I79</f>
        <v>0</v>
      </c>
      <c r="I24" s="15">
        <f>Calcs!J79</f>
        <v>0</v>
      </c>
      <c r="J24" s="15">
        <f>Calcs!K79</f>
        <v>0</v>
      </c>
      <c r="K24" s="15">
        <f>Calcs!L79</f>
        <v>0</v>
      </c>
      <c r="L24" s="15">
        <f>Calcs!M79</f>
        <v>0</v>
      </c>
      <c r="M24" s="15">
        <f>Calcs!N79</f>
        <v>0</v>
      </c>
      <c r="N24" s="15">
        <f>Calcs!O79</f>
        <v>0</v>
      </c>
      <c r="O24" s="15">
        <f>Calcs!P79</f>
        <v>0</v>
      </c>
      <c r="P24" s="15">
        <f>Calcs!Q79</f>
        <v>0</v>
      </c>
      <c r="Q24" s="15">
        <f>Calcs!R79</f>
        <v>0</v>
      </c>
      <c r="R24" s="15">
        <f>Calcs!S79</f>
        <v>0</v>
      </c>
      <c r="S24" s="15">
        <f>Calcs!T79</f>
        <v>0</v>
      </c>
      <c r="T24" s="15">
        <f>Calcs!U79</f>
        <v>0</v>
      </c>
      <c r="U24" s="15">
        <f>Calcs!V79</f>
        <v>0</v>
      </c>
      <c r="V24" s="15">
        <f>Calcs!W79</f>
        <v>0</v>
      </c>
      <c r="W24" s="15">
        <f>Calcs!X79</f>
        <v>0</v>
      </c>
      <c r="X24" s="15">
        <f>Calcs!Y79</f>
        <v>0</v>
      </c>
      <c r="Y24" s="15">
        <f>Calcs!Z79</f>
        <v>0</v>
      </c>
      <c r="Z24" s="15">
        <f>Calcs!AA79</f>
        <v>0</v>
      </c>
      <c r="AA24" s="15">
        <f>Calcs!AB79</f>
        <v>0</v>
      </c>
      <c r="AB24" s="15">
        <f>Calcs!AC79</f>
        <v>0</v>
      </c>
      <c r="AC24" s="15">
        <f>Calcs!AD79</f>
        <v>0</v>
      </c>
      <c r="AD24" s="1">
        <f>Calcs!AE79</f>
        <v>0</v>
      </c>
      <c r="AE24" s="1">
        <f>Calcs!AF79</f>
        <v>0</v>
      </c>
    </row>
    <row r="25" spans="1:31">
      <c r="A25" s="91" t="s">
        <v>1556</v>
      </c>
      <c r="B25" s="15">
        <f>Calcs!C80</f>
        <v>0</v>
      </c>
      <c r="C25" s="15">
        <f>Calcs!D80</f>
        <v>0</v>
      </c>
      <c r="D25" s="15">
        <f>Calcs!E80</f>
        <v>0</v>
      </c>
      <c r="E25" s="15">
        <f>Calcs!F80</f>
        <v>0</v>
      </c>
      <c r="F25" s="15">
        <f>Calcs!G80</f>
        <v>0</v>
      </c>
      <c r="G25" s="15">
        <f>Calcs!H80</f>
        <v>0</v>
      </c>
      <c r="H25" s="15">
        <f>Calcs!I80</f>
        <v>0</v>
      </c>
      <c r="I25" s="15">
        <f>Calcs!J80</f>
        <v>0</v>
      </c>
      <c r="J25" s="15">
        <f>Calcs!K80</f>
        <v>0</v>
      </c>
      <c r="K25" s="15">
        <f>Calcs!L80</f>
        <v>0</v>
      </c>
      <c r="L25" s="15">
        <f>Calcs!M80</f>
        <v>0</v>
      </c>
      <c r="M25" s="15">
        <f>Calcs!N80</f>
        <v>0</v>
      </c>
      <c r="N25" s="15">
        <f>Calcs!O80</f>
        <v>0</v>
      </c>
      <c r="O25" s="15">
        <f>Calcs!P80</f>
        <v>0</v>
      </c>
      <c r="P25" s="15">
        <f>Calcs!Q80</f>
        <v>0</v>
      </c>
      <c r="Q25" s="15">
        <f>Calcs!R80</f>
        <v>0</v>
      </c>
      <c r="R25" s="15">
        <f>Calcs!S80</f>
        <v>0</v>
      </c>
      <c r="S25" s="15">
        <f>Calcs!T80</f>
        <v>0</v>
      </c>
      <c r="T25" s="15">
        <f>Calcs!U80</f>
        <v>0</v>
      </c>
      <c r="U25" s="15">
        <f>Calcs!V80</f>
        <v>0</v>
      </c>
      <c r="V25" s="15">
        <f>Calcs!W80</f>
        <v>0</v>
      </c>
      <c r="W25" s="15">
        <f>Calcs!X80</f>
        <v>0</v>
      </c>
      <c r="X25" s="15">
        <f>Calcs!Y80</f>
        <v>0</v>
      </c>
      <c r="Y25" s="15">
        <f>Calcs!Z80</f>
        <v>0</v>
      </c>
      <c r="Z25" s="15">
        <f>Calcs!AA80</f>
        <v>0</v>
      </c>
      <c r="AA25" s="15">
        <f>Calcs!AB80</f>
        <v>0</v>
      </c>
      <c r="AB25" s="15">
        <f>Calcs!AC80</f>
        <v>0</v>
      </c>
      <c r="AC25" s="15">
        <f>Calcs!AD80</f>
        <v>0</v>
      </c>
      <c r="AD25" s="1">
        <f>Calcs!AE80</f>
        <v>0</v>
      </c>
      <c r="AE25" s="1">
        <f>Calcs!AF80</f>
        <v>0</v>
      </c>
    </row>
  </sheetData>
  <phoneticPr fontId="1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6495D3-36AB-48BE-9761-A187B83B0E0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B7C919E-7237-4686-BCFF-C051BFDC2E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1BA099-88EB-42FD-A91E-DDAFA39FBD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About</vt:lpstr>
      <vt:lpstr>19-20 Retirements</vt:lpstr>
      <vt:lpstr>MOTIE_21-34 Retirements</vt:lpstr>
      <vt:lpstr>EPSIS_RAW</vt:lpstr>
      <vt:lpstr>EPSIS</vt:lpstr>
      <vt:lpstr>EPSIS_Cal</vt:lpstr>
      <vt:lpstr>35-50 Retirements</vt:lpstr>
      <vt:lpstr>MPPC</vt:lpstr>
      <vt:lpstr>Calcs</vt:lpstr>
      <vt:lpstr>CRbQ</vt:lpstr>
      <vt:lpstr>EPSIS!Extract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Mary Francis Swint</cp:lastModifiedBy>
  <dcterms:created xsi:type="dcterms:W3CDTF">2015-12-15T21:40:01Z</dcterms:created>
  <dcterms:modified xsi:type="dcterms:W3CDTF">2026-01-22T15:25:39Z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