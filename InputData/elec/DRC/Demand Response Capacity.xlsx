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.sharepoint.com/sites/ExternalSharing-PolicyExternal2/Shared Documents/Policy - Modeling and Analysis External/South Korea EPS/New Files_June/20260703/"/>
    </mc:Choice>
  </mc:AlternateContent>
  <xr:revisionPtr revIDLastSave="3" documentId="8_{90BDB88C-943A-44A0-9F6C-1B16932A1EDE}" xr6:coauthVersionLast="47" xr6:coauthVersionMax="47" xr10:uidLastSave="{1FC47F0E-F8C0-4B88-AADF-C883F16C7A19}"/>
  <bookViews>
    <workbookView xWindow="-19305" yWindow="-4650" windowWidth="19410" windowHeight="20985" activeTab="4" xr2:uid="{00000000-000D-0000-FFFF-FFFF00000000}"/>
  </bookViews>
  <sheets>
    <sheet name="About" sheetId="1" r:id="rId1"/>
    <sheet name="MOTIE" sheetId="4" r:id="rId2"/>
    <sheet name="DRC-BDRC" sheetId="5" r:id="rId3"/>
    <sheet name="DRC-PADRC" sheetId="2" r:id="rId4"/>
    <sheet name="DRC-ADRHpDR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 a="1"/>
  <c r="C2" i="2" a="1"/>
  <c r="D2" i="2" a="1"/>
  <c r="E2" i="2" a="1"/>
  <c r="F2" i="2" a="1"/>
  <c r="G2" i="2" a="1"/>
  <c r="H2" i="2" a="1"/>
  <c r="I2" i="2" a="1"/>
  <c r="J2" i="2" a="1"/>
  <c r="K2" i="2" a="1"/>
  <c r="L2" i="2" a="1"/>
  <c r="M2" i="2" a="1"/>
  <c r="N2" i="2" a="1"/>
  <c r="O2" i="2" a="1"/>
  <c r="P2" i="2" a="1"/>
  <c r="Q2" i="2" a="1"/>
  <c r="R2" i="2" a="1"/>
  <c r="S2" i="2" a="1"/>
  <c r="T2" i="2" a="1"/>
  <c r="U2" i="2" a="1"/>
  <c r="V2" i="2" a="1"/>
  <c r="W2" i="2" a="1"/>
  <c r="X2" i="2" a="1"/>
  <c r="Y2" i="2" a="1"/>
  <c r="Z2" i="2" a="1"/>
  <c r="AA2" i="2" a="1"/>
  <c r="AB2" i="2" a="1"/>
  <c r="AC2" i="2" a="1"/>
  <c r="AD2" i="2" a="1"/>
  <c r="AE2" i="2" a="1"/>
  <c r="AF2" i="2" a="1"/>
  <c r="AG2" i="2" a="1"/>
  <c r="AH2" i="2" a="1"/>
  <c r="F5" i="4"/>
  <c r="E5" i="4" s="1"/>
  <c r="D5" i="4" s="1"/>
  <c r="C5" i="4" s="1"/>
  <c r="B5" i="4" s="1"/>
  <c r="G5" i="4"/>
  <c r="X5" i="4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W5" i="4"/>
  <c r="B2" i="6" l="1"/>
  <c r="V6" i="4" l="1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F6" i="4"/>
  <c r="G6" i="4"/>
  <c r="H6" i="4"/>
  <c r="I6" i="4"/>
  <c r="J6" i="4"/>
  <c r="K6" i="4"/>
  <c r="L6" i="4"/>
  <c r="M6" i="4"/>
  <c r="N6" i="4"/>
  <c r="O6" i="4"/>
  <c r="P6" i="4"/>
  <c r="Q6" i="4"/>
  <c r="R6" i="4"/>
  <c r="E6" i="4"/>
  <c r="C2" i="5" l="1"/>
  <c r="B2" i="5"/>
  <c r="S2" i="5"/>
  <c r="S6" i="4"/>
  <c r="T2" i="5" l="1"/>
  <c r="T6" i="4"/>
  <c r="U2" i="5" l="1"/>
  <c r="U6" i="4"/>
  <c r="V2" i="5" l="1"/>
  <c r="W2" i="5" l="1"/>
  <c r="W6" i="4"/>
  <c r="X6" i="4" l="1"/>
  <c r="X2" i="5"/>
  <c r="Y6" i="4" l="1"/>
  <c r="Y2" i="5"/>
  <c r="Z6" i="4" l="1"/>
  <c r="Z2" i="5"/>
  <c r="AA6" i="4" l="1"/>
  <c r="AA2" i="5"/>
  <c r="AB6" i="4" l="1"/>
  <c r="AB2" i="5"/>
  <c r="AC2" i="5" l="1"/>
  <c r="AC6" i="4"/>
  <c r="AD2" i="5" l="1"/>
  <c r="AD6" i="4"/>
  <c r="AE2" i="5" l="1"/>
  <c r="AE6" i="4"/>
  <c r="AF2" i="5" l="1"/>
  <c r="AF6" i="4"/>
  <c r="AG2" i="5" l="1"/>
  <c r="AG6" i="4"/>
  <c r="AH2" i="5" l="1"/>
  <c r="AH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<sst xmlns="http://schemas.openxmlformats.org/spreadsheetml/2006/main" count="35" uniqueCount="33">
  <si>
    <t>Year</t>
  </si>
  <si>
    <t>Potential Additional DR Capacity (MW)</t>
  </si>
  <si>
    <t>DR Capacity (MW)</t>
  </si>
  <si>
    <t>DRC BAU Demand Response Capacity</t>
  </si>
  <si>
    <t>DRC Potential Additional Demand Response Capacity</t>
  </si>
  <si>
    <t>Demand response is defined as the potential to reduce or shift electricity usage during peak</t>
  </si>
  <si>
    <t>periods in response to time-based rates or other financial incentives.</t>
  </si>
  <si>
    <t>Notes:</t>
  </si>
  <si>
    <t>Sources:</t>
  </si>
  <si>
    <t>MOTIE</t>
    <phoneticPr fontId="3" type="noConversion"/>
  </si>
  <si>
    <t>MOTIE - DR 피크 감축량 연도 별 계획 (MW)</t>
    <phoneticPr fontId="3" type="noConversion"/>
  </si>
  <si>
    <t>MW</t>
    <phoneticPr fontId="3" type="noConversion"/>
  </si>
  <si>
    <t>DR Capacity</t>
    <phoneticPr fontId="3" type="noConversion"/>
  </si>
  <si>
    <t>increasing rate</t>
    <phoneticPr fontId="3" type="noConversion"/>
  </si>
  <si>
    <t>-</t>
    <phoneticPr fontId="3" type="noConversion"/>
  </si>
  <si>
    <t>Forecasted data</t>
    <phoneticPr fontId="3" type="noConversion"/>
  </si>
  <si>
    <t>Potential Additional DR Capacity was calculated using the EI method.</t>
    <phoneticPr fontId="3" type="noConversion"/>
  </si>
  <si>
    <t>Unit: hours</t>
  </si>
  <si>
    <t>DR Hours per DR Event</t>
  </si>
  <si>
    <t>Hours per Event</t>
  </si>
  <si>
    <t>DR Hours per Year and per Event</t>
  </si>
  <si>
    <t>Hours of Shift DR per Year</t>
  </si>
  <si>
    <t>Hours of DR per Event</t>
  </si>
  <si>
    <t>Participants must be able to maintain demand reduction for at least 4 hours per DR event (전력거래소 등록시험 기준 3~4시간, 단 중소형 및 제주DR은 감축지속시간 1시간 적용)</t>
    <phoneticPr fontId="3" type="noConversion"/>
  </si>
  <si>
    <t>AFTER 2038 : same rate as 2038</t>
    <phoneticPr fontId="3" type="noConversion"/>
  </si>
  <si>
    <t>BEFORE 2024 : same rate as 2025</t>
    <phoneticPr fontId="3" type="noConversion"/>
  </si>
  <si>
    <t>제11차 전력수급기본계획-3.수요관리목표-가.최대전력절감계획-DR시장(p.91)</t>
    <phoneticPr fontId="3" type="noConversion"/>
  </si>
  <si>
    <t>2024 Capacity and 2038 Projection</t>
    <phoneticPr fontId="3" type="noConversion"/>
  </si>
  <si>
    <t>11th basic electricity supply plan (2024~2038)</t>
    <phoneticPr fontId="3" type="noConversion"/>
  </si>
  <si>
    <t>2024~2038: Data from 11th basic electricity supply plan</t>
    <phoneticPr fontId="3" type="noConversion"/>
  </si>
  <si>
    <t>2038~2050: Incremental rate in 2038</t>
    <phoneticPr fontId="3" type="noConversion"/>
  </si>
  <si>
    <t>2020~2023: Incremental rate in 2024</t>
    <phoneticPr fontId="3" type="noConversion"/>
  </si>
  <si>
    <t>https://www.motir.go.kr/kor/article/ATCLc01b2801b/70152/view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</si>
</sst>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4"/>
      <color theme="1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10" fontId="1" fillId="0" borderId="0" xfId="0" applyNumberFormat="1" applyFont="1" applyAlignment="1">
      <alignment horizontal="left"/>
    </xf>
    <xf numFmtId="1" fontId="0" fillId="0" borderId="0" xfId="0" applyNumberFormat="1"/>
    <xf numFmtId="0" fontId="1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3" borderId="0" xfId="0" applyFont="1" applyFill="1"/>
    <xf numFmtId="0" fontId="5" fillId="3" borderId="0" xfId="0" applyFont="1" applyFill="1"/>
    <xf numFmtId="0" fontId="5" fillId="4" borderId="0" xfId="0" applyFont="1" applyFill="1"/>
    <xf numFmtId="0" fontId="6" fillId="4" borderId="0" xfId="0" applyFont="1" applyFill="1"/>
    <xf numFmtId="0" fontId="0" fillId="4" borderId="0" xfId="0" applyFill="1"/>
    <xf numFmtId="0" fontId="5" fillId="4" borderId="0" xfId="0" applyFont="1" applyFill="1" applyAlignment="1">
      <alignment horizontal="left"/>
    </xf>
    <xf numFmtId="0" fontId="5" fillId="4" borderId="0" xfId="0" quotePrefix="1" applyFont="1" applyFill="1" applyAlignment="1">
      <alignment horizontal="left" vertical="center"/>
    </xf>
    <xf numFmtId="0" fontId="5" fillId="3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0" applyFont="1"/>
    <xf numFmtId="0" fontId="0" fillId="0" borderId="0" xfId="0" applyAlignment="1">
      <alignment horizontal="right"/>
    </xf>
    <xf numFmtId="0" fontId="6" fillId="0" borderId="0" xfId="0" applyFont="1"/>
    <xf numFmtId="0" fontId="10" fillId="5" borderId="1" xfId="0" applyFont="1" applyFill="1" applyBorder="1"/>
    <xf numFmtId="0" fontId="11" fillId="5" borderId="1" xfId="0" applyFont="1" applyFill="1" applyBorder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21</xdr:row>
      <xdr:rowOff>44450</xdr:rowOff>
    </xdr:from>
    <xdr:to>
      <xdr:col>6</xdr:col>
      <xdr:colOff>189558</xdr:colOff>
      <xdr:row>54</xdr:row>
      <xdr:rowOff>106376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96F1D57-8CD9-836D-5AE6-62AD1A2F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1" y="4854575"/>
          <a:ext cx="4809182" cy="72914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tir.go.kr/kor/article/ATCLc01b2801b/70152/vie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workbookViewId="0">
      <selection activeCell="A9" sqref="A9"/>
    </sheetView>
  </sheetViews>
  <sheetFormatPr defaultRowHeight="14.5"/>
  <cols>
    <col min="2" max="2" width="28.6328125" customWidth="1"/>
  </cols>
  <sheetData>
    <row r="1" spans="1:2">
      <c r="A1" s="1" t="s">
        <v>3</v>
      </c>
    </row>
    <row r="2" spans="1:2">
      <c r="A2" s="1" t="s">
        <v>4</v>
      </c>
    </row>
    <row r="4" spans="1:2">
      <c r="A4" s="1" t="s">
        <v>8</v>
      </c>
      <c r="B4" s="5" t="s">
        <v>27</v>
      </c>
    </row>
    <row r="5" spans="1:2">
      <c r="B5" t="s">
        <v>9</v>
      </c>
    </row>
    <row r="6" spans="1:2">
      <c r="B6" s="20">
        <v>2025</v>
      </c>
    </row>
    <row r="7" spans="1:2">
      <c r="B7" s="20" t="s">
        <v>28</v>
      </c>
    </row>
    <row r="8" spans="1:2">
      <c r="B8" s="27" t="s">
        <v>32</v>
      </c>
    </row>
    <row r="10" spans="1:2">
      <c r="A10" s="1" t="s">
        <v>7</v>
      </c>
    </row>
    <row r="11" spans="1:2">
      <c r="A11" t="s">
        <v>5</v>
      </c>
    </row>
    <row r="12" spans="1:2">
      <c r="A12" t="s">
        <v>6</v>
      </c>
    </row>
    <row r="13" spans="1:2">
      <c r="A13" s="1"/>
    </row>
    <row r="14" spans="1:2">
      <c r="A14" s="21" t="s">
        <v>29</v>
      </c>
    </row>
    <row r="15" spans="1:2">
      <c r="A15" s="21" t="s">
        <v>30</v>
      </c>
    </row>
    <row r="16" spans="1:2">
      <c r="A16" s="21" t="s">
        <v>31</v>
      </c>
    </row>
    <row r="18" spans="1:2">
      <c r="A18" t="s">
        <v>16</v>
      </c>
    </row>
    <row r="25" spans="1:2">
      <c r="B25" s="1"/>
    </row>
    <row r="26" spans="1:2">
      <c r="B26" s="2"/>
    </row>
  </sheetData>
  <phoneticPr fontId="3" type="noConversion"/>
  <hyperlinks>
    <hyperlink ref="B8" r:id="rId1" xr:uid="{4078C656-C4AE-4A6F-8793-A09E7B4DF1DF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20"/>
  <sheetViews>
    <sheetView workbookViewId="0">
      <selection activeCell="H5" sqref="H5:V5"/>
    </sheetView>
  </sheetViews>
  <sheetFormatPr defaultRowHeight="14.5"/>
  <cols>
    <col min="1" max="1" width="18" customWidth="1"/>
  </cols>
  <sheetData>
    <row r="1" spans="1:52">
      <c r="A1" s="1"/>
      <c r="D1" s="1"/>
      <c r="G1" s="1"/>
      <c r="J1" s="1"/>
      <c r="M1" s="1"/>
      <c r="P1" s="1"/>
      <c r="S1" s="1"/>
      <c r="V1" s="1"/>
      <c r="Y1" s="1"/>
      <c r="AB1" s="1"/>
      <c r="AE1" s="1"/>
      <c r="AH1" s="1"/>
      <c r="AK1" s="1"/>
      <c r="AN1" s="1"/>
      <c r="AQ1" s="1"/>
      <c r="AT1" s="1"/>
      <c r="AW1" s="1"/>
      <c r="AZ1" s="1"/>
    </row>
    <row r="2" spans="1:52" ht="23.5">
      <c r="B2" s="6" t="s">
        <v>10</v>
      </c>
    </row>
    <row r="3" spans="1:52" ht="25.5" customHeight="1">
      <c r="B3" s="15" t="s">
        <v>25</v>
      </c>
      <c r="C3" s="15"/>
      <c r="D3" s="15"/>
      <c r="E3" s="16"/>
      <c r="F3" s="16"/>
      <c r="G3" s="16"/>
      <c r="H3" t="s">
        <v>26</v>
      </c>
      <c r="T3" s="24"/>
      <c r="W3" s="12" t="s">
        <v>24</v>
      </c>
    </row>
    <row r="4" spans="1:52" s="7" customFormat="1">
      <c r="A4" s="7" t="s">
        <v>11</v>
      </c>
      <c r="B4" s="14">
        <v>2018</v>
      </c>
      <c r="C4" s="14">
        <v>2019</v>
      </c>
      <c r="D4" s="14">
        <v>2020</v>
      </c>
      <c r="E4" s="14">
        <v>2021</v>
      </c>
      <c r="F4" s="14">
        <v>2022</v>
      </c>
      <c r="G4" s="14">
        <v>2023</v>
      </c>
      <c r="H4" s="7">
        <v>2024</v>
      </c>
      <c r="I4" s="7">
        <v>2025</v>
      </c>
      <c r="J4" s="7">
        <v>2026</v>
      </c>
      <c r="K4" s="7">
        <v>2027</v>
      </c>
      <c r="L4" s="7">
        <v>2028</v>
      </c>
      <c r="M4" s="7">
        <v>2029</v>
      </c>
      <c r="N4" s="7">
        <v>2030</v>
      </c>
      <c r="O4" s="7">
        <v>2031</v>
      </c>
      <c r="P4" s="7">
        <v>2032</v>
      </c>
      <c r="Q4" s="7">
        <v>2033</v>
      </c>
      <c r="R4" s="7">
        <v>2034</v>
      </c>
      <c r="S4" s="7">
        <v>2035</v>
      </c>
      <c r="T4" s="7">
        <v>2036</v>
      </c>
      <c r="U4" s="7">
        <v>2037</v>
      </c>
      <c r="V4" s="7">
        <v>2038</v>
      </c>
      <c r="W4" s="13">
        <v>2039</v>
      </c>
      <c r="X4" s="13">
        <v>2040</v>
      </c>
      <c r="Y4" s="13">
        <v>2041</v>
      </c>
      <c r="Z4" s="13">
        <v>2042</v>
      </c>
      <c r="AA4" s="13">
        <v>2043</v>
      </c>
      <c r="AB4" s="13">
        <v>2044</v>
      </c>
      <c r="AC4" s="13">
        <v>2045</v>
      </c>
      <c r="AD4" s="13">
        <v>2046</v>
      </c>
      <c r="AE4" s="13">
        <v>2047</v>
      </c>
      <c r="AF4" s="13">
        <v>2048</v>
      </c>
      <c r="AG4" s="13">
        <v>2049</v>
      </c>
      <c r="AH4" s="13">
        <v>2050</v>
      </c>
    </row>
    <row r="5" spans="1:52" s="7" customFormat="1" ht="17">
      <c r="A5" s="7" t="s">
        <v>12</v>
      </c>
      <c r="B5" s="14">
        <f>C5/(1+$I$6)</f>
        <v>2230.3920030879835</v>
      </c>
      <c r="C5" s="14">
        <f>D5/(1+$I$6)</f>
        <v>2319.0378172632331</v>
      </c>
      <c r="D5" s="14">
        <f t="shared" ref="D5:G5" si="0">E5/(1+$I$6)</f>
        <v>2411.2068149685142</v>
      </c>
      <c r="E5" s="14">
        <f t="shared" si="0"/>
        <v>2507.0390233703856</v>
      </c>
      <c r="F5" s="14">
        <f t="shared" si="0"/>
        <v>2606.6800349450778</v>
      </c>
      <c r="G5" s="14">
        <f t="shared" si="0"/>
        <v>2710.2812286689418</v>
      </c>
      <c r="H5" s="25">
        <v>2818</v>
      </c>
      <c r="I5" s="26">
        <v>2930</v>
      </c>
      <c r="J5" s="26">
        <v>3053</v>
      </c>
      <c r="K5" s="25">
        <v>3190</v>
      </c>
      <c r="L5" s="26">
        <v>3319</v>
      </c>
      <c r="M5" s="26">
        <v>3416</v>
      </c>
      <c r="N5" s="25">
        <v>3532</v>
      </c>
      <c r="O5" s="26">
        <v>3653</v>
      </c>
      <c r="P5" s="26">
        <v>3788</v>
      </c>
      <c r="Q5" s="25">
        <v>3926</v>
      </c>
      <c r="R5" s="26">
        <v>4071</v>
      </c>
      <c r="S5" s="26">
        <v>4234</v>
      </c>
      <c r="T5" s="25">
        <v>4374</v>
      </c>
      <c r="U5" s="26">
        <v>4529</v>
      </c>
      <c r="V5" s="25">
        <v>4692</v>
      </c>
      <c r="W5" s="7">
        <f>V5*(1+$V$6)</f>
        <v>4860.8664164274669</v>
      </c>
      <c r="X5" s="7">
        <f t="shared" ref="X5:AH5" si="1">W5*(1+$V$6)</f>
        <v>5035.8103832805637</v>
      </c>
      <c r="Y5" s="7">
        <f t="shared" si="1"/>
        <v>5217.0506333301837</v>
      </c>
      <c r="Z5" s="7">
        <f t="shared" si="1"/>
        <v>5404.8137716019473</v>
      </c>
      <c r="AA5" s="7">
        <f t="shared" si="1"/>
        <v>5599.3345587008907</v>
      </c>
      <c r="AB5" s="7">
        <f t="shared" si="1"/>
        <v>5800.856204333093</v>
      </c>
      <c r="AC5" s="7">
        <f t="shared" si="1"/>
        <v>6009.6306713912281</v>
      </c>
      <c r="AD5" s="7">
        <f t="shared" si="1"/>
        <v>6225.9189909842435</v>
      </c>
      <c r="AE5" s="7">
        <f t="shared" si="1"/>
        <v>6449.9915888050491</v>
      </c>
      <c r="AF5" s="7">
        <f t="shared" si="1"/>
        <v>6682.1286232442681</v>
      </c>
      <c r="AG5" s="7">
        <f t="shared" si="1"/>
        <v>6922.6203356727983</v>
      </c>
      <c r="AH5" s="7">
        <f t="shared" si="1"/>
        <v>7171.7674133311475</v>
      </c>
    </row>
    <row r="6" spans="1:52" s="7" customFormat="1">
      <c r="A6" s="7" t="s">
        <v>13</v>
      </c>
      <c r="B6" s="14"/>
      <c r="C6" s="14"/>
      <c r="D6" s="8" t="s">
        <v>14</v>
      </c>
      <c r="E6" s="7">
        <f>(E5-D5)/D5</f>
        <v>3.9744499645138404E-2</v>
      </c>
      <c r="F6" s="7">
        <f t="shared" ref="F6:R6" si="2">(F5-E5)/E5</f>
        <v>3.9744499645138286E-2</v>
      </c>
      <c r="G6" s="7">
        <f t="shared" si="2"/>
        <v>3.9744499645138431E-2</v>
      </c>
      <c r="H6" s="7">
        <f t="shared" si="2"/>
        <v>3.9744499645138459E-2</v>
      </c>
      <c r="I6" s="7">
        <f t="shared" si="2"/>
        <v>3.9744499645138397E-2</v>
      </c>
      <c r="J6" s="7">
        <f t="shared" si="2"/>
        <v>4.1979522184300344E-2</v>
      </c>
      <c r="K6" s="7">
        <f t="shared" si="2"/>
        <v>4.4873894529970523E-2</v>
      </c>
      <c r="L6" s="7">
        <f t="shared" si="2"/>
        <v>4.0438871473354232E-2</v>
      </c>
      <c r="M6" s="7">
        <f t="shared" si="2"/>
        <v>2.9225670382645376E-2</v>
      </c>
      <c r="N6" s="7">
        <f t="shared" si="2"/>
        <v>3.3957845433255272E-2</v>
      </c>
      <c r="O6" s="7">
        <f t="shared" si="2"/>
        <v>3.4258210645526616E-2</v>
      </c>
      <c r="P6" s="7">
        <f t="shared" si="2"/>
        <v>3.6955926635641935E-2</v>
      </c>
      <c r="Q6" s="7">
        <f t="shared" si="2"/>
        <v>3.6430834213305174E-2</v>
      </c>
      <c r="R6" s="7">
        <f t="shared" si="2"/>
        <v>3.6933265410086603E-2</v>
      </c>
      <c r="S6" s="7">
        <f t="shared" ref="S6" si="3">(S5-R5)/R5</f>
        <v>4.0039302382706948E-2</v>
      </c>
      <c r="T6" s="7">
        <f t="shared" ref="T6" si="4">(T5-S5)/S5</f>
        <v>3.3065658951346243E-2</v>
      </c>
      <c r="U6" s="7">
        <f t="shared" ref="U6" si="5">(U5-T5)/T5</f>
        <v>3.5436671239140377E-2</v>
      </c>
      <c r="V6" s="7">
        <f t="shared" ref="V6" si="6">(V5-U5)/U5</f>
        <v>3.5990284831088543E-2</v>
      </c>
      <c r="W6" s="13">
        <f t="shared" ref="W6" si="7">(W5-V5)/V5</f>
        <v>3.5990284831088425E-2</v>
      </c>
      <c r="X6" s="13">
        <f t="shared" ref="X6" si="8">(X5-W5)/W5</f>
        <v>3.5990284831088452E-2</v>
      </c>
      <c r="Y6" s="13">
        <f t="shared" ref="Y6" si="9">(Y5-X5)/X5</f>
        <v>3.5990284831088425E-2</v>
      </c>
      <c r="Z6" s="13">
        <f t="shared" ref="Z6" si="10">(Z5-Y5)/Y5</f>
        <v>3.5990284831088439E-2</v>
      </c>
      <c r="AA6" s="13">
        <f t="shared" ref="AA6" si="11">(AA5-Z5)/Z5</f>
        <v>3.5990284831088432E-2</v>
      </c>
      <c r="AB6" s="13">
        <f t="shared" ref="AB6" si="12">(AB5-AA5)/AA5</f>
        <v>3.5990284831088501E-2</v>
      </c>
      <c r="AC6" s="13">
        <f t="shared" ref="AC6" si="13">(AC5-AB5)/AB5</f>
        <v>3.5990284831088529E-2</v>
      </c>
      <c r="AD6" s="13">
        <f t="shared" ref="AD6" si="14">(AD5-AC5)/AC5</f>
        <v>3.5990284831088404E-2</v>
      </c>
      <c r="AE6" s="13">
        <f t="shared" ref="AE6" si="15">(AE5-AD5)/AD5</f>
        <v>3.5990284831088439E-2</v>
      </c>
      <c r="AF6" s="13">
        <f t="shared" ref="AF6" si="16">(AF5-AE5)/AE5</f>
        <v>3.5990284831088529E-2</v>
      </c>
      <c r="AG6" s="13">
        <f t="shared" ref="AG6" si="17">(AG5-AF5)/AF5</f>
        <v>3.5990284831088473E-2</v>
      </c>
      <c r="AH6" s="13">
        <f t="shared" ref="AH6" si="18">(AH5-AG5)/AG5</f>
        <v>3.5990284831088459E-2</v>
      </c>
    </row>
    <row r="7" spans="1:52" s="7" customFormat="1">
      <c r="W7" s="19" t="s">
        <v>15</v>
      </c>
    </row>
    <row r="8" spans="1:52" s="7" customFormat="1" ht="16.5" customHeight="1">
      <c r="A8" s="9"/>
      <c r="B8" s="17" t="s">
        <v>15</v>
      </c>
      <c r="C8" s="18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0"/>
      <c r="R8" s="11"/>
    </row>
    <row r="9" spans="1:52" s="7" customFormat="1">
      <c r="A9" s="5" t="s">
        <v>20</v>
      </c>
    </row>
    <row r="10" spans="1:52" s="7" customFormat="1">
      <c r="A10"/>
    </row>
    <row r="11" spans="1:52" s="7" customFormat="1">
      <c r="A11"/>
    </row>
    <row r="12" spans="1:52" s="7" customFormat="1">
      <c r="A12"/>
    </row>
    <row r="13" spans="1:52" s="7" customFormat="1">
      <c r="A13"/>
    </row>
    <row r="14" spans="1:52" s="7" customFormat="1">
      <c r="A14" t="s">
        <v>23</v>
      </c>
    </row>
    <row r="15" spans="1:52" s="7" customFormat="1">
      <c r="A15"/>
    </row>
    <row r="16" spans="1:52" s="7" customFormat="1">
      <c r="A16" t="s">
        <v>21</v>
      </c>
    </row>
    <row r="17" spans="1:1" s="7" customFormat="1">
      <c r="A17"/>
    </row>
    <row r="18" spans="1:1" s="7" customFormat="1">
      <c r="A18"/>
    </row>
    <row r="19" spans="1:1" s="7" customFormat="1">
      <c r="A19" t="s">
        <v>22</v>
      </c>
    </row>
    <row r="20" spans="1:1" s="7" customFormat="1">
      <c r="A20">
        <v>4</v>
      </c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2"/>
  <sheetViews>
    <sheetView topLeftCell="P1" workbookViewId="0">
      <selection activeCell="AH2" sqref="AH2"/>
    </sheetView>
  </sheetViews>
  <sheetFormatPr defaultRowHeight="14.5"/>
  <cols>
    <col min="1" max="1" width="19.08984375" customWidth="1"/>
  </cols>
  <sheetData>
    <row r="1" spans="1:34">
      <c r="A1" s="1" t="s">
        <v>0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>
      <c r="A2" s="1" t="s">
        <v>2</v>
      </c>
      <c r="B2" s="7">
        <f>MOTIE!B5</f>
        <v>2230.3920030879835</v>
      </c>
      <c r="C2" s="7">
        <f>MOTIE!C5</f>
        <v>2319.0378172632331</v>
      </c>
      <c r="D2" s="7">
        <f>MOTIE!D5</f>
        <v>2411.2068149685142</v>
      </c>
      <c r="E2" s="3">
        <f>MOTIE!E5</f>
        <v>2507.0390233703856</v>
      </c>
      <c r="F2" s="3">
        <f>MOTIE!F5</f>
        <v>2606.6800349450778</v>
      </c>
      <c r="G2" s="3">
        <f>MOTIE!G5</f>
        <v>2710.2812286689418</v>
      </c>
      <c r="H2" s="3">
        <f>MOTIE!H5</f>
        <v>2818</v>
      </c>
      <c r="I2" s="3">
        <f>MOTIE!I5</f>
        <v>2930</v>
      </c>
      <c r="J2" s="3">
        <f>MOTIE!J5</f>
        <v>3053</v>
      </c>
      <c r="K2" s="3">
        <f>MOTIE!K5</f>
        <v>3190</v>
      </c>
      <c r="L2" s="3">
        <f>MOTIE!L5</f>
        <v>3319</v>
      </c>
      <c r="M2" s="3">
        <f>MOTIE!M5</f>
        <v>3416</v>
      </c>
      <c r="N2" s="3">
        <f>MOTIE!N5</f>
        <v>3532</v>
      </c>
      <c r="O2" s="3">
        <f>MOTIE!O5</f>
        <v>3653</v>
      </c>
      <c r="P2" s="3">
        <f>MOTIE!P5</f>
        <v>3788</v>
      </c>
      <c r="Q2" s="3">
        <f>MOTIE!Q5</f>
        <v>3926</v>
      </c>
      <c r="R2" s="3">
        <f>MOTIE!R5</f>
        <v>4071</v>
      </c>
      <c r="S2" s="3">
        <f>MOTIE!S5</f>
        <v>4234</v>
      </c>
      <c r="T2" s="3">
        <f>MOTIE!T5</f>
        <v>4374</v>
      </c>
      <c r="U2" s="3">
        <f>MOTIE!U5</f>
        <v>4529</v>
      </c>
      <c r="V2" s="3">
        <f>MOTIE!V5</f>
        <v>4692</v>
      </c>
      <c r="W2" s="3">
        <f>MOTIE!W5</f>
        <v>4860.8664164274669</v>
      </c>
      <c r="X2" s="3">
        <f>MOTIE!X5</f>
        <v>5035.8103832805637</v>
      </c>
      <c r="Y2" s="3">
        <f>MOTIE!Y5</f>
        <v>5217.0506333301837</v>
      </c>
      <c r="Z2" s="3">
        <f>MOTIE!Z5</f>
        <v>5404.8137716019473</v>
      </c>
      <c r="AA2" s="3">
        <f>MOTIE!AA5</f>
        <v>5599.3345587008907</v>
      </c>
      <c r="AB2" s="3">
        <f>MOTIE!AB5</f>
        <v>5800.856204333093</v>
      </c>
      <c r="AC2" s="3">
        <f>MOTIE!AC5</f>
        <v>6009.6306713912281</v>
      </c>
      <c r="AD2" s="3">
        <f>MOTIE!AD5</f>
        <v>6225.9189909842435</v>
      </c>
      <c r="AE2" s="3">
        <f>MOTIE!AE5</f>
        <v>6449.9915888050491</v>
      </c>
      <c r="AF2" s="3">
        <f>MOTIE!AF5</f>
        <v>6682.1286232442681</v>
      </c>
      <c r="AG2" s="3">
        <f>MOTIE!AG5</f>
        <v>6922.6203356727983</v>
      </c>
      <c r="AH2" s="3">
        <f>MOTIE!AH5</f>
        <v>7171.7674133311475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H2"/>
  <sheetViews>
    <sheetView workbookViewId="0">
      <selection activeCell="Q12" sqref="Q12"/>
    </sheetView>
  </sheetViews>
  <sheetFormatPr defaultRowHeight="14.5"/>
  <cols>
    <col min="1" max="1" width="21" customWidth="1"/>
  </cols>
  <sheetData>
    <row r="1" spans="1:34">
      <c r="A1" s="1" t="s">
        <v>0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ht="29">
      <c r="A2" s="4" t="s">
        <v>1</v>
      </c>
      <c r="B2" s="3" cm="1">
        <f t="array" ref="B2">_xlfn.SINGLE(IF((TREND(MOTIE!$H$5:$V$5,MOTIE!$H$4:$V$4,'DRC-PADRC'!B1)-'DRC-BDRC'!B2)&gt;0,(TREND(MOTIE!$H$5:$V$5,MOTIE!$H$4:$V$4,'DRC-PADRC'!B1)-'DRC-BDRC'!B2),0))</f>
        <v>0</v>
      </c>
      <c r="C2" s="3" cm="1">
        <f t="array" ref="C2">_xlfn.SINGLE(IF((TREND(MOTIE!$H$5:$V$5,MOTIE!$H$4:$V$4,'DRC-PADRC'!C1)-'DRC-BDRC'!C2)&gt;0,(TREND(MOTIE!$H$5:$V$5,MOTIE!$H$4:$V$4,'DRC-PADRC'!C1)-'DRC-BDRC'!C2),0))</f>
        <v>0</v>
      </c>
      <c r="D2" s="3" cm="1">
        <f t="array" ref="D2">_xlfn.SINGLE(IF((TREND(MOTIE!$H$5:$V$5,MOTIE!$H$4:$V$4,'DRC-PADRC'!D1)-'DRC-BDRC'!D2)&gt;0,(TREND(MOTIE!$H$5:$V$5,MOTIE!$H$4:$V$4,'DRC-PADRC'!D1)-'DRC-BDRC'!D2),0))</f>
        <v>0</v>
      </c>
      <c r="E2" s="3" cm="1">
        <f t="array" ref="E2">_xlfn.SINGLE(IF((TREND(MOTIE!$H$5:$V$5,MOTIE!$H$4:$V$4,'DRC-PADRC'!E1)-'DRC-BDRC'!E2)&gt;0,(TREND(MOTIE!$H$5:$V$5,MOTIE!$H$4:$V$4,'DRC-PADRC'!E1)-'DRC-BDRC'!E2),0))</f>
        <v>0</v>
      </c>
      <c r="F2" s="3" cm="1">
        <f t="array" ref="F2">_xlfn.SINGLE(IF((TREND(MOTIE!$H$5:$V$5,MOTIE!$H$4:$V$4,'DRC-PADRC'!F1)-'DRC-BDRC'!F2)&gt;0,(TREND(MOTIE!$H$5:$V$5,MOTIE!$H$4:$V$4,'DRC-PADRC'!F1)-'DRC-BDRC'!F2),0))</f>
        <v>0</v>
      </c>
      <c r="G2" s="3" cm="1">
        <f t="array" ref="G2">_xlfn.SINGLE(IF((TREND(MOTIE!$H$5:$V$5,MOTIE!$H$4:$V$4,'DRC-PADRC'!G1)-'DRC-BDRC'!G2)&gt;0,(TREND(MOTIE!$H$5:$V$5,MOTIE!$H$4:$V$4,'DRC-PADRC'!G1)-'DRC-BDRC'!G2),0))</f>
        <v>0</v>
      </c>
      <c r="H2" s="3" cm="1">
        <f t="array" ref="H2">_xlfn.SINGLE(IF((TREND(MOTIE!$H$5:$V$5,MOTIE!$H$4:$V$4,'DRC-PADRC'!H1)-'DRC-BDRC'!H2)&gt;0,(TREND(MOTIE!$H$5:$V$5,MOTIE!$H$4:$V$4,'DRC-PADRC'!H1)-'DRC-BDRC'!H2),0))</f>
        <v>0</v>
      </c>
      <c r="I2" s="3" cm="1">
        <f t="array" ref="I2">_xlfn.SINGLE(IF((TREND(MOTIE!$H$5:$V$5,MOTIE!$H$4:$V$4,'DRC-PADRC'!I1)-'DRC-BDRC'!I2)&gt;0,(TREND(MOTIE!$H$5:$V$5,MOTIE!$H$4:$V$4,'DRC-PADRC'!I1)-'DRC-BDRC'!I2),0))</f>
        <v>0</v>
      </c>
      <c r="J2" s="3" cm="1">
        <f t="array" ref="J2">_xlfn.SINGLE(IF((TREND(MOTIE!$H$5:$V$5,MOTIE!$H$4:$V$4,'DRC-PADRC'!J1)-'DRC-BDRC'!J2)&gt;0,(TREND(MOTIE!$H$5:$V$5,MOTIE!$H$4:$V$4,'DRC-PADRC'!J1)-'DRC-BDRC'!J2),0))</f>
        <v>0</v>
      </c>
      <c r="K2" s="3" cm="1">
        <f t="array" ref="K2">_xlfn.SINGLE(IF((TREND(MOTIE!$H$5:$V$5,MOTIE!$H$4:$V$4,'DRC-PADRC'!K1)-'DRC-BDRC'!K2)&gt;0,(TREND(MOTIE!$H$5:$V$5,MOTIE!$H$4:$V$4,'DRC-PADRC'!K1)-'DRC-BDRC'!K2),0))</f>
        <v>0</v>
      </c>
      <c r="L2" s="3" cm="1">
        <f t="array" ref="L2">_xlfn.SINGLE(IF((TREND(MOTIE!$H$5:$V$5,MOTIE!$H$4:$V$4,'DRC-PADRC'!L1)-'DRC-BDRC'!L2)&gt;0,(TREND(MOTIE!$H$5:$V$5,MOTIE!$H$4:$V$4,'DRC-PADRC'!L1)-'DRC-BDRC'!L2),0))</f>
        <v>0</v>
      </c>
      <c r="M2" s="3" cm="1">
        <f t="array" ref="M2">_xlfn.SINGLE(IF((TREND(MOTIE!$H$5:$V$5,MOTIE!$H$4:$V$4,'DRC-PADRC'!M1)-'DRC-BDRC'!M2)&gt;0,(TREND(MOTIE!$H$5:$V$5,MOTIE!$H$4:$V$4,'DRC-PADRC'!M1)-'DRC-BDRC'!M2),0))</f>
        <v>21.202380952367093</v>
      </c>
      <c r="N2" s="3" cm="1">
        <f t="array" ref="N2">_xlfn.SINGLE(IF((TREND(MOTIE!$H$5:$V$5,MOTIE!$H$4:$V$4,'DRC-PADRC'!N1)-'DRC-BDRC'!N2)&gt;0,(TREND(MOTIE!$H$5:$V$5,MOTIE!$H$4:$V$4,'DRC-PADRC'!N1)-'DRC-BDRC'!N2),0))</f>
        <v>37.434523809526581</v>
      </c>
      <c r="O2" s="3" cm="1">
        <f t="array" ref="O2">_xlfn.SINGLE(IF((TREND(MOTIE!$H$5:$V$5,MOTIE!$H$4:$V$4,'DRC-PADRC'!O1)-'DRC-BDRC'!O2)&gt;0,(TREND(MOTIE!$H$5:$V$5,MOTIE!$H$4:$V$4,'DRC-PADRC'!O1)-'DRC-BDRC'!O2),0))</f>
        <v>48.666666666686069</v>
      </c>
      <c r="P2" s="3" cm="1">
        <f t="array" ref="P2">_xlfn.SINGLE(IF((TREND(MOTIE!$H$5:$V$5,MOTIE!$H$4:$V$4,'DRC-PADRC'!P1)-'DRC-BDRC'!P2)&gt;0,(TREND(MOTIE!$H$5:$V$5,MOTIE!$H$4:$V$4,'DRC-PADRC'!P1)-'DRC-BDRC'!P2),0))</f>
        <v>45.898809523845557</v>
      </c>
      <c r="Q2" s="3" cm="1">
        <f t="array" ref="Q2">_xlfn.SINGLE(IF((TREND(MOTIE!$H$5:$V$5,MOTIE!$H$4:$V$4,'DRC-PADRC'!Q1)-'DRC-BDRC'!Q2)&gt;0,(TREND(MOTIE!$H$5:$V$5,MOTIE!$H$4:$V$4,'DRC-PADRC'!Q1)-'DRC-BDRC'!Q2),0))</f>
        <v>40.130952380946837</v>
      </c>
      <c r="R2" s="3" cm="1">
        <f t="array" ref="R2">_xlfn.SINGLE(IF((TREND(MOTIE!$H$5:$V$5,MOTIE!$H$4:$V$4,'DRC-PADRC'!R1)-'DRC-BDRC'!R2)&gt;0,(TREND(MOTIE!$H$5:$V$5,MOTIE!$H$4:$V$4,'DRC-PADRC'!R1)-'DRC-BDRC'!R2),0))</f>
        <v>27.363095238106325</v>
      </c>
      <c r="S2" s="3" cm="1">
        <f t="array" ref="S2">_xlfn.SINGLE(IF((TREND(MOTIE!$H$5:$V$5,MOTIE!$H$4:$V$4,'DRC-PADRC'!S1)-'DRC-BDRC'!S2)&gt;0,(TREND(MOTIE!$H$5:$V$5,MOTIE!$H$4:$V$4,'DRC-PADRC'!S1)-'DRC-BDRC'!S2),0))</f>
        <v>0</v>
      </c>
      <c r="T2" s="3" cm="1">
        <f t="array" ref="T2">_xlfn.SINGLE(IF((TREND(MOTIE!$H$5:$V$5,MOTIE!$H$4:$V$4,'DRC-PADRC'!T1)-'DRC-BDRC'!T2)&gt;0,(TREND(MOTIE!$H$5:$V$5,MOTIE!$H$4:$V$4,'DRC-PADRC'!T1)-'DRC-BDRC'!T2),0))</f>
        <v>0</v>
      </c>
      <c r="U2" s="3" cm="1">
        <f t="array" ref="U2">_xlfn.SINGLE(IF((TREND(MOTIE!$H$5:$V$5,MOTIE!$H$4:$V$4,'DRC-PADRC'!U1)-'DRC-BDRC'!U2)&gt;0,(TREND(MOTIE!$H$5:$V$5,MOTIE!$H$4:$V$4,'DRC-PADRC'!U1)-'DRC-BDRC'!U2),0))</f>
        <v>0</v>
      </c>
      <c r="V2" s="3" cm="1">
        <f t="array" ref="V2">_xlfn.SINGLE(IF((TREND(MOTIE!$H$5:$V$5,MOTIE!$H$4:$V$4,'DRC-PADRC'!V1)-'DRC-BDRC'!V2)&gt;0,(TREND(MOTIE!$H$5:$V$5,MOTIE!$H$4:$V$4,'DRC-PADRC'!V1)-'DRC-BDRC'!V2),0))</f>
        <v>0</v>
      </c>
      <c r="W2" s="3" cm="1">
        <f t="array" ref="W2">_xlfn.SINGLE(IF((TREND(MOTIE!$H$5:$V$5,MOTIE!$H$4:$V$4,'DRC-PADRC'!W1)-'DRC-BDRC'!W2)&gt;0,(TREND(MOTIE!$H$5:$V$5,MOTIE!$H$4:$V$4,'DRC-PADRC'!W1)-'DRC-BDRC'!W2),0))</f>
        <v>0</v>
      </c>
      <c r="X2" s="3" cm="1">
        <f t="array" ref="X2">_xlfn.SINGLE(IF((TREND(MOTIE!$H$5:$V$5,MOTIE!$H$4:$V$4,'DRC-PADRC'!X1)-'DRC-BDRC'!X2)&gt;0,(TREND(MOTIE!$H$5:$V$5,MOTIE!$H$4:$V$4,'DRC-PADRC'!X1)-'DRC-BDRC'!X2),0))</f>
        <v>0</v>
      </c>
      <c r="Y2" s="3" cm="1">
        <f t="array" ref="Y2">_xlfn.SINGLE(IF((TREND(MOTIE!$H$5:$V$5,MOTIE!$H$4:$V$4,'DRC-PADRC'!Y1)-'DRC-BDRC'!Y2)&gt;0,(TREND(MOTIE!$H$5:$V$5,MOTIE!$H$4:$V$4,'DRC-PADRC'!Y1)-'DRC-BDRC'!Y2),0))</f>
        <v>0</v>
      </c>
      <c r="Z2" s="3" cm="1">
        <f t="array" ref="Z2">_xlfn.SINGLE(IF((TREND(MOTIE!$H$5:$V$5,MOTIE!$H$4:$V$4,'DRC-PADRC'!Z1)-'DRC-BDRC'!Z2)&gt;0,(TREND(MOTIE!$H$5:$V$5,MOTIE!$H$4:$V$4,'DRC-PADRC'!Z1)-'DRC-BDRC'!Z2),0))</f>
        <v>0</v>
      </c>
      <c r="AA2" s="3" cm="1">
        <f t="array" ref="AA2">_xlfn.SINGLE(IF((TREND(MOTIE!$H$5:$V$5,MOTIE!$H$4:$V$4,'DRC-PADRC'!AA1)-'DRC-BDRC'!AA2)&gt;0,(TREND(MOTIE!$H$5:$V$5,MOTIE!$H$4:$V$4,'DRC-PADRC'!AA1)-'DRC-BDRC'!AA2),0))</f>
        <v>0</v>
      </c>
      <c r="AB2" s="3" cm="1">
        <f t="array" ref="AB2">_xlfn.SINGLE(IF((TREND(MOTIE!$H$5:$V$5,MOTIE!$H$4:$V$4,'DRC-PADRC'!AB1)-'DRC-BDRC'!AB2)&gt;0,(TREND(MOTIE!$H$5:$V$5,MOTIE!$H$4:$V$4,'DRC-PADRC'!AB1)-'DRC-BDRC'!AB2),0))</f>
        <v>0</v>
      </c>
      <c r="AC2" s="3" cm="1">
        <f t="array" ref="AC2">_xlfn.SINGLE(IF((TREND(MOTIE!$H$5:$V$5,MOTIE!$H$4:$V$4,'DRC-PADRC'!AC1)-'DRC-BDRC'!AC2)&gt;0,(TREND(MOTIE!$H$5:$V$5,MOTIE!$H$4:$V$4,'DRC-PADRC'!AC1)-'DRC-BDRC'!AC2),0))</f>
        <v>0</v>
      </c>
      <c r="AD2" s="3" cm="1">
        <f t="array" ref="AD2">_xlfn.SINGLE(IF((TREND(MOTIE!$H$5:$V$5,MOTIE!$H$4:$V$4,'DRC-PADRC'!AD1)-'DRC-BDRC'!AD2)&gt;0,(TREND(MOTIE!$H$5:$V$5,MOTIE!$H$4:$V$4,'DRC-PADRC'!AD1)-'DRC-BDRC'!AD2),0))</f>
        <v>0</v>
      </c>
      <c r="AE2" s="3" cm="1">
        <f t="array" ref="AE2">_xlfn.SINGLE(IF((TREND(MOTIE!$H$5:$V$5,MOTIE!$H$4:$V$4,'DRC-PADRC'!AE1)-'DRC-BDRC'!AE2)&gt;0,(TREND(MOTIE!$H$5:$V$5,MOTIE!$H$4:$V$4,'DRC-PADRC'!AE1)-'DRC-BDRC'!AE2),0))</f>
        <v>0</v>
      </c>
      <c r="AF2" s="3" cm="1">
        <f t="array" ref="AF2">_xlfn.SINGLE(IF((TREND(MOTIE!$H$5:$V$5,MOTIE!$H$4:$V$4,'DRC-PADRC'!AF1)-'DRC-BDRC'!AF2)&gt;0,(TREND(MOTIE!$H$5:$V$5,MOTIE!$H$4:$V$4,'DRC-PADRC'!AF1)-'DRC-BDRC'!AF2),0))</f>
        <v>0</v>
      </c>
      <c r="AG2" s="3" cm="1">
        <f t="array" ref="AG2">_xlfn.SINGLE(IF((TREND(MOTIE!$H$5:$V$5,MOTIE!$H$4:$V$4,'DRC-PADRC'!AG1)-'DRC-BDRC'!AG2)&gt;0,(TREND(MOTIE!$H$5:$V$5,MOTIE!$H$4:$V$4,'DRC-PADRC'!AG1)-'DRC-BDRC'!AG2),0))</f>
        <v>0</v>
      </c>
      <c r="AH2" s="3" cm="1">
        <f t="array" ref="AH2">_xlfn.SINGLE(IF((TREND(MOTIE!$H$5:$V$5,MOTIE!$H$4:$V$4,'DRC-PADRC'!AH1)-'DRC-BDRC'!AH2)&gt;0,(TREND(MOTIE!$H$5:$V$5,MOTIE!$H$4:$V$4,'DRC-PADRC'!AH1)-'DRC-BDRC'!AH2),0))</f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85BAA-F89A-4373-8268-28AFC48DA804}">
  <sheetPr>
    <tabColor rgb="FF002060"/>
  </sheetPr>
  <dimension ref="A1:B2"/>
  <sheetViews>
    <sheetView tabSelected="1" workbookViewId="0">
      <selection activeCell="B2" sqref="B2"/>
    </sheetView>
  </sheetViews>
  <sheetFormatPr defaultRowHeight="14.5"/>
  <cols>
    <col min="1" max="1" width="21.36328125" bestFit="1" customWidth="1"/>
  </cols>
  <sheetData>
    <row r="1" spans="1:2">
      <c r="A1" s="22" t="s">
        <v>17</v>
      </c>
      <c r="B1" s="23" t="s">
        <v>19</v>
      </c>
    </row>
    <row r="2" spans="1:2">
      <c r="A2" t="s">
        <v>18</v>
      </c>
      <c r="B2" s="3">
        <f>ROUND(MOTIE!A20,0)</f>
        <v>4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435F18-B230-45AD-9E6F-1D5E2C9E6E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650D19-B906-4A4F-BC60-F0340A4F044A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3.xml><?xml version="1.0" encoding="utf-8"?>
<ds:datastoreItem xmlns:ds="http://schemas.openxmlformats.org/officeDocument/2006/customXml" ds:itemID="{122FCCFF-E84B-4F37-AF43-02E257308C4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MOTIE</vt:lpstr>
      <vt:lpstr>DRC-BDRC</vt:lpstr>
      <vt:lpstr>DRC-PADRC</vt:lpstr>
      <vt:lpstr>DRC-ADRHpDRE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2014-08-26T00:34:41Z</dcterms:created>
  <dcterms:modified xsi:type="dcterms:W3CDTF">2026-07-09T18:44:29Z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