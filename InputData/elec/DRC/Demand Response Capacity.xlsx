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332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user\Dropbox\NEXT Group\90. 개인 폴더\이지우\단기대응\202501 EPS 수요전망\V3\DRC\old\"/>
    </mc:Choice>
  </mc:AlternateContent>
  <xr:revisionPtr revIDLastSave="0" documentId="13_ncr:1_{01902E13-AAE6-4453-9394-D5CA716BD9DE}" xr6:coauthVersionLast="47" xr6:coauthVersionMax="47" xr10:uidLastSave="{00000000-0000-0000-0000-000000000000}"/>
  <bookViews>
    <workbookView xWindow="2268" yWindow="2268" windowWidth="17280" windowHeight="8880" firstSheet="2" activeTab="4" xr2:uid="{00000000-000D-0000-FFFF-FFFF00000000}"/>
  </bookViews>
  <sheets>
    <sheet name="About" sheetId="1" r:id="rId1"/>
    <sheet name="MOTIE" sheetId="4" r:id="rId2"/>
    <sheet name="DRC-BDRC" sheetId="5" r:id="rId3"/>
    <sheet name="DRC-PADRC" sheetId="2" r:id="rId4"/>
    <sheet name="DRC-ADRHpDRE" sheetId="6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2" i="6" l="1"/>
  <c r="U5" i="4"/>
  <c r="K2" i="2" l="1" a="1"/>
  <c r="K2" i="2" s="1"/>
  <c r="M2" i="2" a="1"/>
  <c r="M2" i="2" s="1"/>
  <c r="N2" i="2" a="1"/>
  <c r="N2" i="2" s="1"/>
  <c r="O2" i="2" a="1"/>
  <c r="O2" i="2" s="1"/>
  <c r="P2" i="2" a="1"/>
  <c r="P2" i="2" s="1"/>
  <c r="Q2" i="2" a="1"/>
  <c r="Q2" i="2" s="1"/>
  <c r="R2" i="2" a="1"/>
  <c r="R2" i="2" s="1"/>
  <c r="H2" i="2" a="1"/>
  <c r="H2" i="2" s="1"/>
  <c r="I2" i="2" a="1"/>
  <c r="I2" i="2" s="1"/>
  <c r="V5" i="4"/>
  <c r="W5" i="4" s="1"/>
  <c r="X5" i="4" s="1"/>
  <c r="Y5" i="4" s="1"/>
  <c r="Z5" i="4" s="1"/>
  <c r="AA5" i="4" s="1"/>
  <c r="AB5" i="4" s="1"/>
  <c r="AC5" i="4" s="1"/>
  <c r="AD5" i="4" s="1"/>
  <c r="AE5" i="4" s="1"/>
  <c r="AF5" i="4" s="1"/>
  <c r="AG5" i="4" s="1"/>
  <c r="AH5" i="4" s="1"/>
  <c r="V6" i="4"/>
  <c r="B2" i="2"/>
  <c r="C2" i="5"/>
  <c r="D2" i="5"/>
  <c r="D2" i="2" s="1" a="1"/>
  <c r="D2" i="2" s="1"/>
  <c r="B2" i="5"/>
  <c r="B5" i="4"/>
  <c r="C5" i="4"/>
  <c r="E2" i="5"/>
  <c r="E2" i="2" s="1" a="1"/>
  <c r="E2" i="2" s="1"/>
  <c r="F2" i="5"/>
  <c r="F2" i="2" s="1" a="1"/>
  <c r="F2" i="2" s="1"/>
  <c r="G2" i="5"/>
  <c r="G2" i="2" s="1" a="1"/>
  <c r="G2" i="2" s="1"/>
  <c r="H2" i="5"/>
  <c r="I2" i="5"/>
  <c r="J2" i="5"/>
  <c r="J2" i="2" s="1" a="1"/>
  <c r="J2" i="2" s="1"/>
  <c r="K2" i="5"/>
  <c r="L2" i="5"/>
  <c r="L2" i="2" s="1" a="1"/>
  <c r="L2" i="2" s="1"/>
  <c r="M2" i="5"/>
  <c r="N2" i="5"/>
  <c r="O2" i="5"/>
  <c r="P2" i="5"/>
  <c r="Q2" i="5"/>
  <c r="R2" i="5"/>
  <c r="F6" i="4"/>
  <c r="G6" i="4"/>
  <c r="H6" i="4"/>
  <c r="I6" i="4"/>
  <c r="J6" i="4"/>
  <c r="K6" i="4"/>
  <c r="L6" i="4"/>
  <c r="M6" i="4"/>
  <c r="N6" i="4"/>
  <c r="O6" i="4"/>
  <c r="P6" i="4"/>
  <c r="Q6" i="4"/>
  <c r="R6" i="4"/>
  <c r="E6" i="4"/>
  <c r="S2" i="5" l="1"/>
  <c r="S2" i="2" s="1" a="1"/>
  <c r="S2" i="2" s="1"/>
  <c r="S6" i="4"/>
  <c r="T2" i="5" l="1"/>
  <c r="T2" i="2" s="1" a="1"/>
  <c r="T2" i="2" s="1"/>
  <c r="T6" i="4"/>
  <c r="U2" i="5" l="1"/>
  <c r="U2" i="2" s="1" a="1"/>
  <c r="U2" i="2" s="1"/>
  <c r="U6" i="4"/>
  <c r="V2" i="5" l="1"/>
  <c r="V2" i="2" s="1" a="1"/>
  <c r="V2" i="2" s="1"/>
  <c r="W2" i="5" l="1"/>
  <c r="W2" i="2" s="1" a="1"/>
  <c r="W2" i="2" s="1"/>
  <c r="W6" i="4"/>
  <c r="X6" i="4" l="1"/>
  <c r="X2" i="5"/>
  <c r="X2" i="2" s="1" a="1"/>
  <c r="X2" i="2" s="1"/>
  <c r="Y6" i="4" l="1"/>
  <c r="Y2" i="5"/>
  <c r="Y2" i="2" s="1" a="1"/>
  <c r="Y2" i="2" s="1"/>
  <c r="Z6" i="4" l="1"/>
  <c r="Z2" i="5"/>
  <c r="Z2" i="2" s="1" a="1"/>
  <c r="Z2" i="2" s="1"/>
  <c r="AA6" i="4" l="1"/>
  <c r="AA2" i="5"/>
  <c r="AA2" i="2" s="1" a="1"/>
  <c r="AA2" i="2" s="1"/>
  <c r="AB6" i="4" l="1"/>
  <c r="AB2" i="5"/>
  <c r="AB2" i="2" s="1" a="1"/>
  <c r="AB2" i="2" s="1"/>
  <c r="AC2" i="5" l="1"/>
  <c r="AC2" i="2" s="1" a="1"/>
  <c r="AC2" i="2" s="1"/>
  <c r="AC6" i="4"/>
  <c r="AD2" i="5" l="1"/>
  <c r="AD2" i="2" s="1" a="1"/>
  <c r="AD2" i="2" s="1"/>
  <c r="AD6" i="4"/>
  <c r="AE2" i="5" l="1"/>
  <c r="AE2" i="2" s="1" a="1"/>
  <c r="AE2" i="2" s="1"/>
  <c r="AE6" i="4"/>
  <c r="AF2" i="5" l="1"/>
  <c r="AF2" i="2" s="1" a="1"/>
  <c r="AF2" i="2" s="1"/>
  <c r="AF6" i="4"/>
  <c r="AG2" i="5" l="1"/>
  <c r="AG2" i="2" s="1" a="1"/>
  <c r="AG2" i="2" s="1"/>
  <c r="AG6" i="4"/>
  <c r="AH2" i="5" l="1"/>
  <c r="AH2" i="2" s="1" a="1"/>
  <c r="AH2" i="2" s="1"/>
  <c r="AH6" i="4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<sst xmlns="http://schemas.openxmlformats.org/spreadsheetml/2006/main" count="34" uniqueCount="32">
  <si>
    <t>Year</t>
  </si>
  <si>
    <t>Potential Additional DR Capacity (MW)</t>
  </si>
  <si>
    <t>DR Capacity (MW)</t>
  </si>
  <si>
    <t>DRC BAU Demand Response Capacity</t>
  </si>
  <si>
    <t>DRC Potential Additional Demand Response Capacity</t>
  </si>
  <si>
    <t>Demand response is defined as the potential to reduce or shift electricity usage during peak</t>
  </si>
  <si>
    <t>periods in response to time-based rates or other financial incentives.</t>
  </si>
  <si>
    <t>Notes:</t>
  </si>
  <si>
    <t>Sources:</t>
  </si>
  <si>
    <t>2019 Capacity and 2030 Projection</t>
  </si>
  <si>
    <t>MOTIE</t>
    <phoneticPr fontId="3" type="noConversion"/>
  </si>
  <si>
    <t>MOTIE - DR 피크 감축량 연도 별 계획 (MW)</t>
    <phoneticPr fontId="3" type="noConversion"/>
  </si>
  <si>
    <t>MW</t>
    <phoneticPr fontId="3" type="noConversion"/>
  </si>
  <si>
    <t>DR Capacity</t>
    <phoneticPr fontId="3" type="noConversion"/>
  </si>
  <si>
    <t>increasing rate</t>
    <phoneticPr fontId="3" type="noConversion"/>
  </si>
  <si>
    <t>-</t>
    <phoneticPr fontId="3" type="noConversion"/>
  </si>
  <si>
    <t>BEFORE 2020 : same rate as 2021</t>
    <phoneticPr fontId="3" type="noConversion"/>
  </si>
  <si>
    <t>Forecasted data</t>
    <phoneticPr fontId="3" type="noConversion"/>
  </si>
  <si>
    <t>Potential Additional DR Capacity was calculated using the EI method.</t>
    <phoneticPr fontId="3" type="noConversion"/>
  </si>
  <si>
    <t>AFTER 2034 : same rate as 2036</t>
    <phoneticPr fontId="3" type="noConversion"/>
  </si>
  <si>
    <t>10th basic electricity supply plan (2022~2036)</t>
    <phoneticPr fontId="3" type="noConversion"/>
  </si>
  <si>
    <t>https://new.kpx.or.kr/menu.es?mid=a10403070000</t>
    <phoneticPr fontId="3" type="noConversion"/>
  </si>
  <si>
    <t>2022~2036: Data from 10th basic electricity supply plan</t>
    <phoneticPr fontId="3" type="noConversion"/>
  </si>
  <si>
    <t>2020, 2021: Incremental rate in 2022</t>
    <phoneticPr fontId="3" type="noConversion"/>
  </si>
  <si>
    <t>2036~2050: Incremental rate in 2036</t>
    <phoneticPr fontId="3" type="noConversion"/>
  </si>
  <si>
    <t>Unit: hours</t>
  </si>
  <si>
    <t>DR Hours per DR Event</t>
  </si>
  <si>
    <t>Hours per Event</t>
  </si>
  <si>
    <t>DR Hours per Year and per Event</t>
  </si>
  <si>
    <t>Hours of Shift DR per Year</t>
  </si>
  <si>
    <t>Hours of DR per Event</t>
  </si>
  <si>
    <t>Participants must be able to maintain demand reduction for at least 4 hours per DR event (전력거래소 등록시험 기준 3~4시간, 단 중소형 및 제주DR은 감축지속시간 1시간 적용)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</si>
</sst>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맑은 고딕"/>
      <family val="2"/>
      <scheme val="minor"/>
    </font>
    <font>
      <b/>
      <sz val="11"/>
      <color theme="1"/>
      <name val="맑은 고딕"/>
      <family val="2"/>
      <scheme val="minor"/>
    </font>
    <font>
      <u/>
      <sz val="11"/>
      <color theme="10"/>
      <name val="맑은 고딕"/>
      <family val="2"/>
      <scheme val="minor"/>
    </font>
    <font>
      <sz val="8"/>
      <name val="맑은 고딕"/>
      <family val="3"/>
      <charset val="129"/>
      <scheme val="minor"/>
    </font>
    <font>
      <b/>
      <sz val="18"/>
      <color theme="1"/>
      <name val="맑은 고딕"/>
      <family val="3"/>
      <charset val="129"/>
      <scheme val="minor"/>
    </font>
    <font>
      <sz val="11"/>
      <color theme="1"/>
      <name val="맑은 고딕"/>
      <family val="3"/>
      <charset val="129"/>
      <scheme val="minor"/>
    </font>
    <font>
      <b/>
      <sz val="14"/>
      <color theme="1"/>
      <name val="맑은 고딕"/>
      <family val="3"/>
      <charset val="129"/>
      <scheme val="minor"/>
    </font>
    <font>
      <sz val="11"/>
      <color rgb="FFFF0000"/>
      <name val="맑은 고딕"/>
      <family val="3"/>
      <charset val="129"/>
      <scheme val="minor"/>
    </font>
    <font>
      <sz val="11"/>
      <color rgb="FFFF0000"/>
      <name val="맑은 고딕"/>
      <family val="2"/>
      <scheme val="minor"/>
    </font>
    <font>
      <i/>
      <sz val="11"/>
      <color theme="1"/>
      <name val="맑은 고딕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8" tint="0.79998168889431442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28">
    <xf numFmtId="0" fontId="0" fillId="0" borderId="0" xfId="0"/>
    <xf numFmtId="0" fontId="1" fillId="0" borderId="0" xfId="0" applyFont="1"/>
    <xf numFmtId="10" fontId="1" fillId="0" borderId="0" xfId="0" applyNumberFormat="1" applyFont="1" applyAlignment="1">
      <alignment horizontal="left"/>
    </xf>
    <xf numFmtId="1" fontId="0" fillId="0" borderId="0" xfId="0" applyNumberFormat="1"/>
    <xf numFmtId="0" fontId="1" fillId="0" borderId="0" xfId="0" applyFont="1" applyAlignment="1">
      <alignment wrapText="1"/>
    </xf>
    <xf numFmtId="0" fontId="1" fillId="2" borderId="0" xfId="0" applyFont="1" applyFill="1"/>
    <xf numFmtId="0" fontId="4" fillId="0" borderId="0" xfId="0" applyFont="1"/>
    <xf numFmtId="0" fontId="5" fillId="0" borderId="0" xfId="0" applyFont="1"/>
    <xf numFmtId="0" fontId="5" fillId="0" borderId="0" xfId="0" quotePrefix="1" applyFont="1" applyAlignment="1">
      <alignment horizontal="center"/>
    </xf>
    <xf numFmtId="0" fontId="5" fillId="0" borderId="0" xfId="0" applyFont="1" applyAlignment="1">
      <alignment horizontal="left"/>
    </xf>
    <xf numFmtId="0" fontId="5" fillId="0" borderId="0" xfId="0" quotePrefix="1" applyFont="1" applyAlignment="1">
      <alignment horizontal="left" vertical="center"/>
    </xf>
    <xf numFmtId="0" fontId="5" fillId="0" borderId="0" xfId="0" applyFont="1" applyAlignment="1">
      <alignment horizontal="left" vertical="center"/>
    </xf>
    <xf numFmtId="0" fontId="6" fillId="3" borderId="0" xfId="0" applyFont="1" applyFill="1"/>
    <xf numFmtId="0" fontId="0" fillId="3" borderId="0" xfId="0" applyFill="1"/>
    <xf numFmtId="0" fontId="5" fillId="3" borderId="0" xfId="0" applyFont="1" applyFill="1"/>
    <xf numFmtId="0" fontId="2" fillId="0" borderId="0" xfId="1" applyAlignment="1">
      <alignment horizontal="left"/>
    </xf>
    <xf numFmtId="0" fontId="5" fillId="4" borderId="0" xfId="0" applyFont="1" applyFill="1"/>
    <xf numFmtId="0" fontId="6" fillId="4" borderId="0" xfId="0" applyFont="1" applyFill="1"/>
    <xf numFmtId="0" fontId="0" fillId="4" borderId="0" xfId="0" applyFill="1"/>
    <xf numFmtId="0" fontId="5" fillId="4" borderId="0" xfId="0" applyFont="1" applyFill="1" applyAlignment="1">
      <alignment horizontal="left"/>
    </xf>
    <xf numFmtId="0" fontId="5" fillId="4" borderId="0" xfId="0" quotePrefix="1" applyFont="1" applyFill="1" applyAlignment="1">
      <alignment horizontal="left" vertical="center"/>
    </xf>
    <xf numFmtId="0" fontId="5" fillId="3" borderId="0" xfId="0" applyFont="1" applyFill="1" applyAlignment="1">
      <alignment horizontal="left"/>
    </xf>
    <xf numFmtId="0" fontId="7" fillId="0" borderId="0" xfId="0" applyFont="1"/>
    <xf numFmtId="0" fontId="6" fillId="0" borderId="0" xfId="0" applyFont="1" applyFill="1"/>
    <xf numFmtId="0" fontId="7" fillId="0" borderId="0" xfId="0" applyFont="1" applyAlignment="1">
      <alignment horizontal="left"/>
    </xf>
    <xf numFmtId="0" fontId="8" fillId="0" borderId="0" xfId="0" applyFont="1"/>
    <xf numFmtId="0" fontId="9" fillId="0" borderId="0" xfId="0" applyFont="1"/>
    <xf numFmtId="0" fontId="0" fillId="0" borderId="0" xfId="0" applyAlignment="1">
      <alignment horizontal="right"/>
    </xf>
  </cellXfs>
  <cellStyles count="2">
    <cellStyle name="표준" xfId="0" builtinId="0"/>
    <cellStyle name="하이퍼링크" xfId="1" builtinId="8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13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12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new.kpx.or.kr/menu.es?mid=a10403070000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7"/>
  <sheetViews>
    <sheetView workbookViewId="0">
      <selection activeCell="B18" sqref="B18"/>
    </sheetView>
  </sheetViews>
  <sheetFormatPr defaultRowHeight="17.399999999999999" x14ac:dyDescent="0.4"/>
  <cols>
    <col min="2" max="2" width="28.59765625" customWidth="1"/>
  </cols>
  <sheetData>
    <row r="1" spans="1:2" x14ac:dyDescent="0.4">
      <c r="A1" s="1" t="s">
        <v>3</v>
      </c>
    </row>
    <row r="2" spans="1:2" x14ac:dyDescent="0.4">
      <c r="A2" s="1" t="s">
        <v>4</v>
      </c>
    </row>
    <row r="4" spans="1:2" x14ac:dyDescent="0.4">
      <c r="A4" s="1" t="s">
        <v>8</v>
      </c>
      <c r="B4" s="5" t="s">
        <v>9</v>
      </c>
    </row>
    <row r="5" spans="1:2" x14ac:dyDescent="0.4">
      <c r="B5" t="s">
        <v>10</v>
      </c>
    </row>
    <row r="6" spans="1:2" x14ac:dyDescent="0.4">
      <c r="B6" s="24">
        <v>2022</v>
      </c>
    </row>
    <row r="7" spans="1:2" x14ac:dyDescent="0.4">
      <c r="B7" s="24" t="s">
        <v>20</v>
      </c>
    </row>
    <row r="8" spans="1:2" x14ac:dyDescent="0.4">
      <c r="B8" s="15" t="s">
        <v>21</v>
      </c>
    </row>
    <row r="11" spans="1:2" x14ac:dyDescent="0.4">
      <c r="A11" s="1" t="s">
        <v>7</v>
      </c>
    </row>
    <row r="12" spans="1:2" x14ac:dyDescent="0.4">
      <c r="A12" t="s">
        <v>5</v>
      </c>
    </row>
    <row r="13" spans="1:2" x14ac:dyDescent="0.4">
      <c r="A13" t="s">
        <v>6</v>
      </c>
    </row>
    <row r="14" spans="1:2" x14ac:dyDescent="0.4">
      <c r="A14" s="1"/>
    </row>
    <row r="15" spans="1:2" x14ac:dyDescent="0.4">
      <c r="A15" s="25" t="s">
        <v>22</v>
      </c>
    </row>
    <row r="16" spans="1:2" x14ac:dyDescent="0.4">
      <c r="A16" s="25" t="s">
        <v>24</v>
      </c>
    </row>
    <row r="17" spans="1:2" x14ac:dyDescent="0.4">
      <c r="A17" s="25" t="s">
        <v>23</v>
      </c>
    </row>
    <row r="19" spans="1:2" x14ac:dyDescent="0.4">
      <c r="A19" t="s">
        <v>18</v>
      </c>
    </row>
    <row r="26" spans="1:2" x14ac:dyDescent="0.4">
      <c r="B26" s="1"/>
    </row>
    <row r="27" spans="1:2" x14ac:dyDescent="0.4">
      <c r="B27" s="2"/>
    </row>
  </sheetData>
  <phoneticPr fontId="3" type="noConversion"/>
  <hyperlinks>
    <hyperlink ref="B8" r:id="rId1" xr:uid="{A48EA53C-1AB9-44F3-861F-8B55FB21C4C2}"/>
  </hyperlinks>
  <pageMargins left="0.7" right="0.7" top="0.75" bottom="0.75" header="0.3" footer="0.3"/>
  <pageSetup orientation="portrait" horizontalDpi="1200" verticalDpi="1200"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Z20"/>
  <sheetViews>
    <sheetView workbookViewId="0">
      <selection activeCell="A20" sqref="A20"/>
    </sheetView>
  </sheetViews>
  <sheetFormatPr defaultRowHeight="17.399999999999999" x14ac:dyDescent="0.4"/>
  <cols>
    <col min="1" max="1" width="18" customWidth="1"/>
  </cols>
  <sheetData>
    <row r="1" spans="1:52" x14ac:dyDescent="0.4">
      <c r="A1" s="1"/>
      <c r="D1" s="1"/>
      <c r="G1" s="1"/>
      <c r="J1" s="1"/>
      <c r="M1" s="1"/>
      <c r="P1" s="1"/>
      <c r="S1" s="1"/>
      <c r="V1" s="1"/>
      <c r="Y1" s="1"/>
      <c r="AB1" s="1"/>
      <c r="AE1" s="1"/>
      <c r="AH1" s="1"/>
      <c r="AK1" s="1"/>
      <c r="AN1" s="1"/>
      <c r="AQ1" s="1"/>
      <c r="AT1" s="1"/>
      <c r="AW1" s="1"/>
      <c r="AZ1" s="1"/>
    </row>
    <row r="2" spans="1:52" ht="27.6" x14ac:dyDescent="0.6">
      <c r="B2" s="6" t="s">
        <v>11</v>
      </c>
    </row>
    <row r="3" spans="1:52" ht="25.5" customHeight="1" x14ac:dyDescent="0.45">
      <c r="B3" s="17" t="s">
        <v>16</v>
      </c>
      <c r="C3" s="17"/>
      <c r="D3" s="17"/>
      <c r="E3" s="18"/>
      <c r="F3" s="18"/>
      <c r="T3" s="23"/>
      <c r="U3" s="12" t="s">
        <v>19</v>
      </c>
      <c r="V3" s="13"/>
      <c r="W3" s="13"/>
    </row>
    <row r="4" spans="1:52" s="7" customFormat="1" x14ac:dyDescent="0.4">
      <c r="A4" s="7" t="s">
        <v>12</v>
      </c>
      <c r="B4" s="16">
        <v>2018</v>
      </c>
      <c r="C4" s="16">
        <v>2019</v>
      </c>
      <c r="D4" s="7">
        <v>2020</v>
      </c>
      <c r="E4" s="7">
        <v>2021</v>
      </c>
      <c r="F4" s="7">
        <v>2022</v>
      </c>
      <c r="G4" s="7">
        <v>2023</v>
      </c>
      <c r="H4" s="7">
        <v>2024</v>
      </c>
      <c r="I4" s="7">
        <v>2025</v>
      </c>
      <c r="J4" s="7">
        <v>2026</v>
      </c>
      <c r="K4" s="7">
        <v>2027</v>
      </c>
      <c r="L4" s="7">
        <v>2028</v>
      </c>
      <c r="M4" s="7">
        <v>2029</v>
      </c>
      <c r="N4" s="7">
        <v>2030</v>
      </c>
      <c r="O4" s="7">
        <v>2031</v>
      </c>
      <c r="P4" s="7">
        <v>2032</v>
      </c>
      <c r="Q4" s="7">
        <v>2033</v>
      </c>
      <c r="R4" s="7">
        <v>2034</v>
      </c>
      <c r="S4" s="14">
        <v>2035</v>
      </c>
      <c r="T4" s="14">
        <v>2036</v>
      </c>
      <c r="U4" s="14">
        <v>2037</v>
      </c>
      <c r="V4" s="14">
        <v>2038</v>
      </c>
      <c r="W4" s="14">
        <v>2039</v>
      </c>
      <c r="X4" s="14">
        <v>2040</v>
      </c>
      <c r="Y4" s="14">
        <v>2041</v>
      </c>
      <c r="Z4" s="14">
        <v>2042</v>
      </c>
      <c r="AA4" s="14">
        <v>2043</v>
      </c>
      <c r="AB4" s="14">
        <v>2044</v>
      </c>
      <c r="AC4" s="14">
        <v>2045</v>
      </c>
      <c r="AD4" s="14">
        <v>2046</v>
      </c>
      <c r="AE4" s="14">
        <v>2047</v>
      </c>
      <c r="AF4" s="14">
        <v>2048</v>
      </c>
      <c r="AG4" s="14">
        <v>2049</v>
      </c>
      <c r="AH4" s="14">
        <v>2050</v>
      </c>
    </row>
    <row r="5" spans="1:52" s="7" customFormat="1" x14ac:dyDescent="0.4">
      <c r="A5" s="7" t="s">
        <v>13</v>
      </c>
      <c r="B5" s="16">
        <f>C5/(1+$E$6)</f>
        <v>2194.7069996712471</v>
      </c>
      <c r="C5" s="16">
        <f>D5/(1+$E$6)</f>
        <v>2312.6826323987539</v>
      </c>
      <c r="D5" s="22">
        <v>2437</v>
      </c>
      <c r="E5" s="22">
        <v>2568</v>
      </c>
      <c r="F5" s="22">
        <v>2947</v>
      </c>
      <c r="G5" s="22">
        <v>3018</v>
      </c>
      <c r="H5" s="22">
        <v>3141</v>
      </c>
      <c r="I5" s="22">
        <v>3258</v>
      </c>
      <c r="J5" s="22">
        <v>3361</v>
      </c>
      <c r="K5" s="22">
        <v>3483</v>
      </c>
      <c r="L5" s="22">
        <v>3673</v>
      </c>
      <c r="M5" s="22">
        <v>3865</v>
      </c>
      <c r="N5" s="22">
        <v>4057</v>
      </c>
      <c r="O5" s="22">
        <v>4271</v>
      </c>
      <c r="P5" s="22">
        <v>4488</v>
      </c>
      <c r="Q5" s="22">
        <v>4711</v>
      </c>
      <c r="R5" s="22">
        <v>4935</v>
      </c>
      <c r="S5" s="22">
        <v>5025</v>
      </c>
      <c r="T5" s="22">
        <v>5136</v>
      </c>
      <c r="U5" s="7">
        <f>T5*(1+$T$6)</f>
        <v>5249.4519402985079</v>
      </c>
      <c r="V5" s="7">
        <f>U5*(1+$T$6)</f>
        <v>5365.4099831588337</v>
      </c>
      <c r="W5" s="7">
        <f>V5*(1+$T$6)</f>
        <v>5483.9294872644323</v>
      </c>
      <c r="X5" s="7">
        <f t="shared" ref="X5:AH5" si="0">W5*(1+$T$6)</f>
        <v>5605.0670341472887</v>
      </c>
      <c r="Y5" s="7">
        <f t="shared" si="0"/>
        <v>5728.8804552000947</v>
      </c>
      <c r="Z5" s="7">
        <f t="shared" si="0"/>
        <v>5855.4288592851126</v>
      </c>
      <c r="AA5" s="7">
        <f t="shared" si="0"/>
        <v>5984.7726609529036</v>
      </c>
      <c r="AB5" s="7">
        <f t="shared" si="0"/>
        <v>6116.9736092844014</v>
      </c>
      <c r="AC5" s="7">
        <f t="shared" si="0"/>
        <v>6252.0948173700872</v>
      </c>
      <c r="AD5" s="7">
        <f t="shared" si="0"/>
        <v>6390.2007924403524</v>
      </c>
      <c r="AE5" s="7">
        <f t="shared" si="0"/>
        <v>6531.3574666614231</v>
      </c>
      <c r="AF5" s="7">
        <f t="shared" si="0"/>
        <v>6675.6322286115565</v>
      </c>
      <c r="AG5" s="7">
        <f t="shared" si="0"/>
        <v>6823.0939554525285</v>
      </c>
      <c r="AH5" s="7">
        <f t="shared" si="0"/>
        <v>6973.8130458117785</v>
      </c>
    </row>
    <row r="6" spans="1:52" s="7" customFormat="1" x14ac:dyDescent="0.4">
      <c r="A6" s="7" t="s">
        <v>14</v>
      </c>
      <c r="B6" s="16"/>
      <c r="C6" s="16"/>
      <c r="D6" s="8" t="s">
        <v>15</v>
      </c>
      <c r="E6" s="7">
        <f>(E5-D5)/D5</f>
        <v>5.3754616331555191E-2</v>
      </c>
      <c r="F6" s="7">
        <f t="shared" ref="F6:R6" si="1">(F5-E5)/E5</f>
        <v>0.14758566978193147</v>
      </c>
      <c r="G6" s="7">
        <f t="shared" si="1"/>
        <v>2.4092297251442144E-2</v>
      </c>
      <c r="H6" s="7">
        <f t="shared" si="1"/>
        <v>4.0755467196819085E-2</v>
      </c>
      <c r="I6" s="7">
        <f t="shared" si="1"/>
        <v>3.7249283667621778E-2</v>
      </c>
      <c r="J6" s="7">
        <f t="shared" si="1"/>
        <v>3.1614487415592391E-2</v>
      </c>
      <c r="K6" s="7">
        <f t="shared" si="1"/>
        <v>3.6298720618863432E-2</v>
      </c>
      <c r="L6" s="7">
        <f t="shared" si="1"/>
        <v>5.4550674705713467E-2</v>
      </c>
      <c r="M6" s="7">
        <f t="shared" si="1"/>
        <v>5.2273346038660497E-2</v>
      </c>
      <c r="N6" s="7">
        <f t="shared" si="1"/>
        <v>4.9676584734799481E-2</v>
      </c>
      <c r="O6" s="7">
        <f t="shared" si="1"/>
        <v>5.2748336209021446E-2</v>
      </c>
      <c r="P6" s="7">
        <f t="shared" si="1"/>
        <v>5.0807773355186138E-2</v>
      </c>
      <c r="Q6" s="7">
        <f t="shared" si="1"/>
        <v>4.9688057040998219E-2</v>
      </c>
      <c r="R6" s="7">
        <f t="shared" si="1"/>
        <v>4.7548291233283801E-2</v>
      </c>
      <c r="S6" s="14">
        <f t="shared" ref="S6" si="2">(S5-R5)/R5</f>
        <v>1.82370820668693E-2</v>
      </c>
      <c r="T6" s="14">
        <f t="shared" ref="T6" si="3">(T5-S5)/S5</f>
        <v>2.208955223880597E-2</v>
      </c>
      <c r="U6" s="14">
        <f t="shared" ref="U6" si="4">(U5-T5)/T5</f>
        <v>2.2089552238806057E-2</v>
      </c>
      <c r="V6" s="14">
        <f t="shared" ref="V6" si="5">(V5-U5)/U5</f>
        <v>2.2089552238806077E-2</v>
      </c>
      <c r="W6" s="14">
        <f t="shared" ref="W6" si="6">(W5-V5)/V5</f>
        <v>2.2089552238806053E-2</v>
      </c>
      <c r="X6" s="14">
        <f t="shared" ref="X6" si="7">(X5-W5)/W5</f>
        <v>2.2089552238806029E-2</v>
      </c>
      <c r="Y6" s="14">
        <f t="shared" ref="Y6" si="8">(Y5-X5)/X5</f>
        <v>2.2089552238806012E-2</v>
      </c>
      <c r="Z6" s="14">
        <f t="shared" ref="Z6" si="9">(Z5-Y5)/Y5</f>
        <v>2.2089552238806119E-2</v>
      </c>
      <c r="AA6" s="14">
        <f t="shared" ref="AA6" si="10">(AA5-Z5)/Z5</f>
        <v>2.208955223880605E-2</v>
      </c>
      <c r="AB6" s="14">
        <f t="shared" ref="AB6" si="11">(AB5-AA5)/AA5</f>
        <v>2.2089552238806105E-2</v>
      </c>
      <c r="AC6" s="14">
        <f t="shared" ref="AC6" si="12">(AC5-AB5)/AB5</f>
        <v>2.2089552238806053E-2</v>
      </c>
      <c r="AD6" s="14">
        <f t="shared" ref="AD6" si="13">(AD5-AC5)/AC5</f>
        <v>2.2089552238806071E-2</v>
      </c>
      <c r="AE6" s="14">
        <f t="shared" ref="AE6" si="14">(AE5-AD5)/AD5</f>
        <v>2.2089552238806008E-2</v>
      </c>
      <c r="AF6" s="14">
        <f t="shared" ref="AF6" si="15">(AF5-AE5)/AE5</f>
        <v>2.2089552238806032E-2</v>
      </c>
      <c r="AG6" s="14">
        <f t="shared" ref="AG6" si="16">(AG5-AF5)/AF5</f>
        <v>2.2089552238806015E-2</v>
      </c>
      <c r="AH6" s="14">
        <f t="shared" ref="AH6" si="17">(AH5-AG5)/AG5</f>
        <v>2.2089552238805987E-2</v>
      </c>
    </row>
    <row r="7" spans="1:52" s="7" customFormat="1" x14ac:dyDescent="0.4"/>
    <row r="8" spans="1:52" s="7" customFormat="1" ht="16.5" customHeight="1" x14ac:dyDescent="0.4">
      <c r="A8" s="9"/>
      <c r="B8" s="19" t="s">
        <v>17</v>
      </c>
      <c r="C8" s="20"/>
      <c r="D8" s="11"/>
      <c r="E8" s="11"/>
      <c r="F8" s="11"/>
      <c r="G8" s="11"/>
      <c r="H8" s="11"/>
      <c r="I8" s="11"/>
      <c r="J8" s="11"/>
      <c r="K8" s="11"/>
      <c r="L8" s="11"/>
      <c r="M8" s="11"/>
      <c r="N8" s="11"/>
      <c r="O8" s="11"/>
      <c r="P8" s="11"/>
      <c r="Q8" s="10"/>
      <c r="R8" s="11"/>
      <c r="S8" s="21" t="s">
        <v>17</v>
      </c>
      <c r="T8" s="14"/>
    </row>
    <row r="9" spans="1:52" s="7" customFormat="1" x14ac:dyDescent="0.4">
      <c r="A9" s="5" t="s">
        <v>28</v>
      </c>
    </row>
    <row r="10" spans="1:52" s="7" customFormat="1" x14ac:dyDescent="0.4">
      <c r="A10"/>
    </row>
    <row r="11" spans="1:52" s="7" customFormat="1" x14ac:dyDescent="0.4">
      <c r="A11"/>
    </row>
    <row r="12" spans="1:52" s="7" customFormat="1" x14ac:dyDescent="0.4">
      <c r="A12"/>
    </row>
    <row r="13" spans="1:52" s="7" customFormat="1" x14ac:dyDescent="0.4">
      <c r="A13"/>
    </row>
    <row r="14" spans="1:52" s="7" customFormat="1" x14ac:dyDescent="0.4">
      <c r="A14" t="s">
        <v>31</v>
      </c>
    </row>
    <row r="15" spans="1:52" s="7" customFormat="1" x14ac:dyDescent="0.4">
      <c r="A15"/>
    </row>
    <row r="16" spans="1:52" s="7" customFormat="1" x14ac:dyDescent="0.4">
      <c r="A16" t="s">
        <v>29</v>
      </c>
    </row>
    <row r="17" spans="1:1" s="7" customFormat="1" x14ac:dyDescent="0.4">
      <c r="A17"/>
    </row>
    <row r="18" spans="1:1" s="7" customFormat="1" x14ac:dyDescent="0.4">
      <c r="A18"/>
    </row>
    <row r="19" spans="1:1" s="7" customFormat="1" x14ac:dyDescent="0.4">
      <c r="A19" t="s">
        <v>30</v>
      </c>
    </row>
    <row r="20" spans="1:1" s="7" customFormat="1" x14ac:dyDescent="0.4">
      <c r="A20">
        <v>4</v>
      </c>
    </row>
  </sheetData>
  <phoneticPr fontId="3" type="noConversion"/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theme="3"/>
  </sheetPr>
  <dimension ref="A1:AH2"/>
  <sheetViews>
    <sheetView workbookViewId="0">
      <selection activeCell="AC2" sqref="AC2"/>
    </sheetView>
  </sheetViews>
  <sheetFormatPr defaultRowHeight="17.399999999999999" x14ac:dyDescent="0.4"/>
  <cols>
    <col min="1" max="1" width="19.19921875" customWidth="1"/>
  </cols>
  <sheetData>
    <row r="1" spans="1:34" x14ac:dyDescent="0.4">
      <c r="A1" s="1" t="s">
        <v>0</v>
      </c>
      <c r="B1">
        <v>2018</v>
      </c>
      <c r="C1">
        <v>2019</v>
      </c>
      <c r="D1">
        <v>2020</v>
      </c>
      <c r="E1">
        <v>2021</v>
      </c>
      <c r="F1">
        <v>2022</v>
      </c>
      <c r="G1">
        <v>2023</v>
      </c>
      <c r="H1">
        <v>2024</v>
      </c>
      <c r="I1">
        <v>2025</v>
      </c>
      <c r="J1">
        <v>2026</v>
      </c>
      <c r="K1">
        <v>2027</v>
      </c>
      <c r="L1">
        <v>2028</v>
      </c>
      <c r="M1">
        <v>2029</v>
      </c>
      <c r="N1">
        <v>2030</v>
      </c>
      <c r="O1">
        <v>2031</v>
      </c>
      <c r="P1">
        <v>2032</v>
      </c>
      <c r="Q1">
        <v>2033</v>
      </c>
      <c r="R1">
        <v>2034</v>
      </c>
      <c r="S1">
        <v>2035</v>
      </c>
      <c r="T1">
        <v>2036</v>
      </c>
      <c r="U1">
        <v>2037</v>
      </c>
      <c r="V1">
        <v>2038</v>
      </c>
      <c r="W1">
        <v>2039</v>
      </c>
      <c r="X1">
        <v>2040</v>
      </c>
      <c r="Y1">
        <v>2041</v>
      </c>
      <c r="Z1">
        <v>2042</v>
      </c>
      <c r="AA1">
        <v>2043</v>
      </c>
      <c r="AB1">
        <v>2044</v>
      </c>
      <c r="AC1">
        <v>2045</v>
      </c>
      <c r="AD1">
        <v>2046</v>
      </c>
      <c r="AE1">
        <v>2047</v>
      </c>
      <c r="AF1">
        <v>2048</v>
      </c>
      <c r="AG1">
        <v>2049</v>
      </c>
      <c r="AH1">
        <v>2050</v>
      </c>
    </row>
    <row r="2" spans="1:34" x14ac:dyDescent="0.4">
      <c r="A2" s="1" t="s">
        <v>2</v>
      </c>
      <c r="B2" s="7">
        <f>MOTIE!B5</f>
        <v>2194.7069996712471</v>
      </c>
      <c r="C2" s="7">
        <f>MOTIE!C5</f>
        <v>2312.6826323987539</v>
      </c>
      <c r="D2" s="7">
        <f>MOTIE!D5</f>
        <v>2437</v>
      </c>
      <c r="E2" s="3">
        <f>MOTIE!E5</f>
        <v>2568</v>
      </c>
      <c r="F2" s="3">
        <f>MOTIE!F5</f>
        <v>2947</v>
      </c>
      <c r="G2" s="3">
        <f>MOTIE!G5</f>
        <v>3018</v>
      </c>
      <c r="H2" s="3">
        <f>MOTIE!H5</f>
        <v>3141</v>
      </c>
      <c r="I2" s="3">
        <f>MOTIE!I5</f>
        <v>3258</v>
      </c>
      <c r="J2" s="3">
        <f>MOTIE!J5</f>
        <v>3361</v>
      </c>
      <c r="K2" s="3">
        <f>MOTIE!K5</f>
        <v>3483</v>
      </c>
      <c r="L2" s="3">
        <f>MOTIE!L5</f>
        <v>3673</v>
      </c>
      <c r="M2" s="3">
        <f>MOTIE!M5</f>
        <v>3865</v>
      </c>
      <c r="N2" s="3">
        <f>MOTIE!N5</f>
        <v>4057</v>
      </c>
      <c r="O2" s="3">
        <f>MOTIE!O5</f>
        <v>4271</v>
      </c>
      <c r="P2" s="3">
        <f>MOTIE!P5</f>
        <v>4488</v>
      </c>
      <c r="Q2" s="3">
        <f>MOTIE!Q5</f>
        <v>4711</v>
      </c>
      <c r="R2" s="3">
        <f>MOTIE!R5</f>
        <v>4935</v>
      </c>
      <c r="S2" s="3">
        <f>MOTIE!S5</f>
        <v>5025</v>
      </c>
      <c r="T2" s="3">
        <f>MOTIE!T5</f>
        <v>5136</v>
      </c>
      <c r="U2" s="3">
        <f>MOTIE!U5</f>
        <v>5249.4519402985079</v>
      </c>
      <c r="V2" s="3">
        <f>MOTIE!V5</f>
        <v>5365.4099831588337</v>
      </c>
      <c r="W2" s="3">
        <f>MOTIE!W5</f>
        <v>5483.9294872644323</v>
      </c>
      <c r="X2" s="3">
        <f>MOTIE!X5</f>
        <v>5605.0670341472887</v>
      </c>
      <c r="Y2" s="3">
        <f>MOTIE!Y5</f>
        <v>5728.8804552000947</v>
      </c>
      <c r="Z2" s="3">
        <f>MOTIE!Z5</f>
        <v>5855.4288592851126</v>
      </c>
      <c r="AA2" s="3">
        <f>MOTIE!AA5</f>
        <v>5984.7726609529036</v>
      </c>
      <c r="AB2" s="3">
        <f>MOTIE!AB5</f>
        <v>6116.9736092844014</v>
      </c>
      <c r="AC2" s="3">
        <f>MOTIE!AC5</f>
        <v>6252.0948173700872</v>
      </c>
      <c r="AD2" s="3">
        <f>MOTIE!AD5</f>
        <v>6390.2007924403524</v>
      </c>
      <c r="AE2" s="3">
        <f>MOTIE!AE5</f>
        <v>6531.3574666614231</v>
      </c>
      <c r="AF2" s="3">
        <f>MOTIE!AF5</f>
        <v>6675.6322286115565</v>
      </c>
      <c r="AG2" s="3">
        <f>MOTIE!AG5</f>
        <v>6823.0939554525285</v>
      </c>
      <c r="AH2" s="3">
        <f>MOTIE!AH5</f>
        <v>6973.8130458117785</v>
      </c>
    </row>
  </sheetData>
  <phoneticPr fontId="3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theme="3"/>
  </sheetPr>
  <dimension ref="A1:AH2"/>
  <sheetViews>
    <sheetView topLeftCell="Y1" workbookViewId="0">
      <selection activeCell="D2" sqref="D2"/>
    </sheetView>
  </sheetViews>
  <sheetFormatPr defaultRowHeight="17.399999999999999" x14ac:dyDescent="0.4"/>
  <cols>
    <col min="1" max="1" width="21" customWidth="1"/>
  </cols>
  <sheetData>
    <row r="1" spans="1:34" x14ac:dyDescent="0.4">
      <c r="A1" s="1" t="s">
        <v>0</v>
      </c>
      <c r="B1">
        <v>2018</v>
      </c>
      <c r="C1">
        <v>2019</v>
      </c>
      <c r="D1">
        <v>2020</v>
      </c>
      <c r="E1">
        <v>2021</v>
      </c>
      <c r="F1">
        <v>2022</v>
      </c>
      <c r="G1">
        <v>2023</v>
      </c>
      <c r="H1">
        <v>2024</v>
      </c>
      <c r="I1">
        <v>2025</v>
      </c>
      <c r="J1">
        <v>2026</v>
      </c>
      <c r="K1">
        <v>2027</v>
      </c>
      <c r="L1">
        <v>2028</v>
      </c>
      <c r="M1">
        <v>2029</v>
      </c>
      <c r="N1">
        <v>2030</v>
      </c>
      <c r="O1">
        <v>2031</v>
      </c>
      <c r="P1">
        <v>2032</v>
      </c>
      <c r="Q1">
        <v>2033</v>
      </c>
      <c r="R1">
        <v>2034</v>
      </c>
      <c r="S1">
        <v>2035</v>
      </c>
      <c r="T1">
        <v>2036</v>
      </c>
      <c r="U1">
        <v>2037</v>
      </c>
      <c r="V1">
        <v>2038</v>
      </c>
      <c r="W1">
        <v>2039</v>
      </c>
      <c r="X1">
        <v>2040</v>
      </c>
      <c r="Y1">
        <v>2041</v>
      </c>
      <c r="Z1">
        <v>2042</v>
      </c>
      <c r="AA1">
        <v>2043</v>
      </c>
      <c r="AB1">
        <v>2044</v>
      </c>
      <c r="AC1">
        <v>2045</v>
      </c>
      <c r="AD1">
        <v>2046</v>
      </c>
      <c r="AE1">
        <v>2047</v>
      </c>
      <c r="AF1">
        <v>2048</v>
      </c>
      <c r="AG1">
        <v>2049</v>
      </c>
      <c r="AH1">
        <v>2050</v>
      </c>
    </row>
    <row r="2" spans="1:34" ht="34.799999999999997" x14ac:dyDescent="0.4">
      <c r="A2" s="4" t="s">
        <v>1</v>
      </c>
      <c r="B2" s="3">
        <f>C2</f>
        <v>0</v>
      </c>
      <c r="C2" s="3">
        <v>0</v>
      </c>
      <c r="D2" s="3" cm="1">
        <f t="array" ref="D2">_xlfn.SINGLE(IF((TREND(MOTIE!$E$5:$Q$5,MOTIE!$E$4:$Q$4,'DRC-PADRC'!D1)-'DRC-BDRC'!D2)&gt;0,(TREND(MOTIE!$E$5:$Q$5,MOTIE!$E$4:$Q$4,'DRC-PADRC'!D1)-'DRC-BDRC'!D2),0))</f>
        <v>18.11538461537566</v>
      </c>
      <c r="E2" s="3" cm="1">
        <f t="array" ref="E2">_xlfn.SINGLE(IF((TREND(MOTIE!$E$5:$T$5,MOTIE!$E$4:$T$4,'DRC-PADRC'!E1)-'DRC-BDRC'!E2)&gt;0,(TREND(MOTIE!$E$5:$T$5,MOTIE!$E$4:$T$4,'DRC-PADRC'!E1)-'DRC-BDRC'!E2),0))</f>
        <v>25.580882352951448</v>
      </c>
      <c r="F2" s="3" cm="1">
        <f t="array" ref="F2">_xlfn.SINGLE(IF((TREND(MOTIE!$E$5:$T$5,MOTIE!$E$4:$T$4,'DRC-PADRC'!F1)-'DRC-BDRC'!F2)&gt;0,(TREND(MOTIE!$E$5:$T$5,MOTIE!$E$4:$T$4,'DRC-PADRC'!F1)-'DRC-BDRC'!F2),0))</f>
        <v>0</v>
      </c>
      <c r="G2" s="3" cm="1">
        <f t="array" ref="G2">_xlfn.SINGLE(IF((TREND(MOTIE!$E$5:$T$5,MOTIE!$E$4:$T$4,'DRC-PADRC'!G1)-'DRC-BDRC'!G2)&gt;0,(TREND(MOTIE!$E$5:$T$5,MOTIE!$E$4:$T$4,'DRC-PADRC'!G1)-'DRC-BDRC'!G2),0))</f>
        <v>0</v>
      </c>
      <c r="H2" s="3" cm="1">
        <f t="array" ref="H2">_xlfn.SINGLE(IF((TREND(MOTIE!$E$5:$T$5,MOTIE!$E$4:$T$4,'DRC-PADRC'!H1)-'DRC-BDRC'!H2)&gt;0,(TREND(MOTIE!$E$5:$T$5,MOTIE!$E$4:$T$4,'DRC-PADRC'!H1)-'DRC-BDRC'!H2),0))</f>
        <v>0</v>
      </c>
      <c r="I2" s="3" cm="1">
        <f t="array" ref="I2">_xlfn.SINGLE(IF((TREND(MOTIE!$E$5:$T$5,MOTIE!$E$4:$T$4,'DRC-PADRC'!I1)-'DRC-BDRC'!I2)&gt;0,(TREND(MOTIE!$E$5:$T$5,MOTIE!$E$4:$T$4,'DRC-PADRC'!I1)-'DRC-BDRC'!I2),0))</f>
        <v>16.904411764699034</v>
      </c>
      <c r="J2" s="3" cm="1">
        <f t="array" ref="J2">_xlfn.SINGLE(IF((TREND(MOTIE!$E$5:$T$5,MOTIE!$E$4:$T$4,'DRC-PADRC'!J1)-'DRC-BDRC'!J2)&gt;0,(TREND(MOTIE!$E$5:$T$5,MOTIE!$E$4:$T$4,'DRC-PADRC'!J1)-'DRC-BDRC'!J2),0))</f>
        <v>84.235294117650483</v>
      </c>
      <c r="K2" s="3" cm="1">
        <f t="array" ref="K2">_xlfn.SINGLE(IF((TREND(MOTIE!$E$5:$T$5,MOTIE!$E$4:$T$4,'DRC-PADRC'!K1)-'DRC-BDRC'!K2)&gt;0,(TREND(MOTIE!$E$5:$T$5,MOTIE!$E$4:$T$4,'DRC-PADRC'!K1)-'DRC-BDRC'!K2),0))</f>
        <v>132.56617647060193</v>
      </c>
      <c r="L2" s="3" cm="1">
        <f t="array" ref="L2">_xlfn.SINGLE(IF((TREND(MOTIE!$E$5:$T$5,MOTIE!$E$4:$T$4,'DRC-PADRC'!L1)-'DRC-BDRC'!L2)&gt;0,(TREND(MOTIE!$E$5:$T$5,MOTIE!$E$4:$T$4,'DRC-PADRC'!L1)-'DRC-BDRC'!L2),0))</f>
        <v>112.89705882355338</v>
      </c>
      <c r="M2" s="3" cm="1">
        <f t="array" ref="M2">_xlfn.SINGLE(IF((TREND(MOTIE!$E$5:$T$5,MOTIE!$E$4:$T$4,'DRC-PADRC'!M1)-'DRC-BDRC'!M2)&gt;0,(TREND(MOTIE!$E$5:$T$5,MOTIE!$E$4:$T$4,'DRC-PADRC'!M1)-'DRC-BDRC'!M2),0))</f>
        <v>91.22794117644662</v>
      </c>
      <c r="N2" s="3" cm="1">
        <f t="array" ref="N2">_xlfn.SINGLE(IF((TREND(MOTIE!$E$5:$T$5,MOTIE!$E$4:$T$4,'DRC-PADRC'!N1)-'DRC-BDRC'!N2)&gt;0,(TREND(MOTIE!$E$5:$T$5,MOTIE!$E$4:$T$4,'DRC-PADRC'!N1)-'DRC-BDRC'!N2),0))</f>
        <v>69.558823529398069</v>
      </c>
      <c r="O2" s="3" cm="1">
        <f t="array" ref="O2">_xlfn.SINGLE(IF((TREND(MOTIE!$E$5:$T$5,MOTIE!$E$4:$T$4,'DRC-PADRC'!O1)-'DRC-BDRC'!O2)&gt;0,(TREND(MOTIE!$E$5:$T$5,MOTIE!$E$4:$T$4,'DRC-PADRC'!O1)-'DRC-BDRC'!O2),0))</f>
        <v>25.889705882349517</v>
      </c>
      <c r="P2" s="3" cm="1">
        <f t="array" ref="P2">_xlfn.SINGLE(IF((TREND(MOTIE!$E$5:$T$5,MOTIE!$E$4:$T$4,'DRC-PADRC'!P1)-'DRC-BDRC'!P2)&gt;0,(TREND(MOTIE!$E$5:$T$5,MOTIE!$E$4:$T$4,'DRC-PADRC'!P1)-'DRC-BDRC'!P2),0))</f>
        <v>0</v>
      </c>
      <c r="Q2" s="3" cm="1">
        <f t="array" ref="Q2">_xlfn.SINGLE(IF((TREND(MOTIE!$E$5:$T$5,MOTIE!$E$4:$T$4,'DRC-PADRC'!Q1)-'DRC-BDRC'!Q2)&gt;0,(TREND(MOTIE!$E$5:$T$5,MOTIE!$E$4:$T$4,'DRC-PADRC'!Q1)-'DRC-BDRC'!Q2),0))</f>
        <v>0</v>
      </c>
      <c r="R2" s="3" cm="1">
        <f t="array" ref="R2">_xlfn.SINGLE(IF((TREND(MOTIE!$E$5:$T$5,MOTIE!$E$4:$T$4,'DRC-PADRC'!R1)-'DRC-BDRC'!R2)&gt;0,(TREND(MOTIE!$E$5:$T$5,MOTIE!$E$4:$T$4,'DRC-PADRC'!R1)-'DRC-BDRC'!R2),0))</f>
        <v>0</v>
      </c>
      <c r="S2" s="3" cm="1">
        <f t="array" ref="S2">_xlfn.SINGLE(IF((TREND(MOTIE!$E$5:$T$5,MOTIE!$E$4:$T$4,'DRC-PADRC'!S1)-'DRC-BDRC'!S2)&gt;0,(TREND(MOTIE!$E$5:$T$5,MOTIE!$E$4:$T$4,'DRC-PADRC'!S1)-'DRC-BDRC'!S2),0))</f>
        <v>0</v>
      </c>
      <c r="T2" s="3" cm="1">
        <f t="array" ref="T2">_xlfn.SINGLE(IF((TREND(MOTIE!$E$5:$T$5,MOTIE!$E$4:$T$4,'DRC-PADRC'!T1)-'DRC-BDRC'!T2)&gt;0,(TREND(MOTIE!$E$5:$T$5,MOTIE!$E$4:$T$4,'DRC-PADRC'!T1)-'DRC-BDRC'!T2),0))</f>
        <v>12.544117647048552</v>
      </c>
      <c r="U2" s="3" cm="1">
        <f t="array" ref="U2">_xlfn.SINGLE(IF((TREND(MOTIE!$E$5:$T$5,MOTIE!$E$4:$T$4,'DRC-PADRC'!U1)-'DRC-BDRC'!U2)&gt;0,(TREND(MOTIE!$E$5:$T$5,MOTIE!$E$4:$T$4,'DRC-PADRC'!U1)-'DRC-BDRC'!U2),0))</f>
        <v>69.423059701492093</v>
      </c>
      <c r="V2" s="3" cm="1">
        <f t="array" ref="V2">_xlfn.SINGLE(IF((TREND(MOTIE!$E$5:$T$5,MOTIE!$E$4:$T$4,'DRC-PADRC'!V1)-'DRC-BDRC'!V2)&gt;0,(TREND(MOTIE!$E$5:$T$5,MOTIE!$E$4:$T$4,'DRC-PADRC'!V1)-'DRC-BDRC'!V2),0))</f>
        <v>123.79589919411774</v>
      </c>
      <c r="W2" s="3" cm="1">
        <f t="array" ref="W2">_xlfn.SINGLE(IF((TREND(MOTIE!$E$5:$T$5,MOTIE!$E$4:$T$4,'DRC-PADRC'!W1)-'DRC-BDRC'!W2)&gt;0,(TREND(MOTIE!$E$5:$T$5,MOTIE!$E$4:$T$4,'DRC-PADRC'!W1)-'DRC-BDRC'!W2),0))</f>
        <v>175.60727744147061</v>
      </c>
      <c r="X2" s="3" cm="1">
        <f t="array" ref="X2">_xlfn.SINGLE(IF((TREND(MOTIE!$E$5:$T$5,MOTIE!$E$4:$T$4,'DRC-PADRC'!X1)-'DRC-BDRC'!X2)&gt;0,(TREND(MOTIE!$E$5:$T$5,MOTIE!$E$4:$T$4,'DRC-PADRC'!X1)-'DRC-BDRC'!X2),0))</f>
        <v>224.80061291150741</v>
      </c>
      <c r="Y2" s="3" cm="1">
        <f t="array" ref="Y2">_xlfn.SINGLE(IF((TREND(MOTIE!$E$5:$T$5,MOTIE!$E$4:$T$4,'DRC-PADRC'!Y1)-'DRC-BDRC'!Y2)&gt;0,(TREND(MOTIE!$E$5:$T$5,MOTIE!$E$4:$T$4,'DRC-PADRC'!Y1)-'DRC-BDRC'!Y2),0))</f>
        <v>271.31807421165286</v>
      </c>
      <c r="Z2" s="3" cm="1">
        <f t="array" ref="Z2">_xlfn.SINGLE(IF((TREND(MOTIE!$E$5:$T$5,MOTIE!$E$4:$T$4,'DRC-PADRC'!Z1)-'DRC-BDRC'!Z2)&gt;0,(TREND(MOTIE!$E$5:$T$5,MOTIE!$E$4:$T$4,'DRC-PADRC'!Z1)-'DRC-BDRC'!Z2),0))</f>
        <v>315.10055247958644</v>
      </c>
      <c r="AA2" s="3" cm="1">
        <f t="array" ref="AA2">_xlfn.SINGLE(IF((TREND(MOTIE!$E$5:$T$5,MOTIE!$E$4:$T$4,'DRC-PADRC'!AA1)-'DRC-BDRC'!AA2)&gt;0,(TREND(MOTIE!$E$5:$T$5,MOTIE!$E$4:$T$4,'DRC-PADRC'!AA1)-'DRC-BDRC'!AA2),0))</f>
        <v>356.08763316474688</v>
      </c>
      <c r="AB2" s="3" cm="1">
        <f t="array" ref="AB2">_xlfn.SINGLE(IF((TREND(MOTIE!$E$5:$T$5,MOTIE!$E$4:$T$4,'DRC-PADRC'!AB1)-'DRC-BDRC'!AB2)&gt;0,(TREND(MOTIE!$E$5:$T$5,MOTIE!$E$4:$T$4,'DRC-PADRC'!AB1)-'DRC-BDRC'!AB2),0))</f>
        <v>394.21756718620054</v>
      </c>
      <c r="AC2" s="3" cm="1">
        <f t="array" ref="AC2">_xlfn.SINGLE(IF((TREND(MOTIE!$E$5:$T$5,MOTIE!$E$4:$T$4,'DRC-PADRC'!AC1)-'DRC-BDRC'!AC2)&gt;0,(TREND(MOTIE!$E$5:$T$5,MOTIE!$E$4:$T$4,'DRC-PADRC'!AC1)-'DRC-BDRC'!AC2),0))</f>
        <v>429.42724145346619</v>
      </c>
      <c r="AD2" s="3" cm="1">
        <f t="array" ref="AD2">_xlfn.SINGLE(IF((TREND(MOTIE!$E$5:$T$5,MOTIE!$E$4:$T$4,'DRC-PADRC'!AD1)-'DRC-BDRC'!AD2)&gt;0,(TREND(MOTIE!$E$5:$T$5,MOTIE!$E$4:$T$4,'DRC-PADRC'!AD1)-'DRC-BDRC'!AD2),0))</f>
        <v>461.6521487360942</v>
      </c>
      <c r="AE2" s="3" cm="1">
        <f t="array" ref="AE2">_xlfn.SINGLE(IF((TREND(MOTIE!$E$5:$T$5,MOTIE!$E$4:$T$4,'DRC-PADRC'!AE1)-'DRC-BDRC'!AE2)&gt;0,(TREND(MOTIE!$E$5:$T$5,MOTIE!$E$4:$T$4,'DRC-PADRC'!AE1)-'DRC-BDRC'!AE2),0))</f>
        <v>490.82635686797494</v>
      </c>
      <c r="AF2" s="3" cm="1">
        <f t="array" ref="AF2">_xlfn.SINGLE(IF((TREND(MOTIE!$E$5:$T$5,MOTIE!$E$4:$T$4,'DRC-PADRC'!AF1)-'DRC-BDRC'!AF2)&gt;0,(TREND(MOTIE!$E$5:$T$5,MOTIE!$E$4:$T$4,'DRC-PADRC'!AF1)-'DRC-BDRC'!AF2),0))</f>
        <v>516.88247727079306</v>
      </c>
      <c r="AG2" s="3" cm="1">
        <f t="array" ref="AG2">_xlfn.SINGLE(IF((TREND(MOTIE!$E$5:$T$5,MOTIE!$E$4:$T$4,'DRC-PADRC'!AG1)-'DRC-BDRC'!AG2)&gt;0,(TREND(MOTIE!$E$5:$T$5,MOTIE!$E$4:$T$4,'DRC-PADRC'!AG1)-'DRC-BDRC'!AG2),0))</f>
        <v>539.7516327827725</v>
      </c>
      <c r="AH2" s="3" cm="1">
        <f t="array" ref="AH2">_xlfn.SINGLE(IF((TREND(MOTIE!$E$5:$T$5,MOTIE!$E$4:$T$4,'DRC-PADRC'!AH1)-'DRC-BDRC'!AH2)&gt;0,(TREND(MOTIE!$E$5:$T$5,MOTIE!$E$4:$T$4,'DRC-PADRC'!AH1)-'DRC-BDRC'!AH2),0))</f>
        <v>559.36342477647395</v>
      </c>
    </row>
  </sheetData>
  <phoneticPr fontId="3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185BAA-F89A-4373-8268-28AFC48DA804}">
  <sheetPr>
    <tabColor rgb="FF002060"/>
  </sheetPr>
  <dimension ref="A1:B2"/>
  <sheetViews>
    <sheetView tabSelected="1" workbookViewId="0">
      <selection activeCell="B2" sqref="B2"/>
    </sheetView>
  </sheetViews>
  <sheetFormatPr defaultRowHeight="17.399999999999999" x14ac:dyDescent="0.4"/>
  <cols>
    <col min="1" max="1" width="21.3984375" bestFit="1" customWidth="1"/>
  </cols>
  <sheetData>
    <row r="1" spans="1:2" x14ac:dyDescent="0.4">
      <c r="A1" s="26" t="s">
        <v>25</v>
      </c>
      <c r="B1" s="27" t="s">
        <v>27</v>
      </c>
    </row>
    <row r="2" spans="1:2" x14ac:dyDescent="0.4">
      <c r="A2" t="s">
        <v>26</v>
      </c>
      <c r="B2" s="3">
        <f>ROUND(MOTIE!A20,0)</f>
        <v>4</v>
      </c>
    </row>
  </sheetData>
  <phoneticPr fontId="3" type="noConversion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59C87379D9A4242BB3A95F198D6F941" ma:contentTypeVersion="4" ma:contentTypeDescription="Create a new document." ma:contentTypeScope="" ma:versionID="07a235b40ffe2d9a960bde50f6511605">
  <xsd:schema xmlns:xsd="http://www.w3.org/2001/XMLSchema" xmlns:xs="http://www.w3.org/2001/XMLSchema" xmlns:p="http://schemas.microsoft.com/office/2006/metadata/properties" xmlns:ns2="40f4d404-d193-41dc-bb72-733c1e774208" targetNamespace="http://schemas.microsoft.com/office/2006/metadata/properties" ma:root="true" ma:fieldsID="485fc8e6f691b86ce0aee9b7e82feca0" ns2:_="">
    <xsd:import namespace="40f4d404-d193-41dc-bb72-733c1e774208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0f4d404-d193-41dc-bb72-733c1e77420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2411B9C5-6668-4E56-BAD3-E55E88156D50}"/>
</file>

<file path=customXml/itemProps2.xml><?xml version="1.0" encoding="utf-8"?>
<ds:datastoreItem xmlns:ds="http://schemas.openxmlformats.org/officeDocument/2006/customXml" ds:itemID="{122FCCFF-E84B-4F37-AF43-02E257308C42}"/>
</file>

<file path=customXml/itemProps3.xml><?xml version="1.0" encoding="utf-8"?>
<ds:datastoreItem xmlns:ds="http://schemas.openxmlformats.org/officeDocument/2006/customXml" ds:itemID="{19650D19-B906-4A4F-BC60-F0340A4F044A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5</vt:i4>
      </vt:variant>
    </vt:vector>
  </HeadingPairs>
  <TitlesOfParts>
    <vt:vector size="5" baseType="lpstr">
      <vt:lpstr>About</vt:lpstr>
      <vt:lpstr>MOTIE</vt:lpstr>
      <vt:lpstr>DRC-BDRC</vt:lpstr>
      <vt:lpstr>DRC-PADRC</vt:lpstr>
      <vt:lpstr>DRC-ADRHpDRE</vt:lpstr>
    </vt:vector>
  </TitlesOfParts>
  <Company>EnergyInnovation.org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Jeffrey Rissman</dc:creator>
  <cp:lastModifiedBy>jwlee</cp:lastModifiedBy>
  <dcterms:created xsi:type="dcterms:W3CDTF">2014-08-26T00:34:41Z</dcterms:created>
  <dcterms:modified xsi:type="dcterms:W3CDTF">2025-02-25T09:14:55Z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0x010100E59C87379D9A4242BB3A95F198D6F941</vt:lpwstr>
  </property>
</Properties>
</file>