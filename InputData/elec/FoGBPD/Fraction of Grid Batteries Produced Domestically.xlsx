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elec\FoGBPD\"/>
    </mc:Choice>
  </mc:AlternateContent>
  <xr:revisionPtr revIDLastSave="0" documentId="8_{C967F08F-A6B0-46B9-985E-43ECEDDC7712}" xr6:coauthVersionLast="47" xr6:coauthVersionMax="47" xr10:uidLastSave="{00000000-0000-0000-0000-000000000000}"/>
  <bookViews>
    <workbookView xWindow="1548" yWindow="432" windowWidth="19536" windowHeight="13104" tabRatio="795" xr2:uid="{DC12087C-9A27-4A43-B4A9-6B3F1E517F08}"/>
  </bookViews>
  <sheets>
    <sheet name="About" sheetId="1" r:id="rId1"/>
    <sheet name="S&amp;P" sheetId="5" r:id="rId2"/>
    <sheet name="ESS 신규설비계획" sheetId="6" r:id="rId3"/>
    <sheet name="2026년 수주결과" sheetId="7" r:id="rId4"/>
    <sheet name="FoGBPD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 s="1"/>
  <c r="D2" i="2" s="1"/>
  <c r="E2" i="2" s="1"/>
  <c r="F2" i="2" s="1"/>
</calcChain>
</file>

<file path=xl/sharedStrings.xml><?xml version="1.0" encoding="utf-8"?>
<sst xmlns="http://schemas.openxmlformats.org/spreadsheetml/2006/main" count="50" uniqueCount="33">
  <si>
    <t>Sources:</t>
  </si>
  <si>
    <t>Dmnl</t>
  </si>
  <si>
    <t>Notes:</t>
  </si>
  <si>
    <t>Fraction of Grid Batteries Produced Domestically</t>
  </si>
  <si>
    <t>This variable affects what portion of newly sold grid battery capacity qualifies for Vehicle Battery Production subsidies,</t>
  </si>
  <si>
    <t>https://www.spglobal.com/mobility/en/research-analysis/briefcase-the-game-of-tariffs-ev-battery-imports.html</t>
  </si>
  <si>
    <t>S&amp;P Global</t>
  </si>
  <si>
    <t>BriefCASE: The game of tariffs - US moves to stifle EV battery imports from mainland China</t>
  </si>
  <si>
    <t>Figure 1</t>
  </si>
  <si>
    <t>if relevant. We source 2022-2030 grid battery demand projections and manufacturing capacity from three sources: SEIA, ANL, and S&amp;P.</t>
  </si>
  <si>
    <t>Current share of EV battery sourcing</t>
  </si>
  <si>
    <t>FoGBPD Fraction of Grid Batteries Produced Domestically</t>
  </si>
  <si>
    <t>연도</t>
  </si>
  <si>
    <t>필요물량(누적) 전국(MW)</t>
  </si>
  <si>
    <t>필요물량(누적) 제주(MW)</t>
  </si>
  <si>
    <t>신규설비(연도별) 전국(MW)</t>
  </si>
  <si>
    <t>신규설비(연도별) 제주(MW)</t>
  </si>
  <si>
    <t>설비용량(누적) 양수(MW)</t>
  </si>
  <si>
    <t>설비용량(누적) 기타저장장치(MW)</t>
  </si>
  <si>
    <t>2023(실적)</t>
  </si>
  <si>
    <t>-</t>
  </si>
  <si>
    <t>합계</t>
  </si>
  <si>
    <t>〈11차 전기본 장주기 ESS 필요물량〉</t>
  </si>
  <si>
    <t>출처: 제11차 전력수급기본계획(105페이지)</t>
    <phoneticPr fontId="3" type="noConversion"/>
  </si>
  <si>
    <t>ESS 중앙계약시장 낙찰 결과</t>
    <phoneticPr fontId="3" type="noConversion"/>
  </si>
  <si>
    <t>제11차전력수급기본계획</t>
    <phoneticPr fontId="3" type="noConversion"/>
  </si>
  <si>
    <t>https://www.kita.net/board/totalTradeNews/totalTradeNewsDetail.do;JSESSIONID_KITA=2E9FE65BC2E4225123E6E1ECD51D607F.Hyper?no=95934&amp;siteId=1#:~:text=%EB%B0%98%EB%A9%B4%20%EA%B5%AD%EB%82%B4%20%EB%B0%B0%ED%84%B0%EB%A6%AC%203%EC%82%AC%EC%9D%98,%EC%97%90%20%EA%B8%B0%ED%9A%8C%EA%B0%80%20%EC%9E%88%EB%8B%A4%EA%B3%A0%20%EB%B3%B8%EB%8B%A4.</t>
  </si>
  <si>
    <t>KITA 한국무역협회</t>
    <phoneticPr fontId="3" type="noConversion"/>
  </si>
  <si>
    <t>한국무역협회-무역뉴스 중 일부</t>
    <phoneticPr fontId="3" type="noConversion"/>
  </si>
  <si>
    <t>https://zdnet.co.kr/view/?no=20250731191401</t>
    <phoneticPr fontId="3" type="noConversion"/>
  </si>
  <si>
    <t>https://www.etnews.com/20250724000413</t>
  </si>
  <si>
    <t>From 2021 to 2025, the market share of Korean companies in the global or U.S. market is applied.</t>
  </si>
  <si>
    <t>Starting in 2026, the proportion of newly installed capacity produced domestically in Korea, based on government installation plans, is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</si>
</sst>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9" fontId="0" fillId="2" borderId="0" xfId="0" applyNumberFormat="1" applyFill="1"/>
    <xf numFmtId="0" fontId="0" fillId="3" borderId="0" xfId="0" applyFill="1"/>
    <xf numFmtId="2" fontId="0" fillId="4" borderId="0" xfId="0" applyNumberFormat="1" applyFill="1" applyAlignment="1">
      <alignment wrapText="1"/>
    </xf>
    <xf numFmtId="2" fontId="0" fillId="5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5" fillId="0" borderId="0" xfId="2" applyAlignment="1">
      <alignment horizontal="left"/>
    </xf>
    <xf numFmtId="0" fontId="6" fillId="0" borderId="0" xfId="0" applyFont="1"/>
    <xf numFmtId="0" fontId="7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120650</xdr:colOff>
      <xdr:row>19</xdr:row>
      <xdr:rowOff>106928</xdr:rowOff>
    </xdr:to>
    <xdr:pic>
      <xdr:nvPicPr>
        <xdr:cNvPr id="2" name="Picture 1" descr="Country Sources for Lithion-ion Used in US Electric Vehicles ">
          <a:extLst>
            <a:ext uri="{FF2B5EF4-FFF2-40B4-BE49-F238E27FC236}">
              <a16:creationId xmlns:a16="http://schemas.microsoft.com/office/drawing/2014/main" id="{93CF438A-CB48-D04E-8FBA-86B0975D3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"/>
          <a:ext cx="5000625" cy="3367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41798</xdr:colOff>
      <xdr:row>27</xdr:row>
      <xdr:rowOff>47625</xdr:rowOff>
    </xdr:from>
    <xdr:to>
      <xdr:col>12</xdr:col>
      <xdr:colOff>658528</xdr:colOff>
      <xdr:row>40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73766C-BC07-1BB3-41C5-189614C6B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98" y="5705475"/>
          <a:ext cx="8160530" cy="2714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10</xdr:row>
      <xdr:rowOff>123825</xdr:rowOff>
    </xdr:from>
    <xdr:to>
      <xdr:col>9</xdr:col>
      <xdr:colOff>334274</xdr:colOff>
      <xdr:row>25</xdr:row>
      <xdr:rowOff>133790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2DFA8A-0D8E-0546-F336-44A7D22BB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219325"/>
          <a:ext cx="6439799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47625</xdr:rowOff>
    </xdr:from>
    <xdr:to>
      <xdr:col>10</xdr:col>
      <xdr:colOff>134326</xdr:colOff>
      <xdr:row>11</xdr:row>
      <xdr:rowOff>66824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1ADBE4B-9F93-14E1-59A6-397AA63DA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4925"/>
          <a:ext cx="6992326" cy="1066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267694</xdr:colOff>
      <xdr:row>6</xdr:row>
      <xdr:rowOff>124018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CF3040B-0F08-4A38-51D2-A243C1BD5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7125694" cy="1381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dnet.co.kr/view/?no=202507311914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26"/>
  <sheetViews>
    <sheetView tabSelected="1" workbookViewId="0">
      <selection activeCell="A25" sqref="A25:A26"/>
    </sheetView>
  </sheetViews>
  <sheetFormatPr defaultRowHeight="14.4"/>
  <cols>
    <col min="2" max="2" width="101.21875" customWidth="1"/>
  </cols>
  <sheetData>
    <row r="1" spans="1:2">
      <c r="A1" s="1" t="s">
        <v>11</v>
      </c>
    </row>
    <row r="3" spans="1:2">
      <c r="A3" s="1" t="s">
        <v>0</v>
      </c>
      <c r="B3" s="5" t="s">
        <v>6</v>
      </c>
    </row>
    <row r="4" spans="1:2">
      <c r="B4" s="2">
        <v>2024</v>
      </c>
    </row>
    <row r="5" spans="1:2">
      <c r="B5" t="s">
        <v>7</v>
      </c>
    </row>
    <row r="6" spans="1:2">
      <c r="B6" t="s">
        <v>5</v>
      </c>
    </row>
    <row r="7" spans="1:2">
      <c r="B7" t="s">
        <v>8</v>
      </c>
    </row>
    <row r="8" spans="1:2">
      <c r="A8" s="1"/>
    </row>
    <row r="9" spans="1:2">
      <c r="A9" s="1"/>
      <c r="B9" s="5" t="s">
        <v>25</v>
      </c>
    </row>
    <row r="10" spans="1:2">
      <c r="A10" s="1"/>
      <c r="B10" s="2">
        <v>2025</v>
      </c>
    </row>
    <row r="11" spans="1:2">
      <c r="A11" s="1"/>
    </row>
    <row r="12" spans="1:2">
      <c r="A12" s="1"/>
      <c r="B12" s="5" t="s">
        <v>24</v>
      </c>
    </row>
    <row r="13" spans="1:2">
      <c r="A13" s="1"/>
      <c r="B13" s="2">
        <v>2025</v>
      </c>
    </row>
    <row r="14" spans="1:2">
      <c r="A14" s="1"/>
      <c r="B14" s="14" t="s">
        <v>29</v>
      </c>
    </row>
    <row r="15" spans="1:2">
      <c r="A15" s="1"/>
      <c r="B15" s="2" t="s">
        <v>30</v>
      </c>
    </row>
    <row r="16" spans="1:2">
      <c r="A16" s="1"/>
      <c r="B16" s="2"/>
    </row>
    <row r="17" spans="1:2">
      <c r="A17" s="1"/>
      <c r="B17" s="5" t="s">
        <v>27</v>
      </c>
    </row>
    <row r="18" spans="1:2">
      <c r="A18" s="1"/>
      <c r="B18" t="s">
        <v>26</v>
      </c>
    </row>
    <row r="19" spans="1:2">
      <c r="A19" s="1"/>
    </row>
    <row r="20" spans="1:2">
      <c r="A20" s="1"/>
    </row>
    <row r="21" spans="1:2">
      <c r="A21" s="1" t="s">
        <v>2</v>
      </c>
    </row>
    <row r="22" spans="1:2">
      <c r="A22" t="s">
        <v>4</v>
      </c>
    </row>
    <row r="23" spans="1:2">
      <c r="A23" t="s">
        <v>9</v>
      </c>
    </row>
    <row r="25" spans="1:2">
      <c r="A25" s="15" t="s">
        <v>31</v>
      </c>
    </row>
    <row r="26" spans="1:2">
      <c r="A26" s="16" t="s">
        <v>32</v>
      </c>
    </row>
  </sheetData>
  <phoneticPr fontId="3" type="noConversion"/>
  <hyperlinks>
    <hyperlink ref="B14" r:id="rId1" xr:uid="{F9060827-E35B-4558-9E73-DD16B08AF39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29A9-70CB-4471-AE81-9A64EFDA202F}">
  <dimension ref="B21:B27"/>
  <sheetViews>
    <sheetView workbookViewId="0">
      <selection activeCell="B28" sqref="B28"/>
    </sheetView>
  </sheetViews>
  <sheetFormatPr defaultRowHeight="14.4"/>
  <sheetData>
    <row r="21" spans="2:2">
      <c r="B21" t="s">
        <v>5</v>
      </c>
    </row>
    <row r="23" spans="2:2">
      <c r="B23" t="s">
        <v>10</v>
      </c>
    </row>
    <row r="24" spans="2:2">
      <c r="B24" s="4">
        <v>0.08</v>
      </c>
    </row>
    <row r="27" spans="2:2">
      <c r="B27" t="s">
        <v>28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6B64-1DF6-437E-B820-DA348C16C5F5}">
  <dimension ref="A1:G21"/>
  <sheetViews>
    <sheetView workbookViewId="0">
      <selection activeCell="D29" sqref="D29"/>
    </sheetView>
  </sheetViews>
  <sheetFormatPr defaultRowHeight="14.4"/>
  <cols>
    <col min="1" max="1" width="13.44140625" customWidth="1"/>
    <col min="2" max="7" width="13.6640625" customWidth="1"/>
  </cols>
  <sheetData>
    <row r="1" spans="1:7">
      <c r="A1" t="s">
        <v>22</v>
      </c>
    </row>
    <row r="3" spans="1:7" ht="57.6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</row>
    <row r="4" spans="1:7">
      <c r="A4" s="9" t="s">
        <v>19</v>
      </c>
      <c r="B4" s="9" t="s">
        <v>20</v>
      </c>
      <c r="C4" s="9" t="s">
        <v>20</v>
      </c>
      <c r="D4" s="9" t="s">
        <v>20</v>
      </c>
      <c r="E4" s="9" t="s">
        <v>20</v>
      </c>
      <c r="F4" s="10">
        <v>4700</v>
      </c>
      <c r="G4" s="10"/>
    </row>
    <row r="5" spans="1:7">
      <c r="A5" s="9">
        <v>2024</v>
      </c>
      <c r="B5" s="9"/>
      <c r="C5" s="9"/>
      <c r="D5" s="9"/>
      <c r="E5" s="9"/>
      <c r="F5" s="10">
        <v>4700</v>
      </c>
      <c r="G5" s="10"/>
    </row>
    <row r="6" spans="1:7">
      <c r="A6" s="9">
        <v>2025</v>
      </c>
      <c r="B6" s="9" t="s">
        <v>20</v>
      </c>
      <c r="C6" s="9"/>
      <c r="D6" s="13" t="s">
        <v>20</v>
      </c>
      <c r="E6" s="13">
        <v>68</v>
      </c>
      <c r="F6" s="10">
        <v>4700</v>
      </c>
      <c r="G6" s="10">
        <v>68</v>
      </c>
    </row>
    <row r="7" spans="1:7">
      <c r="A7" s="9">
        <v>2026</v>
      </c>
      <c r="B7" s="9" t="s">
        <v>20</v>
      </c>
      <c r="C7" s="9">
        <v>39</v>
      </c>
      <c r="D7" s="13">
        <v>500</v>
      </c>
      <c r="E7" s="13">
        <v>40</v>
      </c>
      <c r="F7" s="10">
        <v>4700</v>
      </c>
      <c r="G7" s="9">
        <v>608</v>
      </c>
    </row>
    <row r="8" spans="1:7">
      <c r="A8" s="9">
        <v>2027</v>
      </c>
      <c r="B8" s="9" t="s">
        <v>20</v>
      </c>
      <c r="C8" s="9">
        <v>78</v>
      </c>
      <c r="D8" s="13">
        <v>500</v>
      </c>
      <c r="E8" s="13">
        <v>40</v>
      </c>
      <c r="F8" s="10">
        <v>4700</v>
      </c>
      <c r="G8" s="10">
        <v>1148</v>
      </c>
    </row>
    <row r="9" spans="1:7">
      <c r="A9" s="9">
        <v>2028</v>
      </c>
      <c r="B9" s="10">
        <v>1000</v>
      </c>
      <c r="C9" s="9">
        <v>117</v>
      </c>
      <c r="D9" s="13">
        <v>500</v>
      </c>
      <c r="E9" s="13">
        <v>40</v>
      </c>
      <c r="F9" s="10">
        <v>4700</v>
      </c>
      <c r="G9" s="10">
        <v>1688</v>
      </c>
    </row>
    <row r="10" spans="1:7">
      <c r="A10" s="9">
        <v>2029</v>
      </c>
      <c r="B10" s="10">
        <v>2100</v>
      </c>
      <c r="C10" s="9">
        <v>155</v>
      </c>
      <c r="D10" s="13">
        <v>600</v>
      </c>
      <c r="E10" s="13"/>
      <c r="F10" s="10">
        <v>4700</v>
      </c>
      <c r="G10" s="10">
        <v>2288</v>
      </c>
    </row>
    <row r="11" spans="1:7">
      <c r="A11" s="9">
        <v>2030</v>
      </c>
      <c r="B11" s="10">
        <v>4000</v>
      </c>
      <c r="C11" s="9">
        <v>194</v>
      </c>
      <c r="D11" s="9">
        <v>500</v>
      </c>
      <c r="E11" s="9"/>
      <c r="F11" s="10">
        <v>5200</v>
      </c>
      <c r="G11" s="10"/>
    </row>
    <row r="12" spans="1:7">
      <c r="A12" s="9">
        <v>2031</v>
      </c>
      <c r="B12" s="10">
        <v>7600</v>
      </c>
      <c r="C12" s="9">
        <v>233</v>
      </c>
      <c r="D12" s="9" t="s">
        <v>20</v>
      </c>
      <c r="E12" s="9" t="s">
        <v>20</v>
      </c>
      <c r="F12" s="10">
        <v>5200</v>
      </c>
      <c r="G12" s="10"/>
    </row>
    <row r="13" spans="1:7">
      <c r="A13" s="9">
        <v>2032</v>
      </c>
      <c r="B13" s="10">
        <v>10000</v>
      </c>
      <c r="C13" s="9">
        <v>272</v>
      </c>
      <c r="D13" s="9">
        <v>600</v>
      </c>
      <c r="E13" s="9" t="s">
        <v>20</v>
      </c>
      <c r="F13" s="10">
        <v>5800</v>
      </c>
      <c r="G13" s="10"/>
    </row>
    <row r="14" spans="1:7">
      <c r="A14" s="9">
        <v>2033</v>
      </c>
      <c r="B14" s="10">
        <v>12500</v>
      </c>
      <c r="C14" s="9">
        <v>311</v>
      </c>
      <c r="D14" s="9">
        <v>700</v>
      </c>
      <c r="E14" s="9" t="s">
        <v>20</v>
      </c>
      <c r="F14" s="10">
        <v>6500</v>
      </c>
      <c r="G14" s="10"/>
    </row>
    <row r="15" spans="1:7">
      <c r="A15" s="9">
        <v>2034</v>
      </c>
      <c r="B15" s="10">
        <v>17500</v>
      </c>
      <c r="C15" s="9">
        <v>350</v>
      </c>
      <c r="D15" s="10">
        <v>1400</v>
      </c>
      <c r="E15" s="9" t="s">
        <v>20</v>
      </c>
      <c r="F15" s="10">
        <v>7900</v>
      </c>
      <c r="G15" s="10"/>
    </row>
    <row r="16" spans="1:7">
      <c r="A16" s="9">
        <v>2035</v>
      </c>
      <c r="B16" s="10">
        <v>17500</v>
      </c>
      <c r="C16" s="9">
        <v>388</v>
      </c>
      <c r="D16" s="10"/>
      <c r="E16" s="9" t="s">
        <v>20</v>
      </c>
      <c r="F16" s="10">
        <v>7900</v>
      </c>
      <c r="G16" s="10"/>
    </row>
    <row r="17" spans="1:7">
      <c r="A17" s="9">
        <v>2036</v>
      </c>
      <c r="B17" s="10">
        <v>20000</v>
      </c>
      <c r="C17" s="9">
        <v>427</v>
      </c>
      <c r="D17" s="10">
        <v>1500</v>
      </c>
      <c r="E17" s="9" t="s">
        <v>20</v>
      </c>
      <c r="F17" s="10">
        <v>9400</v>
      </c>
      <c r="G17" s="10"/>
    </row>
    <row r="18" spans="1:7">
      <c r="A18" s="9">
        <v>2037</v>
      </c>
      <c r="B18" s="10">
        <v>21000</v>
      </c>
      <c r="C18" s="9">
        <v>466</v>
      </c>
      <c r="D18" s="10">
        <v>1000</v>
      </c>
      <c r="E18" s="9" t="s">
        <v>20</v>
      </c>
      <c r="F18" s="10">
        <v>10400</v>
      </c>
      <c r="G18" s="10"/>
    </row>
    <row r="19" spans="1:7">
      <c r="A19" s="9">
        <v>2038</v>
      </c>
      <c r="B19" s="10">
        <v>22500</v>
      </c>
      <c r="C19" s="9">
        <v>505</v>
      </c>
      <c r="D19" s="10">
        <v>1250</v>
      </c>
      <c r="E19" s="9" t="s">
        <v>20</v>
      </c>
      <c r="F19" s="10">
        <v>11650</v>
      </c>
      <c r="G19" s="10"/>
    </row>
    <row r="20" spans="1:7">
      <c r="A20" s="11" t="s">
        <v>21</v>
      </c>
      <c r="B20" s="12">
        <v>22500</v>
      </c>
      <c r="C20" s="11">
        <v>505</v>
      </c>
      <c r="D20" s="12">
        <v>9050</v>
      </c>
      <c r="E20" s="11">
        <v>188</v>
      </c>
      <c r="F20" s="12">
        <v>11650</v>
      </c>
      <c r="G20" s="12">
        <v>2288</v>
      </c>
    </row>
    <row r="21" spans="1:7">
      <c r="A21" t="s">
        <v>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9E48-B2A5-47BB-9E1A-532F65570940}">
  <dimension ref="A1"/>
  <sheetViews>
    <sheetView workbookViewId="0">
      <selection activeCell="K22" sqref="K22"/>
    </sheetView>
  </sheetViews>
  <sheetFormatPr defaultRowHeight="14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workbookViewId="0">
      <selection activeCell="A2" sqref="A2"/>
    </sheetView>
  </sheetViews>
  <sheetFormatPr defaultRowHeight="14.4"/>
  <cols>
    <col min="1" max="1" width="31.44140625" customWidth="1"/>
    <col min="6" max="6" width="10.33203125" bestFit="1" customWidth="1"/>
  </cols>
  <sheetData>
    <row r="1" spans="1:31">
      <c r="A1" t="s">
        <v>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s="3" customFormat="1" ht="28.8">
      <c r="A2" s="3" t="s">
        <v>3</v>
      </c>
      <c r="B2" s="6">
        <f>'S&amp;P'!B24</f>
        <v>0.08</v>
      </c>
      <c r="C2" s="6">
        <f>B2</f>
        <v>0.08</v>
      </c>
      <c r="D2" s="6">
        <f>C2</f>
        <v>0.08</v>
      </c>
      <c r="E2" s="6">
        <f>D2</f>
        <v>0.08</v>
      </c>
      <c r="F2" s="6">
        <f>E2</f>
        <v>0.08</v>
      </c>
      <c r="G2" s="7">
        <v>0.8</v>
      </c>
      <c r="H2" s="7">
        <v>0.8</v>
      </c>
      <c r="I2" s="7">
        <v>0.8</v>
      </c>
      <c r="J2" s="7">
        <v>0.8</v>
      </c>
      <c r="K2" s="7">
        <v>0.8</v>
      </c>
      <c r="L2" s="7">
        <v>0.8</v>
      </c>
      <c r="M2" s="7">
        <v>0.8</v>
      </c>
      <c r="N2" s="7">
        <v>0.8</v>
      </c>
      <c r="O2" s="7">
        <v>0.8</v>
      </c>
      <c r="P2" s="7">
        <v>0.8</v>
      </c>
      <c r="Q2" s="7">
        <v>0.8</v>
      </c>
      <c r="R2" s="7">
        <v>0.8</v>
      </c>
      <c r="S2" s="7">
        <v>0.8</v>
      </c>
      <c r="T2" s="7">
        <v>0.8</v>
      </c>
      <c r="U2" s="7">
        <v>0.8</v>
      </c>
      <c r="V2" s="7">
        <v>0.8</v>
      </c>
      <c r="W2" s="7">
        <v>0.8</v>
      </c>
      <c r="X2" s="7">
        <v>0.8</v>
      </c>
      <c r="Y2" s="7">
        <v>0.8</v>
      </c>
      <c r="Z2" s="7">
        <v>0.8</v>
      </c>
      <c r="AA2" s="7">
        <v>0.8</v>
      </c>
      <c r="AB2" s="7">
        <v>0.8</v>
      </c>
      <c r="AC2" s="7">
        <v>0.8</v>
      </c>
      <c r="AD2" s="7">
        <v>0.8</v>
      </c>
      <c r="AE2" s="7">
        <v>0.8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S&amp;P</vt:lpstr>
      <vt:lpstr>ESS 신규설비계획</vt:lpstr>
      <vt:lpstr>2026년 수주결과</vt:lpstr>
      <vt:lpstr>FoGBPD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Rachel Goldstein</cp:lastModifiedBy>
  <dcterms:created xsi:type="dcterms:W3CDTF">2023-05-03T18:24:38Z</dcterms:created>
  <dcterms:modified xsi:type="dcterms:W3CDTF">2025-10-24T13:59:47Z</dcterms:modified>
</cp:coreProperties>
</file>