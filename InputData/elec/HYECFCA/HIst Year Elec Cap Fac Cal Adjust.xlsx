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FrancisSwint\Vensim\eps-southkorea\InputData\elec\HYECFCA\"/>
    </mc:Choice>
  </mc:AlternateContent>
  <xr:revisionPtr revIDLastSave="0" documentId="13_ncr:1_{B957A870-1BEE-4889-921F-602CA0C5D384}" xr6:coauthVersionLast="47" xr6:coauthVersionMax="47" xr10:uidLastSave="{00000000-0000-0000-0000-000000000000}"/>
  <bookViews>
    <workbookView xWindow="-37260" yWindow="-2505" windowWidth="28800" windowHeight="15225" activeTab="3" xr2:uid="{2434D2BD-6D34-4476-A32C-19CE7C594793}"/>
  </bookViews>
  <sheets>
    <sheet name="About" sheetId="1" r:id="rId1"/>
    <sheet name="HYECFCA" sheetId="2" r:id="rId2"/>
    <sheet name="Calibration 2025" sheetId="3" r:id="rId3"/>
    <sheet name="Calibration 2021-2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D2" i="2"/>
  <c r="C2" i="2"/>
  <c r="B2" i="2"/>
  <c r="E18" i="2"/>
  <c r="D18" i="2"/>
  <c r="C18" i="2"/>
  <c r="B18" i="2"/>
  <c r="E15" i="2"/>
  <c r="D15" i="2"/>
  <c r="C15" i="2"/>
  <c r="B15" i="2"/>
  <c r="E5" i="2"/>
  <c r="D5" i="2"/>
  <c r="C5" i="2"/>
  <c r="B5" i="2"/>
  <c r="E6" i="2"/>
  <c r="D6" i="2"/>
  <c r="C6" i="2"/>
  <c r="B6" i="2"/>
  <c r="E7" i="2"/>
  <c r="D7" i="2"/>
  <c r="C7" i="2"/>
  <c r="B7" i="2"/>
  <c r="E8" i="2"/>
  <c r="D8" i="2"/>
  <c r="C8" i="2"/>
  <c r="B8" i="2"/>
  <c r="F46" i="4"/>
  <c r="F43" i="4"/>
  <c r="E46" i="4"/>
  <c r="E43" i="4"/>
  <c r="D46" i="4"/>
  <c r="D43" i="4"/>
  <c r="C46" i="4"/>
  <c r="C43" i="4"/>
  <c r="F39" i="4"/>
  <c r="F36" i="4"/>
  <c r="E39" i="4"/>
  <c r="E36" i="4"/>
  <c r="D39" i="4"/>
  <c r="D36" i="4"/>
  <c r="C39" i="4"/>
  <c r="C36" i="4"/>
  <c r="F32" i="4"/>
  <c r="F29" i="4"/>
  <c r="E32" i="4"/>
  <c r="E29" i="4"/>
  <c r="D32" i="4"/>
  <c r="D29" i="4"/>
  <c r="C32" i="4"/>
  <c r="C29" i="4"/>
  <c r="F25" i="4"/>
  <c r="F22" i="4"/>
  <c r="E25" i="4"/>
  <c r="E22" i="4"/>
  <c r="D25" i="4"/>
  <c r="D22" i="4"/>
  <c r="C25" i="4"/>
  <c r="C22" i="4"/>
  <c r="F18" i="4"/>
  <c r="F15" i="4"/>
  <c r="E18" i="4"/>
  <c r="E15" i="4"/>
  <c r="D18" i="4"/>
  <c r="D15" i="4"/>
  <c r="C18" i="4"/>
  <c r="C15" i="4"/>
  <c r="F11" i="4"/>
  <c r="F8" i="4"/>
  <c r="E11" i="4"/>
  <c r="E8" i="4"/>
  <c r="D11" i="4"/>
  <c r="D8" i="4"/>
  <c r="C11" i="4"/>
  <c r="C8" i="4"/>
  <c r="D13" i="3"/>
  <c r="D12" i="3"/>
  <c r="D11" i="3"/>
  <c r="D10" i="3"/>
  <c r="D9" i="3"/>
  <c r="D8" i="3"/>
  <c r="D7" i="3"/>
  <c r="D6" i="3"/>
  <c r="D5" i="3"/>
</calcChain>
</file>

<file path=xl/sharedStrings.xml><?xml version="1.0" encoding="utf-8"?>
<sst xmlns="http://schemas.openxmlformats.org/spreadsheetml/2006/main" count="124" uniqueCount="60">
  <si>
    <t>HYECFCA Historical Year Electricity Capacity Factor Calibration Adjustment</t>
  </si>
  <si>
    <t>Sources:</t>
  </si>
  <si>
    <t>hydrogen combined cycle es</t>
  </si>
  <si>
    <t>-&gt; electricity source within all fuels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</si>
  <si>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</si>
  <si>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</si>
  <si>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</si>
  <si>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</si>
  <si>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</si>
  <si>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</si>
  <si>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</si>
  <si>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</si>
  <si>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</si>
  <si>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</si>
  <si>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</si>
  <si>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</si>
  <si>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</si>
  <si>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</si>
  <si>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</si>
  <si>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</si>
  <si>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</si>
  <si>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</si>
  <si>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</si>
  <si>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</si>
  <si>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</si>
  <si>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</si>
  <si>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</si>
  <si>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multiplier (dmnl, %)</t>
  </si>
  <si>
    <t>2025 HYECFCA calibration: multiplier = EIA 2025 observed net generation / model 2025 generation at HYECFCA = 1</t>
  </si>
  <si>
    <t>Applies to SYSHECF-gated sources only (BDTPTUMCF = 0). MCF-gated sources (coal, gas, oil, CCS, H2) stay at 1 - their generation is set by economic dispatch, not capacity factors. 2026+ stays at 1 so the forecast is untouched. One iteration sufficed: the follow-up run reproduced every EIA value to &lt;0.005%.</t>
  </si>
  <si>
    <t>Source</t>
  </si>
  <si>
    <t>EIA 2025 net generation (MWh)</t>
  </si>
  <si>
    <t>HYECFCA 2025</t>
  </si>
  <si>
    <t>nuclear</t>
  </si>
  <si>
    <t>hydro</t>
  </si>
  <si>
    <t>onshore wind</t>
  </si>
  <si>
    <t>solar PV</t>
  </si>
  <si>
    <t>solar thermal</t>
  </si>
  <si>
    <t>biomass</t>
  </si>
  <si>
    <t>geothermal</t>
  </si>
  <si>
    <t>offshore wind</t>
  </si>
  <si>
    <t>municipal solid waste</t>
  </si>
  <si>
    <t>EIA source: EIA-923 2025 Early Release (30JUN2026 file), Page 1 Generation and Fuel Data, bucketed to EPS sources per the BGDPbES workbook fuel/prime-mover lookups and sector filters (Electric Utility + NAICS-22; industrial/commercial CHP excluded). The identical pasted dataset and SUMIFS live in the SYSHECF workbook's '923' tab (InputData/elec/SYSHECF) - its per-source sums reproduce column B exactly.</t>
  </si>
  <si>
    <t>Model run: eps-us develop_4.0.6, BAU (no .cin), run CAL25H0 2026-09-10 - HEAD 894015da plus the uncommitted 2026-09-10 SYSHECF calibration (biomass/MSW/peaker/petroleum tied to EIA 2025 CFs). Model 2025 gen values pasted from CAL25H0.tab (BAU Electricity Generation by Type). Re-derive by re-running BAU with HYECFCA set to 1.</t>
  </si>
  <si>
    <t>2025: EIA-923 2025 Early Release net generation vs model run at HYECFCA=1 - see 'Calibration 2025' tab (added 2026-09-10). All other years: 1 (no adjustment).</t>
  </si>
  <si>
    <t>Model 2025 generation, HYECFCA=1 (MWh, from CAL25H0.tab - Vensim exports 6 significant figures)</t>
  </si>
  <si>
    <t>South Korea HYECFCA calibration 2021-24: multiplier so modeled generation matches KESIS observed generation</t>
  </si>
  <si>
    <t>Applies to sources whose modeled output follows the SYSHECF curves (hard coal and nuclear/hydro/wind/solar/MSW). Gas, petroleum are least-cost dispatched (MCF/BDTPTUMCF=1) and are not scaled by HYECFCA. 2025+ stays 1 so the forecast is untouched. Biomass stays 1: observed biomass (11.8-12.1 TWh) includes wood-pellet co-firing and bio heavy oil outside the 972 MW biomass fleet, so no multiplier can reconcile it (model 5.9-6.2 TWh already at ~73% CF).</t>
  </si>
  <si>
    <t>Observed: KESIS / Korea Energy Statistics, copied from InputData/elec/RPSDbS workbook tabs "Power Generation by ES" (nuclear, coal; GWh) and "New n Renewable" (solar, wind, hydro, waste; MWh). Wind observed is onshore+offshore combined, so one factor applies to both. Solar compared against generation including distributed. Model: South Korea develop_4.0.7 BAU (no .cin), Electricity Generation by Type Including Distributed Generation; run H1 = HYECFCA all 1; H3 = final factors after two corrections (first pass obs/model, then residual re-fit because coal dispatch interacts with gas).</t>
  </si>
  <si>
    <t>Item</t>
  </si>
  <si>
    <t>hard coal</t>
  </si>
  <si>
    <t>KESIS observed generation (TWh)</t>
  </si>
  <si>
    <t>Model generation at HYECFCA = 1 (TWh, run H1)</t>
  </si>
  <si>
    <t>First-pass factor = observed / model</t>
  </si>
  <si>
    <t>Final HYECFCA (iterated; run H3)</t>
  </si>
  <si>
    <t>Model generation at final HYECFCA (TWh, run H3)</t>
  </si>
  <si>
    <t>Error vs observed</t>
  </si>
  <si>
    <t>onshore + offshore wind</t>
  </si>
  <si>
    <t>solar PV (incl distributed)</t>
  </si>
  <si>
    <t>2021-24: KESIS observed generation vs model run at HYECFCA=1, iterated - see 'Calibration 2021-24' tab (added 2026-10-28, replaces the US 2025 calibration that was placed in the 2021 column). All other years: 1 (no adjustment). The old 'Calibration 2025' tab is US EIA-923 data, no longer referenced, kept for provenance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</si>
</sst>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2E221-CC08-48E5-88DE-512F1AA684C0}">
  <dimension ref="A1:B3"/>
  <sheetViews>
    <sheetView workbookViewId="0">
      <selection activeCell="H10" sqref="H10"/>
    </sheetView>
  </sheetViews>
  <sheetFormatPr defaultRowHeight="14.5" x14ac:dyDescent="0.35"/>
  <sheetData>
    <row r="1" spans="1:2" x14ac:dyDescent="0.35">
      <c r="A1" s="1" t="s">
        <v>0</v>
      </c>
    </row>
    <row r="2" spans="1:2" x14ac:dyDescent="0.35">
      <c r="B2" t="s">
        <v>59</v>
      </c>
    </row>
    <row r="3" spans="1:2" x14ac:dyDescent="0.35">
      <c r="A3" s="1" t="s">
        <v>1</v>
      </c>
      <c r="B3" t="s">
        <v>44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056-5733-4310-8353-557550C17666}">
  <sheetPr>
    <tabColor rgb="FF002060"/>
  </sheetPr>
  <dimension ref="A1:AE26"/>
  <sheetViews>
    <sheetView workbookViewId="0">
      <selection activeCell="N37" sqref="N37"/>
    </sheetView>
  </sheetViews>
  <sheetFormatPr defaultRowHeight="14.5" x14ac:dyDescent="0.35"/>
  <cols>
    <col min="1" max="1" width="34" bestFit="1" customWidth="1"/>
    <col min="2" max="5" width="14.90625" customWidth="1"/>
  </cols>
  <sheetData>
    <row r="1" spans="1:31" x14ac:dyDescent="0.35">
      <c r="A1" t="s">
        <v>27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4</v>
      </c>
      <c r="B2">
        <f>'Calibration 2021-24'!C9</f>
        <v>1.02088</v>
      </c>
      <c r="C2">
        <f>'Calibration 2021-24'!D9</f>
        <v>0.98705600000000004</v>
      </c>
      <c r="D2">
        <f>'Calibration 2021-24'!E9</f>
        <v>0.98299599999999998</v>
      </c>
      <c r="E2">
        <f>'Calibration 2021-24'!F9</f>
        <v>0.91386599999999996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35">
      <c r="A3" t="s">
        <v>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35">
      <c r="A4" t="s">
        <v>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35">
      <c r="A5" t="s">
        <v>7</v>
      </c>
      <c r="B5">
        <f>'Calibration 2021-24'!C16</f>
        <v>0.99597199999999997</v>
      </c>
      <c r="C5">
        <f>'Calibration 2021-24'!D16</f>
        <v>0.99446599999999996</v>
      </c>
      <c r="D5">
        <f>'Calibration 2021-24'!E16</f>
        <v>0.992838</v>
      </c>
      <c r="E5">
        <f>'Calibration 2021-24'!F16</f>
        <v>0.97264799999999996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8</v>
      </c>
      <c r="B6">
        <f>'Calibration 2021-24'!C23</f>
        <v>0.99849100000000002</v>
      </c>
      <c r="C6">
        <f>'Calibration 2021-24'!D23</f>
        <v>1.0169429999999999</v>
      </c>
      <c r="D6">
        <f>'Calibration 2021-24'!E23</f>
        <v>1.0193620000000001</v>
      </c>
      <c r="E6">
        <f>'Calibration 2021-24'!F23</f>
        <v>1.2817449999999999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9</v>
      </c>
      <c r="B7">
        <f>'Calibration 2021-24'!C30</f>
        <v>1.0916429999999999</v>
      </c>
      <c r="C7">
        <f>'Calibration 2021-24'!D30</f>
        <v>1.0953660000000001</v>
      </c>
      <c r="D7">
        <f>'Calibration 2021-24'!E30</f>
        <v>1.062425</v>
      </c>
      <c r="E7">
        <f>'Calibration 2021-24'!F30</f>
        <v>0.983572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10</v>
      </c>
      <c r="B8">
        <f>'Calibration 2021-24'!C37</f>
        <v>1.003622</v>
      </c>
      <c r="C8">
        <f>'Calibration 2021-24'!D37</f>
        <v>1.060147</v>
      </c>
      <c r="D8">
        <f>'Calibration 2021-24'!E37</f>
        <v>0.98583799999999999</v>
      </c>
      <c r="E8">
        <f>'Calibration 2021-24'!F37</f>
        <v>0.96180100000000002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12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35">
      <c r="A11" t="s">
        <v>13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14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35">
      <c r="A13" t="s">
        <v>15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35">
      <c r="A14" t="s">
        <v>16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35">
      <c r="A15" t="s">
        <v>17</v>
      </c>
      <c r="B15">
        <f>'Calibration 2021-24'!C30</f>
        <v>1.0916429999999999</v>
      </c>
      <c r="C15">
        <f>'Calibration 2021-24'!D30</f>
        <v>1.0953660000000001</v>
      </c>
      <c r="D15">
        <f>'Calibration 2021-24'!E30</f>
        <v>1.062425</v>
      </c>
      <c r="E15">
        <f>'Calibration 2021-24'!F30</f>
        <v>0.983572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35">
      <c r="A16" t="s">
        <v>18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35">
      <c r="A17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35">
      <c r="A18" t="s">
        <v>20</v>
      </c>
      <c r="B18">
        <f>'Calibration 2021-24'!C44</f>
        <v>0.58614999999999995</v>
      </c>
      <c r="C18">
        <f>'Calibration 2021-24'!D44</f>
        <v>0.52037500000000003</v>
      </c>
      <c r="D18">
        <f>'Calibration 2021-24'!E44</f>
        <v>0.55270799999999998</v>
      </c>
      <c r="E18">
        <f>'Calibration 2021-24'!F44</f>
        <v>0.52898699999999999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35">
      <c r="A19" t="s">
        <v>21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35">
      <c r="A20" t="s">
        <v>22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3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35">
      <c r="A22" t="s">
        <v>24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 t="s">
        <v>25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35">
      <c r="A24" t="s">
        <v>26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 t="s">
        <v>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  <row r="26" spans="1:31" x14ac:dyDescent="0.35">
      <c r="A26" t="s">
        <v>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07B30-2289-4DFA-B2A9-691D5E6D350E}">
  <dimension ref="A1:D16"/>
  <sheetViews>
    <sheetView workbookViewId="0"/>
  </sheetViews>
  <sheetFormatPr defaultRowHeight="14.5" x14ac:dyDescent="0.35"/>
  <sheetData>
    <row r="1" spans="1:4" x14ac:dyDescent="0.35">
      <c r="A1" t="s">
        <v>28</v>
      </c>
    </row>
    <row r="2" spans="1:4" x14ac:dyDescent="0.35">
      <c r="A2" t="s">
        <v>29</v>
      </c>
    </row>
    <row r="4" spans="1:4" x14ac:dyDescent="0.35">
      <c r="A4" t="s">
        <v>30</v>
      </c>
      <c r="B4" t="s">
        <v>31</v>
      </c>
      <c r="C4" t="s">
        <v>45</v>
      </c>
      <c r="D4" t="s">
        <v>32</v>
      </c>
    </row>
    <row r="5" spans="1:4" x14ac:dyDescent="0.35">
      <c r="A5" t="s">
        <v>33</v>
      </c>
      <c r="B5">
        <v>785304392</v>
      </c>
      <c r="C5">
        <v>785887000</v>
      </c>
      <c r="D5">
        <f t="shared" ref="D5:D13" si="0">B5/C5</f>
        <v>0.99925866186869106</v>
      </c>
    </row>
    <row r="6" spans="1:4" x14ac:dyDescent="0.35">
      <c r="A6" t="s">
        <v>34</v>
      </c>
      <c r="B6">
        <v>239131155</v>
      </c>
      <c r="C6">
        <v>244869000</v>
      </c>
      <c r="D6">
        <f t="shared" si="0"/>
        <v>0.97656769537997867</v>
      </c>
    </row>
    <row r="7" spans="1:4" x14ac:dyDescent="0.35">
      <c r="A7" t="s">
        <v>35</v>
      </c>
      <c r="B7">
        <v>460717193</v>
      </c>
      <c r="C7">
        <v>465136000</v>
      </c>
      <c r="D7">
        <f t="shared" si="0"/>
        <v>0.99049996775136739</v>
      </c>
    </row>
    <row r="8" spans="1:4" x14ac:dyDescent="0.35">
      <c r="A8" t="s">
        <v>36</v>
      </c>
      <c r="B8">
        <v>292148310</v>
      </c>
      <c r="C8">
        <v>273825000</v>
      </c>
      <c r="D8">
        <f t="shared" si="0"/>
        <v>1.0669161325664203</v>
      </c>
    </row>
    <row r="9" spans="1:4" x14ac:dyDescent="0.35">
      <c r="A9" t="s">
        <v>37</v>
      </c>
      <c r="B9">
        <v>2854861</v>
      </c>
      <c r="C9">
        <v>3048480</v>
      </c>
      <c r="D9">
        <f t="shared" si="0"/>
        <v>0.93648670812995327</v>
      </c>
    </row>
    <row r="10" spans="1:4" x14ac:dyDescent="0.35">
      <c r="A10" t="s">
        <v>38</v>
      </c>
      <c r="B10">
        <v>16850134</v>
      </c>
      <c r="C10">
        <v>16456900</v>
      </c>
      <c r="D10">
        <f t="shared" si="0"/>
        <v>1.0238947796972699</v>
      </c>
    </row>
    <row r="11" spans="1:4" x14ac:dyDescent="0.35">
      <c r="A11" t="s">
        <v>39</v>
      </c>
      <c r="B11">
        <v>15641838</v>
      </c>
      <c r="C11">
        <v>15564200</v>
      </c>
      <c r="D11">
        <f t="shared" si="0"/>
        <v>1.0049882422482364</v>
      </c>
    </row>
    <row r="12" spans="1:4" x14ac:dyDescent="0.35">
      <c r="A12" t="s">
        <v>40</v>
      </c>
      <c r="B12">
        <v>673578</v>
      </c>
      <c r="C12">
        <v>630247</v>
      </c>
      <c r="D12">
        <f t="shared" si="0"/>
        <v>1.0687524097695031</v>
      </c>
    </row>
    <row r="13" spans="1:4" x14ac:dyDescent="0.35">
      <c r="A13" t="s">
        <v>41</v>
      </c>
      <c r="B13">
        <v>6208116</v>
      </c>
      <c r="C13">
        <v>6208120</v>
      </c>
      <c r="D13">
        <f t="shared" si="0"/>
        <v>0.99999935568255771</v>
      </c>
    </row>
    <row r="15" spans="1:4" x14ac:dyDescent="0.35">
      <c r="A15" t="s">
        <v>42</v>
      </c>
    </row>
    <row r="16" spans="1:4" x14ac:dyDescent="0.35">
      <c r="A16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A0D3B-0E4B-484A-AA31-18AF80276B54}">
  <dimension ref="A1:F46"/>
  <sheetViews>
    <sheetView tabSelected="1" workbookViewId="0"/>
  </sheetViews>
  <sheetFormatPr defaultRowHeight="14.5" x14ac:dyDescent="0.35"/>
  <cols>
    <col min="1" max="1" width="28.6328125" customWidth="1"/>
    <col min="2" max="2" width="48.6328125" customWidth="1"/>
    <col min="3" max="6" width="11.6328125" customWidth="1"/>
  </cols>
  <sheetData>
    <row r="1" spans="1:6" x14ac:dyDescent="0.35">
      <c r="A1" s="1" t="s">
        <v>46</v>
      </c>
    </row>
    <row r="2" spans="1:6" x14ac:dyDescent="0.35">
      <c r="A2" t="s">
        <v>47</v>
      </c>
    </row>
    <row r="3" spans="1:6" x14ac:dyDescent="0.35">
      <c r="A3" t="s">
        <v>48</v>
      </c>
    </row>
    <row r="5" spans="1:6" x14ac:dyDescent="0.35">
      <c r="A5" s="1" t="s">
        <v>30</v>
      </c>
      <c r="B5" s="1" t="s">
        <v>49</v>
      </c>
      <c r="C5" s="1">
        <v>2021</v>
      </c>
      <c r="D5" s="1">
        <v>2022</v>
      </c>
      <c r="E5" s="1">
        <v>2023</v>
      </c>
      <c r="F5" s="1">
        <v>2024</v>
      </c>
    </row>
    <row r="6" spans="1:6" x14ac:dyDescent="0.35">
      <c r="A6" t="s">
        <v>50</v>
      </c>
      <c r="B6" t="s">
        <v>51</v>
      </c>
      <c r="C6">
        <v>197.96600000000001</v>
      </c>
      <c r="D6">
        <v>193.23099999999999</v>
      </c>
      <c r="E6">
        <v>184.92699999999999</v>
      </c>
      <c r="F6">
        <v>167.15199999999999</v>
      </c>
    </row>
    <row r="7" spans="1:6" x14ac:dyDescent="0.35">
      <c r="A7" t="s">
        <v>50</v>
      </c>
      <c r="B7" t="s">
        <v>52</v>
      </c>
      <c r="C7">
        <v>193.917</v>
      </c>
      <c r="D7">
        <v>195.77099999999999</v>
      </c>
      <c r="E7">
        <v>187.881</v>
      </c>
      <c r="F7">
        <v>181.756</v>
      </c>
    </row>
    <row r="8" spans="1:6" x14ac:dyDescent="0.35">
      <c r="A8" t="s">
        <v>50</v>
      </c>
      <c r="B8" t="s">
        <v>53</v>
      </c>
      <c r="C8">
        <f>C6/C7</f>
        <v>1.0208800672452647</v>
      </c>
      <c r="D8">
        <f>D6/D7</f>
        <v>0.98702565752843885</v>
      </c>
      <c r="E8">
        <f>E6/E7</f>
        <v>0.98427728189651953</v>
      </c>
      <c r="F8">
        <f>F6/F7</f>
        <v>0.91965052047800344</v>
      </c>
    </row>
    <row r="9" spans="1:6" x14ac:dyDescent="0.35">
      <c r="A9" t="s">
        <v>50</v>
      </c>
      <c r="B9" t="s">
        <v>54</v>
      </c>
      <c r="C9">
        <v>1.02088</v>
      </c>
      <c r="D9">
        <v>0.98705600000000004</v>
      </c>
      <c r="E9">
        <v>0.98299599999999998</v>
      </c>
      <c r="F9">
        <v>0.91386599999999996</v>
      </c>
    </row>
    <row r="10" spans="1:6" x14ac:dyDescent="0.35">
      <c r="A10" t="s">
        <v>50</v>
      </c>
      <c r="B10" t="s">
        <v>55</v>
      </c>
      <c r="C10">
        <v>197.96600000000001</v>
      </c>
      <c r="D10">
        <v>193.22900000000001</v>
      </c>
      <c r="E10">
        <v>184.94399999999999</v>
      </c>
      <c r="F10">
        <v>167.208</v>
      </c>
    </row>
    <row r="11" spans="1:6" x14ac:dyDescent="0.35">
      <c r="A11" t="s">
        <v>50</v>
      </c>
      <c r="B11" t="s">
        <v>56</v>
      </c>
      <c r="C11" s="2">
        <f>C10/C6-1</f>
        <v>0</v>
      </c>
      <c r="D11" s="2">
        <f>D10/D6-1</f>
        <v>-1.0350306110185059E-5</v>
      </c>
      <c r="E11" s="2">
        <f>E10/E6-1</f>
        <v>9.1928166249255483E-5</v>
      </c>
      <c r="F11" s="2">
        <f>F10/F6-1</f>
        <v>3.3502440892130281E-4</v>
      </c>
    </row>
    <row r="13" spans="1:6" x14ac:dyDescent="0.35">
      <c r="A13" t="s">
        <v>33</v>
      </c>
      <c r="B13" t="s">
        <v>51</v>
      </c>
      <c r="C13">
        <v>158.01499999999999</v>
      </c>
      <c r="D13">
        <v>176.054</v>
      </c>
      <c r="E13">
        <v>180.494</v>
      </c>
      <c r="F13">
        <v>188.75399999999999</v>
      </c>
    </row>
    <row r="14" spans="1:6" x14ac:dyDescent="0.35">
      <c r="A14" t="s">
        <v>33</v>
      </c>
      <c r="B14" t="s">
        <v>52</v>
      </c>
      <c r="C14">
        <v>158.654</v>
      </c>
      <c r="D14">
        <v>177.07499999999999</v>
      </c>
      <c r="E14">
        <v>181.79599999999999</v>
      </c>
      <c r="F14">
        <v>194.06200000000001</v>
      </c>
    </row>
    <row r="15" spans="1:6" x14ac:dyDescent="0.35">
      <c r="A15" t="s">
        <v>33</v>
      </c>
      <c r="B15" t="s">
        <v>53</v>
      </c>
      <c r="C15">
        <f>C13/C14</f>
        <v>0.99597236754194651</v>
      </c>
      <c r="D15">
        <f>D13/D14</f>
        <v>0.9942340816038403</v>
      </c>
      <c r="E15">
        <f>E13/E14</f>
        <v>0.99283812625140266</v>
      </c>
      <c r="F15">
        <f>F13/F14</f>
        <v>0.97264791664519579</v>
      </c>
    </row>
    <row r="16" spans="1:6" x14ac:dyDescent="0.35">
      <c r="A16" t="s">
        <v>33</v>
      </c>
      <c r="B16" t="s">
        <v>54</v>
      </c>
      <c r="C16">
        <v>0.99597199999999997</v>
      </c>
      <c r="D16">
        <v>0.99446599999999996</v>
      </c>
      <c r="E16">
        <v>0.992838</v>
      </c>
      <c r="F16">
        <v>0.97264799999999996</v>
      </c>
    </row>
    <row r="17" spans="1:6" x14ac:dyDescent="0.35">
      <c r="A17" t="s">
        <v>33</v>
      </c>
      <c r="B17" t="s">
        <v>55</v>
      </c>
      <c r="C17">
        <v>158.01499999999999</v>
      </c>
      <c r="D17">
        <v>176.03399999999999</v>
      </c>
      <c r="E17">
        <v>180.494</v>
      </c>
      <c r="F17">
        <v>188.75399999999999</v>
      </c>
    </row>
    <row r="18" spans="1:6" x14ac:dyDescent="0.35">
      <c r="A18" t="s">
        <v>33</v>
      </c>
      <c r="B18" t="s">
        <v>56</v>
      </c>
      <c r="C18" s="2">
        <f>C17/C13-1</f>
        <v>0</v>
      </c>
      <c r="D18" s="2">
        <f>D17/D13-1</f>
        <v>-1.136015086280473E-4</v>
      </c>
      <c r="E18" s="2">
        <f>E17/E13-1</f>
        <v>0</v>
      </c>
      <c r="F18" s="2">
        <f>F17/F13-1</f>
        <v>0</v>
      </c>
    </row>
    <row r="20" spans="1:6" x14ac:dyDescent="0.35">
      <c r="A20" t="s">
        <v>34</v>
      </c>
      <c r="B20" t="s">
        <v>51</v>
      </c>
      <c r="C20">
        <v>3.05721</v>
      </c>
      <c r="D20">
        <v>3.5448659999999999</v>
      </c>
      <c r="E20">
        <v>3.7180149999999998</v>
      </c>
      <c r="F20">
        <v>4.3134880000000004</v>
      </c>
    </row>
    <row r="21" spans="1:6" x14ac:dyDescent="0.35">
      <c r="A21" t="s">
        <v>34</v>
      </c>
      <c r="B21" t="s">
        <v>52</v>
      </c>
      <c r="C21">
        <v>3.0618300000000001</v>
      </c>
      <c r="D21">
        <v>3.48597</v>
      </c>
      <c r="E21">
        <v>3.64744</v>
      </c>
      <c r="F21">
        <v>3.3661500000000002</v>
      </c>
    </row>
    <row r="22" spans="1:6" x14ac:dyDescent="0.35">
      <c r="A22" t="s">
        <v>34</v>
      </c>
      <c r="B22" t="s">
        <v>53</v>
      </c>
      <c r="C22">
        <f>C20/C21</f>
        <v>0.99849109846072448</v>
      </c>
      <c r="D22">
        <f>D20/D21</f>
        <v>1.0168951540030464</v>
      </c>
      <c r="E22">
        <f>E20/E21</f>
        <v>1.0193491873752549</v>
      </c>
      <c r="F22">
        <f>F20/F21</f>
        <v>1.2814307146146191</v>
      </c>
    </row>
    <row r="23" spans="1:6" x14ac:dyDescent="0.35">
      <c r="A23" t="s">
        <v>34</v>
      </c>
      <c r="B23" t="s">
        <v>54</v>
      </c>
      <c r="C23">
        <v>0.99849100000000002</v>
      </c>
      <c r="D23">
        <v>1.0169429999999999</v>
      </c>
      <c r="E23">
        <v>1.0193620000000001</v>
      </c>
      <c r="F23">
        <v>1.2817449999999999</v>
      </c>
    </row>
    <row r="24" spans="1:6" x14ac:dyDescent="0.35">
      <c r="A24" t="s">
        <v>34</v>
      </c>
      <c r="B24" t="s">
        <v>55</v>
      </c>
      <c r="C24">
        <v>3.05721</v>
      </c>
      <c r="D24">
        <v>3.5448200000000001</v>
      </c>
      <c r="E24">
        <v>3.7180200000000001</v>
      </c>
      <c r="F24">
        <v>4.3134800000000002</v>
      </c>
    </row>
    <row r="25" spans="1:6" x14ac:dyDescent="0.35">
      <c r="A25" t="s">
        <v>34</v>
      </c>
      <c r="B25" t="s">
        <v>56</v>
      </c>
      <c r="C25" s="2">
        <f>C24/C20-1</f>
        <v>0</v>
      </c>
      <c r="D25" s="2">
        <f>D24/D20-1</f>
        <v>-1.2976513075413365E-5</v>
      </c>
      <c r="E25" s="2">
        <f>E24/E20-1</f>
        <v>1.344803611580403E-6</v>
      </c>
      <c r="F25" s="2">
        <f>F24/F20-1</f>
        <v>-1.8546475614167335E-6</v>
      </c>
    </row>
    <row r="27" spans="1:6" x14ac:dyDescent="0.35">
      <c r="A27" t="s">
        <v>57</v>
      </c>
      <c r="B27" t="s">
        <v>51</v>
      </c>
      <c r="C27">
        <v>3.1800169999999999</v>
      </c>
      <c r="D27">
        <v>3.3694579999999998</v>
      </c>
      <c r="E27">
        <v>3.3921649999999999</v>
      </c>
      <c r="F27">
        <v>3.7365689999999998</v>
      </c>
    </row>
    <row r="28" spans="1:6" x14ac:dyDescent="0.35">
      <c r="A28" t="s">
        <v>57</v>
      </c>
      <c r="B28" t="s">
        <v>52</v>
      </c>
      <c r="C28">
        <v>2.9147530000000001</v>
      </c>
      <c r="D28">
        <v>3.0779860000000001</v>
      </c>
      <c r="E28">
        <v>3.1940360000000001</v>
      </c>
      <c r="F28">
        <v>3.7986110000000002</v>
      </c>
    </row>
    <row r="29" spans="1:6" x14ac:dyDescent="0.35">
      <c r="A29" t="s">
        <v>57</v>
      </c>
      <c r="B29" t="s">
        <v>53</v>
      </c>
      <c r="C29">
        <f>C27/C28</f>
        <v>1.0910073683773547</v>
      </c>
      <c r="D29">
        <f>D27/D28</f>
        <v>1.0946956873747964</v>
      </c>
      <c r="E29">
        <f>E27/E28</f>
        <v>1.0620309226320555</v>
      </c>
      <c r="F29">
        <f>F27/F28</f>
        <v>0.98366718782207485</v>
      </c>
    </row>
    <row r="30" spans="1:6" x14ac:dyDescent="0.35">
      <c r="A30" t="s">
        <v>57</v>
      </c>
      <c r="B30" t="s">
        <v>54</v>
      </c>
      <c r="C30">
        <v>1.0916429999999999</v>
      </c>
      <c r="D30">
        <v>1.0953660000000001</v>
      </c>
      <c r="E30">
        <v>1.062425</v>
      </c>
      <c r="F30">
        <v>0.983572</v>
      </c>
    </row>
    <row r="31" spans="1:6" x14ac:dyDescent="0.35">
      <c r="A31" t="s">
        <v>57</v>
      </c>
      <c r="B31" t="s">
        <v>55</v>
      </c>
      <c r="C31">
        <v>3.1800050000000004</v>
      </c>
      <c r="D31">
        <v>3.3694000000000002</v>
      </c>
      <c r="E31">
        <v>3.3921549999999998</v>
      </c>
      <c r="F31">
        <v>3.7365729999999999</v>
      </c>
    </row>
    <row r="32" spans="1:6" x14ac:dyDescent="0.35">
      <c r="A32" t="s">
        <v>57</v>
      </c>
      <c r="B32" t="s">
        <v>56</v>
      </c>
      <c r="C32" s="2">
        <f>C31/C27-1</f>
        <v>-3.7735647323566823E-6</v>
      </c>
      <c r="D32" s="2">
        <f>D31/D27-1</f>
        <v>-1.7213450946629294E-5</v>
      </c>
      <c r="E32" s="2">
        <f>E31/E27-1</f>
        <v>-2.947969806932349E-6</v>
      </c>
      <c r="F32" s="2">
        <f>F31/F27-1</f>
        <v>1.0705007722489057E-6</v>
      </c>
    </row>
    <row r="34" spans="1:6" x14ac:dyDescent="0.35">
      <c r="A34" t="s">
        <v>58</v>
      </c>
      <c r="B34" t="s">
        <v>51</v>
      </c>
      <c r="C34">
        <v>24.717623</v>
      </c>
      <c r="D34">
        <v>30.72626</v>
      </c>
      <c r="E34">
        <v>33.236446999999998</v>
      </c>
      <c r="F34">
        <v>37.449731</v>
      </c>
    </row>
    <row r="35" spans="1:6" x14ac:dyDescent="0.35">
      <c r="A35" t="s">
        <v>58</v>
      </c>
      <c r="B35" t="s">
        <v>52</v>
      </c>
      <c r="C35">
        <v>24.639500000000002</v>
      </c>
      <c r="D35">
        <v>29.189800000000002</v>
      </c>
      <c r="E35">
        <v>33.654499999999999</v>
      </c>
      <c r="F35">
        <v>38.741599999999998</v>
      </c>
    </row>
    <row r="36" spans="1:6" x14ac:dyDescent="0.35">
      <c r="A36" t="s">
        <v>58</v>
      </c>
      <c r="B36" t="s">
        <v>53</v>
      </c>
      <c r="C36">
        <f>C34/C35</f>
        <v>1.0031706406379999</v>
      </c>
      <c r="D36">
        <f>D34/D35</f>
        <v>1.0526368800060295</v>
      </c>
      <c r="E36">
        <f>E34/E35</f>
        <v>0.98757809505415317</v>
      </c>
      <c r="F36">
        <f>F34/F35</f>
        <v>0.96665421665599771</v>
      </c>
    </row>
    <row r="37" spans="1:6" x14ac:dyDescent="0.35">
      <c r="A37" t="s">
        <v>58</v>
      </c>
      <c r="B37" t="s">
        <v>54</v>
      </c>
      <c r="C37">
        <v>1.003622</v>
      </c>
      <c r="D37">
        <v>1.060147</v>
      </c>
      <c r="E37">
        <v>0.98583799999999999</v>
      </c>
      <c r="F37">
        <v>0.96180100000000002</v>
      </c>
    </row>
    <row r="38" spans="1:6" x14ac:dyDescent="0.35">
      <c r="A38" t="s">
        <v>58</v>
      </c>
      <c r="B38" t="s">
        <v>55</v>
      </c>
      <c r="C38">
        <v>24.716000000000001</v>
      </c>
      <c r="D38">
        <v>30.696000000000002</v>
      </c>
      <c r="E38">
        <v>33.244700000000002</v>
      </c>
      <c r="F38">
        <v>37.478200000000001</v>
      </c>
    </row>
    <row r="39" spans="1:6" x14ac:dyDescent="0.35">
      <c r="A39" t="s">
        <v>58</v>
      </c>
      <c r="B39" t="s">
        <v>56</v>
      </c>
      <c r="C39" s="2">
        <f>C38/C34-1</f>
        <v>-6.5661653630644246E-5</v>
      </c>
      <c r="D39" s="2">
        <f>D38/D34-1</f>
        <v>-9.8482535785349157E-4</v>
      </c>
      <c r="E39" s="2">
        <f>E38/E34-1</f>
        <v>2.4831174042172499E-4</v>
      </c>
      <c r="F39" s="2">
        <f>F38/F34-1</f>
        <v>7.6019237628166536E-4</v>
      </c>
    </row>
    <row r="41" spans="1:6" x14ac:dyDescent="0.35">
      <c r="A41" t="s">
        <v>41</v>
      </c>
      <c r="B41" t="s">
        <v>51</v>
      </c>
      <c r="C41">
        <v>0.47061999999999998</v>
      </c>
      <c r="D41">
        <v>0.41352899999999998</v>
      </c>
      <c r="E41">
        <v>0.44376900000000002</v>
      </c>
      <c r="F41">
        <v>0.42472399999999999</v>
      </c>
    </row>
    <row r="42" spans="1:6" x14ac:dyDescent="0.35">
      <c r="A42" t="s">
        <v>41</v>
      </c>
      <c r="B42" t="s">
        <v>52</v>
      </c>
      <c r="C42">
        <v>0.80289999999999995</v>
      </c>
      <c r="D42">
        <v>0.79469400000000001</v>
      </c>
      <c r="E42">
        <v>0.80289999999999995</v>
      </c>
      <c r="F42">
        <v>0.80289999999999995</v>
      </c>
    </row>
    <row r="43" spans="1:6" x14ac:dyDescent="0.35">
      <c r="A43" t="s">
        <v>41</v>
      </c>
      <c r="B43" t="s">
        <v>53</v>
      </c>
      <c r="C43">
        <f>C41/C42</f>
        <v>0.58615020550504426</v>
      </c>
      <c r="D43">
        <f>D41/D42</f>
        <v>0.52036255464367409</v>
      </c>
      <c r="E43">
        <f>E41/E42</f>
        <v>0.55270768464316855</v>
      </c>
      <c r="F43">
        <f>F41/F42</f>
        <v>0.52898742060032389</v>
      </c>
    </row>
    <row r="44" spans="1:6" x14ac:dyDescent="0.35">
      <c r="A44" t="s">
        <v>41</v>
      </c>
      <c r="B44" t="s">
        <v>54</v>
      </c>
      <c r="C44">
        <v>0.58614999999999995</v>
      </c>
      <c r="D44">
        <v>0.52037500000000003</v>
      </c>
      <c r="E44">
        <v>0.55270799999999998</v>
      </c>
      <c r="F44">
        <v>0.52898699999999999</v>
      </c>
    </row>
    <row r="45" spans="1:6" x14ac:dyDescent="0.35">
      <c r="A45" t="s">
        <v>41</v>
      </c>
      <c r="B45" t="s">
        <v>55</v>
      </c>
      <c r="C45">
        <v>0.47061999999999998</v>
      </c>
      <c r="D45">
        <v>0.41352</v>
      </c>
      <c r="E45">
        <v>0.44376900000000002</v>
      </c>
      <c r="F45">
        <v>0.42472399999999999</v>
      </c>
    </row>
    <row r="46" spans="1:6" x14ac:dyDescent="0.35">
      <c r="A46" t="s">
        <v>41</v>
      </c>
      <c r="B46" t="s">
        <v>56</v>
      </c>
      <c r="C46" s="2">
        <f>C45/C41-1</f>
        <v>0</v>
      </c>
      <c r="D46" s="2">
        <f>D45/D41-1</f>
        <v>-2.1763890803216945E-5</v>
      </c>
      <c r="E46" s="2">
        <f>E45/E41-1</f>
        <v>0</v>
      </c>
      <c r="F46" s="2">
        <f>F45/F41-1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HYECFCA</vt:lpstr>
      <vt:lpstr>Calibration 2025</vt:lpstr>
      <vt:lpstr>Calibration 2021-24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2026-07-20T17:54:12Z</dcterms:created>
  <dcterms:modified xsi:type="dcterms:W3CDTF">2026-10-28T18:50:54Z</dcterms:modified>
</cp:coreProperties>
</file>