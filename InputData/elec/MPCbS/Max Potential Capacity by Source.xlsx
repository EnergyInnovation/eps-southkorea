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90. 개인 폴더\이지우\단기대응\202501 EPS 수요전망\V3\MPCbS\old\"/>
    </mc:Choice>
  </mc:AlternateContent>
  <xr:revisionPtr revIDLastSave="0" documentId="13_ncr:1_{057250BD-3CB9-4FBE-9392-1A832EAC6CC7}" xr6:coauthVersionLast="47" xr6:coauthVersionMax="47" xr10:uidLastSave="{00000000-0000-0000-0000-000000000000}"/>
  <bookViews>
    <workbookView xWindow="2268" yWindow="2268" windowWidth="17280" windowHeight="8880" activeTab="2" xr2:uid="{00000000-000D-0000-FFFF-FFFF00000000}"/>
  </bookViews>
  <sheets>
    <sheet name="About" sheetId="1" r:id="rId1"/>
    <sheet name="Data" sheetId="2" r:id="rId2"/>
    <sheet name="MPCb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B19" i="3"/>
  <c r="B20" i="3"/>
  <c r="B21" i="3"/>
  <c r="B22" i="3"/>
  <c r="B23" i="3"/>
  <c r="B24" i="3"/>
  <c r="B2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2" i="3"/>
  <c r="B25" i="2"/>
  <c r="B23" i="2"/>
  <c r="B20" i="2"/>
  <c r="B19" i="2"/>
  <c r="B13" i="2"/>
  <c r="B24" i="2" s="1"/>
  <c r="B12" i="2"/>
  <c r="B9" i="2"/>
  <c r="B5" i="2"/>
  <c r="B4" i="2"/>
  <c r="B3" i="2"/>
  <c r="B2" i="2"/>
</calcChain>
</file>

<file path=xl/sharedStrings.xml><?xml version="1.0" encoding="utf-8"?>
<sst xmlns="http://schemas.openxmlformats.org/spreadsheetml/2006/main" count="63" uniqueCount="37">
  <si>
    <t>Source:</t>
  </si>
  <si>
    <t>hydro</t>
  </si>
  <si>
    <t>biomass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</si>
  <si>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</si>
  <si>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</si>
  <si>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</si>
  <si>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</si>
  <si>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</si>
  <si>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</si>
  <si>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</si>
  <si>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</si>
  <si>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</si>
  <si>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</si>
  <si>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</si>
  <si>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</si>
  <si>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</si>
  <si>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</si>
  <si>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</si>
  <si>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</si>
  <si>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</si>
  <si>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Renewable White Paper</t>
    <phoneticPr fontId="3" type="noConversion"/>
  </si>
  <si>
    <t>Page 119</t>
    <phoneticPr fontId="3" type="noConversion"/>
  </si>
  <si>
    <t>Renewable sources</t>
    <phoneticPr fontId="3" type="noConversion"/>
  </si>
  <si>
    <t>We used the technical potential of renewable energy sources</t>
    <phoneticPr fontId="3" type="noConversion"/>
  </si>
  <si>
    <t>As peaking needs are expected to be met by gas in Korea, we limit petroleum and</t>
  </si>
  <si>
    <t>heavy fuel oil plants at current capacity.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</si>
  <si>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</si>
  <si>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</si>
  <si>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</si>
  <si>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</si>
  <si>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</si>
  <si>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</si>
  <si>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</si>
  <si>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</si>
  <si>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</si>
  <si>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https://www.knrec.or.kr/pds/pds_read.aspx?no=320&amp;searchfield=&amp;searchword=&amp;page=1</t>
    <phoneticPr fontId="3" type="noConversion"/>
  </si>
  <si>
    <t>KNREC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</si>
</sst>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FF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76" fontId="0" fillId="0" borderId="0" xfId="0" applyNumberFormat="1"/>
    <xf numFmtId="1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nrec.or.kr/pds/pds_read.aspx?no=320&amp;searchfield=&amp;searchword=&amp;page=1" TargetMode="External"/><Relationship Id="rId1" Type="http://schemas.openxmlformats.org/officeDocument/2006/relationships/hyperlink" Target="https://www.epa.gov/facts-and-figures-about-materials-waste-and-recycling/national-overview-facts-and-figures-material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24" sqref="B24"/>
    </sheetView>
  </sheetViews>
  <sheetFormatPr defaultRowHeight="17.399999999999999" x14ac:dyDescent="0.4"/>
  <cols>
    <col min="2" max="2" width="60.796875" customWidth="1"/>
  </cols>
  <sheetData>
    <row r="1" spans="1:2" x14ac:dyDescent="0.4">
      <c r="A1" s="1" t="s">
        <v>5</v>
      </c>
    </row>
    <row r="3" spans="1:2" x14ac:dyDescent="0.4">
      <c r="A3" s="1" t="s">
        <v>0</v>
      </c>
      <c r="B3" s="2" t="s">
        <v>22</v>
      </c>
    </row>
    <row r="4" spans="1:2" x14ac:dyDescent="0.4">
      <c r="B4" s="8" t="s">
        <v>36</v>
      </c>
    </row>
    <row r="5" spans="1:2" x14ac:dyDescent="0.4">
      <c r="B5" s="3">
        <v>2020</v>
      </c>
    </row>
    <row r="6" spans="1:2" x14ac:dyDescent="0.4">
      <c r="B6" t="s">
        <v>20</v>
      </c>
    </row>
    <row r="7" spans="1:2" x14ac:dyDescent="0.4">
      <c r="B7" s="4" t="s">
        <v>35</v>
      </c>
    </row>
    <row r="8" spans="1:2" x14ac:dyDescent="0.4">
      <c r="B8" t="s">
        <v>21</v>
      </c>
    </row>
    <row r="10" spans="1:2" x14ac:dyDescent="0.4">
      <c r="A10" s="1" t="s">
        <v>19</v>
      </c>
    </row>
    <row r="11" spans="1:2" x14ac:dyDescent="0.4">
      <c r="A11" t="s">
        <v>23</v>
      </c>
    </row>
    <row r="13" spans="1:2" x14ac:dyDescent="0.4">
      <c r="A13" t="s">
        <v>24</v>
      </c>
    </row>
    <row r="14" spans="1:2" x14ac:dyDescent="0.4">
      <c r="A14" t="s">
        <v>25</v>
      </c>
    </row>
  </sheetData>
  <phoneticPr fontId="3" type="noConversion"/>
  <hyperlinks>
    <hyperlink ref="B21" r:id="rId1" display="https://www.epa.gov/facts-and-figures-about-materials-waste-and-recycling/national-overview-facts-and-figures-materials" xr:uid="{00000000-0004-0000-0000-000001000000}"/>
    <hyperlink ref="B7" r:id="rId2" xr:uid="{FBA9319E-5CBC-4018-AA8C-4A6C7E96FC39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zoomScale="70" zoomScaleNormal="70" workbookViewId="0">
      <selection activeCell="B18" sqref="B18"/>
    </sheetView>
  </sheetViews>
  <sheetFormatPr defaultRowHeight="17.399999999999999" x14ac:dyDescent="0.4"/>
  <cols>
    <col min="1" max="1" width="22.69921875" bestFit="1" customWidth="1"/>
    <col min="2" max="2" width="28.5" bestFit="1" customWidth="1"/>
    <col min="3" max="3" width="16.19921875" customWidth="1"/>
    <col min="4" max="4" width="17" customWidth="1"/>
  </cols>
  <sheetData>
    <row r="1" spans="1:7" x14ac:dyDescent="0.4">
      <c r="A1" s="1" t="s">
        <v>7</v>
      </c>
      <c r="B1" s="1" t="s">
        <v>8</v>
      </c>
    </row>
    <row r="2" spans="1:7" x14ac:dyDescent="0.4">
      <c r="A2" t="s">
        <v>13</v>
      </c>
      <c r="B2" s="6">
        <f>9*10^12</f>
        <v>9000000000000</v>
      </c>
    </row>
    <row r="3" spans="1:7" x14ac:dyDescent="0.4">
      <c r="A3" t="s">
        <v>26</v>
      </c>
      <c r="B3" s="6">
        <f>9*10^12</f>
        <v>9000000000000</v>
      </c>
    </row>
    <row r="4" spans="1:7" x14ac:dyDescent="0.4">
      <c r="A4" t="s">
        <v>27</v>
      </c>
      <c r="B4" s="6">
        <f>9*10^12</f>
        <v>9000000000000</v>
      </c>
    </row>
    <row r="5" spans="1:7" x14ac:dyDescent="0.4">
      <c r="A5" t="s">
        <v>6</v>
      </c>
      <c r="B5" s="6">
        <f>9*10^12</f>
        <v>9000000000000</v>
      </c>
    </row>
    <row r="6" spans="1:7" x14ac:dyDescent="0.4">
      <c r="A6" t="s">
        <v>1</v>
      </c>
      <c r="B6">
        <v>12000</v>
      </c>
    </row>
    <row r="7" spans="1:7" x14ac:dyDescent="0.4">
      <c r="A7" t="s">
        <v>14</v>
      </c>
      <c r="B7">
        <v>352000</v>
      </c>
    </row>
    <row r="8" spans="1:7" x14ac:dyDescent="0.4">
      <c r="A8" t="s">
        <v>3</v>
      </c>
      <c r="B8">
        <v>2409000</v>
      </c>
      <c r="G8" s="5"/>
    </row>
    <row r="9" spans="1:7" x14ac:dyDescent="0.4">
      <c r="A9" t="s">
        <v>4</v>
      </c>
      <c r="B9">
        <f>Data!B21</f>
        <v>10000</v>
      </c>
    </row>
    <row r="10" spans="1:7" x14ac:dyDescent="0.4">
      <c r="A10" t="s">
        <v>2</v>
      </c>
      <c r="B10">
        <v>10000</v>
      </c>
    </row>
    <row r="11" spans="1:7" x14ac:dyDescent="0.4">
      <c r="A11" t="s">
        <v>9</v>
      </c>
      <c r="B11">
        <v>0</v>
      </c>
    </row>
    <row r="12" spans="1:7" x14ac:dyDescent="0.4">
      <c r="A12" t="s">
        <v>10</v>
      </c>
      <c r="B12" s="6">
        <f>9*10^12</f>
        <v>9000000000000</v>
      </c>
    </row>
    <row r="13" spans="1:7" x14ac:dyDescent="0.4">
      <c r="A13" t="s">
        <v>11</v>
      </c>
      <c r="B13" s="6">
        <f>9*10^12</f>
        <v>9000000000000</v>
      </c>
    </row>
    <row r="14" spans="1:7" x14ac:dyDescent="0.4">
      <c r="A14" t="s">
        <v>12</v>
      </c>
      <c r="B14" s="6">
        <v>0</v>
      </c>
    </row>
    <row r="15" spans="1:7" x14ac:dyDescent="0.4">
      <c r="A15" t="s">
        <v>15</v>
      </c>
      <c r="B15">
        <v>387000</v>
      </c>
    </row>
    <row r="16" spans="1:7" x14ac:dyDescent="0.4">
      <c r="A16" t="s">
        <v>16</v>
      </c>
      <c r="B16" s="6">
        <v>0</v>
      </c>
    </row>
    <row r="17" spans="1:2" x14ac:dyDescent="0.4">
      <c r="A17" t="s">
        <v>17</v>
      </c>
      <c r="B17" s="6">
        <v>0</v>
      </c>
    </row>
    <row r="18" spans="1:2" x14ac:dyDescent="0.4">
      <c r="A18" t="s">
        <v>18</v>
      </c>
      <c r="B18" s="6">
        <v>0</v>
      </c>
    </row>
    <row r="19" spans="1:2" x14ac:dyDescent="0.4">
      <c r="A19" t="s">
        <v>28</v>
      </c>
      <c r="B19" s="6">
        <f>9*10^12</f>
        <v>9000000000000</v>
      </c>
    </row>
    <row r="20" spans="1:2" x14ac:dyDescent="0.4">
      <c r="A20" t="s">
        <v>29</v>
      </c>
      <c r="B20" s="6">
        <f>9*10^12</f>
        <v>9000000000000</v>
      </c>
    </row>
    <row r="21" spans="1:2" x14ac:dyDescent="0.4">
      <c r="A21" t="s">
        <v>30</v>
      </c>
      <c r="B21">
        <v>10000</v>
      </c>
    </row>
    <row r="22" spans="1:2" x14ac:dyDescent="0.4">
      <c r="A22" t="s">
        <v>31</v>
      </c>
      <c r="B22" s="6">
        <v>0</v>
      </c>
    </row>
    <row r="23" spans="1:2" x14ac:dyDescent="0.4">
      <c r="A23" t="s">
        <v>32</v>
      </c>
      <c r="B23" s="6">
        <f>9*10^12</f>
        <v>9000000000000</v>
      </c>
    </row>
    <row r="24" spans="1:2" x14ac:dyDescent="0.4">
      <c r="A24" s="7" t="s">
        <v>33</v>
      </c>
      <c r="B24" s="6">
        <f>B13</f>
        <v>9000000000000</v>
      </c>
    </row>
    <row r="25" spans="1:2" x14ac:dyDescent="0.4">
      <c r="A25" s="7" t="s">
        <v>34</v>
      </c>
      <c r="B25" s="6">
        <f>B4</f>
        <v>9000000000000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topLeftCell="A6" workbookViewId="0">
      <selection activeCell="B22" sqref="B22"/>
    </sheetView>
  </sheetViews>
  <sheetFormatPr defaultRowHeight="17.399999999999999" x14ac:dyDescent="0.4"/>
  <cols>
    <col min="1" max="1" width="22" customWidth="1"/>
    <col min="2" max="2" width="27.19921875" customWidth="1"/>
    <col min="3" max="3" width="24.8984375" bestFit="1" customWidth="1"/>
  </cols>
  <sheetData>
    <row r="1" spans="1:2" x14ac:dyDescent="0.4">
      <c r="A1" s="1" t="s">
        <v>7</v>
      </c>
      <c r="B1" s="1" t="s">
        <v>8</v>
      </c>
    </row>
    <row r="2" spans="1:2" x14ac:dyDescent="0.4">
      <c r="A2" t="s">
        <v>13</v>
      </c>
      <c r="B2" s="6">
        <f>Data!B2</f>
        <v>9000000000000</v>
      </c>
    </row>
    <row r="3" spans="1:2" x14ac:dyDescent="0.4">
      <c r="A3" t="s">
        <v>26</v>
      </c>
      <c r="B3" s="6">
        <f>Data!B3</f>
        <v>9000000000000</v>
      </c>
    </row>
    <row r="4" spans="1:2" x14ac:dyDescent="0.4">
      <c r="A4" t="s">
        <v>27</v>
      </c>
      <c r="B4" s="6">
        <f>Data!B4</f>
        <v>9000000000000</v>
      </c>
    </row>
    <row r="5" spans="1:2" x14ac:dyDescent="0.4">
      <c r="A5" t="s">
        <v>6</v>
      </c>
      <c r="B5" s="6">
        <f>Data!B5</f>
        <v>9000000000000</v>
      </c>
    </row>
    <row r="6" spans="1:2" x14ac:dyDescent="0.4">
      <c r="A6" t="s">
        <v>1</v>
      </c>
      <c r="B6" s="6">
        <f>Data!B6</f>
        <v>12000</v>
      </c>
    </row>
    <row r="7" spans="1:2" x14ac:dyDescent="0.4">
      <c r="A7" t="s">
        <v>14</v>
      </c>
      <c r="B7" s="6">
        <f>Data!B7</f>
        <v>352000</v>
      </c>
    </row>
    <row r="8" spans="1:2" x14ac:dyDescent="0.4">
      <c r="A8" t="s">
        <v>3</v>
      </c>
      <c r="B8" s="6">
        <f>Data!B8</f>
        <v>2409000</v>
      </c>
    </row>
    <row r="9" spans="1:2" x14ac:dyDescent="0.4">
      <c r="A9" t="s">
        <v>4</v>
      </c>
      <c r="B9" s="6">
        <f>Data!B9</f>
        <v>10000</v>
      </c>
    </row>
    <row r="10" spans="1:2" x14ac:dyDescent="0.4">
      <c r="A10" t="s">
        <v>2</v>
      </c>
      <c r="B10" s="6">
        <f>Data!B10</f>
        <v>10000</v>
      </c>
    </row>
    <row r="11" spans="1:2" x14ac:dyDescent="0.4">
      <c r="A11" t="s">
        <v>9</v>
      </c>
      <c r="B11" s="6">
        <f>Data!B11</f>
        <v>0</v>
      </c>
    </row>
    <row r="12" spans="1:2" x14ac:dyDescent="0.4">
      <c r="A12" t="s">
        <v>10</v>
      </c>
      <c r="B12" s="6">
        <f>Data!B12</f>
        <v>9000000000000</v>
      </c>
    </row>
    <row r="13" spans="1:2" x14ac:dyDescent="0.4">
      <c r="A13" t="s">
        <v>11</v>
      </c>
      <c r="B13" s="6">
        <f>Data!B13</f>
        <v>9000000000000</v>
      </c>
    </row>
    <row r="14" spans="1:2" x14ac:dyDescent="0.4">
      <c r="A14" t="s">
        <v>12</v>
      </c>
      <c r="B14" s="6">
        <f>Data!B14</f>
        <v>0</v>
      </c>
    </row>
    <row r="15" spans="1:2" x14ac:dyDescent="0.4">
      <c r="A15" t="s">
        <v>15</v>
      </c>
      <c r="B15" s="6">
        <f>Data!B15</f>
        <v>387000</v>
      </c>
    </row>
    <row r="16" spans="1:2" x14ac:dyDescent="0.4">
      <c r="A16" t="s">
        <v>16</v>
      </c>
      <c r="B16" s="6">
        <f>Data!B16</f>
        <v>0</v>
      </c>
    </row>
    <row r="17" spans="1:2" x14ac:dyDescent="0.4">
      <c r="A17" t="s">
        <v>17</v>
      </c>
      <c r="B17" s="6">
        <f>Data!B17</f>
        <v>0</v>
      </c>
    </row>
    <row r="18" spans="1:2" x14ac:dyDescent="0.4">
      <c r="A18" t="s">
        <v>18</v>
      </c>
      <c r="B18" s="6">
        <f>Data!B18</f>
        <v>0</v>
      </c>
    </row>
    <row r="19" spans="1:2" x14ac:dyDescent="0.4">
      <c r="A19" t="s">
        <v>28</v>
      </c>
      <c r="B19" s="6">
        <f>Data!B19</f>
        <v>9000000000000</v>
      </c>
    </row>
    <row r="20" spans="1:2" x14ac:dyDescent="0.4">
      <c r="A20" t="s">
        <v>29</v>
      </c>
      <c r="B20" s="6">
        <f>Data!B20</f>
        <v>9000000000000</v>
      </c>
    </row>
    <row r="21" spans="1:2" x14ac:dyDescent="0.4">
      <c r="A21" t="s">
        <v>30</v>
      </c>
      <c r="B21" s="6">
        <f>Data!B21</f>
        <v>10000</v>
      </c>
    </row>
    <row r="22" spans="1:2" x14ac:dyDescent="0.4">
      <c r="A22" t="s">
        <v>31</v>
      </c>
      <c r="B22" s="6">
        <f>Data!B22</f>
        <v>0</v>
      </c>
    </row>
    <row r="23" spans="1:2" x14ac:dyDescent="0.4">
      <c r="A23" t="s">
        <v>32</v>
      </c>
      <c r="B23" s="6">
        <f>Data!B23</f>
        <v>9000000000000</v>
      </c>
    </row>
    <row r="24" spans="1:2" x14ac:dyDescent="0.4">
      <c r="A24" s="7" t="s">
        <v>33</v>
      </c>
      <c r="B24" s="6">
        <f>Data!B24</f>
        <v>9000000000000</v>
      </c>
    </row>
    <row r="25" spans="1:2" x14ac:dyDescent="0.4">
      <c r="A25" s="7" t="s">
        <v>34</v>
      </c>
      <c r="B25" s="6">
        <f>Data!B25</f>
        <v>9000000000000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F10401-BD8B-4058-A8DE-5819414C68E7}"/>
</file>

<file path=customXml/itemProps2.xml><?xml version="1.0" encoding="utf-8"?>
<ds:datastoreItem xmlns:ds="http://schemas.openxmlformats.org/officeDocument/2006/customXml" ds:itemID="{6DBE07E6-D27D-4A47-AB5B-E0A16CF04223}"/>
</file>

<file path=customXml/itemProps3.xml><?xml version="1.0" encoding="utf-8"?>
<ds:datastoreItem xmlns:ds="http://schemas.openxmlformats.org/officeDocument/2006/customXml" ds:itemID="{B3759038-EBB7-4B4F-8D31-8ED423E206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jwlee</cp:lastModifiedBy>
  <dcterms:created xsi:type="dcterms:W3CDTF">2015-01-16T02:18:43Z</dcterms:created>
  <dcterms:modified xsi:type="dcterms:W3CDTF">2025-02-26T03:00:30Z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