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lee_NG\Dropbox\NEXT Group\90. 개인 폴더\이지우\단기대응\202501 EPS 수요전망\V3\elec\RACP\"/>
    </mc:Choice>
  </mc:AlternateContent>
  <xr:revisionPtr revIDLastSave="0" documentId="13_ncr:1_{A2E91BCA-742F-409E-9458-1DE3BA4F8D20}" xr6:coauthVersionLast="47" xr6:coauthVersionMax="47" xr10:uidLastSave="{00000000-0000-0000-0000-000000000000}"/>
  <bookViews>
    <workbookView xWindow="-120" yWindow="-120" windowWidth="38640" windowHeight="21120" xr2:uid="{987F1A2C-D0FF-46D7-8396-B08F06D764BF}"/>
  </bookViews>
  <sheets>
    <sheet name="About" sheetId="1" r:id="rId1"/>
    <sheet name="Sheet1" sheetId="4" r:id="rId2"/>
    <sheet name="RACP-BRACP" sheetId="2" r:id="rId3"/>
    <sheet name="RACP-RAC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C3" i="4"/>
  <c r="C4" i="4"/>
  <c r="D4" i="4"/>
  <c r="E4" i="4"/>
  <c r="F4" i="4"/>
  <c r="G4" i="4"/>
  <c r="B4" i="4"/>
  <c r="B2" i="2" s="1"/>
  <c r="D3" i="4"/>
  <c r="E3" i="4"/>
  <c r="F3" i="4"/>
  <c r="B3" i="4"/>
</calcChain>
</file>

<file path=xl/sharedStrings.xml><?xml version="1.0" encoding="utf-8"?>
<sst xmlns="http://schemas.openxmlformats.org/spreadsheetml/2006/main" count="18" uniqueCount="16">
  <si>
    <t>Source:</t>
  </si>
  <si>
    <t>Notes:</t>
  </si>
  <si>
    <t>$/MWh</t>
  </si>
  <si>
    <t>Cost Cap</t>
  </si>
  <si>
    <t>2023 dollars per 2012 dollar</t>
  </si>
  <si>
    <t>BRACP BAU RPS Alternative Compliance Payment</t>
    <phoneticPr fontId="2" type="noConversion"/>
  </si>
  <si>
    <t>https://www.knrec.or.kr/biz/faq/faq_list02.do?depth_1=A010000&amp;depth_2=A011300</t>
  </si>
  <si>
    <t>RACP RPS Alternative Compliance Payment</t>
    <phoneticPr fontId="2" type="noConversion"/>
  </si>
  <si>
    <t>RPS Alternative Compliance Payment standard in Korea</t>
    <phoneticPr fontId="2" type="noConversion"/>
  </si>
  <si>
    <t>For shortages in Korea, suppliers should pay 1.5 times the average trading price</t>
    <phoneticPr fontId="2" type="noConversion"/>
  </si>
  <si>
    <t>https://www.mal-eum.com/rec/trend</t>
  </si>
  <si>
    <t>REC average price</t>
    <phoneticPr fontId="2" type="noConversion"/>
  </si>
  <si>
    <t>price (KRW/REC)</t>
    <phoneticPr fontId="2" type="noConversion"/>
  </si>
  <si>
    <t>price (USD/REC)</t>
    <phoneticPr fontId="2" type="noConversion"/>
  </si>
  <si>
    <t>exchange rate from 2017 to 2022</t>
    <phoneticPr fontId="2" type="noConversion"/>
  </si>
  <si>
    <t>price * 1.5 (USD/REC)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</si>
</sst>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84CE-31BD-44F2-91E9-58D4BA5F9B1E}">
  <dimension ref="A1:F19"/>
  <sheetViews>
    <sheetView tabSelected="1" workbookViewId="0">
      <selection activeCell="E12" sqref="E12"/>
    </sheetView>
  </sheetViews>
  <sheetFormatPr defaultRowHeight="16.5" x14ac:dyDescent="0.3"/>
  <sheetData>
    <row r="1" spans="1:2" x14ac:dyDescent="0.3">
      <c r="A1" s="1" t="s">
        <v>5</v>
      </c>
    </row>
    <row r="2" spans="1:2" x14ac:dyDescent="0.3">
      <c r="A2" s="1" t="s">
        <v>7</v>
      </c>
    </row>
    <row r="4" spans="1:2" x14ac:dyDescent="0.3">
      <c r="A4" s="1" t="s">
        <v>0</v>
      </c>
      <c r="B4" s="2" t="s">
        <v>8</v>
      </c>
    </row>
    <row r="5" spans="1:2" x14ac:dyDescent="0.3">
      <c r="B5" t="s">
        <v>6</v>
      </c>
    </row>
    <row r="7" spans="1:2" x14ac:dyDescent="0.3">
      <c r="B7" t="s">
        <v>11</v>
      </c>
    </row>
    <row r="8" spans="1:2" x14ac:dyDescent="0.3">
      <c r="B8" t="s">
        <v>10</v>
      </c>
    </row>
    <row r="12" spans="1:2" x14ac:dyDescent="0.3">
      <c r="A12" t="s">
        <v>1</v>
      </c>
    </row>
    <row r="13" spans="1:2" x14ac:dyDescent="0.3">
      <c r="B13" t="s">
        <v>9</v>
      </c>
    </row>
    <row r="16" spans="1:2" x14ac:dyDescent="0.3">
      <c r="A16">
        <v>0.75350342301658668</v>
      </c>
      <c r="B16" t="s">
        <v>4</v>
      </c>
    </row>
    <row r="17" spans="1:6" x14ac:dyDescent="0.3">
      <c r="A17" t="s">
        <v>14</v>
      </c>
    </row>
    <row r="18" spans="1:6" x14ac:dyDescent="0.3">
      <c r="A18">
        <v>2017</v>
      </c>
      <c r="B18">
        <v>2018</v>
      </c>
      <c r="C18">
        <v>2019</v>
      </c>
      <c r="D18">
        <v>2020</v>
      </c>
      <c r="E18">
        <v>2021</v>
      </c>
      <c r="F18">
        <v>2022</v>
      </c>
    </row>
    <row r="19" spans="1:6" x14ac:dyDescent="0.3">
      <c r="A19">
        <v>1150.4000000000001</v>
      </c>
      <c r="B19">
        <v>1120.3499999999999</v>
      </c>
      <c r="C19">
        <v>1186.92</v>
      </c>
      <c r="D19">
        <v>1200.54</v>
      </c>
      <c r="E19">
        <v>1165.0999999999999</v>
      </c>
      <c r="F19">
        <v>1316.31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3A58-81B0-46BB-9D68-505A335381CB}">
  <dimension ref="A1:G4"/>
  <sheetViews>
    <sheetView workbookViewId="0">
      <selection activeCell="B4" sqref="B4:G4"/>
    </sheetView>
  </sheetViews>
  <sheetFormatPr defaultRowHeight="16.5" x14ac:dyDescent="0.3"/>
  <cols>
    <col min="1" max="1" width="20.75" bestFit="1" customWidth="1"/>
  </cols>
  <sheetData>
    <row r="1" spans="1:7" x14ac:dyDescent="0.3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</row>
    <row r="2" spans="1:7" x14ac:dyDescent="0.3">
      <c r="A2" t="s">
        <v>12</v>
      </c>
      <c r="B2">
        <v>123993</v>
      </c>
      <c r="C2">
        <v>98028</v>
      </c>
      <c r="D2">
        <v>62881</v>
      </c>
      <c r="E2">
        <v>42000</v>
      </c>
      <c r="F2">
        <v>36523</v>
      </c>
      <c r="G2">
        <v>56478</v>
      </c>
    </row>
    <row r="3" spans="1:7" x14ac:dyDescent="0.3">
      <c r="A3" t="s">
        <v>13</v>
      </c>
      <c r="B3">
        <f>B2/About!A19</f>
        <v>107.78251043115438</v>
      </c>
      <c r="C3">
        <f>C2/About!B19</f>
        <v>87.497656982193078</v>
      </c>
      <c r="D3">
        <f>D2/About!C19</f>
        <v>52.978296768105679</v>
      </c>
      <c r="E3">
        <f>E2/About!D19</f>
        <v>34.984257084312063</v>
      </c>
      <c r="F3">
        <f>F2/About!E19</f>
        <v>31.347523817698054</v>
      </c>
      <c r="G3">
        <f>G2/About!F19</f>
        <v>42.906306265241476</v>
      </c>
    </row>
    <row r="4" spans="1:7" x14ac:dyDescent="0.3">
      <c r="A4" t="s">
        <v>15</v>
      </c>
      <c r="B4">
        <f>B3*1.5</f>
        <v>161.67376564673157</v>
      </c>
      <c r="C4">
        <f t="shared" ref="C4:G4" si="0">C3*1.5</f>
        <v>131.24648547328962</v>
      </c>
      <c r="D4">
        <f t="shared" si="0"/>
        <v>79.467445152158518</v>
      </c>
      <c r="E4">
        <f t="shared" si="0"/>
        <v>52.476385626468094</v>
      </c>
      <c r="F4">
        <f t="shared" si="0"/>
        <v>47.021285726547077</v>
      </c>
      <c r="G4">
        <f t="shared" si="0"/>
        <v>64.35945939786221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B00E-6F0F-4633-A44F-D318C1E48FE8}">
  <sheetPr>
    <tabColor theme="4" tint="-0.499984740745262"/>
  </sheetPr>
  <dimension ref="A1:B2"/>
  <sheetViews>
    <sheetView workbookViewId="0">
      <selection activeCell="B2" sqref="B2"/>
    </sheetView>
  </sheetViews>
  <sheetFormatPr defaultRowHeight="16.5" x14ac:dyDescent="0.3"/>
  <sheetData>
    <row r="1" spans="1:2" x14ac:dyDescent="0.3">
      <c r="A1" t="s">
        <v>3</v>
      </c>
    </row>
    <row r="2" spans="1:2" x14ac:dyDescent="0.3">
      <c r="A2" t="s">
        <v>2</v>
      </c>
      <c r="B2">
        <f>AVERAGE(Sheet1!B4:G4)</f>
        <v>89.374137837176178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9EEA-4000-4167-85C9-4FB98ADCDFFE}">
  <sheetPr>
    <tabColor theme="4" tint="-0.499984740745262"/>
  </sheetPr>
  <dimension ref="A1:B2"/>
  <sheetViews>
    <sheetView workbookViewId="0">
      <selection activeCell="B3" sqref="B3"/>
    </sheetView>
  </sheetViews>
  <sheetFormatPr defaultRowHeight="16.5" x14ac:dyDescent="0.3"/>
  <sheetData>
    <row r="1" spans="1:2" x14ac:dyDescent="0.3">
      <c r="A1" t="s">
        <v>3</v>
      </c>
    </row>
    <row r="2" spans="1:2" x14ac:dyDescent="0.3">
      <c r="A2" t="s">
        <v>2</v>
      </c>
      <c r="B2">
        <v>9999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F2E86-81A0-43E8-8135-8F95F1D5F5E4}"/>
</file>

<file path=customXml/itemProps2.xml><?xml version="1.0" encoding="utf-8"?>
<ds:datastoreItem xmlns:ds="http://schemas.openxmlformats.org/officeDocument/2006/customXml" ds:itemID="{A6A2C1BB-1C27-4365-9B2A-BD9D38981149}"/>
</file>

<file path=customXml/itemProps3.xml><?xml version="1.0" encoding="utf-8"?>
<ds:datastoreItem xmlns:ds="http://schemas.openxmlformats.org/officeDocument/2006/customXml" ds:itemID="{2ED0CA83-8341-4199-AD9E-EBA7572AB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Sheet1</vt:lpstr>
      <vt:lpstr>RACP-BRACP</vt:lpstr>
      <vt:lpstr>RACP-RACP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jwlee</cp:lastModifiedBy>
  <dcterms:created xsi:type="dcterms:W3CDTF">2023-10-23T15:32:18Z</dcterms:created>
  <dcterms:modified xsi:type="dcterms:W3CDTF">2025-03-04T00:54:09Z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