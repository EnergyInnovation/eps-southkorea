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RM\"/>
    </mc:Choice>
  </mc:AlternateContent>
  <xr:revisionPtr revIDLastSave="0" documentId="13_ncr:1_{DE6A24FB-393B-4AC1-A90E-BB6EC91807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bout" sheetId="1" r:id="rId1"/>
    <sheet name="Historical" sheetId="3" r:id="rId2"/>
    <sheet name="RM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B2" i="2"/>
</calcChain>
</file>

<file path=xl/sharedStrings.xml><?xml version="1.0" encoding="utf-8"?>
<sst xmlns="http://schemas.openxmlformats.org/spreadsheetml/2006/main" count="53" uniqueCount="41">
  <si>
    <t>RM Reserve Margin</t>
  </si>
  <si>
    <t>Source:</t>
  </si>
  <si>
    <t>Reserve Margin</t>
  </si>
  <si>
    <t>Notes</t>
  </si>
  <si>
    <t xml:space="preserve">The reserve margin (difference between the total generation available and the forecasted peak demand) in the U.S. </t>
  </si>
  <si>
    <t xml:space="preserve">dataset doesn't vary by year, but the RM Reserve Margin variable is a time series to support countries that project </t>
  </si>
  <si>
    <t>changes in future reserve margin by year.</t>
  </si>
  <si>
    <t>(dimensionless)</t>
  </si>
  <si>
    <t>Internatinonal Energy Agency</t>
  </si>
  <si>
    <t>Korea Electricity Security Policy</t>
  </si>
  <si>
    <t>https://www.iea.org/articles/korea-electricity-security-policy</t>
  </si>
  <si>
    <t>Target</t>
  </si>
  <si>
    <t>Historical</t>
  </si>
  <si>
    <t>Korea Power Exchange</t>
  </si>
  <si>
    <t>EPSIS</t>
  </si>
  <si>
    <t>https://epsis.kpx.or.kr/epsisnew/selectEkgeEpsMepChart.do?menuId=030100&amp;locale=eng</t>
  </si>
  <si>
    <t>Peak/Base Demand</t>
  </si>
  <si>
    <t>Year</t>
  </si>
  <si>
    <t>Month</t>
  </si>
  <si>
    <t>Day</t>
  </si>
  <si>
    <t>Installed
Capacity (MW)</t>
  </si>
  <si>
    <t>Available
Capacity (MW)</t>
  </si>
  <si>
    <t>Peak
Demand (MW)</t>
  </si>
  <si>
    <t>Base
Demand (MW)</t>
  </si>
  <si>
    <t>Reserve (MW)</t>
  </si>
  <si>
    <t>Reserve
Margin (%)</t>
  </si>
  <si>
    <t>Peak
Demand Date</t>
  </si>
  <si>
    <t>Base
Demand Date</t>
  </si>
  <si>
    <t>08</t>
  </si>
  <si>
    <t>25</t>
  </si>
  <si>
    <t>-</t>
  </si>
  <si>
    <t>2025/08/25(18:00)</t>
  </si>
  <si>
    <t>20</t>
  </si>
  <si>
    <t>2024/08/20(17:00)</t>
  </si>
  <si>
    <t>07</t>
  </si>
  <si>
    <t>2023/08/07(17:00)</t>
  </si>
  <si>
    <t>12</t>
  </si>
  <si>
    <t>23</t>
  </si>
  <si>
    <t>2022/12/23(11:00)</t>
  </si>
  <si>
    <t>27</t>
  </si>
  <si>
    <t>2021/07/27(18:00)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</si>
</sst>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맑은 고딕"/>
      <charset val="1"/>
    </font>
    <font>
      <b/>
      <sz val="10"/>
      <color rgb="FF333333"/>
      <name val="맑은 고딕"/>
      <charset val="1"/>
    </font>
    <font>
      <sz val="10"/>
      <color rgb="FF31393F"/>
      <name val="맑은 고딕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Font="1"/>
    <xf numFmtId="0" fontId="3" fillId="3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top"/>
    </xf>
    <xf numFmtId="3" fontId="4" fillId="0" borderId="2" xfId="1" applyNumberFormat="1" applyFont="1" applyBorder="1" applyAlignment="1">
      <alignment horizontal="right" vertical="top"/>
    </xf>
    <xf numFmtId="0" fontId="4" fillId="0" borderId="2" xfId="1" applyFont="1" applyBorder="1" applyAlignment="1">
      <alignment horizontal="right" vertical="top"/>
    </xf>
    <xf numFmtId="0" fontId="4" fillId="0" borderId="2" xfId="1" applyNumberFormat="1" applyFont="1" applyBorder="1" applyAlignment="1">
      <alignment horizontal="center" vertical="top"/>
    </xf>
    <xf numFmtId="0" fontId="0" fillId="0" borderId="3" xfId="0" applyBorder="1"/>
  </cellXfs>
  <cellStyles count="2">
    <cellStyle name="Normal" xfId="0" builtinId="0"/>
    <cellStyle name="Normal 2" xfId="1" xr:uid="{BFCEC036-89F3-4B56-8BDD-8AF117EE4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11" sqref="B11"/>
    </sheetView>
  </sheetViews>
  <sheetFormatPr defaultRowHeight="15"/>
  <sheetData>
    <row r="1" spans="1:5">
      <c r="A1" s="1" t="s">
        <v>0</v>
      </c>
    </row>
    <row r="3" spans="1:5">
      <c r="A3" s="1" t="s">
        <v>1</v>
      </c>
      <c r="B3" s="3" t="s">
        <v>11</v>
      </c>
      <c r="C3" s="3"/>
      <c r="D3" s="3"/>
      <c r="E3" s="3"/>
    </row>
    <row r="4" spans="1:5">
      <c r="B4" t="s">
        <v>8</v>
      </c>
    </row>
    <row r="5" spans="1:5">
      <c r="B5" s="2">
        <v>2025</v>
      </c>
    </row>
    <row r="6" spans="1:5">
      <c r="B6" s="2" t="s">
        <v>9</v>
      </c>
    </row>
    <row r="7" spans="1:5">
      <c r="B7" t="s">
        <v>10</v>
      </c>
    </row>
    <row r="9" spans="1:5">
      <c r="B9" s="3" t="s">
        <v>12</v>
      </c>
      <c r="C9" s="3"/>
      <c r="D9" s="3"/>
      <c r="E9" s="3"/>
    </row>
    <row r="10" spans="1:5">
      <c r="B10" t="s">
        <v>13</v>
      </c>
    </row>
    <row r="11" spans="1:5">
      <c r="B11" s="2">
        <v>2026</v>
      </c>
    </row>
    <row r="12" spans="1:5">
      <c r="B12" t="s">
        <v>14</v>
      </c>
    </row>
    <row r="13" spans="1:5">
      <c r="B13" s="4" t="s">
        <v>15</v>
      </c>
    </row>
    <row r="14" spans="1:5">
      <c r="B14" t="s">
        <v>16</v>
      </c>
    </row>
    <row r="16" spans="1:5">
      <c r="A16" s="1" t="s">
        <v>3</v>
      </c>
    </row>
    <row r="17" spans="1:1">
      <c r="A17" t="s">
        <v>4</v>
      </c>
    </row>
    <row r="18" spans="1:1">
      <c r="A18" t="s">
        <v>5</v>
      </c>
    </row>
    <row r="19" spans="1:1">
      <c r="A19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82EA-7685-401D-8FEC-A2098B525E60}">
  <dimension ref="A1:K6"/>
  <sheetViews>
    <sheetView workbookViewId="0">
      <selection activeCell="A2" sqref="A2:A6"/>
    </sheetView>
  </sheetViews>
  <sheetFormatPr defaultRowHeight="15"/>
  <sheetData>
    <row r="1" spans="1:11" ht="40.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</row>
    <row r="2" spans="1:11">
      <c r="A2" s="9">
        <v>2025</v>
      </c>
      <c r="B2" s="6" t="s">
        <v>28</v>
      </c>
      <c r="C2" s="6" t="s">
        <v>29</v>
      </c>
      <c r="D2" s="7">
        <v>155385</v>
      </c>
      <c r="E2" s="7">
        <v>105011</v>
      </c>
      <c r="F2" s="7">
        <v>95951</v>
      </c>
      <c r="G2" s="8" t="s">
        <v>30</v>
      </c>
      <c r="H2" s="7">
        <v>9060</v>
      </c>
      <c r="I2" s="7">
        <v>9.4</v>
      </c>
      <c r="J2" s="8" t="s">
        <v>31</v>
      </c>
      <c r="K2" s="8" t="s">
        <v>30</v>
      </c>
    </row>
    <row r="3" spans="1:11">
      <c r="A3" s="9">
        <v>2024</v>
      </c>
      <c r="B3" s="6" t="s">
        <v>28</v>
      </c>
      <c r="C3" s="6" t="s">
        <v>32</v>
      </c>
      <c r="D3" s="7">
        <v>149179</v>
      </c>
      <c r="E3" s="7">
        <v>105360</v>
      </c>
      <c r="F3" s="7">
        <v>97115</v>
      </c>
      <c r="G3" s="8" t="s">
        <v>30</v>
      </c>
      <c r="H3" s="7">
        <v>8245</v>
      </c>
      <c r="I3" s="7">
        <v>8.5</v>
      </c>
      <c r="J3" s="8" t="s">
        <v>33</v>
      </c>
      <c r="K3" s="8" t="s">
        <v>30</v>
      </c>
    </row>
    <row r="4" spans="1:11">
      <c r="A4" s="9">
        <v>2023</v>
      </c>
      <c r="B4" s="6" t="s">
        <v>28</v>
      </c>
      <c r="C4" s="6" t="s">
        <v>34</v>
      </c>
      <c r="D4" s="7">
        <v>142567</v>
      </c>
      <c r="E4" s="7">
        <v>104297</v>
      </c>
      <c r="F4" s="7">
        <v>93615</v>
      </c>
      <c r="G4" s="8" t="s">
        <v>30</v>
      </c>
      <c r="H4" s="7">
        <v>10682</v>
      </c>
      <c r="I4" s="7">
        <v>11.4</v>
      </c>
      <c r="J4" s="8" t="s">
        <v>35</v>
      </c>
      <c r="K4" s="8" t="s">
        <v>30</v>
      </c>
    </row>
    <row r="5" spans="1:11">
      <c r="A5" s="9">
        <v>2022</v>
      </c>
      <c r="B5" s="6" t="s">
        <v>36</v>
      </c>
      <c r="C5" s="6" t="s">
        <v>37</v>
      </c>
      <c r="D5" s="7">
        <v>137938</v>
      </c>
      <c r="E5" s="7">
        <v>105628</v>
      </c>
      <c r="F5" s="7">
        <v>94509</v>
      </c>
      <c r="G5" s="8" t="s">
        <v>30</v>
      </c>
      <c r="H5" s="7">
        <v>11119</v>
      </c>
      <c r="I5" s="7">
        <v>11.8</v>
      </c>
      <c r="J5" s="8" t="s">
        <v>38</v>
      </c>
      <c r="K5" s="8" t="s">
        <v>30</v>
      </c>
    </row>
    <row r="6" spans="1:11">
      <c r="A6" s="9">
        <v>2021</v>
      </c>
      <c r="B6" s="6" t="s">
        <v>34</v>
      </c>
      <c r="C6" s="6" t="s">
        <v>39</v>
      </c>
      <c r="D6" s="7">
        <v>131330</v>
      </c>
      <c r="E6" s="7">
        <v>100739</v>
      </c>
      <c r="F6" s="7">
        <v>91141</v>
      </c>
      <c r="G6" s="8" t="s">
        <v>30</v>
      </c>
      <c r="H6" s="7">
        <v>9598</v>
      </c>
      <c r="I6" s="7">
        <v>10.5</v>
      </c>
      <c r="J6" s="8" t="s">
        <v>40</v>
      </c>
      <c r="K6" s="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workbookViewId="0">
      <selection activeCell="G10" sqref="G9:G10"/>
    </sheetView>
  </sheetViews>
  <sheetFormatPr defaultRowHeight="15"/>
  <cols>
    <col min="1" max="1" width="18" customWidth="1"/>
  </cols>
  <sheetData>
    <row r="1" spans="1:31">
      <c r="A1" t="s">
        <v>7</v>
      </c>
      <c r="B1">
        <v>2021</v>
      </c>
      <c r="C1">
        <v>2022</v>
      </c>
      <c r="D1">
        <v>2023</v>
      </c>
      <c r="E1">
        <v>2024</v>
      </c>
      <c r="F1">
        <v>2025</v>
      </c>
      <c r="G1" s="10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f>INDEX(Historical!$I$2:$I$60,MATCH(RM!B1,Historical!$A$2:$A$6,0),1)/100</f>
        <v>0.105</v>
      </c>
      <c r="C2">
        <f>INDEX(Historical!$I$2:$I$60,MATCH(RM!C1,Historical!$A$2:$A$6,0),1)/100</f>
        <v>0.11800000000000001</v>
      </c>
      <c r="D2">
        <f>INDEX(Historical!$I$2:$I$60,MATCH(RM!D1,Historical!$A$2:$A$6,0),1)/100</f>
        <v>0.114</v>
      </c>
      <c r="E2">
        <f>INDEX(Historical!$I$2:$I$60,MATCH(RM!E1,Historical!$A$2:$A$6,0),1)/100</f>
        <v>8.5000000000000006E-2</v>
      </c>
      <c r="F2">
        <f>INDEX(Historical!$I$2:$I$60,MATCH(RM!F1,Historical!$A$2:$A$6,0),1)/100</f>
        <v>9.4E-2</v>
      </c>
      <c r="G2" s="10">
        <v>0.2</v>
      </c>
      <c r="H2">
        <v>0.21</v>
      </c>
      <c r="I2">
        <v>0.21</v>
      </c>
      <c r="J2">
        <v>0.21</v>
      </c>
      <c r="K2">
        <v>0.21</v>
      </c>
      <c r="L2">
        <v>0.22</v>
      </c>
      <c r="M2">
        <v>0.22</v>
      </c>
      <c r="N2">
        <v>0.22</v>
      </c>
      <c r="O2">
        <v>0.22</v>
      </c>
      <c r="P2">
        <v>0.22</v>
      </c>
      <c r="Q2">
        <v>0.22</v>
      </c>
      <c r="R2">
        <v>0.22</v>
      </c>
      <c r="S2">
        <v>0.22</v>
      </c>
      <c r="T2">
        <v>0.22</v>
      </c>
      <c r="U2">
        <v>0.22</v>
      </c>
      <c r="V2">
        <v>0.22</v>
      </c>
      <c r="W2">
        <v>0.22</v>
      </c>
      <c r="X2">
        <v>0.22</v>
      </c>
      <c r="Y2">
        <v>0.22</v>
      </c>
      <c r="Z2">
        <v>0.22</v>
      </c>
      <c r="AA2">
        <v>0.22</v>
      </c>
      <c r="AB2">
        <v>0.22</v>
      </c>
      <c r="AC2">
        <v>0.22</v>
      </c>
      <c r="AD2">
        <v>0.22</v>
      </c>
      <c r="AE2">
        <v>0.22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8DAAD8-1FD4-4CEA-916E-7E11CE1B2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D1029-3329-4E1F-A846-3AAC857EA87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BE9E85-1A0B-4D4C-BDAA-A91DCB3B13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Historical</vt:lpstr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2016-03-08T00:16:42Z</dcterms:created>
  <dcterms:modified xsi:type="dcterms:W3CDTF">2026-03-03T20:59:50Z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